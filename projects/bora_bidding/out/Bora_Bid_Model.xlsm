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apex_Items" vbProcedure="false">Dashboard!$E$51:$E$63</definedName>
    <definedName function="false" hidden="false" name="COD_IRR_1_Stored" vbProcedure="false">Dashboard!$H$125:$M$125</definedName>
    <definedName function="false" hidden="false" name="COD_IRR_2_Stored" vbProcedure="false">Dashboard!$H$126:$M$126</definedName>
    <definedName function="false" hidden="false" name="Cost_To_COD_1_Stored" vbProcedure="false">Dashboard!$H$131:$M$131</definedName>
    <definedName function="false" hidden="false" name="Cost_To_COD_2_Stored" vbProcedure="false">Dashboard!$H$132:$M$132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Dashboard!$E$87:$F$87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Dashboard!$H$129:$M$129</definedName>
    <definedName function="false" hidden="false" name="Distributable_2_Stored" vbProcedure="false">Dashboard!$H$130:$M$130</definedName>
    <definedName function="false" hidden="false" name="Funding_Cum_Last" vbProcedure="false">Dashboard!$I$47</definedName>
    <definedName function="false" hidden="false" name="HTM_IRR_1_Stored" vbProcedure="false">Dashboard!$H$127:$M$127</definedName>
    <definedName function="false" hidden="false" name="HTM_IRR_2_Stored" vbProcedure="false">Dashboard!$H$128:$M$128</definedName>
    <definedName function="false" hidden="false" name="Impact_Stored" vbProcedure="false">Dashboard!$K$12:$R$22</definedName>
    <definedName function="false" hidden="false" name="In_Admin" vbProcedure="false">Inputs!$F$111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Inputs!$F$100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P" vbProcedure="false">Inputs!$F$94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Inputs!$F$99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Inputs!$F$122</definedName>
    <definedName function="false" hidden="false" name="In_Contingency_Date" vbProcedure="false">Inputs!$F$22</definedName>
    <definedName function="false" hidden="false" name="In_Curtailment" vbProcedure="false">Inputs!$F$104</definedName>
    <definedName function="false" hidden="false" name="In_DD" vbProcedure="false">Inputs!$F$35</definedName>
    <definedName function="false" hidden="false" name="In_Debt_Rate" vbProcedure="false">Inputs!$F$120</definedName>
    <definedName function="false" hidden="false" name="In_Debt_Tenor" vbProcedure="false">Inputs!$F$123</definedName>
    <definedName function="false" hidden="false" name="In_Degradation" vbProcedure="false">Inputs!$F$105</definedName>
    <definedName function="false" hidden="false" name="In_Dep_Years" vbProcedure="false">Inputs!$F$124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Easements" vbProcedure="false">Inputs!$F$96</definedName>
    <definedName function="false" hidden="false" name="In_FEP_Share" vbProcedure="false">Inputs!$F$37</definedName>
    <definedName function="false" hidden="false" name="In_Fixed_Opex" vbProcedure="false">Inputs!$F$109</definedName>
    <definedName function="false" hidden="false" name="In_Foundations" vbProcedure="false">Inputs!$F$93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Inputs!$F$118</definedName>
    <definedName function="false" hidden="false" name="In_Gearing_CN" vbProcedure="false">Inputs!$F$119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Inputs!$F$115</definedName>
    <definedName function="false" hidden="false" name="In_Indirect_Fee" vbProcedure="false">Inputs!$F$62</definedName>
    <definedName function="false" hidden="false" name="In_Installation" vbProcedure="false">Inputs!$F$92</definedName>
    <definedName function="false" hidden="false" name="In_Invest_Date" vbProcedure="false">Inputs!$F$20</definedName>
    <definedName function="false" hidden="false" name="In_Lease" vbProcedure="false">Inputs!$F$110</definedName>
    <definedName function="false" hidden="false" name="In_Life" vbProcedure="false">Inputs!$F$25</definedName>
    <definedName function="false" hidden="false" name="In_MEKH" vbProcedure="false">Inputs!$F$114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Inputs!$F$112</definedName>
    <definedName function="false" hidden="false" name="In_Opex_Esc" vbProcedure="false">Inputs!$F$113</definedName>
    <definedName function="false" hidden="false" name="In_OSZ4_Basis" vbProcedure="false">Inputs!$F$47</definedName>
    <definedName function="false" hidden="false" name="In_Overbuild_Built" vbProcedure="false">Inputs!$F$83</definedName>
    <definedName function="false" hidden="false" name="In_Owner" vbProcedure="false">Inputs!$F$95</definedName>
    <definedName function="false" hidden="false" name="In_P50_Hours" vbProcedure="false">Inputs!$F$103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Inputs!$F$107</definedName>
    <definedName function="false" hidden="false" name="In_PPA_Price" vbProcedure="false">Inputs!$F$106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Inputs!$F$97</definedName>
    <definedName function="false" hidden="false" name="In_Substation_CN" vbProcedure="false">Inputs!$F$98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Inputs!$F$121</definedName>
    <definedName function="false" hidden="false" name="In_Var_Opex" vbProcedure="false">Inputs!$F$108</definedName>
    <definedName function="false" hidden="false" name="Live_Results" vbProcedure="false">Dashboard!$E$121:$E$132</definedName>
    <definedName function="false" hidden="false" name="Master_Check" vbProcedure="false">Checks!$F$38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Dashboard!$E$69</definedName>
    <definedName function="false" hidden="false" name="Out_BESS_MW_2" vbProcedure="false">Dashboard!$F$69</definedName>
    <definedName function="false" hidden="false" name="Out_Capex_Total" vbProcedure="false">Dashboard!$E$64</definedName>
    <definedName function="false" hidden="false" name="Out_Capex_Total_MW" vbProcedure="false">Dashboard!$F$64</definedName>
    <definedName function="false" hidden="false" name="Out_COD_Debt_1" vbProcedure="false">Dashboard!$E$111</definedName>
    <definedName function="false" hidden="false" name="Out_COD_Debt_2" vbProcedure="false">Dashboard!$F$111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Dashboard!$E$114</definedName>
    <definedName function="false" hidden="false" name="Out_COD_MOIC_2" vbProcedure="false">Dashboard!$F$114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Dashboard!$E$109</definedName>
    <definedName function="false" hidden="false" name="Out_COD_Price_2" vbProcedure="false">Dashboard!$F$109</definedName>
    <definedName function="false" hidden="false" name="Out_COD_Price_Effect_1" vbProcedure="false">Dashboard!$E$110</definedName>
    <definedName function="false" hidden="false" name="Out_COD_Price_Effect_2" vbProcedure="false">Dashboard!$F$110</definedName>
    <definedName function="false" hidden="false" name="Out_COD_Proceeds_1" vbProcedure="false">Dashboard!$E$112</definedName>
    <definedName function="false" hidden="false" name="Out_COD_Proceeds_2" vbProcedure="false">Dashboard!$F$112</definedName>
    <definedName function="false" hidden="false" name="Out_COD_Profit_1" vbProcedure="false">Dashboard!$E$113</definedName>
    <definedName function="false" hidden="false" name="Out_COD_Profit_2" vbProcedure="false">Dashboard!$F$113</definedName>
    <definedName function="false" hidden="false" name="Out_Commitment_Penalty_1" vbProcedure="false">Dashboard!$E$81</definedName>
    <definedName function="false" hidden="false" name="Out_Commitment_Penalty_2" vbProcedure="false">Dashboard!$F$81</definedName>
    <definedName function="false" hidden="false" name="Out_Commitment_Securities_1" vbProcedure="false">Dashboard!$E$80</definedName>
    <definedName function="false" hidden="false" name="Out_Commitment_Securities_2" vbProcedure="false">Dashboard!$F$80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Dashboard!$E$108</definedName>
    <definedName function="false" hidden="false" name="Out_Cost_To_COD_2" vbProcedure="false">Dashboard!$F$108</definedName>
    <definedName function="false" hidden="false" name="Out_Distributable_1" vbProcedure="false">Dashboard!$E$96</definedName>
    <definedName function="false" hidden="false" name="Out_Distributable_2" vbProcedure="false">Dashboard!$F$96</definedName>
    <definedName function="false" hidden="false" name="Out_Exclusion_1" vbProcedure="false">Dashboard!$E$84</definedName>
    <definedName function="false" hidden="false" name="Out_Exclusion_2" vbProcedure="false">Dashboard!$F$84</definedName>
    <definedName function="false" hidden="false" name="Out_Exit_ARES_30_1" vbProcedure="false">Dashboard!$E$100</definedName>
    <definedName function="false" hidden="false" name="Out_Exit_ARES_30_2" vbProcedure="false">Dashboard!$F$100</definedName>
    <definedName function="false" hidden="false" name="Out_Exit_ARES_Total_1" vbProcedure="false">Dashboard!$E$101</definedName>
    <definedName function="false" hidden="false" name="Out_Exit_ARES_Total_2" vbProcedure="false">Dashboard!$F$101</definedName>
    <definedName function="false" hidden="false" name="Out_Exit_ARES_Total_MW_1" vbProcedure="false">Dashboard!$I$101</definedName>
    <definedName function="false" hidden="false" name="Out_Exit_ARES_Total_MW_2" vbProcedure="false">Dashboard!$J$101</definedName>
    <definedName function="false" hidden="false" name="Out_Exit_Claims_1" vbProcedure="false">Dashboard!$E$94</definedName>
    <definedName function="false" hidden="false" name="Out_Exit_Claims_2" vbProcedure="false">Dashboard!$F$94</definedName>
    <definedName function="false" hidden="false" name="Out_Exit_FEP_70_1" vbProcedure="false">Dashboard!$E$97</definedName>
    <definedName function="false" hidden="false" name="Out_Exit_FEP_70_2" vbProcedure="false">Dashboard!$F$97</definedName>
    <definedName function="false" hidden="false" name="Out_Exit_FEP_Devex_1" vbProcedure="false">Dashboard!$E$98</definedName>
    <definedName function="false" hidden="false" name="Out_Exit_FEP_Devex_2" vbProcedure="false">Dashboard!$F$98</definedName>
    <definedName function="false" hidden="false" name="Out_Exit_FEP_Net_1" vbProcedure="false">Dashboard!$E$99</definedName>
    <definedName function="false" hidden="false" name="Out_Exit_FEP_Net_2" vbProcedure="false">Dashboard!$F$99</definedName>
    <definedName function="false" hidden="false" name="Out_Exit_FEP_Net_MW_1" vbProcedure="false">Dashboard!$I$99</definedName>
    <definedName function="false" hidden="false" name="Out_Exit_FEP_Net_MW_2" vbProcedure="false">Dashboard!$J$99</definedName>
    <definedName function="false" hidden="false" name="Out_Exit_Reimbursement_1" vbProcedure="false">Dashboard!$E$88</definedName>
    <definedName function="false" hidden="false" name="Out_Exit_Reimbursement_2" vbProcedure="false">Dashboard!$F$88</definedName>
    <definedName function="false" hidden="false" name="Out_Funding_Equity_To_COD" vbProcedure="false">Dashboard!$F$48</definedName>
    <definedName function="false" hidden="false" name="Out_Funding_Peak_Guarantee" vbProcedure="false">Dashboard!$H$48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Dashboard!$E$117</definedName>
    <definedName function="false" hidden="false" name="Out_HTM_MOIC_2" vbProcedure="false">Dashboard!$F$117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Dashboard!$E$118</definedName>
    <definedName function="false" hidden="false" name="Out_Min_DSCR_2" vbProcedure="false">Dashboard!$F$118</definedName>
    <definedName function="false" hidden="false" name="Out_MVA_At_Risk_1" vbProcedure="false">Dashboard!$E$83</definedName>
    <definedName function="false" hidden="false" name="Out_MVA_At_Risk_2" vbProcedure="false">Dashboard!$F$83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Dashboard!$E$104</definedName>
    <definedName function="false" hidden="false" name="Out_RtB_MOIC_2" vbProcedure="false">Dashboard!$F$104</definedName>
    <definedName function="false" hidden="false" name="Out_RtB_NPV_1" vbProcedure="false">Dashboard!$E$105</definedName>
    <definedName function="false" hidden="false" name="Out_RtB_NPV_2" vbProcedure="false">Dashboard!$F$105</definedName>
    <definedName function="false" hidden="false" name="Out_RtB_Price_1" vbProcedure="false">Dashboard!$E$89</definedName>
    <definedName function="false" hidden="false" name="Out_RtB_Price_2" vbProcedure="false">Dashboard!$F$89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Dashboard!$E$103</definedName>
    <definedName function="false" hidden="false" name="Out_RtB_Profit_Buildup_2" vbProcedure="false">Dashboard!$F$103</definedName>
    <definedName function="false" hidden="false" name="Out_RtB_Route_Costs_1" vbProcedure="false">Dashboard!$E$102</definedName>
    <definedName function="false" hidden="false" name="Out_RtB_Route_Costs_2" vbProcedure="false">Dashboard!$F$102</definedName>
    <definedName function="false" hidden="false" name="Out_Sanction_Full_1" vbProcedure="false">Dashboard!$E$82</definedName>
    <definedName function="false" hidden="false" name="Out_Sanction_Full_2" vbProcedure="false">Dashboard!$F$82</definedName>
    <definedName function="false" hidden="false" name="Out_WF_DSA_1" vbProcedure="false">Dashboard!$E$95</definedName>
    <definedName function="false" hidden="false" name="Out_WF_DSA_2" vbProcedure="false">Dashboard!$F$95</definedName>
    <definedName function="false" hidden="false" name="Out_WF_Return_12_1" vbProcedure="false">Dashboard!$E$91</definedName>
    <definedName function="false" hidden="false" name="Out_WF_Return_12_2" vbProcedure="false">Dashboard!$F$91</definedName>
    <definedName function="false" hidden="false" name="Out_WF_Return_6_1" vbProcedure="false">Dashboard!$E$93</definedName>
    <definedName function="false" hidden="false" name="Out_WF_Return_6_2" vbProcedure="false">Dashboard!$F$93</definedName>
    <definedName function="false" hidden="false" name="Out_WF_Return_AtRisk_1" vbProcedure="false">Dashboard!$E$92</definedName>
    <definedName function="false" hidden="false" name="Out_WF_Return_AtRisk_2" vbProcedure="false">Dashboard!$F$92</definedName>
    <definedName function="false" hidden="false" name="Out_WF_Sale_Costs_1" vbProcedure="false">Dashboard!$E$90</definedName>
    <definedName function="false" hidden="false" name="Out_WF_Sale_Costs_2" vbProcedure="false">Dashboard!$F$90</definedName>
    <definedName function="false" hidden="false" name="Out_Wind_Built_MW_1" vbProcedure="false">Dashboard!$E$68</definedName>
    <definedName function="false" hidden="false" name="Out_Wind_Built_MW_2" vbProcedure="false">Dashboard!$F$68</definedName>
    <definedName function="false" hidden="false" name="Out_Wind_MW_1" vbProcedure="false">Dashboard!$E$67</definedName>
    <definedName function="false" hidden="false" name="Out_Wind_MW_2" vbProcedure="false">Dashboard!$F$67</definedName>
    <definedName function="false" hidden="false" name="Period_Ends" vbProcedure="false">Calc_1!$J$4:$ET$4</definedName>
    <definedName function="false" hidden="false" name="Points_1_Stored" vbProcedure="false">Dashboard!$H$121:$M$121</definedName>
    <definedName function="false" hidden="false" name="Points_2_Stored" vbProcedure="false">Dashboard!$H$122:$M$122</definedName>
    <definedName function="false" hidden="false" name="Points_Decimals" vbProcedure="false">Inputs!$F$42</definedName>
    <definedName function="false" hidden="false" name="RtB_Profit_1_Stored" vbProcedure="false">Dashboard!$H$123:$M$123</definedName>
    <definedName function="false" hidden="false" name="RtB_Profit_2_Stored" vbProcedure="false">Dashboard!$H$124:$M$124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Dashboard!$H$121:$M$132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<sst xmlns="http://schemas.openxmlformats.org/spreadsheetml/2006/main" count="1501" uniqueCount="643">
  <si>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</si>
  <si>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</si>
  <si>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</si>
  <si>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</si>
  <si>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</si>
  <si>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</si>
  <si>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</si>
  <si>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</si>
  <si>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</si>
  <si>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</si>
  <si>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</si>
  <si>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</si>
  <si>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</si>
  <si>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</si>
  <si>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</si>
  <si>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</si>
  <si>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</si>
  <si>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</si>
  <si>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</si>
  <si>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</si>
  <si>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</si>
  <si>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</si>
  <si>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</si>
  <si>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</si>
  <si>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</si>
  <si>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</si>
  <si>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</si>
  <si>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</si>
  <si>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</si>
  <si>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</si>
  <si>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</si>
  <si>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</si>
  <si>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</si>
  <si>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</si>
  <si>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</si>
  <si>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</si>
  <si>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</si>
  <si>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</si>
  <si>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</si>
  <si>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</si>
  <si>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</si>
  <si>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</si>
  <si>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</si>
  <si>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</si>
  <si>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</si>
  <si>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</si>
  <si>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</si>
  <si>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</si>
  <si>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</si>
  <si>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</si>
  <si>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</si>
  <si>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</si>
  <si>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</si>
  <si>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</si>
  <si>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</si>
  <si>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</si>
  <si>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</si>
  <si>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</si>
  <si>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</si>
  <si>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</si>
  <si>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</si>
  <si>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</si>
  <si>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</si>
  <si>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</si>
  <si>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</si>
  <si>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</si>
  <si>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</si>
  <si>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</si>
  <si>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</si>
  <si>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</si>
  <si>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</si>
  <si>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</si>
  <si>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</si>
  <si>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</si>
  <si>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</si>
  <si>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</si>
  <si>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</si>
  <si>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</si>
  <si>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</si>
  <si>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</si>
  <si>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</si>
  <si>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</si>
  <si>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</si>
  <si>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</si>
  <si>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Funding need to COD – both bids</t>
  </si>
  <si>
    <t xml:space="preserve">Date</t>
  </si>
  <si>
    <t xml:space="preserve">Cash €m</t>
  </si>
  <si>
    <t xml:space="preserve">Guarantee €m</t>
  </si>
  <si>
    <t xml:space="preserve">Cum. cash €m</t>
  </si>
  <si>
    <t xml:space="preserve">Signing fee and DD</t>
  </si>
  <si>
    <t xml:space="preserve">Bid: participation fee (cash), bid guarantee</t>
  </si>
  <si>
    <t xml:space="preserve">Award: performance guarantee (bid guarantee released)</t>
  </si>
  <si>
    <t xml:space="preserve">Connection request: TSO security</t>
  </si>
  <si>
    <t xml:space="preserve">Devex, land and contingency 2026</t>
  </si>
  <si>
    <t xml:space="preserve">Devex, land and contingency 2027</t>
  </si>
  <si>
    <t xml:space="preserve">Devex, land and contingency 2028</t>
  </si>
  <si>
    <t xml:space="preserve">HCSSZ: connection fees</t>
  </si>
  <si>
    <t xml:space="preserve">Devex, land and contingency 2029</t>
  </si>
  <si>
    <t xml:space="preserve">NTP → COD: construction equity (capex, lease less debt)</t>
  </si>
  <si>
    <t xml:space="preserve">NTP → COD: debt fees (IDC is debt-funded)</t>
  </si>
  <si>
    <t xml:space="preserve">Guarantee fees to COD</t>
  </si>
  <si>
    <t xml:space="preserve">COD: municipal one-off</t>
  </si>
  <si>
    <t xml:space="preserve">Total cash equity to COD; peak guarantee</t>
  </si>
  <si>
    <t xml:space="preserve">Capex breakdown to COD – both bids</t>
  </si>
  <si>
    <t xml:space="preserve">€ m</t>
  </si>
  <si>
    <t xml:space="preserve">k€/MW</t>
  </si>
  <si>
    <t xml:space="preserve">Turbines</t>
  </si>
  <si>
    <t xml:space="preserve">Installation</t>
  </si>
  <si>
    <t xml:space="preserve">Foundations</t>
  </si>
  <si>
    <t xml:space="preserve">Balance of plant</t>
  </si>
  <si>
    <t xml:space="preserve">Owner's costs</t>
  </si>
  <si>
    <t xml:space="preserve">Land, easements, pre-COD lease</t>
  </si>
  <si>
    <t xml:space="preserve">Contingency</t>
  </si>
  <si>
    <t xml:space="preserve">Substation and 132 kV bay</t>
  </si>
  <si>
    <t xml:space="preserve">BESS</t>
  </si>
  <si>
    <t xml:space="preserve">Connection fees</t>
  </si>
  <si>
    <t xml:space="preserve">Municipal one-off</t>
  </si>
  <si>
    <t xml:space="preserve">Development: devex, land, signing, securities</t>
  </si>
  <si>
    <t xml:space="preserve">Financing: IDC, debt fees, guarantee fees</t>
  </si>
  <si>
    <t xml:space="preserve">All-in cost to COD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</si>
  <si>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</si>
  <si>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</si>
  <si>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</si>
  <si>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</si>
  <si>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</si>
  <si>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</si>
  <si>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</si>
  <si>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</si>
  <si>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</si>
  <si>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</si>
  <si>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</si>
  <si>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</si>
  <si>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</si>
  <si>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</si>
  <si>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</si>
  <si>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</si>
  <si>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</si>
  <si>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</si>
  <si>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</si>
  <si>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</si>
  <si>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</si>
  <si>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</si>
  <si>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Securities: cash posted and guarantee outstanding</t>
  </si>
  <si>
    <t xml:space="preserve">PB call if overbuild not built (selected regime)</t>
  </si>
  <si>
    <t xml:space="preserve">PB call if overbuild not built (full call)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</si>
  <si>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</si>
  <si>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</si>
  <si>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</si>
  <si>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</si>
  <si>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</si>
  <si>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</si>
  <si>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</si>
  <si>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</si>
  <si>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</si>
  <si>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</si>
  <si>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</si>
  <si>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</si>
  <si>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</si>
  <si>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</si>
  <si>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</si>
  <si>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</si>
  <si>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</si>
  <si>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</si>
  <si>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</si>
  <si>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</si>
  <si>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</si>
  <si>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</si>
  <si>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</si>
  <si>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</si>
  <si>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</si>
  <si>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</si>
  <si>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</si>
  <si>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</si>
  <si>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</si>
  <si>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</si>
  <si>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</si>
  <si>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</si>
  <si>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</si>
  <si>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</si>
  <si>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</si>
  <si>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</si>
  <si>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</si>
  <si>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</si>
  <si>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</si>
  <si>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</si>
  <si>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</si>
  <si>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</si>
  <si>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</si>
  <si>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</si>
  <si>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</si>
  <si>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</si>
  <si>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</si>
  <si>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</si>
  <si>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</si>
  <si>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</si>
  <si>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</si>
  <si>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</si>
  <si>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</si>
  <si>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</si>
  <si>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</si>
  <si>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</si>
  <si>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</si>
  <si>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</si>
  <si>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</si>
  <si>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</si>
  <si>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</si>
  <si>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</si>
  <si>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</si>
  <si>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</si>
  <si>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</si>
  <si>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</si>
  <si>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</si>
  <si>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</si>
  <si>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</si>
  <si>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</si>
  <si>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</si>
  <si>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</si>
  <si>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</si>
  <si>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</si>
  <si>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</si>
  <si>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</si>
  <si>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</si>
  <si>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</si>
  <si>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</si>
  <si>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</si>
  <si>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</si>
  <si>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</si>
  <si>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</si>
  <si>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</si>
  <si>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</si>
  <si>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</si>
  <si>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</si>
  <si>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</si>
  <si>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</si>
  <si>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</si>
  <si>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</si>
  <si>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</si>
  <si>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</si>
  <si>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</si>
  <si>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</si>
  <si>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</si>
  <si>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</si>
  <si>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</si>
  <si>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</si>
  <si>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</si>
  <si>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</si>
  <si>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</si>
  <si>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</si>
  <si>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</si>
  <si>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</si>
  <si>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</si>
  <si>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</si>
  <si>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</si>
  <si>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</si>
  <si>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</si>
  <si>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</si>
  <si>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</si>
  <si>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</si>
  <si>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</si>
  <si>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</si>
  <si>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</si>
  <si>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</si>
  <si>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</si>
  <si>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</si>
  <si>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</si>
  <si>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</si>
  <si>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</si>
  <si>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</si>
  <si>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</si>
  <si>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</si>
  <si>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</si>
  <si>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</si>
  <si>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</si>
  <si>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</si>
  <si>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</si>
  <si>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</si>
  <si>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</si>
  <si>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</si>
  <si>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</si>
  <si>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</si>
  <si>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</si>
  <si>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</si>
  <si>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</si>
  <si>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</si>
  <si>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</si>
  <si>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</si>
  <si>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</si>
  <si>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</si>
  <si>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</si>
  <si>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</si>
  <si>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</si>
  <si>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</si>
  <si>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</si>
  <si>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</si>
  <si>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</si>
  <si>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</si>
  <si>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</si>
  <si>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</si>
  <si>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</si>
  <si>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</si>
  <si>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</si>
  <si>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</si>
  <si>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</si>
  <si>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</si>
  <si>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</si>
  <si>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</si>
  <si>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</si>
  <si>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</si>
  <si>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</si>
  <si>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</si>
  <si>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</si>
  <si>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</si>
  <si>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</si>
  <si>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</si>
  <si>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</si>
  <si>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</si>
  <si>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</si>
  <si>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</si>
  <si>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</si>
  <si>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</si>
  <si>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</si>
  <si>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</si>
  <si>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</si>
  <si>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</si>
  <si>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</si>
  <si>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</si>
  <si>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</si>
  <si>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</si>
  <si>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</si>
  <si>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</si>
  <si>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</si>
  <si>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</si>
  <si>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</si>
  <si>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</si>
  <si>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</si>
  <si>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</si>
  <si>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</si>
  <si>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</si>
  <si>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</si>
  <si>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</si>
  <si>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</si>
  <si>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</si>
  <si>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</si>
  <si>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</si>
  <si>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</si>
  <si>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</si>
  <si>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Turbine installation and erection</t>
  </si>
  <si>
    <t xml:space="preserve">Old engine Inputs E163</t>
  </si>
  <si>
    <t xml:space="preserve">Old engine Inputs E164</t>
  </si>
  <si>
    <t xml:space="preserve">Balance of plant (civil 70, electrical 60)</t>
  </si>
  <si>
    <t xml:space="preserve">Old engine Inputs E165:E166</t>
  </si>
  <si>
    <t xml:space="preserve">Owner's costs, engineering, construction insurance</t>
  </si>
  <si>
    <t xml:space="preserve">Old engine Inputs E169</t>
  </si>
  <si>
    <t xml:space="preserve">Land purchase and easements</t>
  </si>
  <si>
    <t xml:space="preserve">Old engine Inputs 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</si>
  <si>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</si>
  <si>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</si>
  <si>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</si>
  <si>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</si>
  <si>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</si>
  <si>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</si>
  <si>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</si>
  <si>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EUR k/MWh</t>
  </si>
  <si>
    <t xml:space="preserve">User 15-Oct-26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</si>
  <si>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</si>
  <si>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</si>
  <si>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</si>
  <si>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</si>
  <si>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</si>
  <si>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</si>
  <si>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</si>
  <si>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</si>
  <si>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</si>
  <si>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</si>
  <si>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</si>
  <si>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</si>
  <si>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</si>
  <si>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</si>
  <si>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</si>
  <si>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</si>
  <si>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</si>
  <si>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</si>
  <si>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</si>
  <si>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</si>
  <si>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</si>
  <si>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</si>
  <si>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</si>
  <si>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</si>
  <si>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</si>
  <si>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</si>
  <si>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</si>
  <si>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</si>
  <si>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</si>
  <si>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</si>
  <si>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</si>
  <si>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</si>
  <si>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</si>
  <si>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</si>
  <si>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</si>
  <si>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</si>
  <si>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</si>
  <si>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</si>
  <si>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</si>
  <si>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</si>
  <si>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</si>
  <si>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</si>
  <si>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</si>
  <si>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</si>
  <si>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</si>
  <si>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</si>
  <si>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</si>
  <si>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</si>
  <si>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</si>
  <si>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</si>
  <si>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</si>
  <si>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</si>
  <si>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</si>
  <si>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</si>
  <si>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</si>
  <si>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</si>
  <si>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</si>
  <si>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</si>
  <si>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</si>
  <si>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</si>
  <si>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</si>
  <si>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</si>
  <si>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</si>
  <si>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</si>
  <si>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</si>
  <si>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</si>
  <si>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</si>
  <si>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</si>
  <si>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</si>
  <si>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</si>
  <si>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</si>
  <si>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</si>
  <si>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</si>
  <si>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</si>
  <si>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</si>
  <si>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</si>
  <si>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</si>
  <si>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</si>
  <si>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</si>
  <si>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</si>
  <si>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</si>
  <si>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</si>
  <si>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</si>
  <si>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</si>
  <si>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</si>
  <si>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</si>
  <si>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</si>
  <si>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</si>
  <si>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</si>
  <si>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</si>
  <si>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</si>
  <si>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</si>
  <si>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</si>
  <si>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</si>
  <si>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</si>
  <si>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</si>
  <si>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</si>
  <si>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</si>
  <si>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</si>
  <si>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</si>
  <si>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</si>
  <si>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</si>
  <si>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</si>
  <si>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</si>
  <si>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</si>
  <si>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</si>
  <si>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</si>
  <si>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</si>
  <si>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</si>
  <si>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</si>
  <si>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</si>
  <si>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</si>
  <si>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</si>
  <si>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</si>
  <si>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</si>
  <si>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</si>
  <si>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</si>
  <si>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</si>
  <si>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</si>
  <si>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</si>
  <si>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</si>
  <si>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</si>
  <si>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</si>
  <si>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</si>
  <si>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</si>
  <si>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</si>
  <si>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</si>
  <si>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</si>
  <si>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</si>
  <si>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</si>
  <si>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</si>
  <si>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</si>
  <si>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</si>
  <si>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</si>
  <si>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</si>
  <si>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</si>
  <si>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</si>
  <si>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</si>
  <si>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</si>
  <si>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</si>
  <si>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</si>
  <si>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</si>
  <si>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</si>
  <si>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</si>
  <si>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</si>
  <si>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</si>
  <si>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</si>
  <si>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</si>
  <si>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</si>
  <si>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</si>
  <si>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</si>
  <si>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</si>
  <si>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</si>
  <si>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</si>
  <si>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</si>
  <si>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Devex, land and contingency by calendar year (at Q4)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</si>
  <si>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</si>
  <si>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</si>
  <si>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</si>
  <si>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</si>
  <si>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</si>
  <si>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</si>
  <si>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</si>
  <si>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</si>
  <si>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</si>
  <si>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</si>
  <si>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</si>
  <si>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</si>
  <si>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</si>
  <si>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</si>
  <si>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</si>
  <si>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</si>
  <si>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</si>
  <si>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</si>
  <si>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</si>
  <si>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</si>
  <si>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</si>
  <si>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</si>
  <si>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</si>
  <si>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Wind capex per built MW (E: turbine, live route; F: other)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</si>
  <si>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</si>
  <si>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</si>
  <si>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</si>
  <si>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</si>
  <si>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</si>
  <si>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</si>
  <si>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</si>
  <si>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</si>
  <si>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</si>
  <si>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</si>
  <si>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</si>
  <si>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</si>
  <si>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</si>
  <si>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</si>
  <si>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</si>
  <si>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</si>
  <si>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</si>
  <si>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</si>
  <si>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</si>
  <si>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</si>
  <si>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</si>
  <si>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</si>
  <si>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</si>
  <si>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</si>
  <si>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</si>
  <si>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</si>
  <si>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</si>
  <si>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</si>
  <si>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</si>
  <si>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</si>
  <si>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</si>
  <si>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</si>
  <si>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</si>
  <si>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</si>
  <si>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</si>
  <si>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</si>
  <si>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</si>
  <si>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</si>
  <si>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</si>
  <si>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</si>
  <si>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</si>
  <si>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</si>
  <si>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</si>
  <si>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</si>
  <si>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</si>
  <si>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</si>
  <si>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</si>
  <si>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</si>
  <si>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</si>
  <si>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</si>
  <si>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</si>
  <si>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</si>
  <si>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</si>
  <si>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</si>
  <si>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</si>
  <si>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</si>
  <si>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</si>
  <si>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Capex breakdown to COD (two items per row)</t>
  </si>
  <si>
    <t xml:space="preserve">Turbines (E), installation (F)</t>
  </si>
  <si>
    <t xml:space="preserve">Foundations (E), balance of plant (F)</t>
  </si>
  <si>
    <t xml:space="preserve">Owner's costs (E), land, easements and pre-COD lease (F)</t>
  </si>
  <si>
    <t xml:space="preserve">Contingency (E), substation and 132 kV bay (F)</t>
  </si>
  <si>
    <t xml:space="preserve">BESS (E), connection fees (F)</t>
  </si>
  <si>
    <t xml:space="preserve">Municipal one-off (E), development: devex, land, signing, securities (F)</t>
  </si>
  <si>
    <t xml:space="preserve">All-in cost to COD (E: uses, F: sources)</t>
  </si>
  <si>
    <t xml:space="preserve">Funding: construction equity (E: capex, lease less debt), debt fees (F)</t>
  </si>
  <si>
    <t xml:space="preserve">Commitment</t>
  </si>
  <si>
    <t xml:space="preserve">Total commitment: all-in cost to COD and guarantee</t>
  </si>
  <si>
    <t xml:space="preserve">Penalty if overbuild not built, a call on the PB (F: full call)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</si>
  <si>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</si>
  <si>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</si>
  <si>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</si>
  <si>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</si>
  <si>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</si>
  <si>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</si>
  <si>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</si>
  <si>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</si>
  <si>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</si>
  <si>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</si>
  <si>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</si>
  <si>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</si>
  <si>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</si>
  <si>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</si>
  <si>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</si>
  <si>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</si>
  <si>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</si>
  <si>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</si>
  <si>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</si>
  <si>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</si>
  <si>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</si>
  <si>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Funding table: cumulative cash = FEP contributions to COD (both bids)</t>
  </si>
  <si>
    <t xml:space="preserve">Capex breakdown sums to the all-in cost to COD (both bids)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</si>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</sst>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3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-0.102442043254027</v>
      </c>
      <c r="N15" s="16" t="n">
        <v>-0.102442043254027</v>
      </c>
      <c r="O15" s="16" t="n">
        <v>-0.0191443123610924</v>
      </c>
      <c r="P15" s="16" t="n">
        <v>-0.0191443123610924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Calc_1!$I152/Thousand</f>
        <v>6.54675873853232</v>
      </c>
      <c r="F26" s="28" t="n">
        <f aca="false">Calc_2!$I152/Thousand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Calc_1!$E154</f>
        <v>0.221510760619134</v>
      </c>
      <c r="F27" s="26" t="n">
        <f aca="false">Calc_2!$E154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Calc_1!$E171</f>
        <v>0.339207407992561</v>
      </c>
      <c r="F28" s="26" t="n">
        <f aca="false">Calc_2!$E171</f>
        <v>0.339207407992561</v>
      </c>
      <c r="H28" s="29" t="n">
        <v>0.495635416758283</v>
      </c>
      <c r="I28" s="29" t="n">
        <v>-0.156428008765722</v>
      </c>
      <c r="J28" s="29" t="n">
        <v>-0.156428008765722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Calc_1!$E173/Thousand</f>
        <v>26.530583975982</v>
      </c>
      <c r="F29" s="28" t="n">
        <f aca="false">Calc_2!$E173/Thousand</f>
        <v>26.530583975982</v>
      </c>
      <c r="H29" s="15" t="n">
        <v>44.6105521842832</v>
      </c>
      <c r="I29" s="15" t="n">
        <v>-18.0799682083012</v>
      </c>
      <c r="J29" s="15" t="n">
        <v>-18.0799682083012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Calc_1!$E191</f>
        <v>0.0887506658196496</v>
      </c>
      <c r="F30" s="26" t="n">
        <f aca="false">Calc_2!$E191</f>
        <v>0.0887506658196496</v>
      </c>
      <c r="H30" s="29" t="n">
        <v>0.118654233690466</v>
      </c>
      <c r="I30" s="29" t="n">
        <v>-0.0299035678708159</v>
      </c>
      <c r="J30" s="29" t="n">
        <v>-0.0299035678708159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Calc_1!$E193/Thousand</f>
        <v>8.14180305533397</v>
      </c>
      <c r="F31" s="28" t="n">
        <f aca="false">Calc_2!$E193/Thousand</f>
        <v>8.14180305533397</v>
      </c>
      <c r="H31" s="15" t="n">
        <v>31.4248287787171</v>
      </c>
      <c r="I31" s="15" t="n">
        <v>-23.2830257233831</v>
      </c>
      <c r="J31" s="15" t="n">
        <v>-23.2830257233831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Calc_1!$E186/Thousand</f>
        <v>179.728594789817</v>
      </c>
      <c r="F32" s="31" t="n">
        <f aca="false">Calc_2!$E186/Thousand</f>
        <v>179.728594789817</v>
      </c>
      <c r="H32" s="15" t="n">
        <v>147.799682151735</v>
      </c>
      <c r="I32" s="15" t="n">
        <v>31.9289126380823</v>
      </c>
      <c r="J32" s="15" t="n">
        <v>31.9289126380823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85</v>
      </c>
      <c r="F34" s="10" t="s">
        <v>86</v>
      </c>
      <c r="G34" s="9"/>
      <c r="H34" s="10" t="s">
        <v>87</v>
      </c>
      <c r="I34" s="10" t="s">
        <v>88</v>
      </c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89</v>
      </c>
      <c r="D35" s="11" t="s">
        <v>73</v>
      </c>
      <c r="E35" s="27" t="n">
        <f aca="false">In_Invest_Date</f>
        <v>46234</v>
      </c>
      <c r="F35" s="28" t="n">
        <f aca="false">-(Calc_1!$I46+Calc_2!$I46)/Thousand</f>
        <v>0.8</v>
      </c>
      <c r="I35" s="28" t="n">
        <f aca="false">F35</f>
        <v>0.8</v>
      </c>
    </row>
    <row r="36" customFormat="false" ht="15" hidden="false" customHeight="false" outlineLevel="0" collapsed="false">
      <c r="C36" s="0" t="s">
        <v>90</v>
      </c>
      <c r="D36" s="11" t="s">
        <v>73</v>
      </c>
      <c r="E36" s="27" t="n">
        <f aca="false">In_Bid_Date</f>
        <v>46325</v>
      </c>
      <c r="F36" s="28" t="n">
        <f aca="false">(Calc_1!$E47+Calc_2!$E47)/Thousand</f>
        <v>0.0164383561643836</v>
      </c>
      <c r="H36" s="28" t="n">
        <f aca="false">(Calc_1!$E48+Calc_2!$E48)/Thousand</f>
        <v>2.79742465753425</v>
      </c>
      <c r="I36" s="28" t="n">
        <f aca="false">F36+I35</f>
        <v>0.816438356164384</v>
      </c>
    </row>
    <row r="37" customFormat="false" ht="15" hidden="false" customHeight="false" outlineLevel="0" collapsed="false">
      <c r="C37" s="0" t="s">
        <v>91</v>
      </c>
      <c r="D37" s="11" t="s">
        <v>73</v>
      </c>
      <c r="E37" s="27" t="n">
        <f aca="false">Calc_1!$F$49</f>
        <v>46384</v>
      </c>
      <c r="H37" s="28" t="n">
        <f aca="false">(Calc_1!$E49+Calc_2!$E49)/Thousand</f>
        <v>13.9871232876712</v>
      </c>
      <c r="I37" s="28" t="n">
        <f aca="false">F37+I36</f>
        <v>0.816438356164384</v>
      </c>
    </row>
    <row r="38" customFormat="false" ht="15" hidden="false" customHeight="false" outlineLevel="0" collapsed="false">
      <c r="C38" s="0" t="s">
        <v>92</v>
      </c>
      <c r="D38" s="11" t="s">
        <v>73</v>
      </c>
      <c r="E38" s="27" t="n">
        <f aca="false">In_TSO_Date</f>
        <v>46386</v>
      </c>
      <c r="F38" s="28" t="n">
        <f aca="false">(Calc_1!$E50+Calc_2!$E50)/Thousand</f>
        <v>2.46575342465753</v>
      </c>
      <c r="I38" s="28" t="n">
        <f aca="false">F38+I37</f>
        <v>3.28219178082192</v>
      </c>
    </row>
    <row r="39" customFormat="false" ht="15" hidden="false" customHeight="false" outlineLevel="0" collapsed="false">
      <c r="C39" s="0" t="s">
        <v>93</v>
      </c>
      <c r="D39" s="11" t="s">
        <v>73</v>
      </c>
      <c r="E39" s="27" t="n">
        <f aca="false">Calc_1!K$4</f>
        <v>46387</v>
      </c>
      <c r="F39" s="28" t="n">
        <f aca="false">-(Calc_1!K58+Calc_2!K58)/Thousand</f>
        <v>0.357041095890411</v>
      </c>
      <c r="I39" s="28" t="n">
        <f aca="false">F39+I38</f>
        <v>3.63923287671233</v>
      </c>
    </row>
    <row r="40" customFormat="false" ht="15" hidden="false" customHeight="false" outlineLevel="0" collapsed="false">
      <c r="C40" s="0" t="s">
        <v>94</v>
      </c>
      <c r="D40" s="11" t="s">
        <v>73</v>
      </c>
      <c r="E40" s="27" t="n">
        <f aca="false">Calc_1!O$4</f>
        <v>46752</v>
      </c>
      <c r="F40" s="28" t="n">
        <f aca="false">-(Calc_1!O58+Calc_2!O58)/Thousand</f>
        <v>1.72095479452055</v>
      </c>
      <c r="I40" s="28" t="n">
        <f aca="false">F40+I39</f>
        <v>5.36018767123288</v>
      </c>
    </row>
    <row r="41" customFormat="false" ht="15" hidden="false" customHeight="false" outlineLevel="0" collapsed="false">
      <c r="C41" s="0" t="s">
        <v>95</v>
      </c>
      <c r="D41" s="11" t="s">
        <v>73</v>
      </c>
      <c r="E41" s="27" t="n">
        <f aca="false">Calc_1!S$4</f>
        <v>47118</v>
      </c>
      <c r="F41" s="28" t="n">
        <f aca="false">-(Calc_1!S58+Calc_2!S58)/Thousand</f>
        <v>3.55193806503774</v>
      </c>
      <c r="I41" s="28" t="n">
        <f aca="false">F41+I40</f>
        <v>8.91212573627062</v>
      </c>
    </row>
    <row r="42" customFormat="false" ht="15" hidden="false" customHeight="false" outlineLevel="0" collapsed="false">
      <c r="C42" s="0" t="s">
        <v>96</v>
      </c>
      <c r="D42" s="11" t="s">
        <v>73</v>
      </c>
      <c r="E42" s="27" t="n">
        <f aca="false">In_HCSSZ_Date</f>
        <v>47126</v>
      </c>
      <c r="F42" s="28" t="n">
        <f aca="false">-(Calc_1!$I53+Calc_2!$I53)/Thousand</f>
        <v>40.3587748164384</v>
      </c>
      <c r="I42" s="28" t="n">
        <f aca="false">F42+I41</f>
        <v>49.270900552709</v>
      </c>
    </row>
    <row r="43" customFormat="false" ht="15" hidden="false" customHeight="false" outlineLevel="0" collapsed="false">
      <c r="C43" s="0" t="s">
        <v>97</v>
      </c>
      <c r="D43" s="11" t="s">
        <v>73</v>
      </c>
      <c r="E43" s="27" t="n">
        <f aca="false">Calc_1!W$4</f>
        <v>47483</v>
      </c>
      <c r="F43" s="28" t="n">
        <f aca="false">-(Calc_1!W58+Calc_2!W58)/Thousand</f>
        <v>0.609315068493151</v>
      </c>
      <c r="I43" s="28" t="n">
        <f aca="false">F43+I42</f>
        <v>49.8802156212021</v>
      </c>
    </row>
    <row r="44" customFormat="false" ht="15" hidden="false" customHeight="false" outlineLevel="0" collapsed="false">
      <c r="C44" s="0" t="s">
        <v>98</v>
      </c>
      <c r="D44" s="11" t="s">
        <v>73</v>
      </c>
      <c r="E44" s="27" t="n">
        <f aca="false">In_COD</f>
        <v>48121</v>
      </c>
      <c r="F44" s="28" t="n">
        <f aca="false">(Calc_1!$E183+Calc_2!$E183)/Thousand</f>
        <v>77.6417176466245</v>
      </c>
      <c r="I44" s="28" t="n">
        <f aca="false">F44+I43</f>
        <v>127.521933267827</v>
      </c>
    </row>
    <row r="45" customFormat="false" ht="15" hidden="false" customHeight="false" outlineLevel="0" collapsed="false">
      <c r="C45" s="0" t="s">
        <v>99</v>
      </c>
      <c r="D45" s="11" t="s">
        <v>73</v>
      </c>
      <c r="E45" s="27" t="n">
        <f aca="false">In_COD</f>
        <v>48121</v>
      </c>
      <c r="F45" s="28" t="n">
        <f aca="false">(Calc_1!$F183+Calc_2!$F183)/Thousand</f>
        <v>5.25278060479041</v>
      </c>
      <c r="I45" s="28" t="n">
        <f aca="false">F45+I44</f>
        <v>132.774713872617</v>
      </c>
    </row>
    <row r="46" customFormat="false" ht="15" hidden="false" customHeight="false" outlineLevel="0" collapsed="false">
      <c r="C46" s="0" t="s">
        <v>100</v>
      </c>
      <c r="D46" s="11" t="s">
        <v>73</v>
      </c>
      <c r="E46" s="27" t="n">
        <f aca="false">In_COD</f>
        <v>48121</v>
      </c>
      <c r="F46" s="28" t="n">
        <f aca="false">-(Calc_1!$F59+Calc_2!$F59)/Thousand</f>
        <v>4.02323314993432</v>
      </c>
      <c r="I46" s="28" t="n">
        <f aca="false">F46+I45</f>
        <v>136.797947022551</v>
      </c>
    </row>
    <row r="47" customFormat="false" ht="15" hidden="false" customHeight="false" outlineLevel="0" collapsed="false">
      <c r="C47" s="0" t="s">
        <v>101</v>
      </c>
      <c r="D47" s="11" t="s">
        <v>73</v>
      </c>
      <c r="E47" s="27" t="n">
        <f aca="false">In_COD</f>
        <v>48121</v>
      </c>
      <c r="F47" s="28" t="n">
        <f aca="false">-(Calc_1!$I95+Calc_2!$I95)/Thousand</f>
        <v>10</v>
      </c>
      <c r="I47" s="28" t="n">
        <f aca="false">F47+I46</f>
        <v>146.797947022551</v>
      </c>
    </row>
    <row r="48" customFormat="false" ht="15" hidden="false" customHeight="false" outlineLevel="0" collapsed="false">
      <c r="C48" s="30" t="s">
        <v>102</v>
      </c>
      <c r="D48" s="11" t="s">
        <v>73</v>
      </c>
      <c r="F48" s="31" t="n">
        <f aca="false">-(Calc_1!$I159+Calc_2!$I159)/Thousand</f>
        <v>146.797947022551</v>
      </c>
      <c r="H48" s="31" t="n">
        <f aca="false">(Calc_1!$E49+Calc_2!$E49)/Thousand</f>
        <v>13.9871232876712</v>
      </c>
    </row>
    <row r="50" customFormat="false" ht="15" hidden="false" customHeight="false" outlineLevel="0" collapsed="false">
      <c r="A50" s="9" t="s">
        <v>13</v>
      </c>
      <c r="B50" s="9"/>
      <c r="C50" s="9" t="s">
        <v>103</v>
      </c>
      <c r="D50" s="9"/>
      <c r="E50" s="10" t="s">
        <v>104</v>
      </c>
      <c r="F50" s="10" t="s">
        <v>105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customFormat="false" ht="15" hidden="false" customHeight="false" outlineLevel="0" collapsed="false">
      <c r="C51" s="0" t="s">
        <v>106</v>
      </c>
      <c r="D51" s="11" t="s">
        <v>73</v>
      </c>
      <c r="E51" s="32" t="n">
        <f aca="false">(Calc_1!$E175+Calc_2!$E175)/Thousand</f>
        <v>120</v>
      </c>
      <c r="F51" s="33" t="n">
        <f aca="false">(Calc_1!$E175+Calc_2!$E175)/(Calc_1!$F24+Calc_2!$F24)</f>
        <v>600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2" t="n">
        <f aca="false">(Calc_1!$F175+Calc_2!$F175)/Thousand</f>
        <v>16</v>
      </c>
      <c r="F52" s="33" t="n">
        <f aca="false">(Calc_1!$F175+Calc_2!$F175)/(Calc_1!$F24+Calc_2!$F24)</f>
        <v>80</v>
      </c>
    </row>
    <row r="53" customFormat="false" ht="15" hidden="false" customHeight="false" outlineLevel="0" collapsed="false">
      <c r="C53" s="0" t="s">
        <v>108</v>
      </c>
      <c r="D53" s="11" t="s">
        <v>73</v>
      </c>
      <c r="E53" s="32" t="n">
        <f aca="false">(Calc_1!$E176+Calc_2!$E176)/Thousand</f>
        <v>18</v>
      </c>
      <c r="F53" s="33" t="n">
        <f aca="false">(Calc_1!$E176+Calc_2!$E176)/(Calc_1!$F24+Calc_2!$F24)</f>
        <v>90</v>
      </c>
    </row>
    <row r="54" customFormat="false" ht="15" hidden="false" customHeight="false" outlineLevel="0" collapsed="false">
      <c r="C54" s="0" t="s">
        <v>109</v>
      </c>
      <c r="D54" s="11" t="s">
        <v>73</v>
      </c>
      <c r="E54" s="32" t="n">
        <f aca="false">(Calc_1!$F176+Calc_2!$F176)/Thousand</f>
        <v>26</v>
      </c>
      <c r="F54" s="33" t="n">
        <f aca="false">(Calc_1!$F176+Calc_2!$F176)/(Calc_1!$F24+Calc_2!$F24)</f>
        <v>130</v>
      </c>
    </row>
    <row r="55" customFormat="false" ht="15" hidden="false" customHeight="false" outlineLevel="0" collapsed="false">
      <c r="C55" s="0" t="s">
        <v>110</v>
      </c>
      <c r="D55" s="11" t="s">
        <v>73</v>
      </c>
      <c r="E55" s="32" t="n">
        <f aca="false">(Calc_1!$E177+Calc_2!$E177)/Thousand</f>
        <v>8</v>
      </c>
      <c r="F55" s="33" t="n">
        <f aca="false">(Calc_1!$E177+Calc_2!$E177)/(Calc_1!$F24+Calc_2!$F24)</f>
        <v>40</v>
      </c>
    </row>
    <row r="56" customFormat="false" ht="15" hidden="false" customHeight="false" outlineLevel="0" collapsed="false">
      <c r="C56" s="0" t="s">
        <v>111</v>
      </c>
      <c r="D56" s="11" t="s">
        <v>73</v>
      </c>
      <c r="E56" s="32" t="n">
        <f aca="false">(Calc_1!$F177+Calc_2!$F177)/Thousand</f>
        <v>4.23698253648758</v>
      </c>
      <c r="F56" s="33" t="n">
        <f aca="false">(Calc_1!$F177+Calc_2!$F177)/(Calc_1!$F24+Calc_2!$F24)</f>
        <v>21.1849126824379</v>
      </c>
    </row>
    <row r="57" customFormat="false" ht="15" hidden="false" customHeight="false" outlineLevel="0" collapsed="false">
      <c r="C57" s="0" t="s">
        <v>112</v>
      </c>
      <c r="D57" s="11" t="s">
        <v>73</v>
      </c>
      <c r="E57" s="32" t="n">
        <f aca="false">(Calc_1!$E178+Calc_2!$E178)/Thousand</f>
        <v>10.75</v>
      </c>
      <c r="F57" s="33" t="n">
        <f aca="false">(Calc_1!$E178+Calc_2!$E178)/(Calc_1!$F24+Calc_2!$F24)</f>
        <v>53.75</v>
      </c>
    </row>
    <row r="58" customFormat="false" ht="15" hidden="false" customHeight="false" outlineLevel="0" collapsed="false">
      <c r="C58" s="0" t="s">
        <v>113</v>
      </c>
      <c r="D58" s="11" t="s">
        <v>73</v>
      </c>
      <c r="E58" s="32" t="n">
        <f aca="false">(Calc_1!$F178+Calc_2!$F178)/Thousand</f>
        <v>24</v>
      </c>
      <c r="F58" s="33" t="n">
        <f aca="false">(Calc_1!$F178+Calc_2!$F178)/(Calc_1!$F24+Calc_2!$F24)</f>
        <v>120</v>
      </c>
    </row>
    <row r="59" customFormat="false" ht="15" hidden="false" customHeight="false" outlineLevel="0" collapsed="false">
      <c r="C59" s="0" t="s">
        <v>114</v>
      </c>
      <c r="D59" s="11" t="s">
        <v>73</v>
      </c>
      <c r="E59" s="32" t="n">
        <f aca="false">(Calc_1!$E179+Calc_2!$E179)/Thousand</f>
        <v>40.8</v>
      </c>
      <c r="F59" s="33" t="n">
        <f aca="false">(Calc_1!$E179+Calc_2!$E179)/(Calc_1!$F24+Calc_2!$F24)</f>
        <v>204</v>
      </c>
    </row>
    <row r="60" customFormat="false" ht="15" hidden="false" customHeight="false" outlineLevel="0" collapsed="false">
      <c r="C60" s="0" t="s">
        <v>115</v>
      </c>
      <c r="D60" s="11" t="s">
        <v>73</v>
      </c>
      <c r="E60" s="32" t="n">
        <f aca="false">(Calc_1!$F179+Calc_2!$F179)/Thousand</f>
        <v>40.3587748164384</v>
      </c>
      <c r="F60" s="33" t="n">
        <f aca="false">(Calc_1!$F179+Calc_2!$F179)/(Calc_1!$F24+Calc_2!$F24)</f>
        <v>201.793874082192</v>
      </c>
    </row>
    <row r="61" customFormat="false" ht="15" hidden="false" customHeight="false" outlineLevel="0" collapsed="false">
      <c r="C61" s="0" t="s">
        <v>116</v>
      </c>
      <c r="D61" s="11" t="s">
        <v>73</v>
      </c>
      <c r="E61" s="32" t="n">
        <f aca="false">(Calc_1!$E180+Calc_2!$E180)/Thousand</f>
        <v>10</v>
      </c>
      <c r="F61" s="33" t="n">
        <f aca="false">(Calc_1!$E180+Calc_2!$E180)/(Calc_1!$F24+Calc_2!$F24)</f>
        <v>50</v>
      </c>
    </row>
    <row r="62" customFormat="false" ht="15" hidden="false" customHeight="false" outlineLevel="0" collapsed="false">
      <c r="C62" s="0" t="s">
        <v>117</v>
      </c>
      <c r="D62" s="11" t="s">
        <v>73</v>
      </c>
      <c r="E62" s="32" t="n">
        <f aca="false">(Calc_1!$F180+Calc_2!$F180)/Thousand</f>
        <v>9.52144080476377</v>
      </c>
      <c r="F62" s="33" t="n">
        <f aca="false">(Calc_1!$F180+Calc_2!$F180)/(Calc_1!$F24+Calc_2!$F24)</f>
        <v>47.6072040238188</v>
      </c>
    </row>
    <row r="63" customFormat="false" ht="15" hidden="false" customHeight="false" outlineLevel="0" collapsed="false">
      <c r="C63" s="0" t="s">
        <v>118</v>
      </c>
      <c r="D63" s="11" t="s">
        <v>73</v>
      </c>
      <c r="E63" s="32" t="n">
        <f aca="false">(Calc_1!$E181+Calc_2!$E181)/Thousand</f>
        <v>17.8028681342734</v>
      </c>
      <c r="F63" s="33" t="n">
        <f aca="false">(Calc_1!$E181+Calc_2!$E181)/(Calc_1!$F24+Calc_2!$F24)</f>
        <v>89.0143406713672</v>
      </c>
    </row>
    <row r="64" customFormat="false" ht="15" hidden="false" customHeight="false" outlineLevel="0" collapsed="false">
      <c r="C64" s="30" t="s">
        <v>119</v>
      </c>
      <c r="D64" s="11" t="s">
        <v>73</v>
      </c>
      <c r="E64" s="34" t="n">
        <f aca="false">(Calc_1!$E182+Calc_2!$E182)/Thousand</f>
        <v>345.470066291963</v>
      </c>
      <c r="F64" s="35" t="n">
        <f aca="false">(Calc_1!$E182+Calc_2!$E182)/(Calc_1!$F24+Calc_2!$F24)</f>
        <v>1727.35033145982</v>
      </c>
    </row>
    <row r="66" customFormat="false" ht="15" hidden="false" customHeight="false" outlineLevel="0" collapsed="false">
      <c r="A66" s="9" t="s">
        <v>13</v>
      </c>
      <c r="B66" s="9"/>
      <c r="C66" s="9" t="s">
        <v>120</v>
      </c>
      <c r="D66" s="9"/>
      <c r="E66" s="10" t="s">
        <v>9</v>
      </c>
      <c r="F66" s="10" t="s">
        <v>10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customFormat="false" ht="15" hidden="false" customHeight="false" outlineLevel="0" collapsed="false">
      <c r="C67" s="0" t="s">
        <v>121</v>
      </c>
      <c r="D67" s="11" t="s">
        <v>122</v>
      </c>
      <c r="E67" s="25" t="n">
        <f aca="false">Calc_1!$E24</f>
        <v>151</v>
      </c>
      <c r="F67" s="25" t="n">
        <f aca="false">Calc_2!$E24</f>
        <v>151</v>
      </c>
    </row>
    <row r="68" customFormat="false" ht="15" hidden="false" customHeight="false" outlineLevel="0" collapsed="false">
      <c r="C68" s="0" t="s">
        <v>123</v>
      </c>
      <c r="D68" s="11" t="s">
        <v>122</v>
      </c>
      <c r="E68" s="25" t="n">
        <f aca="false">Calc_1!$F24</f>
        <v>100</v>
      </c>
      <c r="F68" s="25" t="n">
        <f aca="false">Calc_2!$F24</f>
        <v>100</v>
      </c>
    </row>
    <row r="69" customFormat="false" ht="15" hidden="false" customHeight="false" outlineLevel="0" collapsed="false">
      <c r="C69" s="0" t="s">
        <v>124</v>
      </c>
      <c r="D69" s="11" t="s">
        <v>122</v>
      </c>
      <c r="E69" s="25" t="n">
        <f aca="false">Calc_1!$E25</f>
        <v>51</v>
      </c>
      <c r="F69" s="25" t="n">
        <f aca="false">Calc_2!$E25</f>
        <v>51</v>
      </c>
    </row>
    <row r="70" customFormat="false" ht="15" hidden="false" customHeight="false" outlineLevel="0" collapsed="false">
      <c r="C70" s="0" t="s">
        <v>125</v>
      </c>
      <c r="D70" s="11" t="s">
        <v>41</v>
      </c>
      <c r="E70" s="36" t="str">
        <f aca="false">IF(Calc_1!$E42=0,"OK","CHECK")</f>
        <v>OK</v>
      </c>
      <c r="F70" s="36" t="str">
        <f aca="false">IF(Calc_2!$E42=0,"OK","CHECK")</f>
        <v>OK</v>
      </c>
    </row>
    <row r="71" customFormat="false" ht="15" hidden="false" customHeight="false" outlineLevel="0" collapsed="false">
      <c r="C71" s="0" t="s">
        <v>126</v>
      </c>
      <c r="D71" s="11" t="s">
        <v>41</v>
      </c>
      <c r="E71" s="36" t="str">
        <f aca="false">IF(Calc_1!$F42=0,"OK","CHECK")</f>
        <v>OK</v>
      </c>
      <c r="F71" s="36" t="str">
        <f aca="false">IF(Calc_2!$F42=0,"OK","CHECK")</f>
        <v>OK</v>
      </c>
    </row>
    <row r="73" customFormat="false" ht="15" hidden="false" customHeight="false" outlineLevel="0" collapsed="false">
      <c r="A73" s="9" t="s">
        <v>13</v>
      </c>
      <c r="B73" s="9"/>
      <c r="C73" s="9" t="s">
        <v>127</v>
      </c>
      <c r="D73" s="9"/>
      <c r="E73" s="10" t="s">
        <v>9</v>
      </c>
      <c r="F73" s="10" t="s">
        <v>10</v>
      </c>
      <c r="G73" s="9"/>
      <c r="H73" s="10" t="s">
        <v>128</v>
      </c>
      <c r="I73" s="10" t="s">
        <v>129</v>
      </c>
      <c r="J73" s="10" t="s">
        <v>130</v>
      </c>
      <c r="K73" s="9"/>
      <c r="L73" s="9"/>
      <c r="M73" s="9"/>
      <c r="N73" s="9"/>
      <c r="O73" s="9"/>
      <c r="P73" s="9"/>
      <c r="Q73" s="9"/>
      <c r="R73" s="9"/>
    </row>
    <row r="74" customFormat="false" ht="15" hidden="false" customHeight="false" outlineLevel="0" collapsed="false">
      <c r="C74" s="0" t="s">
        <v>131</v>
      </c>
      <c r="D74" s="11" t="s">
        <v>73</v>
      </c>
      <c r="E74" s="37" t="n">
        <f aca="false">Calc_1!$E47/Thousand</f>
        <v>0.00821917808219178</v>
      </c>
      <c r="F74" s="37" t="n">
        <f aca="false">Calc_2!$E47/Thousand</f>
        <v>0.00821917808219178</v>
      </c>
      <c r="H74" s="13" t="s">
        <v>132</v>
      </c>
      <c r="I74" s="27" t="n">
        <f aca="false">In_Bid_Date</f>
        <v>46325</v>
      </c>
      <c r="J74" s="38" t="s">
        <v>133</v>
      </c>
    </row>
    <row r="75" customFormat="false" ht="15" hidden="false" customHeight="false" outlineLevel="0" collapsed="false">
      <c r="C75" s="0" t="s">
        <v>134</v>
      </c>
      <c r="D75" s="11" t="s">
        <v>73</v>
      </c>
      <c r="E75" s="37" t="n">
        <f aca="false">Calc_1!$E48/Thousand</f>
        <v>1.39871232876712</v>
      </c>
      <c r="F75" s="37" t="n">
        <f aca="false">Calc_2!$E48/Thousand</f>
        <v>1.39871232876712</v>
      </c>
      <c r="H75" s="13" t="s">
        <v>135</v>
      </c>
      <c r="I75" s="27" t="n">
        <f aca="false">In_Bid_Date</f>
        <v>46325</v>
      </c>
      <c r="J75" s="27" t="n">
        <f aca="false">Calc_1!$F$49</f>
        <v>46384</v>
      </c>
    </row>
    <row r="76" customFormat="false" ht="15" hidden="false" customHeight="false" outlineLevel="0" collapsed="false">
      <c r="C76" s="0" t="s">
        <v>136</v>
      </c>
      <c r="D76" s="11" t="s">
        <v>73</v>
      </c>
      <c r="E76" s="37" t="n">
        <f aca="false">Calc_1!$E49/Thousand</f>
        <v>6.99356164383562</v>
      </c>
      <c r="F76" s="37" t="n">
        <f aca="false">Calc_2!$E49/Thousand</f>
        <v>6.99356164383562</v>
      </c>
      <c r="H76" s="13" t="s">
        <v>135</v>
      </c>
      <c r="I76" s="27" t="n">
        <f aca="false">Calc_1!$F$49</f>
        <v>46384</v>
      </c>
      <c r="J76" s="38" t="s">
        <v>137</v>
      </c>
    </row>
    <row r="77" customFormat="false" ht="15" hidden="false" customHeight="false" outlineLevel="0" collapsed="false">
      <c r="C77" s="0" t="s">
        <v>138</v>
      </c>
      <c r="D77" s="11" t="s">
        <v>73</v>
      </c>
      <c r="E77" s="37" t="n">
        <f aca="false">Calc_1!$E50/Thousand</f>
        <v>1.23287671232877</v>
      </c>
      <c r="F77" s="37" t="n">
        <f aca="false">Calc_2!$E50/Thousand</f>
        <v>1.23287671232877</v>
      </c>
      <c r="H77" s="13" t="s">
        <v>132</v>
      </c>
      <c r="I77" s="27" t="n">
        <f aca="false">In_TSO_Date</f>
        <v>46386</v>
      </c>
      <c r="J77" s="38" t="s">
        <v>139</v>
      </c>
    </row>
    <row r="78" customFormat="false" ht="15" hidden="false" customHeight="false" outlineLevel="0" collapsed="false">
      <c r="C78" s="0" t="s">
        <v>140</v>
      </c>
      <c r="D78" s="11" t="s">
        <v>73</v>
      </c>
      <c r="E78" s="37" t="n">
        <f aca="false">Calc_1!$E51/Thousand</f>
        <v>1.39272823013699</v>
      </c>
      <c r="F78" s="37" t="n">
        <f aca="false">Calc_2!$E51/Thousand</f>
        <v>1.39272823013699</v>
      </c>
      <c r="H78" s="13" t="s">
        <v>132</v>
      </c>
      <c r="I78" s="27" t="n">
        <f aca="false">In_HCSSZ_Date</f>
        <v>47126</v>
      </c>
      <c r="J78" s="38" t="s">
        <v>133</v>
      </c>
    </row>
    <row r="79" customFormat="false" ht="15" hidden="false" customHeight="false" outlineLevel="0" collapsed="false">
      <c r="C79" s="0" t="s">
        <v>141</v>
      </c>
      <c r="D79" s="11" t="s">
        <v>73</v>
      </c>
      <c r="E79" s="37" t="n">
        <f aca="false">Calc_1!$E52/Thousand</f>
        <v>18.7866591780822</v>
      </c>
      <c r="F79" s="37" t="n">
        <f aca="false">Calc_2!$E52/Thousand</f>
        <v>18.7866591780822</v>
      </c>
      <c r="H79" s="13" t="s">
        <v>132</v>
      </c>
      <c r="I79" s="27" t="n">
        <f aca="false">In_HCSSZ_Date</f>
        <v>47126</v>
      </c>
      <c r="J79" s="38" t="s">
        <v>133</v>
      </c>
    </row>
    <row r="80" customFormat="false" ht="15" hidden="false" customHeight="false" outlineLevel="0" collapsed="false">
      <c r="C80" s="0" t="s">
        <v>142</v>
      </c>
      <c r="D80" s="11" t="s">
        <v>73</v>
      </c>
      <c r="E80" s="28" t="n">
        <f aca="false">Calc_1!$E185/Thousand</f>
        <v>8.23465753424658</v>
      </c>
      <c r="F80" s="28" t="n">
        <f aca="false">Calc_2!$E185/Thousand</f>
        <v>8.23465753424658</v>
      </c>
    </row>
    <row r="81" customFormat="false" ht="15" hidden="false" customHeight="false" outlineLevel="0" collapsed="false">
      <c r="C81" s="0" t="s">
        <v>143</v>
      </c>
      <c r="D81" s="11" t="s">
        <v>73</v>
      </c>
      <c r="E81" s="28" t="n">
        <f aca="false">Calc_1!$E187/Thousand</f>
        <v>1.41821917808219</v>
      </c>
      <c r="F81" s="28" t="n">
        <f aca="false">Calc_2!$E187/Thousand</f>
        <v>1.41821917808219</v>
      </c>
    </row>
    <row r="82" customFormat="false" ht="15" hidden="false" customHeight="false" outlineLevel="0" collapsed="false">
      <c r="C82" s="0" t="s">
        <v>144</v>
      </c>
      <c r="D82" s="11" t="s">
        <v>73</v>
      </c>
      <c r="E82" s="28" t="n">
        <f aca="false">Calc_1!$F187/Thousand</f>
        <v>6.99356164383562</v>
      </c>
      <c r="F82" s="28" t="n">
        <f aca="false">Calc_2!$F187/Thousand</f>
        <v>6.99356164383562</v>
      </c>
    </row>
    <row r="83" customFormat="false" ht="15" hidden="false" customHeight="false" outlineLevel="0" collapsed="false">
      <c r="C83" s="0" t="s">
        <v>145</v>
      </c>
      <c r="D83" s="11" t="s">
        <v>146</v>
      </c>
      <c r="E83" s="22" t="n">
        <f aca="false">Calc_1!$E88</f>
        <v>33.7748344370861</v>
      </c>
      <c r="F83" s="22" t="n">
        <f aca="false">Calc_2!$E88</f>
        <v>33.7748344370861</v>
      </c>
    </row>
    <row r="84" customFormat="false" ht="15" hidden="false" customHeight="false" outlineLevel="0" collapsed="false">
      <c r="C84" s="0" t="s">
        <v>147</v>
      </c>
      <c r="D84" s="11" t="s">
        <v>41</v>
      </c>
      <c r="E84" s="20" t="n">
        <f aca="false">Calc_1!$E89</f>
        <v>1</v>
      </c>
      <c r="F84" s="20" t="n">
        <f aca="false">Calc_2!$E89</f>
        <v>1</v>
      </c>
    </row>
    <row r="86" customFormat="false" ht="15" hidden="false" customHeight="false" outlineLevel="0" collapsed="false">
      <c r="A86" s="9" t="s">
        <v>13</v>
      </c>
      <c r="B86" s="9"/>
      <c r="C86" s="9" t="s">
        <v>148</v>
      </c>
      <c r="D86" s="9"/>
      <c r="E86" s="10" t="s">
        <v>9</v>
      </c>
      <c r="F86" s="10" t="s">
        <v>10</v>
      </c>
      <c r="G86" s="9"/>
      <c r="H86" s="10" t="s">
        <v>149</v>
      </c>
      <c r="I86" s="10" t="s">
        <v>150</v>
      </c>
      <c r="J86" s="10" t="s">
        <v>151</v>
      </c>
      <c r="K86" s="9"/>
      <c r="L86" s="9"/>
      <c r="M86" s="9"/>
      <c r="N86" s="9"/>
      <c r="O86" s="9"/>
      <c r="P86" s="9"/>
      <c r="Q86" s="9"/>
      <c r="R86" s="9"/>
    </row>
    <row r="87" customFormat="false" ht="15" hidden="false" customHeight="false" outlineLevel="0" collapsed="false">
      <c r="C87" s="0" t="s">
        <v>152</v>
      </c>
      <c r="D87" s="11" t="s">
        <v>62</v>
      </c>
      <c r="E87" s="4" t="n">
        <v>47483</v>
      </c>
      <c r="F87" s="4" t="n">
        <v>47483</v>
      </c>
    </row>
    <row r="88" customFormat="false" ht="15" hidden="false" customHeight="false" outlineLevel="0" collapsed="false">
      <c r="C88" s="0" t="s">
        <v>153</v>
      </c>
      <c r="D88" s="11" t="s">
        <v>73</v>
      </c>
      <c r="E88" s="28" t="n">
        <f aca="false">Calc_1!$E145/Thousand</f>
        <v>21.8427086410959</v>
      </c>
      <c r="F88" s="28" t="n">
        <f aca="false">Calc_2!$E145/Thousand</f>
        <v>21.8427086410959</v>
      </c>
      <c r="H88" s="28" t="n">
        <f aca="false">E88+F88</f>
        <v>43.6854172821918</v>
      </c>
    </row>
    <row r="89" customFormat="false" ht="15" hidden="false" customHeight="false" outlineLevel="0" collapsed="false">
      <c r="C89" s="30" t="s">
        <v>154</v>
      </c>
      <c r="D89" s="11" t="s">
        <v>73</v>
      </c>
      <c r="E89" s="31" t="n">
        <f aca="false">Calc_1!$E131/Thousand</f>
        <v>15</v>
      </c>
      <c r="F89" s="31" t="n">
        <f aca="false">Calc_2!$E131/Thousand</f>
        <v>15</v>
      </c>
      <c r="H89" s="31" t="n">
        <f aca="false">E89+F89</f>
        <v>30</v>
      </c>
    </row>
    <row r="90" customFormat="false" ht="15" hidden="false" customHeight="false" outlineLevel="0" collapsed="false">
      <c r="C90" s="0" t="s">
        <v>155</v>
      </c>
      <c r="D90" s="11" t="s">
        <v>73</v>
      </c>
      <c r="E90" s="28" t="n">
        <f aca="false">(-Calc_1!$F134)/Thousand</f>
        <v>-0.5</v>
      </c>
      <c r="F90" s="28" t="n">
        <f aca="false">(-Calc_2!$F134)/Thousand</f>
        <v>-0.5</v>
      </c>
      <c r="H90" s="28" t="n">
        <f aca="false">E90+F90</f>
        <v>-1</v>
      </c>
    </row>
    <row r="91" customFormat="false" ht="15" hidden="false" customHeight="false" outlineLevel="0" collapsed="false">
      <c r="C91" s="0" t="s">
        <v>156</v>
      </c>
      <c r="D91" s="11" t="s">
        <v>73</v>
      </c>
      <c r="E91" s="28" t="n">
        <f aca="false">(-Calc_1!$F136)/Thousand</f>
        <v>-1.56453664418093</v>
      </c>
      <c r="F91" s="28" t="n">
        <f aca="false">(-Calc_2!$F136)/Thousand</f>
        <v>-1.56453664418093</v>
      </c>
      <c r="H91" s="28" t="n">
        <f aca="false">E91+F91</f>
        <v>-3.12907328836186</v>
      </c>
    </row>
    <row r="92" customFormat="false" ht="15" hidden="false" customHeight="false" outlineLevel="0" collapsed="false">
      <c r="C92" s="0" t="s">
        <v>157</v>
      </c>
      <c r="D92" s="11" t="s">
        <v>73</v>
      </c>
      <c r="E92" s="28" t="n">
        <f aca="false">(-Calc_1!$F138)/Thousand</f>
        <v>-3.11962451197093</v>
      </c>
      <c r="F92" s="28" t="n">
        <f aca="false">(-Calc_2!$F138)/Thousand</f>
        <v>-3.11962451197093</v>
      </c>
      <c r="H92" s="28" t="n">
        <f aca="false">E92+F92</f>
        <v>-6.23924902394185</v>
      </c>
    </row>
    <row r="93" customFormat="false" ht="15" hidden="false" customHeight="false" outlineLevel="0" collapsed="false">
      <c r="C93" s="0" t="s">
        <v>158</v>
      </c>
      <c r="D93" s="11" t="s">
        <v>73</v>
      </c>
      <c r="E93" s="28" t="n">
        <f aca="false">(-Calc_1!$F139)/Thousand</f>
        <v>-1.12048016110676</v>
      </c>
      <c r="F93" s="28" t="n">
        <f aca="false">(-Calc_2!$F139)/Thousand</f>
        <v>-1.12048016110676</v>
      </c>
      <c r="H93" s="28" t="n">
        <f aca="false">E93+F93</f>
        <v>-2.24096032221352</v>
      </c>
    </row>
    <row r="94" customFormat="false" ht="15" hidden="false" customHeight="false" outlineLevel="0" collapsed="false">
      <c r="C94" s="0" t="s">
        <v>159</v>
      </c>
      <c r="D94" s="11" t="s">
        <v>73</v>
      </c>
      <c r="E94" s="28" t="n">
        <f aca="false">(-Calc_1!$E147)/Thousand</f>
        <v>-5.80464131725861</v>
      </c>
      <c r="F94" s="28" t="n">
        <f aca="false">(-Calc_2!$E147)/Thousand</f>
        <v>-5.80464131725861</v>
      </c>
      <c r="H94" s="28" t="n">
        <f aca="false">E94+F94</f>
        <v>-11.6092826345172</v>
      </c>
    </row>
    <row r="95" customFormat="false" ht="15" hidden="false" customHeight="false" outlineLevel="0" collapsed="false">
      <c r="C95" s="0" t="s">
        <v>160</v>
      </c>
      <c r="D95" s="11" t="s">
        <v>73</v>
      </c>
      <c r="E95" s="28" t="n">
        <f aca="false">(-Calc_1!$F140)/Thousand</f>
        <v>-1.20065972222222</v>
      </c>
      <c r="F95" s="28" t="n">
        <f aca="false">(-Calc_2!$F140)/Thousand</f>
        <v>-1.20065972222222</v>
      </c>
      <c r="H95" s="28" t="n">
        <f aca="false">E95+F95</f>
        <v>-2.40131944444444</v>
      </c>
    </row>
    <row r="96" customFormat="false" ht="15" hidden="false" customHeight="false" outlineLevel="0" collapsed="false">
      <c r="C96" s="30" t="s">
        <v>161</v>
      </c>
      <c r="D96" s="11" t="s">
        <v>73</v>
      </c>
      <c r="E96" s="31" t="n">
        <f aca="false">Calc_1!$F141/Thousand</f>
        <v>7.49469896051916</v>
      </c>
      <c r="F96" s="31" t="n">
        <f aca="false">Calc_2!$F141/Thousand</f>
        <v>7.49469896051916</v>
      </c>
      <c r="H96" s="31" t="n">
        <f aca="false">E96+F96</f>
        <v>14.9893979210383</v>
      </c>
    </row>
    <row r="97" customFormat="false" ht="15" hidden="false" customHeight="false" outlineLevel="0" collapsed="false">
      <c r="C97" s="0" t="s">
        <v>162</v>
      </c>
      <c r="D97" s="11" t="s">
        <v>73</v>
      </c>
      <c r="E97" s="28" t="n">
        <f aca="false">Calc_1!$F145/Thousand</f>
        <v>5.24628927236341</v>
      </c>
      <c r="F97" s="28" t="n">
        <f aca="false">Calc_2!$F145/Thousand</f>
        <v>5.24628927236341</v>
      </c>
      <c r="H97" s="28" t="n">
        <f aca="false">E97+F97</f>
        <v>10.4925785447268</v>
      </c>
    </row>
    <row r="98" customFormat="false" ht="15" hidden="false" customHeight="false" outlineLevel="0" collapsed="false">
      <c r="C98" s="0" t="s">
        <v>163</v>
      </c>
      <c r="D98" s="11" t="s">
        <v>73</v>
      </c>
      <c r="E98" s="28" t="n">
        <f aca="false">Calc_1!$E146/Thousand</f>
        <v>-2.69739916950517</v>
      </c>
      <c r="F98" s="28" t="n">
        <f aca="false">Calc_2!$E146/Thousand</f>
        <v>-2.69739916950517</v>
      </c>
      <c r="H98" s="28" t="n">
        <f aca="false">E98+F98</f>
        <v>-5.39479833901034</v>
      </c>
    </row>
    <row r="99" customFormat="false" ht="15" hidden="false" customHeight="false" outlineLevel="0" collapsed="false">
      <c r="C99" s="30" t="s">
        <v>164</v>
      </c>
      <c r="D99" s="11" t="s">
        <v>73</v>
      </c>
      <c r="E99" s="31" t="n">
        <f aca="false">Calc_1!$F147/Thousand</f>
        <v>8.35353142011685</v>
      </c>
      <c r="F99" s="31" t="n">
        <f aca="false">Calc_2!$F147/Thousand</f>
        <v>8.35353142011685</v>
      </c>
      <c r="H99" s="31" t="n">
        <f aca="false">E99+F99</f>
        <v>16.7070628402337</v>
      </c>
      <c r="I99" s="25" t="n">
        <f aca="false">Calc_1!$E149</f>
        <v>55.3214001332242</v>
      </c>
      <c r="J99" s="25" t="n">
        <f aca="false">Calc_2!$E149</f>
        <v>55.3214001332242</v>
      </c>
    </row>
    <row r="100" customFormat="false" ht="15" hidden="false" customHeight="false" outlineLevel="0" collapsed="false">
      <c r="C100" s="0" t="s">
        <v>165</v>
      </c>
      <c r="D100" s="11" t="s">
        <v>73</v>
      </c>
      <c r="E100" s="28" t="n">
        <f aca="false">Calc_1!$E148/Thousand</f>
        <v>2.24840968815575</v>
      </c>
      <c r="F100" s="28" t="n">
        <f aca="false">Calc_2!$E148/Thousand</f>
        <v>2.24840968815575</v>
      </c>
      <c r="H100" s="28" t="n">
        <f aca="false">E100+F100</f>
        <v>4.4968193763115</v>
      </c>
    </row>
    <row r="101" customFormat="false" ht="15" hidden="false" customHeight="false" outlineLevel="0" collapsed="false">
      <c r="C101" s="30" t="s">
        <v>166</v>
      </c>
      <c r="D101" s="11" t="s">
        <v>73</v>
      </c>
      <c r="E101" s="31" t="n">
        <f aca="false">Calc_1!$F143/Thousand</f>
        <v>3.44906941037797</v>
      </c>
      <c r="F101" s="31" t="n">
        <f aca="false">Calc_2!$F143/Thousand</f>
        <v>3.44906941037797</v>
      </c>
      <c r="H101" s="31" t="n">
        <f aca="false">E101+F101</f>
        <v>6.89813882075594</v>
      </c>
      <c r="I101" s="25" t="n">
        <f aca="false">Calc_1!$F149</f>
        <v>22.8415192740263</v>
      </c>
      <c r="J101" s="25" t="n">
        <f aca="false">Calc_2!$F149</f>
        <v>22.8415192740263</v>
      </c>
    </row>
    <row r="102" customFormat="false" ht="15" hidden="false" customHeight="false" outlineLevel="0" collapsed="false">
      <c r="C102" s="0" t="s">
        <v>167</v>
      </c>
      <c r="D102" s="11" t="s">
        <v>73</v>
      </c>
      <c r="E102" s="28" t="n">
        <f aca="false">Calc_1!$E153/Thousand</f>
        <v>-1.80677268158454</v>
      </c>
      <c r="F102" s="28" t="n">
        <f aca="false">Calc_2!$E153/Thousand</f>
        <v>-1.80677268158454</v>
      </c>
      <c r="H102" s="28" t="n">
        <f aca="false">E102+F102</f>
        <v>-3.61354536316909</v>
      </c>
    </row>
    <row r="103" customFormat="false" ht="15" hidden="false" customHeight="false" outlineLevel="0" collapsed="false">
      <c r="C103" s="30" t="s">
        <v>72</v>
      </c>
      <c r="D103" s="11" t="s">
        <v>73</v>
      </c>
      <c r="E103" s="31" t="n">
        <f aca="false">Calc_1!$I152/Thousand</f>
        <v>6.54675873853232</v>
      </c>
      <c r="F103" s="31" t="n">
        <f aca="false">Calc_2!$I152/Thousand</f>
        <v>6.54675873853232</v>
      </c>
      <c r="H103" s="31" t="n">
        <f aca="false">E103+F103</f>
        <v>13.0935174770646</v>
      </c>
    </row>
    <row r="104" customFormat="false" ht="15" hidden="false" customHeight="false" outlineLevel="0" collapsed="false">
      <c r="C104" s="0" t="s">
        <v>168</v>
      </c>
      <c r="D104" s="11" t="s">
        <v>13</v>
      </c>
      <c r="E104" s="39" t="n">
        <f aca="false">Calc_1!$E155</f>
        <v>1.24970223352323</v>
      </c>
      <c r="F104" s="39" t="n">
        <f aca="false">Calc_2!$E155</f>
        <v>1.24970223352323</v>
      </c>
    </row>
    <row r="105" customFormat="false" ht="15" hidden="false" customHeight="false" outlineLevel="0" collapsed="false">
      <c r="C105" s="0" t="s">
        <v>169</v>
      </c>
      <c r="D105" s="11" t="s">
        <v>73</v>
      </c>
      <c r="E105" s="28" t="n">
        <f aca="false">Calc_1!$E156/Thousand</f>
        <v>3.32854248477583</v>
      </c>
      <c r="F105" s="28" t="n">
        <f aca="false">Calc_2!$E156/Thousand</f>
        <v>3.32854248477583</v>
      </c>
    </row>
    <row r="107" customFormat="false" ht="15" hidden="false" customHeight="false" outlineLevel="0" collapsed="false">
      <c r="A107" s="9" t="s">
        <v>13</v>
      </c>
      <c r="B107" s="9"/>
      <c r="C107" s="9" t="s">
        <v>170</v>
      </c>
      <c r="D107" s="9"/>
      <c r="E107" s="10" t="s">
        <v>9</v>
      </c>
      <c r="F107" s="10" t="s">
        <v>10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customFormat="false" ht="15" hidden="false" customHeight="false" outlineLevel="0" collapsed="false">
      <c r="C108" s="30" t="s">
        <v>119</v>
      </c>
      <c r="D108" s="11" t="s">
        <v>73</v>
      </c>
      <c r="E108" s="31" t="n">
        <f aca="false">Calc_1!$E182/Thousand</f>
        <v>172.735033145982</v>
      </c>
      <c r="F108" s="31" t="n">
        <f aca="false">Calc_2!$E182/Thousand</f>
        <v>172.735033145982</v>
      </c>
    </row>
    <row r="109" customFormat="false" ht="15" hidden="false" customHeight="false" outlineLevel="0" collapsed="false">
      <c r="C109" s="0" t="s">
        <v>171</v>
      </c>
      <c r="D109" s="11" t="s">
        <v>73</v>
      </c>
      <c r="E109" s="28" t="n">
        <f aca="false">Calc_1!$E161/Thousand</f>
        <v>245</v>
      </c>
      <c r="F109" s="28" t="n">
        <f aca="false">Calc_2!$E161/Thousand</f>
        <v>245</v>
      </c>
    </row>
    <row r="110" customFormat="false" ht="15" hidden="false" customHeight="false" outlineLevel="0" collapsed="false">
      <c r="C110" s="0" t="s">
        <v>172</v>
      </c>
      <c r="D110" s="11" t="s">
        <v>73</v>
      </c>
      <c r="E110" s="28" t="n">
        <f aca="false">Calc_1!$F161/Thousand</f>
        <v>-3.83908122210466</v>
      </c>
      <c r="F110" s="28" t="n">
        <f aca="false">Calc_2!$F161/Thousand</f>
        <v>-3.83908122210466</v>
      </c>
    </row>
    <row r="111" customFormat="false" ht="15" hidden="false" customHeight="false" outlineLevel="0" collapsed="false">
      <c r="C111" s="0" t="s">
        <v>173</v>
      </c>
      <c r="D111" s="11" t="s">
        <v>73</v>
      </c>
      <c r="E111" s="28" t="n">
        <f aca="false">Calc_1!$E163/Thousand</f>
        <v>99.3360596347059</v>
      </c>
      <c r="F111" s="28" t="n">
        <f aca="false">Calc_2!$E163/Thousand</f>
        <v>99.3360596347059</v>
      </c>
    </row>
    <row r="112" customFormat="false" ht="15" hidden="false" customHeight="false" outlineLevel="0" collapsed="false">
      <c r="C112" s="0" t="s">
        <v>174</v>
      </c>
      <c r="D112" s="11" t="s">
        <v>73</v>
      </c>
      <c r="E112" s="28" t="n">
        <f aca="false">Calc_1!$F169/Thousand</f>
        <v>121.881251129122</v>
      </c>
      <c r="F112" s="28" t="n">
        <f aca="false">Calc_2!$F169/Thousand</f>
        <v>121.881251129122</v>
      </c>
    </row>
    <row r="113" customFormat="false" ht="15" hidden="false" customHeight="false" outlineLevel="0" collapsed="false">
      <c r="C113" s="0" t="s">
        <v>175</v>
      </c>
      <c r="D113" s="11" t="s">
        <v>73</v>
      </c>
      <c r="E113" s="28" t="n">
        <f aca="false">Calc_1!$I170/Thousand</f>
        <v>48.4822776178466</v>
      </c>
      <c r="F113" s="28" t="n">
        <f aca="false">Calc_2!$I170/Thousand</f>
        <v>48.4822776178466</v>
      </c>
    </row>
    <row r="114" customFormat="false" ht="15" hidden="false" customHeight="false" outlineLevel="0" collapsed="false">
      <c r="C114" s="0" t="s">
        <v>176</v>
      </c>
      <c r="D114" s="11" t="s">
        <v>13</v>
      </c>
      <c r="E114" s="39" t="n">
        <f aca="false">Calc_1!$E172</f>
        <v>1.66053073086095</v>
      </c>
      <c r="F114" s="39" t="n">
        <f aca="false">Calc_2!$E172</f>
        <v>1.66053073086095</v>
      </c>
    </row>
    <row r="116" customFormat="false" ht="15" hidden="false" customHeight="false" outlineLevel="0" collapsed="false">
      <c r="A116" s="9" t="s">
        <v>13</v>
      </c>
      <c r="B116" s="9"/>
      <c r="C116" s="9" t="s">
        <v>177</v>
      </c>
      <c r="D116" s="9"/>
      <c r="E116" s="10" t="s">
        <v>9</v>
      </c>
      <c r="F116" s="10" t="s">
        <v>10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customFormat="false" ht="15" hidden="false" customHeight="false" outlineLevel="0" collapsed="false">
      <c r="C117" s="0" t="s">
        <v>178</v>
      </c>
      <c r="D117" s="11" t="s">
        <v>13</v>
      </c>
      <c r="E117" s="39" t="n">
        <f aca="false">Calc_1!$E192</f>
        <v>4.59742181090224</v>
      </c>
      <c r="F117" s="39" t="n">
        <f aca="false">Calc_2!$E192</f>
        <v>4.59742181090224</v>
      </c>
    </row>
    <row r="118" customFormat="false" ht="15" hidden="false" customHeight="false" outlineLevel="0" collapsed="false">
      <c r="C118" s="0" t="s">
        <v>179</v>
      </c>
      <c r="D118" s="11" t="s">
        <v>13</v>
      </c>
      <c r="E118" s="39" t="n">
        <f aca="false">Calc_1!$E194</f>
        <v>1.26316018482958</v>
      </c>
      <c r="F118" s="39" t="n">
        <f aca="false">Calc_2!$E194</f>
        <v>1.26316018482958</v>
      </c>
    </row>
    <row r="120" customFormat="false" ht="15" hidden="false" customHeight="false" outlineLevel="0" collapsed="false">
      <c r="A120" s="9" t="s">
        <v>13</v>
      </c>
      <c r="B120" s="9"/>
      <c r="C120" s="9" t="s">
        <v>180</v>
      </c>
      <c r="D120" s="9"/>
      <c r="E120" s="10" t="s">
        <v>12</v>
      </c>
      <c r="F120" s="10"/>
      <c r="G120" s="9"/>
      <c r="H120" s="10" t="str">
        <f aca="false">Inputs!H$7</f>
        <v>Base</v>
      </c>
      <c r="I120" s="10" t="str">
        <f aca="false">Inputs!I$7</f>
        <v>Overbuild built</v>
      </c>
      <c r="J120" s="10" t="str">
        <f aca="false">Inputs!J$7</f>
        <v>Full PB call</v>
      </c>
      <c r="K120" s="10" t="str">
        <f aca="false">Inputs!K$7</f>
        <v>Freeze off</v>
      </c>
      <c r="L120" s="10" t="str">
        <f aca="false">Inputs!L$7</f>
        <v>Low premium</v>
      </c>
      <c r="M120" s="10" t="str">
        <f aca="false">Inputs!M$7</f>
        <v>ÖSZ-4 on wind</v>
      </c>
      <c r="N120" s="9"/>
      <c r="O120" s="9"/>
      <c r="P120" s="9"/>
      <c r="Q120" s="9"/>
      <c r="R120" s="9"/>
    </row>
    <row r="121" customFormat="false" ht="15" hidden="false" customHeight="false" outlineLevel="0" collapsed="false">
      <c r="C121" s="0" t="s">
        <v>181</v>
      </c>
      <c r="D121" s="11" t="s">
        <v>70</v>
      </c>
      <c r="E121" s="14" t="n">
        <f aca="false">Calc_1!$E41</f>
        <v>85</v>
      </c>
      <c r="H121" s="15" t="n">
        <v>85</v>
      </c>
      <c r="I121" s="15" t="n">
        <v>85</v>
      </c>
      <c r="J121" s="15" t="n">
        <v>85</v>
      </c>
      <c r="K121" s="15" t="n">
        <v>85</v>
      </c>
      <c r="L121" s="15" t="n">
        <v>85</v>
      </c>
      <c r="M121" s="15" t="n">
        <v>80.5</v>
      </c>
    </row>
    <row r="122" customFormat="false" ht="15" hidden="false" customHeight="false" outlineLevel="0" collapsed="false">
      <c r="C122" s="0" t="s">
        <v>182</v>
      </c>
      <c r="D122" s="11" t="s">
        <v>70</v>
      </c>
      <c r="E122" s="14" t="n">
        <f aca="false">Calc_2!$E41</f>
        <v>85</v>
      </c>
      <c r="H122" s="15" t="n">
        <v>85</v>
      </c>
      <c r="I122" s="15" t="n">
        <v>85</v>
      </c>
      <c r="J122" s="15" t="n">
        <v>85</v>
      </c>
      <c r="K122" s="15" t="n">
        <v>85</v>
      </c>
      <c r="L122" s="15" t="n">
        <v>85</v>
      </c>
      <c r="M122" s="15" t="n">
        <v>80.5</v>
      </c>
    </row>
    <row r="123" customFormat="false" ht="15" hidden="false" customHeight="false" outlineLevel="0" collapsed="false">
      <c r="C123" s="0" t="s">
        <v>183</v>
      </c>
      <c r="D123" s="11" t="s">
        <v>73</v>
      </c>
      <c r="E123" s="28" t="n">
        <f aca="false">Calc_1!$I152/Thousand</f>
        <v>6.54675873853232</v>
      </c>
      <c r="H123" s="15" t="n">
        <v>6.54675873853232</v>
      </c>
      <c r="I123" s="15" t="n">
        <v>6.54675873853232</v>
      </c>
      <c r="J123" s="15" t="n">
        <v>6.54675873853232</v>
      </c>
      <c r="K123" s="15" t="n">
        <v>6.87295703790594</v>
      </c>
      <c r="L123" s="15" t="n">
        <v>3.04675873853231</v>
      </c>
      <c r="M123" s="15" t="n">
        <v>6.54675873853232</v>
      </c>
    </row>
    <row r="124" customFormat="false" ht="15" hidden="false" customHeight="false" outlineLevel="0" collapsed="false">
      <c r="C124" s="0" t="s">
        <v>184</v>
      </c>
      <c r="D124" s="11" t="s">
        <v>73</v>
      </c>
      <c r="E124" s="28" t="n">
        <f aca="false">Calc_2!$I152/Thousand</f>
        <v>6.54675873853232</v>
      </c>
      <c r="H124" s="15" t="n">
        <v>6.54675873853232</v>
      </c>
      <c r="I124" s="15" t="n">
        <v>6.54675873853232</v>
      </c>
      <c r="J124" s="15" t="n">
        <v>6.54675873853232</v>
      </c>
      <c r="K124" s="15" t="n">
        <v>6.87295703790594</v>
      </c>
      <c r="L124" s="15" t="n">
        <v>3.04675873853231</v>
      </c>
      <c r="M124" s="15" t="n">
        <v>6.54675873853232</v>
      </c>
    </row>
    <row r="125" customFormat="false" ht="15" hidden="false" customHeight="false" outlineLevel="0" collapsed="false">
      <c r="C125" s="0" t="s">
        <v>185</v>
      </c>
      <c r="D125" s="11" t="s">
        <v>35</v>
      </c>
      <c r="E125" s="26" t="n">
        <f aca="false">Calc_1!$E171</f>
        <v>0.339207407992561</v>
      </c>
      <c r="H125" s="29" t="n">
        <v>0.339207407992561</v>
      </c>
      <c r="I125" s="29" t="n">
        <v>0.513549105607292</v>
      </c>
      <c r="J125" s="29" t="n">
        <v>0.317836478854976</v>
      </c>
      <c r="K125" s="29" t="n">
        <v>0.342346888525294</v>
      </c>
      <c r="L125" s="29" t="n">
        <v>0.339207407992561</v>
      </c>
      <c r="M125" s="29" t="n">
        <v>0.339207407992561</v>
      </c>
    </row>
    <row r="126" customFormat="false" ht="15" hidden="false" customHeight="false" outlineLevel="0" collapsed="false">
      <c r="C126" s="0" t="s">
        <v>186</v>
      </c>
      <c r="D126" s="11" t="s">
        <v>35</v>
      </c>
      <c r="E126" s="26" t="n">
        <f aca="false">Calc_2!$E171</f>
        <v>0.339207407992561</v>
      </c>
      <c r="H126" s="29" t="n">
        <v>0.339207407992561</v>
      </c>
      <c r="I126" s="29" t="n">
        <v>0.513549105607292</v>
      </c>
      <c r="J126" s="29" t="n">
        <v>0.317836478854976</v>
      </c>
      <c r="K126" s="29" t="n">
        <v>0.342346888525294</v>
      </c>
      <c r="L126" s="29" t="n">
        <v>0.339207407992561</v>
      </c>
      <c r="M126" s="29" t="n">
        <v>0.339207407992561</v>
      </c>
    </row>
    <row r="127" customFormat="false" ht="15" hidden="false" customHeight="false" outlineLevel="0" collapsed="false">
      <c r="C127" s="0" t="s">
        <v>187</v>
      </c>
      <c r="D127" s="11" t="s">
        <v>35</v>
      </c>
      <c r="E127" s="26" t="n">
        <f aca="false">Calc_1!$E191</f>
        <v>0.0887506658196496</v>
      </c>
      <c r="H127" s="29" t="n">
        <v>0.0887506658196496</v>
      </c>
      <c r="I127" s="29" t="n">
        <v>0.10946601029228</v>
      </c>
      <c r="J127" s="29" t="n">
        <v>0.0846861685089813</v>
      </c>
      <c r="K127" s="29" t="n">
        <v>0.0891761508900598</v>
      </c>
      <c r="L127" s="29" t="n">
        <v>0.0901324728589762</v>
      </c>
      <c r="M127" s="29" t="n">
        <v>0.0887506658196496</v>
      </c>
    </row>
    <row r="128" customFormat="false" ht="15" hidden="false" customHeight="false" outlineLevel="0" collapsed="false">
      <c r="C128" s="0" t="s">
        <v>188</v>
      </c>
      <c r="D128" s="11" t="s">
        <v>35</v>
      </c>
      <c r="E128" s="26" t="n">
        <f aca="false">Calc_2!$E191</f>
        <v>0.0887506658196496</v>
      </c>
      <c r="H128" s="29" t="n">
        <v>0.0887506658196496</v>
      </c>
      <c r="I128" s="29" t="n">
        <v>0.10946601029228</v>
      </c>
      <c r="J128" s="29" t="n">
        <v>0.0846861685089813</v>
      </c>
      <c r="K128" s="29" t="n">
        <v>0.0891761508900598</v>
      </c>
      <c r="L128" s="29" t="n">
        <v>0.0901324728589762</v>
      </c>
      <c r="M128" s="29" t="n">
        <v>0.0887506658196496</v>
      </c>
    </row>
    <row r="129" customFormat="false" ht="15" hidden="false" customHeight="false" outlineLevel="0" collapsed="false">
      <c r="C129" s="0" t="s">
        <v>189</v>
      </c>
      <c r="D129" s="11" t="s">
        <v>73</v>
      </c>
      <c r="E129" s="28" t="n">
        <f aca="false">Calc_1!$F141/Thousand</f>
        <v>7.49469896051916</v>
      </c>
      <c r="H129" s="15" t="n">
        <v>7.49469896051916</v>
      </c>
      <c r="I129" s="15" t="n">
        <v>7.49469896051916</v>
      </c>
      <c r="J129" s="15" t="n">
        <v>7.49469896051916</v>
      </c>
      <c r="K129" s="15" t="n">
        <v>5.94137372540667</v>
      </c>
      <c r="L129" s="15" t="n">
        <v>2.49469896051917</v>
      </c>
      <c r="M129" s="15" t="n">
        <v>7.49469896051916</v>
      </c>
    </row>
    <row r="130" customFormat="false" ht="15" hidden="false" customHeight="false" outlineLevel="0" collapsed="false">
      <c r="C130" s="0" t="s">
        <v>190</v>
      </c>
      <c r="D130" s="11" t="s">
        <v>73</v>
      </c>
      <c r="E130" s="28" t="n">
        <f aca="false">Calc_2!$F141/Thousand</f>
        <v>7.49469896051916</v>
      </c>
      <c r="H130" s="15" t="n">
        <v>7.49469896051916</v>
      </c>
      <c r="I130" s="15" t="n">
        <v>7.49469896051916</v>
      </c>
      <c r="J130" s="15" t="n">
        <v>7.49469896051916</v>
      </c>
      <c r="K130" s="15" t="n">
        <v>5.94137372540667</v>
      </c>
      <c r="L130" s="15" t="n">
        <v>2.49469896051917</v>
      </c>
      <c r="M130" s="15" t="n">
        <v>7.49469896051916</v>
      </c>
    </row>
    <row r="131" customFormat="false" ht="15" hidden="false" customHeight="false" outlineLevel="0" collapsed="false">
      <c r="C131" s="0" t="s">
        <v>191</v>
      </c>
      <c r="D131" s="11" t="s">
        <v>73</v>
      </c>
      <c r="E131" s="28" t="n">
        <f aca="false">Calc_1!$E182/Thousand</f>
        <v>172.735033145982</v>
      </c>
      <c r="H131" s="15" t="n">
        <v>172.735033145982</v>
      </c>
      <c r="I131" s="15" t="n">
        <v>226.41436300138</v>
      </c>
      <c r="J131" s="15" t="n">
        <v>172.735033145982</v>
      </c>
      <c r="K131" s="15" t="n">
        <v>172.735033145982</v>
      </c>
      <c r="L131" s="15" t="n">
        <v>172.735033145982</v>
      </c>
      <c r="M131" s="15" t="n">
        <v>172.735033145982</v>
      </c>
    </row>
    <row r="132" customFormat="false" ht="15" hidden="false" customHeight="false" outlineLevel="0" collapsed="false">
      <c r="C132" s="0" t="s">
        <v>192</v>
      </c>
      <c r="D132" s="11" t="s">
        <v>73</v>
      </c>
      <c r="E132" s="28" t="n">
        <f aca="false">Calc_2!$E182/Thousand</f>
        <v>172.735033145982</v>
      </c>
      <c r="H132" s="15" t="n">
        <v>172.735033145982</v>
      </c>
      <c r="I132" s="15" t="n">
        <v>226.41436300138</v>
      </c>
      <c r="J132" s="15" t="n">
        <v>172.735033145982</v>
      </c>
      <c r="K132" s="15" t="n">
        <v>172.735033145982</v>
      </c>
      <c r="L132" s="15" t="n">
        <v>172.735033145982</v>
      </c>
      <c r="M132" s="15" t="n">
        <v>172.735033145982</v>
      </c>
    </row>
    <row r="134" customFormat="false" ht="15" hidden="false" customHeight="false" outlineLevel="0" collapsed="false">
      <c r="C134" s="40" t="s">
        <v>193</v>
      </c>
    </row>
  </sheetData>
  <conditionalFormatting sqref="E70:F7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71:F71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87:F87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194</v>
      </c>
      <c r="D4" s="0" t="s">
        <v>195</v>
      </c>
      <c r="F4" s="41" t="str">
        <f aca="false">Scenario_Name</f>
        <v>Base</v>
      </c>
    </row>
    <row r="5" customFormat="false" ht="15" hidden="false" customHeight="false" outlineLevel="0" collapsed="false">
      <c r="B5" s="0" t="s">
        <v>196</v>
      </c>
      <c r="F5" s="42" t="n">
        <f aca="false">MATCH(Scenario_Name,Scenario_Names,0)</f>
        <v>1</v>
      </c>
    </row>
    <row r="7" customFormat="false" ht="15" hidden="false" customHeight="false" outlineLevel="0" collapsed="false">
      <c r="B7" s="7" t="s">
        <v>197</v>
      </c>
      <c r="C7" s="7" t="s">
        <v>8</v>
      </c>
      <c r="D7" s="7" t="s">
        <v>198</v>
      </c>
      <c r="F7" s="8" t="s">
        <v>12</v>
      </c>
      <c r="H7" s="43" t="s">
        <v>30</v>
      </c>
      <c r="I7" s="43" t="s">
        <v>74</v>
      </c>
      <c r="J7" s="43" t="s">
        <v>199</v>
      </c>
      <c r="K7" s="43" t="s">
        <v>200</v>
      </c>
      <c r="L7" s="43" t="s">
        <v>201</v>
      </c>
      <c r="M7" s="43" t="s">
        <v>202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203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204</v>
      </c>
      <c r="C11" s="11" t="s">
        <v>205</v>
      </c>
      <c r="D11" s="13" t="s">
        <v>206</v>
      </c>
      <c r="F11" s="43" t="n">
        <v>1000</v>
      </c>
    </row>
    <row r="12" customFormat="false" ht="15" hidden="false" customHeight="false" outlineLevel="0" collapsed="false">
      <c r="B12" s="0" t="s">
        <v>207</v>
      </c>
      <c r="C12" s="11" t="s">
        <v>205</v>
      </c>
      <c r="D12" s="13" t="s">
        <v>206</v>
      </c>
      <c r="F12" s="43" t="n">
        <v>1000000</v>
      </c>
    </row>
    <row r="13" customFormat="false" ht="15" hidden="false" customHeight="false" outlineLevel="0" collapsed="false">
      <c r="B13" s="0" t="s">
        <v>208</v>
      </c>
      <c r="C13" s="11" t="s">
        <v>209</v>
      </c>
      <c r="D13" s="13" t="s">
        <v>210</v>
      </c>
      <c r="F13" s="43" t="n">
        <v>365</v>
      </c>
    </row>
    <row r="14" customFormat="false" ht="15" hidden="false" customHeight="false" outlineLevel="0" collapsed="false">
      <c r="B14" s="0" t="s">
        <v>211</v>
      </c>
      <c r="C14" s="11" t="s">
        <v>212</v>
      </c>
      <c r="F14" s="43" t="n">
        <v>12</v>
      </c>
    </row>
    <row r="15" customFormat="false" ht="15" hidden="false" customHeight="false" outlineLevel="0" collapsed="false">
      <c r="B15" s="0" t="s">
        <v>213</v>
      </c>
      <c r="C15" s="11" t="s">
        <v>212</v>
      </c>
      <c r="D15" s="13" t="s">
        <v>214</v>
      </c>
      <c r="F15" s="43" t="n">
        <v>3</v>
      </c>
    </row>
    <row r="16" customFormat="false" ht="15" hidden="false" customHeight="false" outlineLevel="0" collapsed="false">
      <c r="B16" s="0" t="s">
        <v>215</v>
      </c>
      <c r="C16" s="11" t="s">
        <v>205</v>
      </c>
      <c r="D16" s="13" t="s">
        <v>216</v>
      </c>
      <c r="F16" s="43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218</v>
      </c>
      <c r="C19" s="11" t="s">
        <v>62</v>
      </c>
      <c r="D19" s="13" t="s">
        <v>219</v>
      </c>
      <c r="F19" s="44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220</v>
      </c>
      <c r="C20" s="11" t="s">
        <v>62</v>
      </c>
      <c r="D20" s="13" t="s">
        <v>221</v>
      </c>
      <c r="F20" s="44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222</v>
      </c>
      <c r="C21" s="11" t="s">
        <v>62</v>
      </c>
      <c r="D21" s="13" t="s">
        <v>223</v>
      </c>
      <c r="F21" s="44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224</v>
      </c>
      <c r="C22" s="11" t="s">
        <v>62</v>
      </c>
      <c r="D22" s="13" t="s">
        <v>225</v>
      </c>
      <c r="F22" s="44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226</v>
      </c>
      <c r="C23" s="11" t="s">
        <v>62</v>
      </c>
      <c r="D23" s="13" t="s">
        <v>227</v>
      </c>
      <c r="F23" s="44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228</v>
      </c>
      <c r="C24" s="11" t="s">
        <v>62</v>
      </c>
      <c r="D24" s="13" t="s">
        <v>229</v>
      </c>
      <c r="F24" s="44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230</v>
      </c>
      <c r="C25" s="11" t="s">
        <v>231</v>
      </c>
      <c r="D25" s="13" t="s">
        <v>232</v>
      </c>
      <c r="F25" s="42" t="n">
        <f aca="false">IF(INDEX($H25:$O25,1,Scenario_Selected)="",$H25,INDEX($H25:$O25,1,Scenario_Selected))</f>
        <v>30</v>
      </c>
      <c r="H25" s="45" t="n">
        <v>30</v>
      </c>
      <c r="I25" s="45"/>
      <c r="J25" s="45"/>
      <c r="K25" s="45"/>
      <c r="L25" s="45"/>
      <c r="M25" s="45"/>
    </row>
    <row r="26" customFormat="false" ht="15" hidden="false" customHeight="false" outlineLevel="0" collapsed="false">
      <c r="B26" s="0" t="s">
        <v>233</v>
      </c>
      <c r="C26" s="11" t="s">
        <v>62</v>
      </c>
      <c r="D26" s="13" t="s">
        <v>234</v>
      </c>
      <c r="F26" s="44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235</v>
      </c>
      <c r="C27" s="11" t="s">
        <v>62</v>
      </c>
      <c r="D27" s="13" t="s">
        <v>236</v>
      </c>
      <c r="F27" s="44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237</v>
      </c>
      <c r="C28" s="11" t="s">
        <v>41</v>
      </c>
      <c r="D28" s="13" t="s">
        <v>238</v>
      </c>
      <c r="F28" s="46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239</v>
      </c>
      <c r="C29" s="11" t="s">
        <v>212</v>
      </c>
      <c r="D29" s="13" t="s">
        <v>240</v>
      </c>
      <c r="F29" s="42" t="n">
        <f aca="false">IF(INDEX($H29:$O29,1,Scenario_Selected)="",$H29,INDEX($H29:$O29,1,Scenario_Selected))</f>
        <v>6</v>
      </c>
      <c r="H29" s="45" t="n">
        <v>6</v>
      </c>
      <c r="I29" s="45"/>
      <c r="J29" s="45"/>
      <c r="K29" s="45"/>
      <c r="L29" s="45"/>
      <c r="M29" s="45"/>
    </row>
    <row r="31" customFormat="false" ht="15" hidden="false" customHeight="false" outlineLevel="0" collapsed="false">
      <c r="A31" s="9" t="s">
        <v>13</v>
      </c>
      <c r="B31" s="9"/>
      <c r="C31" s="9" t="s">
        <v>241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242</v>
      </c>
      <c r="C32" s="11" t="s">
        <v>68</v>
      </c>
      <c r="D32" s="13" t="s">
        <v>243</v>
      </c>
      <c r="F32" s="3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244</v>
      </c>
      <c r="C33" s="11" t="s">
        <v>35</v>
      </c>
      <c r="D33" s="13" t="s">
        <v>245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246</v>
      </c>
      <c r="C34" s="11" t="s">
        <v>247</v>
      </c>
      <c r="D34" s="13" t="s">
        <v>248</v>
      </c>
      <c r="F34" s="3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249</v>
      </c>
      <c r="C35" s="11" t="s">
        <v>247</v>
      </c>
      <c r="D35" s="13" t="s">
        <v>250</v>
      </c>
      <c r="F35" s="3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251</v>
      </c>
      <c r="C36" s="11" t="s">
        <v>247</v>
      </c>
      <c r="D36" s="13" t="s">
        <v>252</v>
      </c>
      <c r="F36" s="3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253</v>
      </c>
      <c r="C37" s="11" t="s">
        <v>35</v>
      </c>
      <c r="D37" s="13" t="s">
        <v>254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255</v>
      </c>
      <c r="C38" s="11" t="s">
        <v>27</v>
      </c>
      <c r="D38" s="13" t="s">
        <v>256</v>
      </c>
      <c r="F38" s="32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257</v>
      </c>
      <c r="C39" s="11" t="s">
        <v>27</v>
      </c>
      <c r="D39" s="13" t="s">
        <v>258</v>
      </c>
      <c r="F39" s="3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259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260</v>
      </c>
      <c r="C42" s="11" t="s">
        <v>205</v>
      </c>
      <c r="D42" s="13" t="s">
        <v>261</v>
      </c>
      <c r="F42" s="43" t="n">
        <v>2</v>
      </c>
    </row>
    <row r="43" customFormat="false" ht="15" hidden="false" customHeight="false" outlineLevel="0" collapsed="false">
      <c r="B43" s="0" t="s">
        <v>262</v>
      </c>
      <c r="C43" s="11" t="s">
        <v>146</v>
      </c>
      <c r="D43" s="13" t="s">
        <v>263</v>
      </c>
      <c r="F43" s="3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264</v>
      </c>
      <c r="C44" s="11" t="s">
        <v>146</v>
      </c>
      <c r="D44" s="13" t="s">
        <v>265</v>
      </c>
      <c r="F44" s="3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266</v>
      </c>
      <c r="C45" s="11" t="s">
        <v>35</v>
      </c>
      <c r="D45" s="13" t="s">
        <v>267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268</v>
      </c>
      <c r="C46" s="11" t="s">
        <v>43</v>
      </c>
      <c r="D46" s="13" t="s">
        <v>269</v>
      </c>
      <c r="F46" s="32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270</v>
      </c>
      <c r="C47" s="11" t="s">
        <v>41</v>
      </c>
      <c r="D47" s="13" t="s">
        <v>271</v>
      </c>
      <c r="F47" s="46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272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273</v>
      </c>
      <c r="C50" s="11" t="s">
        <v>274</v>
      </c>
      <c r="D50" s="13" t="s">
        <v>275</v>
      </c>
      <c r="F50" s="3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276</v>
      </c>
      <c r="C51" s="11" t="s">
        <v>277</v>
      </c>
      <c r="D51" s="13" t="s">
        <v>275</v>
      </c>
      <c r="F51" s="3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278</v>
      </c>
      <c r="C52" s="11" t="s">
        <v>62</v>
      </c>
      <c r="D52" s="13" t="s">
        <v>279</v>
      </c>
      <c r="F52" s="44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280</v>
      </c>
      <c r="C53" s="11" t="s">
        <v>281</v>
      </c>
      <c r="D53" s="13" t="s">
        <v>282</v>
      </c>
      <c r="F53" s="32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283</v>
      </c>
      <c r="C54" s="11" t="s">
        <v>35</v>
      </c>
      <c r="D54" s="13" t="s">
        <v>284</v>
      </c>
      <c r="F54" s="48" t="n">
        <f aca="false">IF(INDEX($H54:$O54,1,Scenario_Selected)="",$H54,INDEX($H54:$O54,1,Scenario_Selected))</f>
        <v>0.005</v>
      </c>
      <c r="H54" s="49" t="n">
        <v>0.005</v>
      </c>
      <c r="I54" s="49"/>
      <c r="J54" s="49"/>
      <c r="K54" s="49"/>
      <c r="L54" s="49"/>
      <c r="M54" s="49"/>
    </row>
    <row r="55" customFormat="false" ht="15" hidden="false" customHeight="false" outlineLevel="0" collapsed="false">
      <c r="B55" s="0" t="s">
        <v>285</v>
      </c>
      <c r="C55" s="11" t="s">
        <v>62</v>
      </c>
      <c r="D55" s="13" t="s">
        <v>286</v>
      </c>
      <c r="F55" s="44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287</v>
      </c>
      <c r="C56" s="11" t="s">
        <v>209</v>
      </c>
      <c r="D56" s="13" t="s">
        <v>288</v>
      </c>
      <c r="F56" s="42" t="n">
        <f aca="false">IF(INDEX($H56:$O56,1,Scenario_Selected)="",$H56,INDEX($H56:$O56,1,Scenario_Selected))</f>
        <v>15</v>
      </c>
      <c r="H56" s="45" t="n">
        <v>15</v>
      </c>
      <c r="I56" s="45"/>
      <c r="J56" s="45"/>
      <c r="K56" s="45"/>
      <c r="L56" s="45"/>
      <c r="M56" s="45"/>
    </row>
    <row r="57" customFormat="false" ht="15" hidden="false" customHeight="false" outlineLevel="0" collapsed="false">
      <c r="B57" s="0" t="s">
        <v>289</v>
      </c>
      <c r="C57" s="11" t="s">
        <v>35</v>
      </c>
      <c r="D57" s="13" t="s">
        <v>290</v>
      </c>
      <c r="F57" s="48" t="n">
        <f aca="false">IF(INDEX($H57:$O57,1,Scenario_Selected)="",$H57,INDEX($H57:$O57,1,Scenario_Selected))</f>
        <v>0.025</v>
      </c>
      <c r="H57" s="49" t="n">
        <v>0.025</v>
      </c>
      <c r="I57" s="49"/>
      <c r="J57" s="49"/>
      <c r="K57" s="49"/>
      <c r="L57" s="49"/>
      <c r="M57" s="49"/>
    </row>
    <row r="58" customFormat="false" ht="15" hidden="false" customHeight="false" outlineLevel="0" collapsed="false">
      <c r="B58" s="0" t="s">
        <v>291</v>
      </c>
      <c r="C58" s="11" t="s">
        <v>62</v>
      </c>
      <c r="D58" s="13" t="s">
        <v>292</v>
      </c>
      <c r="F58" s="44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293</v>
      </c>
      <c r="C59" s="11" t="s">
        <v>294</v>
      </c>
      <c r="D59" s="13" t="s">
        <v>295</v>
      </c>
      <c r="F59" s="32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296</v>
      </c>
      <c r="C60" s="11" t="s">
        <v>62</v>
      </c>
      <c r="D60" s="13" t="s">
        <v>297</v>
      </c>
      <c r="F60" s="44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298</v>
      </c>
      <c r="C61" s="11" t="s">
        <v>281</v>
      </c>
      <c r="D61" s="13" t="s">
        <v>299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300</v>
      </c>
      <c r="C62" s="11" t="s">
        <v>294</v>
      </c>
      <c r="D62" s="13" t="s">
        <v>301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302</v>
      </c>
      <c r="C63" s="11" t="s">
        <v>62</v>
      </c>
      <c r="D63" s="13" t="s">
        <v>303</v>
      </c>
      <c r="F63" s="44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304</v>
      </c>
      <c r="C64" s="11" t="s">
        <v>35</v>
      </c>
      <c r="D64" s="13" t="s">
        <v>305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306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307</v>
      </c>
      <c r="C67" s="11" t="s">
        <v>35</v>
      </c>
      <c r="D67" s="13" t="s">
        <v>308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309</v>
      </c>
      <c r="C68" s="11" t="s">
        <v>35</v>
      </c>
      <c r="D68" s="13" t="s">
        <v>310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311</v>
      </c>
      <c r="C69" s="11" t="s">
        <v>35</v>
      </c>
      <c r="D69" s="13" t="s">
        <v>312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313</v>
      </c>
      <c r="C70" s="11" t="s">
        <v>13</v>
      </c>
      <c r="D70" s="13" t="s">
        <v>314</v>
      </c>
      <c r="F70" s="50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315</v>
      </c>
      <c r="C71" s="11" t="s">
        <v>35</v>
      </c>
      <c r="D71" s="13" t="s">
        <v>316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317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318</v>
      </c>
      <c r="C74" s="11" t="s">
        <v>46</v>
      </c>
      <c r="D74" s="13" t="s">
        <v>319</v>
      </c>
      <c r="F74" s="3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320</v>
      </c>
      <c r="C75" s="11" t="s">
        <v>35</v>
      </c>
      <c r="D75" s="13" t="s">
        <v>321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322</v>
      </c>
      <c r="C76" s="11" t="s">
        <v>27</v>
      </c>
      <c r="D76" s="13" t="s">
        <v>323</v>
      </c>
      <c r="F76" s="3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324</v>
      </c>
      <c r="C77" s="11" t="s">
        <v>27</v>
      </c>
      <c r="D77" s="13" t="s">
        <v>325</v>
      </c>
      <c r="F77" s="3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326</v>
      </c>
      <c r="C78" s="11" t="s">
        <v>32</v>
      </c>
      <c r="D78" s="13" t="s">
        <v>327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328</v>
      </c>
      <c r="C79" s="11" t="s">
        <v>35</v>
      </c>
      <c r="D79" s="13" t="s">
        <v>329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330</v>
      </c>
      <c r="C80" s="11" t="s">
        <v>35</v>
      </c>
      <c r="D80" s="13" t="s">
        <v>331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332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333</v>
      </c>
      <c r="C83" s="11" t="s">
        <v>41</v>
      </c>
      <c r="D83" s="13" t="s">
        <v>334</v>
      </c>
      <c r="F83" s="46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335</v>
      </c>
      <c r="C84" s="11" t="s">
        <v>41</v>
      </c>
      <c r="D84" s="13" t="s">
        <v>336</v>
      </c>
      <c r="F84" s="46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337</v>
      </c>
      <c r="C85" s="11" t="s">
        <v>41</v>
      </c>
      <c r="D85" s="13" t="s">
        <v>338</v>
      </c>
      <c r="F85" s="46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339</v>
      </c>
      <c r="C86" s="11" t="s">
        <v>35</v>
      </c>
      <c r="D86" s="13" t="s">
        <v>340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341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342</v>
      </c>
      <c r="F89" s="46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343</v>
      </c>
      <c r="C90" s="11" t="s">
        <v>27</v>
      </c>
      <c r="D90" s="13" t="s">
        <v>342</v>
      </c>
      <c r="F90" s="3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344</v>
      </c>
      <c r="C91" s="11" t="s">
        <v>27</v>
      </c>
      <c r="D91" s="13" t="s">
        <v>345</v>
      </c>
      <c r="F91" s="3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346</v>
      </c>
      <c r="C92" s="11" t="s">
        <v>27</v>
      </c>
      <c r="D92" s="13" t="s">
        <v>347</v>
      </c>
      <c r="F92" s="33" t="n">
        <f aca="false">IF(INDEX($H92:$O92,1,Scenario_Selected)="",$H92,INDEX($H92:$O92,1,Scenario_Selected))</f>
        <v>80</v>
      </c>
      <c r="H92" s="12" t="n">
        <v>80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108</v>
      </c>
      <c r="C93" s="11" t="s">
        <v>27</v>
      </c>
      <c r="D93" s="13" t="s">
        <v>348</v>
      </c>
      <c r="F93" s="33" t="n">
        <f aca="false">IF(INDEX($H93:$O93,1,Scenario_Selected)="",$H93,INDEX($H93:$O93,1,Scenario_Selected))</f>
        <v>90</v>
      </c>
      <c r="H93" s="12" t="n">
        <v>90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349</v>
      </c>
      <c r="C94" s="11" t="s">
        <v>27</v>
      </c>
      <c r="D94" s="13" t="s">
        <v>350</v>
      </c>
      <c r="F94" s="33" t="n">
        <f aca="false">IF(INDEX($H94:$O94,1,Scenario_Selected)="",$H94,INDEX($H94:$O94,1,Scenario_Selected))</f>
        <v>130</v>
      </c>
      <c r="H94" s="12" t="n">
        <v>130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351</v>
      </c>
      <c r="C95" s="11" t="s">
        <v>27</v>
      </c>
      <c r="D95" s="13" t="s">
        <v>352</v>
      </c>
      <c r="F95" s="33" t="n">
        <f aca="false">IF(INDEX($H95:$O95,1,Scenario_Selected)="",$H95,INDEX($H95:$O95,1,Scenario_Selected))</f>
        <v>40</v>
      </c>
      <c r="H95" s="12" t="n">
        <v>40</v>
      </c>
      <c r="I95" s="12"/>
      <c r="J95" s="12"/>
      <c r="K95" s="12"/>
      <c r="L95" s="12"/>
      <c r="M95" s="12"/>
    </row>
    <row r="96" customFormat="false" ht="15" hidden="false" customHeight="false" outlineLevel="0" collapsed="false">
      <c r="B96" s="0" t="s">
        <v>353</v>
      </c>
      <c r="C96" s="11" t="s">
        <v>27</v>
      </c>
      <c r="D96" s="13" t="s">
        <v>354</v>
      </c>
      <c r="F96" s="33" t="n">
        <f aca="false">IF(INDEX($H96:$O96,1,Scenario_Selected)="",$H96,INDEX($H96:$O96,1,Scenario_Selected))</f>
        <v>15</v>
      </c>
      <c r="H96" s="12" t="n">
        <v>15</v>
      </c>
      <c r="I96" s="12"/>
      <c r="J96" s="12"/>
      <c r="K96" s="12"/>
      <c r="L96" s="12"/>
      <c r="M96" s="12"/>
    </row>
    <row r="97" customFormat="false" ht="15" hidden="false" customHeight="false" outlineLevel="0" collapsed="false">
      <c r="B97" s="0" t="s">
        <v>355</v>
      </c>
      <c r="C97" s="11" t="s">
        <v>247</v>
      </c>
      <c r="D97" s="13" t="s">
        <v>356</v>
      </c>
      <c r="F97" s="33" t="n">
        <f aca="false">IF(INDEX($H97:$O97,1,Scenario_Selected)="",$H97,INDEX($H97:$O97,1,Scenario_Selected))</f>
        <v>12000</v>
      </c>
      <c r="H97" s="12" t="n">
        <v>12000</v>
      </c>
      <c r="I97" s="12"/>
      <c r="J97" s="12"/>
      <c r="K97" s="12"/>
      <c r="L97" s="12"/>
      <c r="M97" s="12"/>
    </row>
    <row r="98" customFormat="false" ht="15" hidden="false" customHeight="false" outlineLevel="0" collapsed="false">
      <c r="B98" s="0" t="s">
        <v>357</v>
      </c>
      <c r="C98" s="11" t="s">
        <v>247</v>
      </c>
      <c r="D98" s="13" t="s">
        <v>358</v>
      </c>
      <c r="F98" s="33" t="n">
        <f aca="false">IF(INDEX($H98:$O98,1,Scenario_Selected)="",$H98,INDEX($H98:$O98,1,Scenario_Selected))</f>
        <v>10800</v>
      </c>
      <c r="H98" s="12" t="n">
        <v>10800</v>
      </c>
      <c r="I98" s="12"/>
      <c r="J98" s="12"/>
      <c r="K98" s="12"/>
      <c r="L98" s="12"/>
      <c r="M98" s="12"/>
    </row>
    <row r="99" customFormat="false" ht="15" hidden="false" customHeight="false" outlineLevel="0" collapsed="false">
      <c r="B99" s="0" t="s">
        <v>359</v>
      </c>
      <c r="C99" s="11" t="s">
        <v>35</v>
      </c>
      <c r="D99" s="13" t="s">
        <v>360</v>
      </c>
      <c r="F99" s="47" t="n">
        <f aca="false">IF(INDEX($H99:$O99,1,Scenario_Selected)="",$H99,INDEX($H99:$O99,1,Scenario_Selected))</f>
        <v>0.05</v>
      </c>
      <c r="H99" s="19" t="n">
        <v>0.05</v>
      </c>
      <c r="I99" s="19"/>
      <c r="J99" s="19"/>
      <c r="K99" s="19"/>
      <c r="L99" s="19"/>
      <c r="M99" s="19"/>
    </row>
    <row r="100" customFormat="false" ht="15" hidden="false" customHeight="false" outlineLevel="0" collapsed="false">
      <c r="B100" s="0" t="s">
        <v>361</v>
      </c>
      <c r="C100" s="11" t="s">
        <v>362</v>
      </c>
      <c r="D100" s="13" t="s">
        <v>363</v>
      </c>
      <c r="F100" s="33" t="n">
        <f aca="false">IF(INDEX($H100:$O100,1,Scenario_Selected)="",$H100,INDEX($H100:$O100,1,Scenario_Selected))</f>
        <v>100</v>
      </c>
      <c r="H100" s="12" t="n">
        <v>100</v>
      </c>
      <c r="I100" s="12"/>
      <c r="J100" s="12"/>
      <c r="K100" s="12"/>
      <c r="L100" s="12"/>
      <c r="M100" s="12"/>
    </row>
    <row r="102" customFormat="false" ht="15" hidden="false" customHeight="false" outlineLevel="0" collapsed="false">
      <c r="A102" s="9" t="s">
        <v>13</v>
      </c>
      <c r="B102" s="9"/>
      <c r="C102" s="9" t="s">
        <v>364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customFormat="false" ht="15" hidden="false" customHeight="false" outlineLevel="0" collapsed="false">
      <c r="B103" s="0" t="s">
        <v>365</v>
      </c>
      <c r="C103" s="11" t="s">
        <v>366</v>
      </c>
      <c r="D103" s="13" t="s">
        <v>367</v>
      </c>
      <c r="F103" s="33" t="n">
        <f aca="false">IF(INDEX($H103:$O103,1,Scenario_Selected)="",$H103,INDEX($H103:$O103,1,Scenario_Selected))</f>
        <v>2460</v>
      </c>
      <c r="H103" s="12" t="n">
        <v>2460</v>
      </c>
      <c r="I103" s="12"/>
      <c r="J103" s="12"/>
      <c r="K103" s="12"/>
      <c r="L103" s="12"/>
      <c r="M103" s="12"/>
    </row>
    <row r="104" customFormat="false" ht="15" hidden="false" customHeight="false" outlineLevel="0" collapsed="false">
      <c r="B104" s="0" t="s">
        <v>368</v>
      </c>
      <c r="C104" s="11" t="s">
        <v>35</v>
      </c>
      <c r="D104" s="13" t="s">
        <v>369</v>
      </c>
      <c r="F104" s="47" t="n">
        <f aca="false">IF(INDEX($H104:$O104,1,Scenario_Selected)="",$H104,INDEX($H104:$O104,1,Scenario_Selected))</f>
        <v>0.02</v>
      </c>
      <c r="H104" s="19" t="n">
        <v>0.02</v>
      </c>
      <c r="I104" s="19"/>
      <c r="J104" s="19"/>
      <c r="K104" s="19"/>
      <c r="L104" s="19"/>
      <c r="M104" s="19"/>
    </row>
    <row r="105" customFormat="false" ht="15" hidden="false" customHeight="false" outlineLevel="0" collapsed="false">
      <c r="B105" s="0" t="s">
        <v>370</v>
      </c>
      <c r="C105" s="11" t="s">
        <v>35</v>
      </c>
      <c r="D105" s="13" t="s">
        <v>371</v>
      </c>
      <c r="F105" s="48" t="n">
        <f aca="false">IF(INDEX($H105:$O105,1,Scenario_Selected)="",$H105,INDEX($H105:$O105,1,Scenario_Selected))</f>
        <v>0.003</v>
      </c>
      <c r="H105" s="49" t="n">
        <v>0.003</v>
      </c>
      <c r="I105" s="49"/>
      <c r="J105" s="49"/>
      <c r="K105" s="49"/>
      <c r="L105" s="49"/>
      <c r="M105" s="49"/>
    </row>
    <row r="106" customFormat="false" ht="15" hidden="false" customHeight="false" outlineLevel="0" collapsed="false">
      <c r="B106" s="0" t="s">
        <v>372</v>
      </c>
      <c r="C106" s="11" t="s">
        <v>32</v>
      </c>
      <c r="D106" s="13" t="s">
        <v>342</v>
      </c>
      <c r="F106" s="32" t="n">
        <f aca="false">IF(INDEX($H106:$O106,1,Scenario_Selected)="",$H106,INDEX($H106:$O106,1,Scenario_Selected))</f>
        <v>90</v>
      </c>
      <c r="H106" s="21" t="n">
        <v>90</v>
      </c>
      <c r="I106" s="21"/>
      <c r="J106" s="21"/>
      <c r="K106" s="21"/>
      <c r="L106" s="21"/>
      <c r="M106" s="21"/>
    </row>
    <row r="107" customFormat="false" ht="15" hidden="false" customHeight="false" outlineLevel="0" collapsed="false">
      <c r="B107" s="0" t="s">
        <v>373</v>
      </c>
      <c r="C107" s="11" t="s">
        <v>35</v>
      </c>
      <c r="D107" s="13" t="s">
        <v>374</v>
      </c>
      <c r="F107" s="47" t="n">
        <f aca="false">IF(INDEX($H107:$O107,1,Scenario_Selected)="",$H107,INDEX($H107:$O107,1,Scenario_Selected))</f>
        <v>0.01</v>
      </c>
      <c r="H107" s="19" t="n">
        <v>0.01</v>
      </c>
      <c r="I107" s="19"/>
      <c r="J107" s="19"/>
      <c r="K107" s="19"/>
      <c r="L107" s="19"/>
      <c r="M107" s="19"/>
    </row>
    <row r="108" customFormat="false" ht="15" hidden="false" customHeight="false" outlineLevel="0" collapsed="false">
      <c r="B108" s="0" t="s">
        <v>375</v>
      </c>
      <c r="C108" s="11" t="s">
        <v>32</v>
      </c>
      <c r="D108" s="13" t="s">
        <v>376</v>
      </c>
      <c r="F108" s="32" t="n">
        <f aca="false">IF(INDEX($H108:$O108,1,Scenario_Selected)="",$H108,INDEX($H108:$O108,1,Scenario_Selected))</f>
        <v>5</v>
      </c>
      <c r="H108" s="21" t="n">
        <v>5</v>
      </c>
      <c r="I108" s="21"/>
      <c r="J108" s="21"/>
      <c r="K108" s="21"/>
      <c r="L108" s="21"/>
      <c r="M108" s="21"/>
    </row>
    <row r="109" customFormat="false" ht="15" hidden="false" customHeight="false" outlineLevel="0" collapsed="false">
      <c r="B109" s="0" t="s">
        <v>377</v>
      </c>
      <c r="C109" s="11" t="s">
        <v>27</v>
      </c>
      <c r="D109" s="13" t="s">
        <v>378</v>
      </c>
      <c r="F109" s="33" t="n">
        <f aca="false">IF(INDEX($H109:$O109,1,Scenario_Selected)="",$H109,INDEX($H109:$O109,1,Scenario_Selected))</f>
        <v>22</v>
      </c>
      <c r="H109" s="12" t="n">
        <v>22</v>
      </c>
      <c r="I109" s="12"/>
      <c r="J109" s="12"/>
      <c r="K109" s="12"/>
      <c r="L109" s="12"/>
      <c r="M109" s="12"/>
    </row>
    <row r="110" customFormat="false" ht="15" hidden="false" customHeight="false" outlineLevel="0" collapsed="false">
      <c r="B110" s="0" t="s">
        <v>379</v>
      </c>
      <c r="C110" s="11" t="s">
        <v>27</v>
      </c>
      <c r="D110" s="13" t="s">
        <v>380</v>
      </c>
      <c r="F110" s="33" t="n">
        <f aca="false">IF(INDEX($H110:$O110,1,Scenario_Selected)="",$H110,INDEX($H110:$O110,1,Scenario_Selected))</f>
        <v>3</v>
      </c>
      <c r="H110" s="12" t="n">
        <v>3</v>
      </c>
      <c r="I110" s="12"/>
      <c r="J110" s="12"/>
      <c r="K110" s="12"/>
      <c r="L110" s="12"/>
      <c r="M110" s="12"/>
    </row>
    <row r="111" customFormat="false" ht="15" hidden="false" customHeight="false" outlineLevel="0" collapsed="false">
      <c r="B111" s="0" t="s">
        <v>381</v>
      </c>
      <c r="C111" s="11" t="s">
        <v>247</v>
      </c>
      <c r="D111" s="13" t="s">
        <v>382</v>
      </c>
      <c r="F111" s="33" t="n">
        <f aca="false">IF(INDEX($H111:$O111,1,Scenario_Selected)="",$H111,INDEX($H111:$O111,1,Scenario_Selected))</f>
        <v>150</v>
      </c>
      <c r="H111" s="12" t="n">
        <v>150</v>
      </c>
      <c r="I111" s="12"/>
      <c r="J111" s="12"/>
      <c r="K111" s="12"/>
      <c r="L111" s="12"/>
      <c r="M111" s="12"/>
    </row>
    <row r="112" customFormat="false" ht="15" hidden="false" customHeight="false" outlineLevel="0" collapsed="false">
      <c r="B112" s="0" t="s">
        <v>383</v>
      </c>
      <c r="C112" s="11" t="s">
        <v>35</v>
      </c>
      <c r="D112" s="13" t="s">
        <v>384</v>
      </c>
      <c r="F112" s="47" t="n">
        <f aca="false">IF(INDEX($H112:$O112,1,Scenario_Selected)="",$H112,INDEX($H112:$O112,1,Scenario_Selected))</f>
        <v>0.05</v>
      </c>
      <c r="H112" s="19" t="n">
        <v>0.05</v>
      </c>
      <c r="I112" s="19"/>
      <c r="J112" s="19"/>
      <c r="K112" s="19"/>
      <c r="L112" s="19"/>
      <c r="M112" s="19"/>
    </row>
    <row r="113" customFormat="false" ht="15" hidden="false" customHeight="false" outlineLevel="0" collapsed="false">
      <c r="B113" s="0" t="s">
        <v>385</v>
      </c>
      <c r="C113" s="11" t="s">
        <v>35</v>
      </c>
      <c r="D113" s="13" t="s">
        <v>386</v>
      </c>
      <c r="F113" s="47" t="n">
        <f aca="false">IF(INDEX($H113:$O113,1,Scenario_Selected)="",$H113,INDEX($H113:$O113,1,Scenario_Selected))</f>
        <v>0.025</v>
      </c>
      <c r="H113" s="19" t="n">
        <v>0.025</v>
      </c>
      <c r="I113" s="19"/>
      <c r="J113" s="19"/>
      <c r="K113" s="19"/>
      <c r="L113" s="19"/>
      <c r="M113" s="19"/>
    </row>
    <row r="114" customFormat="false" ht="15" hidden="false" customHeight="false" outlineLevel="0" collapsed="false">
      <c r="B114" s="0" t="s">
        <v>387</v>
      </c>
      <c r="C114" s="11" t="s">
        <v>35</v>
      </c>
      <c r="D114" s="13" t="s">
        <v>388</v>
      </c>
      <c r="F114" s="48" t="n">
        <f aca="false">IF(INDEX($H114:$O114,1,Scenario_Selected)="",$H114,INDEX($H114:$O114,1,Scenario_Selected))</f>
        <v>0.001</v>
      </c>
      <c r="H114" s="49" t="n">
        <v>0.001</v>
      </c>
      <c r="I114" s="49"/>
      <c r="J114" s="49"/>
      <c r="K114" s="49"/>
      <c r="L114" s="49"/>
      <c r="M114" s="49"/>
    </row>
    <row r="115" customFormat="false" ht="15" hidden="false" customHeight="false" outlineLevel="0" collapsed="false">
      <c r="B115" s="0" t="s">
        <v>389</v>
      </c>
      <c r="C115" s="11" t="s">
        <v>35</v>
      </c>
      <c r="D115" s="13" t="s">
        <v>390</v>
      </c>
      <c r="F115" s="47" t="n">
        <f aca="false">IF(INDEX($H115:$O115,1,Scenario_Selected)="",$H115,INDEX($H115:$O115,1,Scenario_Selected))</f>
        <v>0.02</v>
      </c>
      <c r="H115" s="19" t="n">
        <v>0.02</v>
      </c>
      <c r="I115" s="19"/>
      <c r="J115" s="19"/>
      <c r="K115" s="19"/>
      <c r="L115" s="19"/>
      <c r="M115" s="19"/>
    </row>
    <row r="117" customFormat="false" ht="15" hidden="false" customHeight="false" outlineLevel="0" collapsed="false">
      <c r="A117" s="9" t="s">
        <v>13</v>
      </c>
      <c r="B117" s="9"/>
      <c r="C117" s="9" t="s">
        <v>391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</row>
    <row r="118" customFormat="false" ht="15" hidden="false" customHeight="false" outlineLevel="0" collapsed="false">
      <c r="B118" s="0" t="s">
        <v>392</v>
      </c>
      <c r="C118" s="11" t="s">
        <v>35</v>
      </c>
      <c r="D118" s="13" t="s">
        <v>393</v>
      </c>
      <c r="F118" s="47" t="n">
        <f aca="false">IF(INDEX($H118:$O118,1,Scenario_Selected)="",$H118,INDEX($H118:$O118,1,Scenario_Selected))</f>
        <v>0.6</v>
      </c>
      <c r="H118" s="19" t="n">
        <v>0.6</v>
      </c>
      <c r="I118" s="19"/>
      <c r="J118" s="19"/>
      <c r="K118" s="19"/>
      <c r="L118" s="19"/>
      <c r="M118" s="19"/>
    </row>
    <row r="119" customFormat="false" ht="15" hidden="false" customHeight="false" outlineLevel="0" collapsed="false">
      <c r="B119" s="0" t="s">
        <v>394</v>
      </c>
      <c r="C119" s="11" t="s">
        <v>35</v>
      </c>
      <c r="D119" s="13" t="s">
        <v>395</v>
      </c>
      <c r="F119" s="47" t="n">
        <f aca="false">IF(INDEX($H119:$O119,1,Scenario_Selected)="",$H119,INDEX($H119:$O119,1,Scenario_Selected))</f>
        <v>0.5</v>
      </c>
      <c r="H119" s="19" t="n">
        <v>0.5</v>
      </c>
      <c r="I119" s="19"/>
      <c r="J119" s="19"/>
      <c r="K119" s="19"/>
      <c r="L119" s="19"/>
      <c r="M119" s="19"/>
    </row>
    <row r="120" customFormat="false" ht="15" hidden="false" customHeight="false" outlineLevel="0" collapsed="false">
      <c r="B120" s="0" t="s">
        <v>396</v>
      </c>
      <c r="C120" s="11" t="s">
        <v>35</v>
      </c>
      <c r="D120" s="13" t="s">
        <v>397</v>
      </c>
      <c r="F120" s="47" t="n">
        <f aca="false">IF(INDEX($H120:$O120,1,Scenario_Selected)="",$H120,INDEX($H120:$O120,1,Scenario_Selected))</f>
        <v>0.05</v>
      </c>
      <c r="H120" s="19" t="n">
        <v>0.05</v>
      </c>
      <c r="I120" s="19"/>
      <c r="J120" s="19"/>
      <c r="K120" s="19"/>
      <c r="L120" s="19"/>
      <c r="M120" s="19"/>
    </row>
    <row r="121" customFormat="false" ht="15" hidden="false" customHeight="false" outlineLevel="0" collapsed="false">
      <c r="B121" s="0" t="s">
        <v>398</v>
      </c>
      <c r="C121" s="11" t="s">
        <v>35</v>
      </c>
      <c r="D121" s="13" t="s">
        <v>399</v>
      </c>
      <c r="F121" s="48" t="n">
        <f aca="false">IF(INDEX($H121:$O121,1,Scenario_Selected)="",$H121,INDEX($H121:$O121,1,Scenario_Selected))</f>
        <v>0.0175</v>
      </c>
      <c r="H121" s="49" t="n">
        <v>0.0175</v>
      </c>
      <c r="I121" s="49"/>
      <c r="J121" s="49"/>
      <c r="K121" s="49"/>
      <c r="L121" s="49"/>
      <c r="M121" s="49"/>
    </row>
    <row r="122" customFormat="false" ht="15" hidden="false" customHeight="false" outlineLevel="0" collapsed="false">
      <c r="B122" s="0" t="s">
        <v>400</v>
      </c>
      <c r="C122" s="11" t="s">
        <v>35</v>
      </c>
      <c r="D122" s="13" t="s">
        <v>401</v>
      </c>
      <c r="F122" s="48" t="n">
        <f aca="false">IF(INDEX($H122:$O122,1,Scenario_Selected)="",$H122,INDEX($H122:$O122,1,Scenario_Selected))</f>
        <v>0.009</v>
      </c>
      <c r="H122" s="49" t="n">
        <v>0.009</v>
      </c>
      <c r="I122" s="49"/>
      <c r="J122" s="49"/>
      <c r="K122" s="49"/>
      <c r="L122" s="49"/>
      <c r="M122" s="49"/>
    </row>
    <row r="123" customFormat="false" ht="15" hidden="false" customHeight="false" outlineLevel="0" collapsed="false">
      <c r="B123" s="0" t="s">
        <v>402</v>
      </c>
      <c r="C123" s="11" t="s">
        <v>231</v>
      </c>
      <c r="D123" s="13" t="s">
        <v>403</v>
      </c>
      <c r="F123" s="42" t="n">
        <f aca="false">IF(INDEX($H123:$O123,1,Scenario_Selected)="",$H123,INDEX($H123:$O123,1,Scenario_Selected))</f>
        <v>10</v>
      </c>
      <c r="H123" s="45" t="n">
        <v>10</v>
      </c>
      <c r="I123" s="45"/>
      <c r="J123" s="45"/>
      <c r="K123" s="45"/>
      <c r="L123" s="45"/>
      <c r="M123" s="45"/>
    </row>
    <row r="124" customFormat="false" ht="15" hidden="false" customHeight="false" outlineLevel="0" collapsed="false">
      <c r="B124" s="0" t="s">
        <v>404</v>
      </c>
      <c r="C124" s="11" t="s">
        <v>231</v>
      </c>
      <c r="D124" s="13" t="s">
        <v>405</v>
      </c>
      <c r="F124" s="42" t="n">
        <f aca="false">IF(INDEX($H124:$O124,1,Scenario_Selected)="",$H124,INDEX($H124:$O124,1,Scenario_Selected))</f>
        <v>20</v>
      </c>
      <c r="H124" s="45" t="n">
        <v>20</v>
      </c>
      <c r="I124" s="45"/>
      <c r="J124" s="45"/>
      <c r="K124" s="45"/>
      <c r="L124" s="45"/>
      <c r="M124" s="45"/>
    </row>
    <row r="126" customFormat="false" ht="15" hidden="false" customHeight="false" outlineLevel="0" collapsed="false">
      <c r="C12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406</v>
      </c>
      <c r="D5" s="9"/>
      <c r="E5" s="9" t="s">
        <v>407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408</v>
      </c>
      <c r="F6" s="8" t="s">
        <v>409</v>
      </c>
      <c r="J6" s="8" t="s">
        <v>410</v>
      </c>
    </row>
    <row r="7" customFormat="false" ht="15" hidden="false" customHeight="false" outlineLevel="0" collapsed="false">
      <c r="C7" s="0" t="s">
        <v>411</v>
      </c>
      <c r="D7" s="11" t="s">
        <v>27</v>
      </c>
      <c r="E7" s="43" t="n">
        <v>10</v>
      </c>
      <c r="F7" s="43" t="n">
        <v>50</v>
      </c>
      <c r="J7" s="43" t="n">
        <v>10</v>
      </c>
      <c r="K7" s="43" t="n">
        <v>15</v>
      </c>
      <c r="L7" s="43" t="n">
        <v>20</v>
      </c>
      <c r="M7" s="43" t="n">
        <v>25</v>
      </c>
      <c r="N7" s="43" t="n">
        <v>30</v>
      </c>
      <c r="O7" s="43" t="n">
        <v>35</v>
      </c>
      <c r="P7" s="43" t="n">
        <v>40</v>
      </c>
      <c r="Q7" s="43" t="n">
        <v>45</v>
      </c>
      <c r="R7" s="43" t="n">
        <v>50</v>
      </c>
    </row>
    <row r="8" customFormat="false" ht="15" hidden="false" customHeight="false" outlineLevel="0" collapsed="false">
      <c r="C8" s="0" t="s">
        <v>412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413</v>
      </c>
      <c r="D9" s="11" t="s">
        <v>70</v>
      </c>
      <c r="E9" s="19" t="n">
        <v>0.2</v>
      </c>
      <c r="J9" s="45" t="n">
        <v>0</v>
      </c>
      <c r="K9" s="45" t="n">
        <v>10</v>
      </c>
      <c r="L9" s="45" t="n">
        <v>20</v>
      </c>
      <c r="M9" s="45" t="n">
        <v>30</v>
      </c>
      <c r="N9" s="45" t="n">
        <v>40</v>
      </c>
      <c r="O9" s="45" t="n">
        <v>55</v>
      </c>
      <c r="P9" s="45" t="n">
        <v>70</v>
      </c>
      <c r="Q9" s="45" t="n">
        <v>80</v>
      </c>
      <c r="R9" s="45" t="n">
        <v>90</v>
      </c>
      <c r="S9" s="45" t="n">
        <v>100</v>
      </c>
    </row>
    <row r="10" customFormat="false" ht="15" hidden="false" customHeight="false" outlineLevel="0" collapsed="false">
      <c r="C10" s="0" t="s">
        <v>414</v>
      </c>
      <c r="D10" s="11" t="s">
        <v>32</v>
      </c>
      <c r="E10" s="43" t="n">
        <v>2</v>
      </c>
      <c r="F10" s="43" t="n">
        <v>3</v>
      </c>
      <c r="J10" s="43" t="n">
        <v>2</v>
      </c>
      <c r="K10" s="43" t="n">
        <v>2.1</v>
      </c>
      <c r="L10" s="43" t="n">
        <v>2.2</v>
      </c>
      <c r="M10" s="43" t="n">
        <v>2.3</v>
      </c>
      <c r="N10" s="43" t="n">
        <v>2.4</v>
      </c>
      <c r="O10" s="43" t="n">
        <v>2.5</v>
      </c>
      <c r="P10" s="43" t="n">
        <v>2.6</v>
      </c>
      <c r="Q10" s="43" t="n">
        <v>2.7</v>
      </c>
      <c r="R10" s="43" t="n">
        <v>2.8</v>
      </c>
      <c r="S10" s="43" t="n">
        <v>2.9</v>
      </c>
      <c r="T10" s="43" t="n">
        <v>3</v>
      </c>
    </row>
    <row r="11" customFormat="false" ht="15" hidden="false" customHeight="false" outlineLevel="0" collapsed="false">
      <c r="C11" s="0" t="s">
        <v>415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416</v>
      </c>
      <c r="D12" s="11" t="s">
        <v>70</v>
      </c>
      <c r="E12" s="19" t="n">
        <v>0.15</v>
      </c>
      <c r="J12" s="45" t="n">
        <v>0</v>
      </c>
      <c r="K12" s="45" t="n">
        <v>5</v>
      </c>
      <c r="L12" s="45" t="n">
        <v>10</v>
      </c>
      <c r="M12" s="45" t="n">
        <v>20</v>
      </c>
      <c r="N12" s="45" t="n">
        <v>30</v>
      </c>
      <c r="O12" s="45" t="n">
        <v>40</v>
      </c>
      <c r="P12" s="45" t="n">
        <v>50</v>
      </c>
      <c r="Q12" s="45" t="n">
        <v>60</v>
      </c>
      <c r="R12" s="45" t="n">
        <v>70</v>
      </c>
      <c r="S12" s="45" t="n">
        <v>80</v>
      </c>
      <c r="T12" s="45" t="n">
        <v>90</v>
      </c>
      <c r="U12" s="45" t="n">
        <v>100</v>
      </c>
    </row>
    <row r="13" customFormat="false" ht="15" hidden="false" customHeight="false" outlineLevel="0" collapsed="false">
      <c r="C13" s="0" t="s">
        <v>417</v>
      </c>
      <c r="D13" s="11" t="s">
        <v>35</v>
      </c>
      <c r="J13" s="43" t="n">
        <v>0.02</v>
      </c>
      <c r="K13" s="43" t="n">
        <v>0.05</v>
      </c>
      <c r="L13" s="43" t="n">
        <v>0.1</v>
      </c>
      <c r="M13" s="43" t="n">
        <v>0.15</v>
      </c>
      <c r="N13" s="43" t="n">
        <v>0.2</v>
      </c>
      <c r="O13" s="43" t="n">
        <v>0.25</v>
      </c>
      <c r="P13" s="43" t="n">
        <v>0.3</v>
      </c>
      <c r="Q13" s="43" t="n">
        <v>0.35</v>
      </c>
      <c r="R13" s="43" t="n">
        <v>0.4</v>
      </c>
      <c r="S13" s="43" t="n">
        <v>0.5</v>
      </c>
    </row>
    <row r="14" customFormat="false" ht="15" hidden="false" customHeight="false" outlineLevel="0" collapsed="false">
      <c r="C14" s="0" t="s">
        <v>418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419</v>
      </c>
      <c r="D15" s="11" t="s">
        <v>70</v>
      </c>
      <c r="E15" s="19" t="n">
        <v>0.1</v>
      </c>
      <c r="J15" s="45" t="n">
        <v>0</v>
      </c>
      <c r="K15" s="45" t="n">
        <v>10</v>
      </c>
      <c r="L15" s="45" t="n">
        <v>20</v>
      </c>
      <c r="M15" s="45" t="n">
        <v>30</v>
      </c>
      <c r="N15" s="45" t="n">
        <v>40</v>
      </c>
      <c r="O15" s="45" t="n">
        <v>50</v>
      </c>
      <c r="P15" s="45" t="n">
        <v>60</v>
      </c>
      <c r="Q15" s="45" t="n">
        <v>70</v>
      </c>
      <c r="R15" s="45" t="n">
        <v>80</v>
      </c>
      <c r="S15" s="45" t="n">
        <v>90</v>
      </c>
      <c r="T15" s="45" t="n">
        <v>100</v>
      </c>
    </row>
    <row r="16" customFormat="false" ht="15" hidden="false" customHeight="false" outlineLevel="0" collapsed="false">
      <c r="C16" s="0" t="s">
        <v>420</v>
      </c>
      <c r="D16" s="11" t="s">
        <v>35</v>
      </c>
      <c r="E16" s="43" t="n">
        <v>0.05</v>
      </c>
      <c r="J16" s="43" t="n">
        <v>0.02</v>
      </c>
      <c r="K16" s="43" t="n">
        <v>0.05</v>
      </c>
      <c r="L16" s="43" t="n">
        <v>0.1</v>
      </c>
      <c r="M16" s="43" t="n">
        <v>0.15</v>
      </c>
      <c r="N16" s="43" t="n">
        <v>0.2</v>
      </c>
      <c r="O16" s="43" t="n">
        <v>0.25</v>
      </c>
      <c r="P16" s="43" t="n">
        <v>0.3</v>
      </c>
      <c r="Q16" s="43" t="n">
        <v>0.35</v>
      </c>
      <c r="R16" s="43" t="n">
        <v>0.4</v>
      </c>
      <c r="S16" s="43" t="n">
        <v>0.5</v>
      </c>
    </row>
    <row r="17" customFormat="false" ht="15" hidden="false" customHeight="false" outlineLevel="0" collapsed="false">
      <c r="C17" s="0" t="s">
        <v>421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422</v>
      </c>
      <c r="D18" s="11" t="s">
        <v>70</v>
      </c>
      <c r="E18" s="19" t="n">
        <v>0.15</v>
      </c>
      <c r="J18" s="45" t="n">
        <v>0</v>
      </c>
      <c r="K18" s="45" t="n">
        <v>10</v>
      </c>
      <c r="L18" s="45" t="n">
        <v>20</v>
      </c>
      <c r="M18" s="45" t="n">
        <v>30</v>
      </c>
      <c r="N18" s="45" t="n">
        <v>40</v>
      </c>
      <c r="O18" s="45" t="n">
        <v>50</v>
      </c>
      <c r="P18" s="45" t="n">
        <v>60</v>
      </c>
      <c r="Q18" s="45" t="n">
        <v>70</v>
      </c>
      <c r="R18" s="45" t="n">
        <v>80</v>
      </c>
      <c r="S18" s="45" t="n">
        <v>90</v>
      </c>
      <c r="T18" s="45" t="n">
        <v>100</v>
      </c>
    </row>
    <row r="19" customFormat="false" ht="15" hidden="false" customHeight="false" outlineLevel="0" collapsed="false">
      <c r="C19" s="0" t="s">
        <v>423</v>
      </c>
      <c r="D19" s="11" t="s">
        <v>13</v>
      </c>
      <c r="J19" s="43" t="n">
        <v>1</v>
      </c>
      <c r="K19" s="43" t="n">
        <v>1.2</v>
      </c>
      <c r="L19" s="43" t="n">
        <v>1.3</v>
      </c>
      <c r="M19" s="43" t="n">
        <v>1.4</v>
      </c>
      <c r="N19" s="43" t="n">
        <v>1.5</v>
      </c>
      <c r="O19" s="43" t="n">
        <v>1.6</v>
      </c>
      <c r="P19" s="43" t="n">
        <v>1.7</v>
      </c>
      <c r="Q19" s="43" t="n">
        <v>1.8</v>
      </c>
      <c r="R19" s="43" t="n">
        <v>1.9</v>
      </c>
      <c r="S19" s="43" t="n">
        <v>2</v>
      </c>
    </row>
    <row r="20" customFormat="false" ht="15" hidden="false" customHeight="false" outlineLevel="0" collapsed="false">
      <c r="C20" s="0" t="s">
        <v>424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425</v>
      </c>
      <c r="D21" s="11" t="s">
        <v>70</v>
      </c>
      <c r="E21" s="19" t="n">
        <v>0.05</v>
      </c>
      <c r="J21" s="45" t="n">
        <v>0</v>
      </c>
      <c r="K21" s="45" t="n">
        <v>10</v>
      </c>
      <c r="L21" s="45" t="n">
        <v>20</v>
      </c>
      <c r="M21" s="45" t="n">
        <v>30</v>
      </c>
      <c r="N21" s="45" t="n">
        <v>40</v>
      </c>
      <c r="O21" s="45" t="n">
        <v>50</v>
      </c>
      <c r="P21" s="45" t="n">
        <v>60</v>
      </c>
      <c r="Q21" s="45" t="n">
        <v>70</v>
      </c>
      <c r="R21" s="45" t="n">
        <v>80</v>
      </c>
      <c r="S21" s="45" t="n">
        <v>90</v>
      </c>
      <c r="T21" s="45" t="n">
        <v>100</v>
      </c>
    </row>
    <row r="22" customFormat="false" ht="15" hidden="false" customHeight="false" outlineLevel="0" collapsed="false">
      <c r="C22" s="0" t="s">
        <v>426</v>
      </c>
      <c r="D22" s="11" t="s">
        <v>70</v>
      </c>
      <c r="E22" s="19" t="n">
        <v>0.05</v>
      </c>
      <c r="J22" s="45" t="n">
        <v>100</v>
      </c>
    </row>
    <row r="23" customFormat="false" ht="15" hidden="false" customHeight="false" outlineLevel="0" collapsed="false">
      <c r="C23" s="0" t="s">
        <v>427</v>
      </c>
      <c r="D23" s="11" t="s">
        <v>70</v>
      </c>
      <c r="E23" s="19" t="n">
        <v>0.1</v>
      </c>
      <c r="J23" s="45" t="n">
        <v>100</v>
      </c>
    </row>
    <row r="24" customFormat="false" ht="15" hidden="false" customHeight="false" outlineLevel="0" collapsed="false">
      <c r="C24" s="0" t="s">
        <v>428</v>
      </c>
      <c r="D24" s="11" t="s">
        <v>70</v>
      </c>
      <c r="E24" s="19" t="n">
        <v>0.05</v>
      </c>
      <c r="J24" s="45" t="n">
        <v>100</v>
      </c>
    </row>
    <row r="25" customFormat="false" ht="15" hidden="false" customHeight="false" outlineLevel="0" collapsed="false">
      <c r="C25" s="0" t="s">
        <v>429</v>
      </c>
      <c r="D25" s="11" t="s">
        <v>70</v>
      </c>
      <c r="E25" s="19" t="n">
        <v>0.15</v>
      </c>
      <c r="J25" s="45" t="n">
        <v>80</v>
      </c>
    </row>
    <row r="26" customFormat="false" ht="15" hidden="false" customHeight="false" outlineLevel="0" collapsed="false">
      <c r="C26" s="0" t="s">
        <v>430</v>
      </c>
      <c r="D26" s="11" t="s">
        <v>70</v>
      </c>
      <c r="J26" s="45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431</v>
      </c>
      <c r="D28" s="9"/>
      <c r="E28" s="9" t="s">
        <v>432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433</v>
      </c>
      <c r="E29" s="8" t="s">
        <v>434</v>
      </c>
      <c r="F29" s="8" t="s">
        <v>247</v>
      </c>
      <c r="I29" s="8" t="s">
        <v>435</v>
      </c>
      <c r="J29" s="8" t="s">
        <v>436</v>
      </c>
      <c r="K29" s="8" t="s">
        <v>437</v>
      </c>
    </row>
    <row r="30" customFormat="false" ht="15" hidden="false" customHeight="false" outlineLevel="0" collapsed="false">
      <c r="C30" s="0" t="s">
        <v>438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439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440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441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442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443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444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445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446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447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448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449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450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451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452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453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454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455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456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457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458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459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460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461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462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463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464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465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466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467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468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469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1</v>
      </c>
      <c r="C1" s="13" t="s">
        <v>470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471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472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473</v>
      </c>
      <c r="D5" s="11" t="s">
        <v>209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474</v>
      </c>
      <c r="D6" s="11" t="s">
        <v>475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476</v>
      </c>
      <c r="D7" s="11" t="s">
        <v>477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478</v>
      </c>
      <c r="D8" s="11" t="s">
        <v>205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479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480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481</v>
      </c>
      <c r="D13" s="11" t="s">
        <v>475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364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482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483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484</v>
      </c>
      <c r="D18" s="11" t="s">
        <v>475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485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486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487</v>
      </c>
      <c r="D21" s="11" t="s">
        <v>475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488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489</v>
      </c>
      <c r="D24" s="11" t="s">
        <v>122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490</v>
      </c>
      <c r="D25" s="11" t="s">
        <v>122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491</v>
      </c>
      <c r="D26" s="11" t="s">
        <v>492</v>
      </c>
      <c r="E26" s="32" t="n">
        <f aca="false">$E25*INDEX(Dash_BESS_Hours,1,$A$1)</f>
        <v>204</v>
      </c>
      <c r="F26" s="32" t="n">
        <f aca="false">$E26*In_BESS_Built</f>
        <v>204</v>
      </c>
    </row>
    <row r="27" customFormat="false" ht="15" hidden="false" customHeight="false" outlineLevel="0" collapsed="false">
      <c r="C27" s="0" t="s">
        <v>493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494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495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496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497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498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499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500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501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502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503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504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505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506</v>
      </c>
      <c r="D42" s="11" t="s">
        <v>205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507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508</v>
      </c>
      <c r="D45" s="11" t="s">
        <v>281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89</v>
      </c>
      <c r="D46" s="11" t="s">
        <v>247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509</v>
      </c>
      <c r="D47" s="11" t="s">
        <v>247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510</v>
      </c>
      <c r="D48" s="11" t="s">
        <v>247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511</v>
      </c>
      <c r="D49" s="11" t="s">
        <v>247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512</v>
      </c>
      <c r="D50" s="11" t="s">
        <v>247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513</v>
      </c>
      <c r="D51" s="11" t="s">
        <v>247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514</v>
      </c>
      <c r="D52" s="11" t="s">
        <v>247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115</v>
      </c>
      <c r="D53" s="11" t="s">
        <v>247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515</v>
      </c>
      <c r="D54" s="11" t="s">
        <v>247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516</v>
      </c>
      <c r="D55" s="11" t="s">
        <v>247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517</v>
      </c>
      <c r="D56" s="11" t="s">
        <v>247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518</v>
      </c>
      <c r="D57" s="11" t="s">
        <v>247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519</v>
      </c>
      <c r="D58" s="11" t="s">
        <v>247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520</v>
      </c>
      <c r="D59" s="11" t="s">
        <v>247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521</v>
      </c>
      <c r="D60" s="11" t="s">
        <v>247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522</v>
      </c>
      <c r="D61" s="11" t="s">
        <v>247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523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524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525</v>
      </c>
      <c r="D65" s="11" t="s">
        <v>247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526</v>
      </c>
      <c r="D66" s="11" t="s">
        <v>205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527</v>
      </c>
      <c r="D67" s="11" t="s">
        <v>247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528</v>
      </c>
      <c r="D68" s="11" t="s">
        <v>247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529</v>
      </c>
      <c r="D69" s="11" t="s">
        <v>247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530</v>
      </c>
      <c r="D70" s="11" t="s">
        <v>247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531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532</v>
      </c>
      <c r="D72" s="11" t="s">
        <v>247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528</v>
      </c>
      <c r="D73" s="11" t="s">
        <v>247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529</v>
      </c>
      <c r="D74" s="11" t="s">
        <v>247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533</v>
      </c>
      <c r="D75" s="11" t="s">
        <v>247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534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526</v>
      </c>
      <c r="D77" s="11" t="s">
        <v>205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527</v>
      </c>
      <c r="D78" s="11" t="s">
        <v>247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535</v>
      </c>
      <c r="D79" s="11" t="s">
        <v>247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529</v>
      </c>
      <c r="D80" s="11" t="s">
        <v>247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530</v>
      </c>
      <c r="D81" s="11" t="s">
        <v>247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536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537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538</v>
      </c>
      <c r="D85" s="11" t="s">
        <v>247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539</v>
      </c>
      <c r="D86" s="11" t="s">
        <v>247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540</v>
      </c>
      <c r="D87" s="11" t="s">
        <v>247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541</v>
      </c>
      <c r="D88" s="11" t="s">
        <v>146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147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542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543</v>
      </c>
      <c r="D92" s="11" t="s">
        <v>27</v>
      </c>
      <c r="E92" s="33" t="n">
        <f aca="false">IF(In_CN_Turbine=1,In_Turbine_CN,In_Turbine)</f>
        <v>600</v>
      </c>
      <c r="F92" s="33" t="n">
        <f aca="false">In_Installation+In_Foundations+In_BoP+In_Owner+In_Easements</f>
        <v>355</v>
      </c>
    </row>
    <row r="93" customFormat="false" ht="15" hidden="false" customHeight="false" outlineLevel="0" collapsed="false">
      <c r="C93" s="0" t="s">
        <v>544</v>
      </c>
      <c r="D93" s="11" t="s">
        <v>247</v>
      </c>
      <c r="E93" s="33" t="n">
        <f aca="false">IF(In_CN_Turbine=1,In_Substation_CN,In_Substation)</f>
        <v>12000</v>
      </c>
    </row>
    <row r="94" customFormat="false" ht="15" hidden="false" customHeight="false" outlineLevel="0" collapsed="false">
      <c r="C94" s="0" t="s">
        <v>545</v>
      </c>
      <c r="D94" s="11" t="s">
        <v>247</v>
      </c>
      <c r="E94" s="33" t="n">
        <f aca="false">(($E92+$F92)*$F24+$E93)*(1+In_Capex_Contingency)+In_BESS_Capex*$F26</f>
        <v>133275</v>
      </c>
      <c r="I94" s="33" t="n">
        <f aca="false">SUM(J94:ET94)</f>
        <v>-133275</v>
      </c>
      <c r="J94" s="33" t="n">
        <f aca="false">-$E94*J13</f>
        <v>-0</v>
      </c>
      <c r="K94" s="33" t="n">
        <f aca="false">-$E94*K13</f>
        <v>-0</v>
      </c>
      <c r="L94" s="33" t="n">
        <f aca="false">-$E94*L13</f>
        <v>-0</v>
      </c>
      <c r="M94" s="33" t="n">
        <f aca="false">-$E94*M13</f>
        <v>-0</v>
      </c>
      <c r="N94" s="33" t="n">
        <f aca="false">-$E94*N13</f>
        <v>-0</v>
      </c>
      <c r="O94" s="33" t="n">
        <f aca="false">-$E94*O13</f>
        <v>-0</v>
      </c>
      <c r="P94" s="33" t="n">
        <f aca="false">-$E94*P13</f>
        <v>-0</v>
      </c>
      <c r="Q94" s="33" t="n">
        <f aca="false">-$E94*Q13</f>
        <v>-0</v>
      </c>
      <c r="R94" s="33" t="n">
        <f aca="false">-$E94*R13</f>
        <v>-0</v>
      </c>
      <c r="S94" s="33" t="n">
        <f aca="false">-$E94*S13</f>
        <v>-0</v>
      </c>
      <c r="T94" s="33" t="n">
        <f aca="false">-$E94*T13</f>
        <v>-0</v>
      </c>
      <c r="U94" s="33" t="n">
        <f aca="false">-$E94*U13</f>
        <v>-0</v>
      </c>
      <c r="V94" s="33" t="n">
        <f aca="false">-$E94*V13</f>
        <v>-0</v>
      </c>
      <c r="W94" s="33" t="n">
        <f aca="false">-$E94*W13</f>
        <v>-16796.301369863</v>
      </c>
      <c r="X94" s="33" t="n">
        <f aca="false">-$E94*X13</f>
        <v>-16431.1643835616</v>
      </c>
      <c r="Y94" s="33" t="n">
        <f aca="false">-$E94*Y13</f>
        <v>-16613.7328767123</v>
      </c>
      <c r="Z94" s="33" t="n">
        <f aca="false">-$E94*Z13</f>
        <v>-16796.301369863</v>
      </c>
      <c r="AA94" s="33" t="n">
        <f aca="false">-$E94*AA13</f>
        <v>-16796.301369863</v>
      </c>
      <c r="AB94" s="33" t="n">
        <f aca="false">-$E94*AB13</f>
        <v>-16431.1643835616</v>
      </c>
      <c r="AC94" s="33" t="n">
        <f aca="false">-$E94*AC13</f>
        <v>-16613.7328767123</v>
      </c>
      <c r="AD94" s="33" t="n">
        <f aca="false">-$E94*AD13</f>
        <v>-16796.301369863</v>
      </c>
      <c r="AE94" s="33" t="n">
        <f aca="false">-$E94*AE13</f>
        <v>-0</v>
      </c>
      <c r="AF94" s="33" t="n">
        <f aca="false">-$E94*AF13</f>
        <v>-0</v>
      </c>
      <c r="AG94" s="33" t="n">
        <f aca="false">-$E94*AG13</f>
        <v>-0</v>
      </c>
      <c r="AH94" s="33" t="n">
        <f aca="false">-$E94*AH13</f>
        <v>-0</v>
      </c>
      <c r="AI94" s="33" t="n">
        <f aca="false">-$E94*AI13</f>
        <v>-0</v>
      </c>
      <c r="AJ94" s="33" t="n">
        <f aca="false">-$E94*AJ13</f>
        <v>-0</v>
      </c>
      <c r="AK94" s="33" t="n">
        <f aca="false">-$E94*AK13</f>
        <v>-0</v>
      </c>
      <c r="AL94" s="33" t="n">
        <f aca="false">-$E94*AL13</f>
        <v>-0</v>
      </c>
      <c r="AM94" s="33" t="n">
        <f aca="false">-$E94*AM13</f>
        <v>-0</v>
      </c>
      <c r="AN94" s="33" t="n">
        <f aca="false">-$E94*AN13</f>
        <v>-0</v>
      </c>
      <c r="AO94" s="33" t="n">
        <f aca="false">-$E94*AO13</f>
        <v>-0</v>
      </c>
      <c r="AP94" s="33" t="n">
        <f aca="false">-$E94*AP13</f>
        <v>-0</v>
      </c>
      <c r="AQ94" s="33" t="n">
        <f aca="false">-$E94*AQ13</f>
        <v>-0</v>
      </c>
      <c r="AR94" s="33" t="n">
        <f aca="false">-$E94*AR13</f>
        <v>-0</v>
      </c>
      <c r="AS94" s="33" t="n">
        <f aca="false">-$E94*AS13</f>
        <v>-0</v>
      </c>
      <c r="AT94" s="33" t="n">
        <f aca="false">-$E94*AT13</f>
        <v>-0</v>
      </c>
      <c r="AU94" s="33" t="n">
        <f aca="false">-$E94*AU13</f>
        <v>-0</v>
      </c>
      <c r="AV94" s="33" t="n">
        <f aca="false">-$E94*AV13</f>
        <v>-0</v>
      </c>
      <c r="AW94" s="33" t="n">
        <f aca="false">-$E94*AW13</f>
        <v>-0</v>
      </c>
      <c r="AX94" s="33" t="n">
        <f aca="false">-$E94*AX13</f>
        <v>-0</v>
      </c>
      <c r="AY94" s="33" t="n">
        <f aca="false">-$E94*AY13</f>
        <v>-0</v>
      </c>
      <c r="AZ94" s="33" t="n">
        <f aca="false">-$E94*AZ13</f>
        <v>-0</v>
      </c>
      <c r="BA94" s="33" t="n">
        <f aca="false">-$E94*BA13</f>
        <v>-0</v>
      </c>
      <c r="BB94" s="33" t="n">
        <f aca="false">-$E94*BB13</f>
        <v>-0</v>
      </c>
      <c r="BC94" s="33" t="n">
        <f aca="false">-$E94*BC13</f>
        <v>-0</v>
      </c>
      <c r="BD94" s="33" t="n">
        <f aca="false">-$E94*BD13</f>
        <v>-0</v>
      </c>
      <c r="BE94" s="33" t="n">
        <f aca="false">-$E94*BE13</f>
        <v>-0</v>
      </c>
      <c r="BF94" s="33" t="n">
        <f aca="false">-$E94*BF13</f>
        <v>-0</v>
      </c>
      <c r="BG94" s="33" t="n">
        <f aca="false">-$E94*BG13</f>
        <v>-0</v>
      </c>
      <c r="BH94" s="33" t="n">
        <f aca="false">-$E94*BH13</f>
        <v>-0</v>
      </c>
      <c r="BI94" s="33" t="n">
        <f aca="false">-$E94*BI13</f>
        <v>-0</v>
      </c>
      <c r="BJ94" s="33" t="n">
        <f aca="false">-$E94*BJ13</f>
        <v>-0</v>
      </c>
      <c r="BK94" s="33" t="n">
        <f aca="false">-$E94*BK13</f>
        <v>-0</v>
      </c>
      <c r="BL94" s="33" t="n">
        <f aca="false">-$E94*BL13</f>
        <v>-0</v>
      </c>
      <c r="BM94" s="33" t="n">
        <f aca="false">-$E94*BM13</f>
        <v>-0</v>
      </c>
      <c r="BN94" s="33" t="n">
        <f aca="false">-$E94*BN13</f>
        <v>-0</v>
      </c>
      <c r="BO94" s="33" t="n">
        <f aca="false">-$E94*BO13</f>
        <v>-0</v>
      </c>
      <c r="BP94" s="33" t="n">
        <f aca="false">-$E94*BP13</f>
        <v>-0</v>
      </c>
      <c r="BQ94" s="33" t="n">
        <f aca="false">-$E94*BQ13</f>
        <v>-0</v>
      </c>
      <c r="BR94" s="33" t="n">
        <f aca="false">-$E94*BR13</f>
        <v>-0</v>
      </c>
      <c r="BS94" s="33" t="n">
        <f aca="false">-$E94*BS13</f>
        <v>-0</v>
      </c>
      <c r="BT94" s="33" t="n">
        <f aca="false">-$E94*BT13</f>
        <v>-0</v>
      </c>
      <c r="BU94" s="33" t="n">
        <f aca="false">-$E94*BU13</f>
        <v>-0</v>
      </c>
      <c r="BV94" s="33" t="n">
        <f aca="false">-$E94*BV13</f>
        <v>-0</v>
      </c>
      <c r="BW94" s="33" t="n">
        <f aca="false">-$E94*BW13</f>
        <v>-0</v>
      </c>
      <c r="BX94" s="33" t="n">
        <f aca="false">-$E94*BX13</f>
        <v>-0</v>
      </c>
      <c r="BY94" s="33" t="n">
        <f aca="false">-$E94*BY13</f>
        <v>-0</v>
      </c>
      <c r="BZ94" s="33" t="n">
        <f aca="false">-$E94*BZ13</f>
        <v>-0</v>
      </c>
      <c r="CA94" s="33" t="n">
        <f aca="false">-$E94*CA13</f>
        <v>-0</v>
      </c>
      <c r="CB94" s="33" t="n">
        <f aca="false">-$E94*CB13</f>
        <v>-0</v>
      </c>
      <c r="CC94" s="33" t="n">
        <f aca="false">-$E94*CC13</f>
        <v>-0</v>
      </c>
      <c r="CD94" s="33" t="n">
        <f aca="false">-$E94*CD13</f>
        <v>-0</v>
      </c>
      <c r="CE94" s="33" t="n">
        <f aca="false">-$E94*CE13</f>
        <v>-0</v>
      </c>
      <c r="CF94" s="33" t="n">
        <f aca="false">-$E94*CF13</f>
        <v>-0</v>
      </c>
      <c r="CG94" s="33" t="n">
        <f aca="false">-$E94*CG13</f>
        <v>-0</v>
      </c>
      <c r="CH94" s="33" t="n">
        <f aca="false">-$E94*CH13</f>
        <v>-0</v>
      </c>
      <c r="CI94" s="33" t="n">
        <f aca="false">-$E94*CI13</f>
        <v>-0</v>
      </c>
      <c r="CJ94" s="33" t="n">
        <f aca="false">-$E94*CJ13</f>
        <v>-0</v>
      </c>
      <c r="CK94" s="33" t="n">
        <f aca="false">-$E94*CK13</f>
        <v>-0</v>
      </c>
      <c r="CL94" s="33" t="n">
        <f aca="false">-$E94*CL13</f>
        <v>-0</v>
      </c>
      <c r="CM94" s="33" t="n">
        <f aca="false">-$E94*CM13</f>
        <v>-0</v>
      </c>
      <c r="CN94" s="33" t="n">
        <f aca="false">-$E94*CN13</f>
        <v>-0</v>
      </c>
      <c r="CO94" s="33" t="n">
        <f aca="false">-$E94*CO13</f>
        <v>-0</v>
      </c>
      <c r="CP94" s="33" t="n">
        <f aca="false">-$E94*CP13</f>
        <v>-0</v>
      </c>
      <c r="CQ94" s="33" t="n">
        <f aca="false">-$E94*CQ13</f>
        <v>-0</v>
      </c>
      <c r="CR94" s="33" t="n">
        <f aca="false">-$E94*CR13</f>
        <v>-0</v>
      </c>
      <c r="CS94" s="33" t="n">
        <f aca="false">-$E94*CS13</f>
        <v>-0</v>
      </c>
      <c r="CT94" s="33" t="n">
        <f aca="false">-$E94*CT13</f>
        <v>-0</v>
      </c>
      <c r="CU94" s="33" t="n">
        <f aca="false">-$E94*CU13</f>
        <v>-0</v>
      </c>
      <c r="CV94" s="33" t="n">
        <f aca="false">-$E94*CV13</f>
        <v>-0</v>
      </c>
      <c r="CW94" s="33" t="n">
        <f aca="false">-$E94*CW13</f>
        <v>-0</v>
      </c>
      <c r="CX94" s="33" t="n">
        <f aca="false">-$E94*CX13</f>
        <v>-0</v>
      </c>
      <c r="CY94" s="33" t="n">
        <f aca="false">-$E94*CY13</f>
        <v>-0</v>
      </c>
      <c r="CZ94" s="33" t="n">
        <f aca="false">-$E94*CZ13</f>
        <v>-0</v>
      </c>
      <c r="DA94" s="33" t="n">
        <f aca="false">-$E94*DA13</f>
        <v>-0</v>
      </c>
      <c r="DB94" s="33" t="n">
        <f aca="false">-$E94*DB13</f>
        <v>-0</v>
      </c>
      <c r="DC94" s="33" t="n">
        <f aca="false">-$E94*DC13</f>
        <v>-0</v>
      </c>
      <c r="DD94" s="33" t="n">
        <f aca="false">-$E94*DD13</f>
        <v>-0</v>
      </c>
      <c r="DE94" s="33" t="n">
        <f aca="false">-$E94*DE13</f>
        <v>-0</v>
      </c>
      <c r="DF94" s="33" t="n">
        <f aca="false">-$E94*DF13</f>
        <v>-0</v>
      </c>
      <c r="DG94" s="33" t="n">
        <f aca="false">-$E94*DG13</f>
        <v>-0</v>
      </c>
      <c r="DH94" s="33" t="n">
        <f aca="false">-$E94*DH13</f>
        <v>-0</v>
      </c>
      <c r="DI94" s="33" t="n">
        <f aca="false">-$E94*DI13</f>
        <v>-0</v>
      </c>
      <c r="DJ94" s="33" t="n">
        <f aca="false">-$E94*DJ13</f>
        <v>-0</v>
      </c>
      <c r="DK94" s="33" t="n">
        <f aca="false">-$E94*DK13</f>
        <v>-0</v>
      </c>
      <c r="DL94" s="33" t="n">
        <f aca="false">-$E94*DL13</f>
        <v>-0</v>
      </c>
      <c r="DM94" s="33" t="n">
        <f aca="false">-$E94*DM13</f>
        <v>-0</v>
      </c>
      <c r="DN94" s="33" t="n">
        <f aca="false">-$E94*DN13</f>
        <v>-0</v>
      </c>
      <c r="DO94" s="33" t="n">
        <f aca="false">-$E94*DO13</f>
        <v>-0</v>
      </c>
      <c r="DP94" s="33" t="n">
        <f aca="false">-$E94*DP13</f>
        <v>-0</v>
      </c>
      <c r="DQ94" s="33" t="n">
        <f aca="false">-$E94*DQ13</f>
        <v>-0</v>
      </c>
      <c r="DR94" s="33" t="n">
        <f aca="false">-$E94*DR13</f>
        <v>-0</v>
      </c>
      <c r="DS94" s="33" t="n">
        <f aca="false">-$E94*DS13</f>
        <v>-0</v>
      </c>
      <c r="DT94" s="33" t="n">
        <f aca="false">-$E94*DT13</f>
        <v>-0</v>
      </c>
      <c r="DU94" s="33" t="n">
        <f aca="false">-$E94*DU13</f>
        <v>-0</v>
      </c>
      <c r="DV94" s="33" t="n">
        <f aca="false">-$E94*DV13</f>
        <v>-0</v>
      </c>
      <c r="DW94" s="33" t="n">
        <f aca="false">-$E94*DW13</f>
        <v>-0</v>
      </c>
      <c r="DX94" s="33" t="n">
        <f aca="false">-$E94*DX13</f>
        <v>-0</v>
      </c>
      <c r="DY94" s="33" t="n">
        <f aca="false">-$E94*DY13</f>
        <v>-0</v>
      </c>
      <c r="DZ94" s="33" t="n">
        <f aca="false">-$E94*DZ13</f>
        <v>-0</v>
      </c>
      <c r="EA94" s="33" t="n">
        <f aca="false">-$E94*EA13</f>
        <v>-0</v>
      </c>
      <c r="EB94" s="33" t="n">
        <f aca="false">-$E94*EB13</f>
        <v>-0</v>
      </c>
      <c r="EC94" s="33" t="n">
        <f aca="false">-$E94*EC13</f>
        <v>-0</v>
      </c>
      <c r="ED94" s="33" t="n">
        <f aca="false">-$E94*ED13</f>
        <v>-0</v>
      </c>
      <c r="EE94" s="33" t="n">
        <f aca="false">-$E94*EE13</f>
        <v>-0</v>
      </c>
      <c r="EF94" s="33" t="n">
        <f aca="false">-$E94*EF13</f>
        <v>-0</v>
      </c>
      <c r="EG94" s="33" t="n">
        <f aca="false">-$E94*EG13</f>
        <v>-0</v>
      </c>
      <c r="EH94" s="33" t="n">
        <f aca="false">-$E94*EH13</f>
        <v>-0</v>
      </c>
      <c r="EI94" s="33" t="n">
        <f aca="false">-$E94*EI13</f>
        <v>-0</v>
      </c>
      <c r="EJ94" s="33" t="n">
        <f aca="false">-$E94*EJ13</f>
        <v>-0</v>
      </c>
      <c r="EK94" s="33" t="n">
        <f aca="false">-$E94*EK13</f>
        <v>-0</v>
      </c>
      <c r="EL94" s="33" t="n">
        <f aca="false">-$E94*EL13</f>
        <v>-0</v>
      </c>
      <c r="EM94" s="33" t="n">
        <f aca="false">-$E94*EM13</f>
        <v>-0</v>
      </c>
      <c r="EN94" s="33" t="n">
        <f aca="false">-$E94*EN13</f>
        <v>-0</v>
      </c>
      <c r="EO94" s="33" t="n">
        <f aca="false">-$E94*EO13</f>
        <v>-0</v>
      </c>
      <c r="EP94" s="33" t="n">
        <f aca="false">-$E94*EP13</f>
        <v>-0</v>
      </c>
      <c r="EQ94" s="33" t="n">
        <f aca="false">-$E94*EQ13</f>
        <v>-0</v>
      </c>
      <c r="ER94" s="33" t="n">
        <f aca="false">-$E94*ER13</f>
        <v>-0</v>
      </c>
      <c r="ES94" s="33" t="n">
        <f aca="false">-$E94*ES13</f>
        <v>-0</v>
      </c>
      <c r="ET94" s="33" t="n">
        <f aca="false">-$E94*ET13</f>
        <v>-0</v>
      </c>
    </row>
    <row r="95" customFormat="false" ht="15" hidden="false" customHeight="false" outlineLevel="0" collapsed="false">
      <c r="C95" s="0" t="s">
        <v>546</v>
      </c>
      <c r="D95" s="11" t="s">
        <v>247</v>
      </c>
      <c r="E95" s="33" t="n">
        <f aca="false">$E30*In_MVA</f>
        <v>5000</v>
      </c>
      <c r="I95" s="33" t="n">
        <f aca="false">SUM(J95:ET95)</f>
        <v>-5000</v>
      </c>
      <c r="J95" s="33" t="n">
        <f aca="false">-$E95*J14</f>
        <v>-0</v>
      </c>
      <c r="K95" s="33" t="n">
        <f aca="false">-$E95*K14</f>
        <v>-0</v>
      </c>
      <c r="L95" s="33" t="n">
        <f aca="false">-$E95*L14</f>
        <v>-0</v>
      </c>
      <c r="M95" s="33" t="n">
        <f aca="false">-$E95*M14</f>
        <v>-0</v>
      </c>
      <c r="N95" s="33" t="n">
        <f aca="false">-$E95*N14</f>
        <v>-0</v>
      </c>
      <c r="O95" s="33" t="n">
        <f aca="false">-$E95*O14</f>
        <v>-0</v>
      </c>
      <c r="P95" s="33" t="n">
        <f aca="false">-$E95*P14</f>
        <v>-0</v>
      </c>
      <c r="Q95" s="33" t="n">
        <f aca="false">-$E95*Q14</f>
        <v>-0</v>
      </c>
      <c r="R95" s="33" t="n">
        <f aca="false">-$E95*R14</f>
        <v>-0</v>
      </c>
      <c r="S95" s="33" t="n">
        <f aca="false">-$E95*S14</f>
        <v>-0</v>
      </c>
      <c r="T95" s="33" t="n">
        <f aca="false">-$E95*T14</f>
        <v>-0</v>
      </c>
      <c r="U95" s="33" t="n">
        <f aca="false">-$E95*U14</f>
        <v>-0</v>
      </c>
      <c r="V95" s="33" t="n">
        <f aca="false">-$E95*V14</f>
        <v>-0</v>
      </c>
      <c r="W95" s="33" t="n">
        <f aca="false">-$E95*W14</f>
        <v>-0</v>
      </c>
      <c r="X95" s="33" t="n">
        <f aca="false">-$E95*X14</f>
        <v>-0</v>
      </c>
      <c r="Y95" s="33" t="n">
        <f aca="false">-$E95*Y14</f>
        <v>-0</v>
      </c>
      <c r="Z95" s="33" t="n">
        <f aca="false">-$E95*Z14</f>
        <v>-0</v>
      </c>
      <c r="AA95" s="33" t="n">
        <f aca="false">-$E95*AA14</f>
        <v>-0</v>
      </c>
      <c r="AB95" s="33" t="n">
        <f aca="false">-$E95*AB14</f>
        <v>-0</v>
      </c>
      <c r="AC95" s="33" t="n">
        <f aca="false">-$E95*AC14</f>
        <v>-0</v>
      </c>
      <c r="AD95" s="33" t="n">
        <f aca="false">-$E95*AD14</f>
        <v>-5000</v>
      </c>
      <c r="AE95" s="33" t="n">
        <f aca="false">-$E95*AE14</f>
        <v>-0</v>
      </c>
      <c r="AF95" s="33" t="n">
        <f aca="false">-$E95*AF14</f>
        <v>-0</v>
      </c>
      <c r="AG95" s="33" t="n">
        <f aca="false">-$E95*AG14</f>
        <v>-0</v>
      </c>
      <c r="AH95" s="33" t="n">
        <f aca="false">-$E95*AH14</f>
        <v>-0</v>
      </c>
      <c r="AI95" s="33" t="n">
        <f aca="false">-$E95*AI14</f>
        <v>-0</v>
      </c>
      <c r="AJ95" s="33" t="n">
        <f aca="false">-$E95*AJ14</f>
        <v>-0</v>
      </c>
      <c r="AK95" s="33" t="n">
        <f aca="false">-$E95*AK14</f>
        <v>-0</v>
      </c>
      <c r="AL95" s="33" t="n">
        <f aca="false">-$E95*AL14</f>
        <v>-0</v>
      </c>
      <c r="AM95" s="33" t="n">
        <f aca="false">-$E95*AM14</f>
        <v>-0</v>
      </c>
      <c r="AN95" s="33" t="n">
        <f aca="false">-$E95*AN14</f>
        <v>-0</v>
      </c>
      <c r="AO95" s="33" t="n">
        <f aca="false">-$E95*AO14</f>
        <v>-0</v>
      </c>
      <c r="AP95" s="33" t="n">
        <f aca="false">-$E95*AP14</f>
        <v>-0</v>
      </c>
      <c r="AQ95" s="33" t="n">
        <f aca="false">-$E95*AQ14</f>
        <v>-0</v>
      </c>
      <c r="AR95" s="33" t="n">
        <f aca="false">-$E95*AR14</f>
        <v>-0</v>
      </c>
      <c r="AS95" s="33" t="n">
        <f aca="false">-$E95*AS14</f>
        <v>-0</v>
      </c>
      <c r="AT95" s="33" t="n">
        <f aca="false">-$E95*AT14</f>
        <v>-0</v>
      </c>
      <c r="AU95" s="33" t="n">
        <f aca="false">-$E95*AU14</f>
        <v>-0</v>
      </c>
      <c r="AV95" s="33" t="n">
        <f aca="false">-$E95*AV14</f>
        <v>-0</v>
      </c>
      <c r="AW95" s="33" t="n">
        <f aca="false">-$E95*AW14</f>
        <v>-0</v>
      </c>
      <c r="AX95" s="33" t="n">
        <f aca="false">-$E95*AX14</f>
        <v>-0</v>
      </c>
      <c r="AY95" s="33" t="n">
        <f aca="false">-$E95*AY14</f>
        <v>-0</v>
      </c>
      <c r="AZ95" s="33" t="n">
        <f aca="false">-$E95*AZ14</f>
        <v>-0</v>
      </c>
      <c r="BA95" s="33" t="n">
        <f aca="false">-$E95*BA14</f>
        <v>-0</v>
      </c>
      <c r="BB95" s="33" t="n">
        <f aca="false">-$E95*BB14</f>
        <v>-0</v>
      </c>
      <c r="BC95" s="33" t="n">
        <f aca="false">-$E95*BC14</f>
        <v>-0</v>
      </c>
      <c r="BD95" s="33" t="n">
        <f aca="false">-$E95*BD14</f>
        <v>-0</v>
      </c>
      <c r="BE95" s="33" t="n">
        <f aca="false">-$E95*BE14</f>
        <v>-0</v>
      </c>
      <c r="BF95" s="33" t="n">
        <f aca="false">-$E95*BF14</f>
        <v>-0</v>
      </c>
      <c r="BG95" s="33" t="n">
        <f aca="false">-$E95*BG14</f>
        <v>-0</v>
      </c>
      <c r="BH95" s="33" t="n">
        <f aca="false">-$E95*BH14</f>
        <v>-0</v>
      </c>
      <c r="BI95" s="33" t="n">
        <f aca="false">-$E95*BI14</f>
        <v>-0</v>
      </c>
      <c r="BJ95" s="33" t="n">
        <f aca="false">-$E95*BJ14</f>
        <v>-0</v>
      </c>
      <c r="BK95" s="33" t="n">
        <f aca="false">-$E95*BK14</f>
        <v>-0</v>
      </c>
      <c r="BL95" s="33" t="n">
        <f aca="false">-$E95*BL14</f>
        <v>-0</v>
      </c>
      <c r="BM95" s="33" t="n">
        <f aca="false">-$E95*BM14</f>
        <v>-0</v>
      </c>
      <c r="BN95" s="33" t="n">
        <f aca="false">-$E95*BN14</f>
        <v>-0</v>
      </c>
      <c r="BO95" s="33" t="n">
        <f aca="false">-$E95*BO14</f>
        <v>-0</v>
      </c>
      <c r="BP95" s="33" t="n">
        <f aca="false">-$E95*BP14</f>
        <v>-0</v>
      </c>
      <c r="BQ95" s="33" t="n">
        <f aca="false">-$E95*BQ14</f>
        <v>-0</v>
      </c>
      <c r="BR95" s="33" t="n">
        <f aca="false">-$E95*BR14</f>
        <v>-0</v>
      </c>
      <c r="BS95" s="33" t="n">
        <f aca="false">-$E95*BS14</f>
        <v>-0</v>
      </c>
      <c r="BT95" s="33" t="n">
        <f aca="false">-$E95*BT14</f>
        <v>-0</v>
      </c>
      <c r="BU95" s="33" t="n">
        <f aca="false">-$E95*BU14</f>
        <v>-0</v>
      </c>
      <c r="BV95" s="33" t="n">
        <f aca="false">-$E95*BV14</f>
        <v>-0</v>
      </c>
      <c r="BW95" s="33" t="n">
        <f aca="false">-$E95*BW14</f>
        <v>-0</v>
      </c>
      <c r="BX95" s="33" t="n">
        <f aca="false">-$E95*BX14</f>
        <v>-0</v>
      </c>
      <c r="BY95" s="33" t="n">
        <f aca="false">-$E95*BY14</f>
        <v>-0</v>
      </c>
      <c r="BZ95" s="33" t="n">
        <f aca="false">-$E95*BZ14</f>
        <v>-0</v>
      </c>
      <c r="CA95" s="33" t="n">
        <f aca="false">-$E95*CA14</f>
        <v>-0</v>
      </c>
      <c r="CB95" s="33" t="n">
        <f aca="false">-$E95*CB14</f>
        <v>-0</v>
      </c>
      <c r="CC95" s="33" t="n">
        <f aca="false">-$E95*CC14</f>
        <v>-0</v>
      </c>
      <c r="CD95" s="33" t="n">
        <f aca="false">-$E95*CD14</f>
        <v>-0</v>
      </c>
      <c r="CE95" s="33" t="n">
        <f aca="false">-$E95*CE14</f>
        <v>-0</v>
      </c>
      <c r="CF95" s="33" t="n">
        <f aca="false">-$E95*CF14</f>
        <v>-0</v>
      </c>
      <c r="CG95" s="33" t="n">
        <f aca="false">-$E95*CG14</f>
        <v>-0</v>
      </c>
      <c r="CH95" s="33" t="n">
        <f aca="false">-$E95*CH14</f>
        <v>-0</v>
      </c>
      <c r="CI95" s="33" t="n">
        <f aca="false">-$E95*CI14</f>
        <v>-0</v>
      </c>
      <c r="CJ95" s="33" t="n">
        <f aca="false">-$E95*CJ14</f>
        <v>-0</v>
      </c>
      <c r="CK95" s="33" t="n">
        <f aca="false">-$E95*CK14</f>
        <v>-0</v>
      </c>
      <c r="CL95" s="33" t="n">
        <f aca="false">-$E95*CL14</f>
        <v>-0</v>
      </c>
      <c r="CM95" s="33" t="n">
        <f aca="false">-$E95*CM14</f>
        <v>-0</v>
      </c>
      <c r="CN95" s="33" t="n">
        <f aca="false">-$E95*CN14</f>
        <v>-0</v>
      </c>
      <c r="CO95" s="33" t="n">
        <f aca="false">-$E95*CO14</f>
        <v>-0</v>
      </c>
      <c r="CP95" s="33" t="n">
        <f aca="false">-$E95*CP14</f>
        <v>-0</v>
      </c>
      <c r="CQ95" s="33" t="n">
        <f aca="false">-$E95*CQ14</f>
        <v>-0</v>
      </c>
      <c r="CR95" s="33" t="n">
        <f aca="false">-$E95*CR14</f>
        <v>-0</v>
      </c>
      <c r="CS95" s="33" t="n">
        <f aca="false">-$E95*CS14</f>
        <v>-0</v>
      </c>
      <c r="CT95" s="33" t="n">
        <f aca="false">-$E95*CT14</f>
        <v>-0</v>
      </c>
      <c r="CU95" s="33" t="n">
        <f aca="false">-$E95*CU14</f>
        <v>-0</v>
      </c>
      <c r="CV95" s="33" t="n">
        <f aca="false">-$E95*CV14</f>
        <v>-0</v>
      </c>
      <c r="CW95" s="33" t="n">
        <f aca="false">-$E95*CW14</f>
        <v>-0</v>
      </c>
      <c r="CX95" s="33" t="n">
        <f aca="false">-$E95*CX14</f>
        <v>-0</v>
      </c>
      <c r="CY95" s="33" t="n">
        <f aca="false">-$E95*CY14</f>
        <v>-0</v>
      </c>
      <c r="CZ95" s="33" t="n">
        <f aca="false">-$E95*CZ14</f>
        <v>-0</v>
      </c>
      <c r="DA95" s="33" t="n">
        <f aca="false">-$E95*DA14</f>
        <v>-0</v>
      </c>
      <c r="DB95" s="33" t="n">
        <f aca="false">-$E95*DB14</f>
        <v>-0</v>
      </c>
      <c r="DC95" s="33" t="n">
        <f aca="false">-$E95*DC14</f>
        <v>-0</v>
      </c>
      <c r="DD95" s="33" t="n">
        <f aca="false">-$E95*DD14</f>
        <v>-0</v>
      </c>
      <c r="DE95" s="33" t="n">
        <f aca="false">-$E95*DE14</f>
        <v>-0</v>
      </c>
      <c r="DF95" s="33" t="n">
        <f aca="false">-$E95*DF14</f>
        <v>-0</v>
      </c>
      <c r="DG95" s="33" t="n">
        <f aca="false">-$E95*DG14</f>
        <v>-0</v>
      </c>
      <c r="DH95" s="33" t="n">
        <f aca="false">-$E95*DH14</f>
        <v>-0</v>
      </c>
      <c r="DI95" s="33" t="n">
        <f aca="false">-$E95*DI14</f>
        <v>-0</v>
      </c>
      <c r="DJ95" s="33" t="n">
        <f aca="false">-$E95*DJ14</f>
        <v>-0</v>
      </c>
      <c r="DK95" s="33" t="n">
        <f aca="false">-$E95*DK14</f>
        <v>-0</v>
      </c>
      <c r="DL95" s="33" t="n">
        <f aca="false">-$E95*DL14</f>
        <v>-0</v>
      </c>
      <c r="DM95" s="33" t="n">
        <f aca="false">-$E95*DM14</f>
        <v>-0</v>
      </c>
      <c r="DN95" s="33" t="n">
        <f aca="false">-$E95*DN14</f>
        <v>-0</v>
      </c>
      <c r="DO95" s="33" t="n">
        <f aca="false">-$E95*DO14</f>
        <v>-0</v>
      </c>
      <c r="DP95" s="33" t="n">
        <f aca="false">-$E95*DP14</f>
        <v>-0</v>
      </c>
      <c r="DQ95" s="33" t="n">
        <f aca="false">-$E95*DQ14</f>
        <v>-0</v>
      </c>
      <c r="DR95" s="33" t="n">
        <f aca="false">-$E95*DR14</f>
        <v>-0</v>
      </c>
      <c r="DS95" s="33" t="n">
        <f aca="false">-$E95*DS14</f>
        <v>-0</v>
      </c>
      <c r="DT95" s="33" t="n">
        <f aca="false">-$E95*DT14</f>
        <v>-0</v>
      </c>
      <c r="DU95" s="33" t="n">
        <f aca="false">-$E95*DU14</f>
        <v>-0</v>
      </c>
      <c r="DV95" s="33" t="n">
        <f aca="false">-$E95*DV14</f>
        <v>-0</v>
      </c>
      <c r="DW95" s="33" t="n">
        <f aca="false">-$E95*DW14</f>
        <v>-0</v>
      </c>
      <c r="DX95" s="33" t="n">
        <f aca="false">-$E95*DX14</f>
        <v>-0</v>
      </c>
      <c r="DY95" s="33" t="n">
        <f aca="false">-$E95*DY14</f>
        <v>-0</v>
      </c>
      <c r="DZ95" s="33" t="n">
        <f aca="false">-$E95*DZ14</f>
        <v>-0</v>
      </c>
      <c r="EA95" s="33" t="n">
        <f aca="false">-$E95*EA14</f>
        <v>-0</v>
      </c>
      <c r="EB95" s="33" t="n">
        <f aca="false">-$E95*EB14</f>
        <v>-0</v>
      </c>
      <c r="EC95" s="33" t="n">
        <f aca="false">-$E95*EC14</f>
        <v>-0</v>
      </c>
      <c r="ED95" s="33" t="n">
        <f aca="false">-$E95*ED14</f>
        <v>-0</v>
      </c>
      <c r="EE95" s="33" t="n">
        <f aca="false">-$E95*EE14</f>
        <v>-0</v>
      </c>
      <c r="EF95" s="33" t="n">
        <f aca="false">-$E95*EF14</f>
        <v>-0</v>
      </c>
      <c r="EG95" s="33" t="n">
        <f aca="false">-$E95*EG14</f>
        <v>-0</v>
      </c>
      <c r="EH95" s="33" t="n">
        <f aca="false">-$E95*EH14</f>
        <v>-0</v>
      </c>
      <c r="EI95" s="33" t="n">
        <f aca="false">-$E95*EI14</f>
        <v>-0</v>
      </c>
      <c r="EJ95" s="33" t="n">
        <f aca="false">-$E95*EJ14</f>
        <v>-0</v>
      </c>
      <c r="EK95" s="33" t="n">
        <f aca="false">-$E95*EK14</f>
        <v>-0</v>
      </c>
      <c r="EL95" s="33" t="n">
        <f aca="false">-$E95*EL14</f>
        <v>-0</v>
      </c>
      <c r="EM95" s="33" t="n">
        <f aca="false">-$E95*EM14</f>
        <v>-0</v>
      </c>
      <c r="EN95" s="33" t="n">
        <f aca="false">-$E95*EN14</f>
        <v>-0</v>
      </c>
      <c r="EO95" s="33" t="n">
        <f aca="false">-$E95*EO14</f>
        <v>-0</v>
      </c>
      <c r="EP95" s="33" t="n">
        <f aca="false">-$E95*EP14</f>
        <v>-0</v>
      </c>
      <c r="EQ95" s="33" t="n">
        <f aca="false">-$E95*EQ14</f>
        <v>-0</v>
      </c>
      <c r="ER95" s="33" t="n">
        <f aca="false">-$E95*ER14</f>
        <v>-0</v>
      </c>
      <c r="ES95" s="33" t="n">
        <f aca="false">-$E95*ES14</f>
        <v>-0</v>
      </c>
      <c r="ET95" s="33" t="n">
        <f aca="false">-$E95*ET14</f>
        <v>-0</v>
      </c>
    </row>
    <row r="96" customFormat="false" ht="15" hidden="false" customHeight="false" outlineLevel="0" collapsed="false">
      <c r="A96" s="55"/>
      <c r="B96" s="55"/>
      <c r="C96" s="55" t="s">
        <v>547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</row>
    <row r="97" customFormat="false" ht="15" hidden="false" customHeight="false" outlineLevel="0" collapsed="false">
      <c r="C97" s="0" t="s">
        <v>527</v>
      </c>
      <c r="D97" s="11" t="s">
        <v>247</v>
      </c>
      <c r="J97" s="22" t="n">
        <f aca="false">I101</f>
        <v>0</v>
      </c>
      <c r="K97" s="22" t="n">
        <f aca="false">J101</f>
        <v>0</v>
      </c>
      <c r="L97" s="22" t="n">
        <f aca="false">K101</f>
        <v>0</v>
      </c>
      <c r="M97" s="22" t="n">
        <f aca="false">L101</f>
        <v>0</v>
      </c>
      <c r="N97" s="22" t="n">
        <f aca="false">M101</f>
        <v>0</v>
      </c>
      <c r="O97" s="22" t="n">
        <f aca="false">N101</f>
        <v>0</v>
      </c>
      <c r="P97" s="22" t="n">
        <f aca="false">O101</f>
        <v>0</v>
      </c>
      <c r="Q97" s="22" t="n">
        <f aca="false">P101</f>
        <v>0</v>
      </c>
      <c r="R97" s="22" t="n">
        <f aca="false">Q101</f>
        <v>0</v>
      </c>
      <c r="S97" s="22" t="n">
        <f aca="false">R101</f>
        <v>0</v>
      </c>
      <c r="T97" s="22" t="n">
        <f aca="false">S101</f>
        <v>0</v>
      </c>
      <c r="U97" s="22" t="n">
        <f aca="false">T101</f>
        <v>0</v>
      </c>
      <c r="V97" s="22" t="n">
        <f aca="false">U101</f>
        <v>0</v>
      </c>
      <c r="W97" s="22" t="n">
        <f aca="false">V101</f>
        <v>0</v>
      </c>
      <c r="X97" s="22" t="n">
        <f aca="false">W101</f>
        <v>11981.7564177174</v>
      </c>
      <c r="Y97" s="22" t="n">
        <f aca="false">X101</f>
        <v>23852.8118250537</v>
      </c>
      <c r="Z97" s="22" t="n">
        <f aca="false">Y101</f>
        <v>36002.491907783</v>
      </c>
      <c r="AA97" s="22" t="n">
        <f aca="false">Z101</f>
        <v>48434.2794743477</v>
      </c>
      <c r="AB97" s="22" t="n">
        <f aca="false">AA101</f>
        <v>61021.4643854944</v>
      </c>
      <c r="AC97" s="22" t="n">
        <f aca="false">AB101</f>
        <v>73505.516142428</v>
      </c>
      <c r="AD97" s="22" t="n">
        <f aca="false">AC101</f>
        <v>86275.8550291244</v>
      </c>
      <c r="AE97" s="22" t="n">
        <f aca="false">AD101</f>
        <v>99336.0596347059</v>
      </c>
      <c r="AF97" s="22" t="n">
        <f aca="false">AE101</f>
        <v>97406.8129044928</v>
      </c>
      <c r="AG97" s="22" t="n">
        <f aca="false">AF101</f>
        <v>95453.450590152</v>
      </c>
      <c r="AH97" s="22" t="n">
        <f aca="false">AG101</f>
        <v>93475.671246882</v>
      </c>
      <c r="AI97" s="22" t="n">
        <f aca="false">AH101</f>
        <v>91473.1696618211</v>
      </c>
      <c r="AJ97" s="22" t="n">
        <f aca="false">AI101</f>
        <v>89445.636806947</v>
      </c>
      <c r="AK97" s="22" t="n">
        <f aca="false">AJ101</f>
        <v>87392.7597913869</v>
      </c>
      <c r="AL97" s="22" t="n">
        <f aca="false">AK101</f>
        <v>85314.2218131323</v>
      </c>
      <c r="AM97" s="22" t="n">
        <f aca="false">AL101</f>
        <v>83209.7021101496</v>
      </c>
      <c r="AN97" s="22" t="n">
        <f aca="false">AM101</f>
        <v>81078.8759108795</v>
      </c>
      <c r="AO97" s="22" t="n">
        <f aca="false">AN101</f>
        <v>78921.4143841186</v>
      </c>
      <c r="AP97" s="22" t="n">
        <f aca="false">AO101</f>
        <v>76736.9845882732</v>
      </c>
      <c r="AQ97" s="22" t="n">
        <f aca="false">AP101</f>
        <v>74525.2494199797</v>
      </c>
      <c r="AR97" s="22" t="n">
        <f aca="false">AQ101</f>
        <v>72285.8675620825</v>
      </c>
      <c r="AS97" s="22" t="n">
        <f aca="false">AR101</f>
        <v>70018.4934309616</v>
      </c>
      <c r="AT97" s="22" t="n">
        <f aca="false">AS101</f>
        <v>67722.7771232017</v>
      </c>
      <c r="AU97" s="22" t="n">
        <f aca="false">AT101</f>
        <v>65398.3643615948</v>
      </c>
      <c r="AV97" s="22" t="n">
        <f aca="false">AU101</f>
        <v>63044.8964404679</v>
      </c>
      <c r="AW97" s="22" t="n">
        <f aca="false">AV101</f>
        <v>60662.0101703268</v>
      </c>
      <c r="AX97" s="22" t="n">
        <f aca="false">AW101</f>
        <v>58249.337821809</v>
      </c>
      <c r="AY97" s="22" t="n">
        <f aca="false">AX101</f>
        <v>55806.5070689347</v>
      </c>
      <c r="AZ97" s="22" t="n">
        <f aca="false">AY101</f>
        <v>53333.1409316494</v>
      </c>
      <c r="BA97" s="22" t="n">
        <f aca="false">AZ101</f>
        <v>50828.8577176481</v>
      </c>
      <c r="BB97" s="22" t="n">
        <f aca="false">BA101</f>
        <v>48293.2709634718</v>
      </c>
      <c r="BC97" s="22" t="n">
        <f aca="false">BB101</f>
        <v>45725.9893748683</v>
      </c>
      <c r="BD97" s="22" t="n">
        <f aca="false">BC101</f>
        <v>43126.6167664073</v>
      </c>
      <c r="BE97" s="22" t="n">
        <f aca="false">BD101</f>
        <v>40494.7520003404</v>
      </c>
      <c r="BF97" s="22" t="n">
        <f aca="false">BE101</f>
        <v>37829.9889246978</v>
      </c>
      <c r="BG97" s="22" t="n">
        <f aca="false">BF101</f>
        <v>35131.9163106096</v>
      </c>
      <c r="BH97" s="22" t="n">
        <f aca="false">BG101</f>
        <v>32400.1177888453</v>
      </c>
      <c r="BI97" s="22" t="n">
        <f aca="false">BH101</f>
        <v>29634.1717855589</v>
      </c>
      <c r="BJ97" s="22" t="n">
        <f aca="false">BI101</f>
        <v>26833.6514572315</v>
      </c>
      <c r="BK97" s="22" t="n">
        <f aca="false">BJ101</f>
        <v>23998.1246248</v>
      </c>
      <c r="BL97" s="22" t="n">
        <f aca="false">BK101</f>
        <v>21127.1537069631</v>
      </c>
      <c r="BM97" s="22" t="n">
        <f aca="false">BL101</f>
        <v>18220.2956526532</v>
      </c>
      <c r="BN97" s="22" t="n">
        <f aca="false">BM101</f>
        <v>15277.1018726645</v>
      </c>
      <c r="BO97" s="22" t="n">
        <f aca="false">BN101</f>
        <v>12297.1181704259</v>
      </c>
      <c r="BP97" s="22" t="n">
        <f aca="false">BO101</f>
        <v>9279.88467190926</v>
      </c>
      <c r="BQ97" s="22" t="n">
        <f aca="false">BP101</f>
        <v>6224.93575466122</v>
      </c>
      <c r="BR97" s="22" t="n">
        <f aca="false">BQ101</f>
        <v>3131.79997594757</v>
      </c>
      <c r="BS97" s="22" t="n">
        <f aca="false">BR101</f>
        <v>0</v>
      </c>
      <c r="BT97" s="22" t="n">
        <f aca="false">BS101</f>
        <v>0</v>
      </c>
      <c r="BU97" s="22" t="n">
        <f aca="false">BT101</f>
        <v>0</v>
      </c>
      <c r="BV97" s="22" t="n">
        <f aca="false">BU101</f>
        <v>0</v>
      </c>
      <c r="BW97" s="22" t="n">
        <f aca="false">BV101</f>
        <v>0</v>
      </c>
      <c r="BX97" s="22" t="n">
        <f aca="false">BW101</f>
        <v>0</v>
      </c>
      <c r="BY97" s="22" t="n">
        <f aca="false">BX101</f>
        <v>0</v>
      </c>
      <c r="BZ97" s="22" t="n">
        <f aca="false">BY101</f>
        <v>0</v>
      </c>
      <c r="CA97" s="22" t="n">
        <f aca="false">BZ101</f>
        <v>0</v>
      </c>
      <c r="CB97" s="22" t="n">
        <f aca="false">CA101</f>
        <v>0</v>
      </c>
      <c r="CC97" s="22" t="n">
        <f aca="false">CB101</f>
        <v>0</v>
      </c>
      <c r="CD97" s="22" t="n">
        <f aca="false">CC101</f>
        <v>0</v>
      </c>
      <c r="CE97" s="22" t="n">
        <f aca="false">CD101</f>
        <v>0</v>
      </c>
      <c r="CF97" s="22" t="n">
        <f aca="false">CE101</f>
        <v>0</v>
      </c>
      <c r="CG97" s="22" t="n">
        <f aca="false">CF101</f>
        <v>0</v>
      </c>
      <c r="CH97" s="22" t="n">
        <f aca="false">CG101</f>
        <v>0</v>
      </c>
      <c r="CI97" s="22" t="n">
        <f aca="false">CH101</f>
        <v>0</v>
      </c>
      <c r="CJ97" s="22" t="n">
        <f aca="false">CI101</f>
        <v>0</v>
      </c>
      <c r="CK97" s="22" t="n">
        <f aca="false">CJ101</f>
        <v>0</v>
      </c>
      <c r="CL97" s="22" t="n">
        <f aca="false">CK101</f>
        <v>0</v>
      </c>
      <c r="CM97" s="22" t="n">
        <f aca="false">CL101</f>
        <v>0</v>
      </c>
      <c r="CN97" s="22" t="n">
        <f aca="false">CM101</f>
        <v>0</v>
      </c>
      <c r="CO97" s="22" t="n">
        <f aca="false">CN101</f>
        <v>0</v>
      </c>
      <c r="CP97" s="22" t="n">
        <f aca="false">CO101</f>
        <v>0</v>
      </c>
      <c r="CQ97" s="22" t="n">
        <f aca="false">CP101</f>
        <v>0</v>
      </c>
      <c r="CR97" s="22" t="n">
        <f aca="false">CQ101</f>
        <v>0</v>
      </c>
      <c r="CS97" s="22" t="n">
        <f aca="false">CR101</f>
        <v>0</v>
      </c>
      <c r="CT97" s="22" t="n">
        <f aca="false">CS101</f>
        <v>0</v>
      </c>
      <c r="CU97" s="22" t="n">
        <f aca="false">CT101</f>
        <v>0</v>
      </c>
      <c r="CV97" s="22" t="n">
        <f aca="false">CU101</f>
        <v>0</v>
      </c>
      <c r="CW97" s="22" t="n">
        <f aca="false">CV101</f>
        <v>0</v>
      </c>
      <c r="CX97" s="22" t="n">
        <f aca="false">CW101</f>
        <v>0</v>
      </c>
      <c r="CY97" s="22" t="n">
        <f aca="false">CX101</f>
        <v>0</v>
      </c>
      <c r="CZ97" s="22" t="n">
        <f aca="false">CY101</f>
        <v>0</v>
      </c>
      <c r="DA97" s="22" t="n">
        <f aca="false">CZ101</f>
        <v>0</v>
      </c>
      <c r="DB97" s="22" t="n">
        <f aca="false">DA101</f>
        <v>0</v>
      </c>
      <c r="DC97" s="22" t="n">
        <f aca="false">DB101</f>
        <v>0</v>
      </c>
      <c r="DD97" s="22" t="n">
        <f aca="false">DC101</f>
        <v>0</v>
      </c>
      <c r="DE97" s="22" t="n">
        <f aca="false">DD101</f>
        <v>0</v>
      </c>
      <c r="DF97" s="22" t="n">
        <f aca="false">DE101</f>
        <v>0</v>
      </c>
      <c r="DG97" s="22" t="n">
        <f aca="false">DF101</f>
        <v>0</v>
      </c>
      <c r="DH97" s="22" t="n">
        <f aca="false">DG101</f>
        <v>0</v>
      </c>
      <c r="DI97" s="22" t="n">
        <f aca="false">DH101</f>
        <v>0</v>
      </c>
      <c r="DJ97" s="22" t="n">
        <f aca="false">DI101</f>
        <v>0</v>
      </c>
      <c r="DK97" s="22" t="n">
        <f aca="false">DJ101</f>
        <v>0</v>
      </c>
      <c r="DL97" s="22" t="n">
        <f aca="false">DK101</f>
        <v>0</v>
      </c>
      <c r="DM97" s="22" t="n">
        <f aca="false">DL101</f>
        <v>0</v>
      </c>
      <c r="DN97" s="22" t="n">
        <f aca="false">DM101</f>
        <v>0</v>
      </c>
      <c r="DO97" s="22" t="n">
        <f aca="false">DN101</f>
        <v>0</v>
      </c>
      <c r="DP97" s="22" t="n">
        <f aca="false">DO101</f>
        <v>0</v>
      </c>
      <c r="DQ97" s="22" t="n">
        <f aca="false">DP101</f>
        <v>0</v>
      </c>
      <c r="DR97" s="22" t="n">
        <f aca="false">DQ101</f>
        <v>0</v>
      </c>
      <c r="DS97" s="22" t="n">
        <f aca="false">DR101</f>
        <v>0</v>
      </c>
      <c r="DT97" s="22" t="n">
        <f aca="false">DS101</f>
        <v>0</v>
      </c>
      <c r="DU97" s="22" t="n">
        <f aca="false">DT101</f>
        <v>0</v>
      </c>
      <c r="DV97" s="22" t="n">
        <f aca="false">DU101</f>
        <v>0</v>
      </c>
      <c r="DW97" s="22" t="n">
        <f aca="false">DV101</f>
        <v>0</v>
      </c>
      <c r="DX97" s="22" t="n">
        <f aca="false">DW101</f>
        <v>0</v>
      </c>
      <c r="DY97" s="22" t="n">
        <f aca="false">DX101</f>
        <v>0</v>
      </c>
      <c r="DZ97" s="22" t="n">
        <f aca="false">DY101</f>
        <v>0</v>
      </c>
      <c r="EA97" s="22" t="n">
        <f aca="false">DZ101</f>
        <v>0</v>
      </c>
      <c r="EB97" s="22" t="n">
        <f aca="false">EA101</f>
        <v>0</v>
      </c>
      <c r="EC97" s="22" t="n">
        <f aca="false">EB101</f>
        <v>0</v>
      </c>
      <c r="ED97" s="22" t="n">
        <f aca="false">EC101</f>
        <v>0</v>
      </c>
      <c r="EE97" s="22" t="n">
        <f aca="false">ED101</f>
        <v>0</v>
      </c>
      <c r="EF97" s="22" t="n">
        <f aca="false">EE101</f>
        <v>0</v>
      </c>
      <c r="EG97" s="22" t="n">
        <f aca="false">EF101</f>
        <v>0</v>
      </c>
      <c r="EH97" s="22" t="n">
        <f aca="false">EG101</f>
        <v>0</v>
      </c>
      <c r="EI97" s="22" t="n">
        <f aca="false">EH101</f>
        <v>0</v>
      </c>
      <c r="EJ97" s="22" t="n">
        <f aca="false">EI101</f>
        <v>0</v>
      </c>
      <c r="EK97" s="22" t="n">
        <f aca="false">EJ101</f>
        <v>0</v>
      </c>
      <c r="EL97" s="22" t="n">
        <f aca="false">EK101</f>
        <v>0</v>
      </c>
      <c r="EM97" s="22" t="n">
        <f aca="false">EL101</f>
        <v>0</v>
      </c>
      <c r="EN97" s="22" t="n">
        <f aca="false">EM101</f>
        <v>0</v>
      </c>
      <c r="EO97" s="22" t="n">
        <f aca="false">EN101</f>
        <v>0</v>
      </c>
      <c r="EP97" s="22" t="n">
        <f aca="false">EO101</f>
        <v>0</v>
      </c>
      <c r="EQ97" s="22" t="n">
        <f aca="false">EP101</f>
        <v>0</v>
      </c>
      <c r="ER97" s="22" t="n">
        <f aca="false">EQ101</f>
        <v>0</v>
      </c>
      <c r="ES97" s="22" t="n">
        <f aca="false">ER101</f>
        <v>0</v>
      </c>
      <c r="ET97" s="22" t="n">
        <f aca="false">ES101</f>
        <v>0</v>
      </c>
    </row>
    <row r="98" customFormat="false" ht="15" hidden="false" customHeight="false" outlineLevel="0" collapsed="false">
      <c r="C98" s="0" t="s">
        <v>548</v>
      </c>
      <c r="D98" s="11" t="s">
        <v>247</v>
      </c>
      <c r="E98" s="33" t="n">
        <f aca="false">-IF(In_CN_Turbine=1,In_Gearing_CN,In_Gearing)*($I94+$I53+$I95)</f>
        <v>95072.6324449315</v>
      </c>
      <c r="I98" s="33" t="n">
        <f aca="false">SUM(J98:ET98)</f>
        <v>95072.6324449315</v>
      </c>
      <c r="J98" s="33" t="n">
        <f aca="false">$E98*J13</f>
        <v>0</v>
      </c>
      <c r="K98" s="33" t="n">
        <f aca="false">$E98*K13</f>
        <v>0</v>
      </c>
      <c r="L98" s="33" t="n">
        <f aca="false">$E98*L13</f>
        <v>0</v>
      </c>
      <c r="M98" s="33" t="n">
        <f aca="false">$E98*M13</f>
        <v>0</v>
      </c>
      <c r="N98" s="33" t="n">
        <f aca="false">$E98*N13</f>
        <v>0</v>
      </c>
      <c r="O98" s="33" t="n">
        <f aca="false">$E98*O13</f>
        <v>0</v>
      </c>
      <c r="P98" s="33" t="n">
        <f aca="false">$E98*P13</f>
        <v>0</v>
      </c>
      <c r="Q98" s="33" t="n">
        <f aca="false">$E98*Q13</f>
        <v>0</v>
      </c>
      <c r="R98" s="33" t="n">
        <f aca="false">$E98*R13</f>
        <v>0</v>
      </c>
      <c r="S98" s="33" t="n">
        <f aca="false">$E98*S13</f>
        <v>0</v>
      </c>
      <c r="T98" s="33" t="n">
        <f aca="false">$E98*T13</f>
        <v>0</v>
      </c>
      <c r="U98" s="33" t="n">
        <f aca="false">$E98*U13</f>
        <v>0</v>
      </c>
      <c r="V98" s="33" t="n">
        <f aca="false">$E98*V13</f>
        <v>0</v>
      </c>
      <c r="W98" s="33" t="n">
        <f aca="false">$E98*W13</f>
        <v>11981.7564177174</v>
      </c>
      <c r="X98" s="33" t="n">
        <f aca="false">$E98*X13</f>
        <v>11721.2834521148</v>
      </c>
      <c r="Y98" s="33" t="n">
        <f aca="false">$E98*Y13</f>
        <v>11851.5199349161</v>
      </c>
      <c r="Z98" s="33" t="n">
        <f aca="false">$E98*Z13</f>
        <v>11981.7564177174</v>
      </c>
      <c r="AA98" s="33" t="n">
        <f aca="false">$E98*AA13</f>
        <v>11981.7564177174</v>
      </c>
      <c r="AB98" s="33" t="n">
        <f aca="false">$E98*AB13</f>
        <v>11721.2834521148</v>
      </c>
      <c r="AC98" s="33" t="n">
        <f aca="false">$E98*AC13</f>
        <v>11851.5199349161</v>
      </c>
      <c r="AD98" s="33" t="n">
        <f aca="false">$E98*AD13</f>
        <v>11981.7564177174</v>
      </c>
      <c r="AE98" s="33" t="n">
        <f aca="false">$E98*AE13</f>
        <v>0</v>
      </c>
      <c r="AF98" s="33" t="n">
        <f aca="false">$E98*AF13</f>
        <v>0</v>
      </c>
      <c r="AG98" s="33" t="n">
        <f aca="false">$E98*AG13</f>
        <v>0</v>
      </c>
      <c r="AH98" s="33" t="n">
        <f aca="false">$E98*AH13</f>
        <v>0</v>
      </c>
      <c r="AI98" s="33" t="n">
        <f aca="false">$E98*AI13</f>
        <v>0</v>
      </c>
      <c r="AJ98" s="33" t="n">
        <f aca="false">$E98*AJ13</f>
        <v>0</v>
      </c>
      <c r="AK98" s="33" t="n">
        <f aca="false">$E98*AK13</f>
        <v>0</v>
      </c>
      <c r="AL98" s="33" t="n">
        <f aca="false">$E98*AL13</f>
        <v>0</v>
      </c>
      <c r="AM98" s="33" t="n">
        <f aca="false">$E98*AM13</f>
        <v>0</v>
      </c>
      <c r="AN98" s="33" t="n">
        <f aca="false">$E98*AN13</f>
        <v>0</v>
      </c>
      <c r="AO98" s="33" t="n">
        <f aca="false">$E98*AO13</f>
        <v>0</v>
      </c>
      <c r="AP98" s="33" t="n">
        <f aca="false">$E98*AP13</f>
        <v>0</v>
      </c>
      <c r="AQ98" s="33" t="n">
        <f aca="false">$E98*AQ13</f>
        <v>0</v>
      </c>
      <c r="AR98" s="33" t="n">
        <f aca="false">$E98*AR13</f>
        <v>0</v>
      </c>
      <c r="AS98" s="33" t="n">
        <f aca="false">$E98*AS13</f>
        <v>0</v>
      </c>
      <c r="AT98" s="33" t="n">
        <f aca="false">$E98*AT13</f>
        <v>0</v>
      </c>
      <c r="AU98" s="33" t="n">
        <f aca="false">$E98*AU13</f>
        <v>0</v>
      </c>
      <c r="AV98" s="33" t="n">
        <f aca="false">$E98*AV13</f>
        <v>0</v>
      </c>
      <c r="AW98" s="33" t="n">
        <f aca="false">$E98*AW13</f>
        <v>0</v>
      </c>
      <c r="AX98" s="33" t="n">
        <f aca="false">$E98*AX13</f>
        <v>0</v>
      </c>
      <c r="AY98" s="33" t="n">
        <f aca="false">$E98*AY13</f>
        <v>0</v>
      </c>
      <c r="AZ98" s="33" t="n">
        <f aca="false">$E98*AZ13</f>
        <v>0</v>
      </c>
      <c r="BA98" s="33" t="n">
        <f aca="false">$E98*BA13</f>
        <v>0</v>
      </c>
      <c r="BB98" s="33" t="n">
        <f aca="false">$E98*BB13</f>
        <v>0</v>
      </c>
      <c r="BC98" s="33" t="n">
        <f aca="false">$E98*BC13</f>
        <v>0</v>
      </c>
      <c r="BD98" s="33" t="n">
        <f aca="false">$E98*BD13</f>
        <v>0</v>
      </c>
      <c r="BE98" s="33" t="n">
        <f aca="false">$E98*BE13</f>
        <v>0</v>
      </c>
      <c r="BF98" s="33" t="n">
        <f aca="false">$E98*BF13</f>
        <v>0</v>
      </c>
      <c r="BG98" s="33" t="n">
        <f aca="false">$E98*BG13</f>
        <v>0</v>
      </c>
      <c r="BH98" s="33" t="n">
        <f aca="false">$E98*BH13</f>
        <v>0</v>
      </c>
      <c r="BI98" s="33" t="n">
        <f aca="false">$E98*BI13</f>
        <v>0</v>
      </c>
      <c r="BJ98" s="33" t="n">
        <f aca="false">$E98*BJ13</f>
        <v>0</v>
      </c>
      <c r="BK98" s="33" t="n">
        <f aca="false">$E98*BK13</f>
        <v>0</v>
      </c>
      <c r="BL98" s="33" t="n">
        <f aca="false">$E98*BL13</f>
        <v>0</v>
      </c>
      <c r="BM98" s="33" t="n">
        <f aca="false">$E98*BM13</f>
        <v>0</v>
      </c>
      <c r="BN98" s="33" t="n">
        <f aca="false">$E98*BN13</f>
        <v>0</v>
      </c>
      <c r="BO98" s="33" t="n">
        <f aca="false">$E98*BO13</f>
        <v>0</v>
      </c>
      <c r="BP98" s="33" t="n">
        <f aca="false">$E98*BP13</f>
        <v>0</v>
      </c>
      <c r="BQ98" s="33" t="n">
        <f aca="false">$E98*BQ13</f>
        <v>0</v>
      </c>
      <c r="BR98" s="33" t="n">
        <f aca="false">$E98*BR13</f>
        <v>0</v>
      </c>
      <c r="BS98" s="33" t="n">
        <f aca="false">$E98*BS13</f>
        <v>0</v>
      </c>
      <c r="BT98" s="33" t="n">
        <f aca="false">$E98*BT13</f>
        <v>0</v>
      </c>
      <c r="BU98" s="33" t="n">
        <f aca="false">$E98*BU13</f>
        <v>0</v>
      </c>
      <c r="BV98" s="33" t="n">
        <f aca="false">$E98*BV13</f>
        <v>0</v>
      </c>
      <c r="BW98" s="33" t="n">
        <f aca="false">$E98*BW13</f>
        <v>0</v>
      </c>
      <c r="BX98" s="33" t="n">
        <f aca="false">$E98*BX13</f>
        <v>0</v>
      </c>
      <c r="BY98" s="33" t="n">
        <f aca="false">$E98*BY13</f>
        <v>0</v>
      </c>
      <c r="BZ98" s="33" t="n">
        <f aca="false">$E98*BZ13</f>
        <v>0</v>
      </c>
      <c r="CA98" s="33" t="n">
        <f aca="false">$E98*CA13</f>
        <v>0</v>
      </c>
      <c r="CB98" s="33" t="n">
        <f aca="false">$E98*CB13</f>
        <v>0</v>
      </c>
      <c r="CC98" s="33" t="n">
        <f aca="false">$E98*CC13</f>
        <v>0</v>
      </c>
      <c r="CD98" s="33" t="n">
        <f aca="false">$E98*CD13</f>
        <v>0</v>
      </c>
      <c r="CE98" s="33" t="n">
        <f aca="false">$E98*CE13</f>
        <v>0</v>
      </c>
      <c r="CF98" s="33" t="n">
        <f aca="false">$E98*CF13</f>
        <v>0</v>
      </c>
      <c r="CG98" s="33" t="n">
        <f aca="false">$E98*CG13</f>
        <v>0</v>
      </c>
      <c r="CH98" s="33" t="n">
        <f aca="false">$E98*CH13</f>
        <v>0</v>
      </c>
      <c r="CI98" s="33" t="n">
        <f aca="false">$E98*CI13</f>
        <v>0</v>
      </c>
      <c r="CJ98" s="33" t="n">
        <f aca="false">$E98*CJ13</f>
        <v>0</v>
      </c>
      <c r="CK98" s="33" t="n">
        <f aca="false">$E98*CK13</f>
        <v>0</v>
      </c>
      <c r="CL98" s="33" t="n">
        <f aca="false">$E98*CL13</f>
        <v>0</v>
      </c>
      <c r="CM98" s="33" t="n">
        <f aca="false">$E98*CM13</f>
        <v>0</v>
      </c>
      <c r="CN98" s="33" t="n">
        <f aca="false">$E98*CN13</f>
        <v>0</v>
      </c>
      <c r="CO98" s="33" t="n">
        <f aca="false">$E98*CO13</f>
        <v>0</v>
      </c>
      <c r="CP98" s="33" t="n">
        <f aca="false">$E98*CP13</f>
        <v>0</v>
      </c>
      <c r="CQ98" s="33" t="n">
        <f aca="false">$E98*CQ13</f>
        <v>0</v>
      </c>
      <c r="CR98" s="33" t="n">
        <f aca="false">$E98*CR13</f>
        <v>0</v>
      </c>
      <c r="CS98" s="33" t="n">
        <f aca="false">$E98*CS13</f>
        <v>0</v>
      </c>
      <c r="CT98" s="33" t="n">
        <f aca="false">$E98*CT13</f>
        <v>0</v>
      </c>
      <c r="CU98" s="33" t="n">
        <f aca="false">$E98*CU13</f>
        <v>0</v>
      </c>
      <c r="CV98" s="33" t="n">
        <f aca="false">$E98*CV13</f>
        <v>0</v>
      </c>
      <c r="CW98" s="33" t="n">
        <f aca="false">$E98*CW13</f>
        <v>0</v>
      </c>
      <c r="CX98" s="33" t="n">
        <f aca="false">$E98*CX13</f>
        <v>0</v>
      </c>
      <c r="CY98" s="33" t="n">
        <f aca="false">$E98*CY13</f>
        <v>0</v>
      </c>
      <c r="CZ98" s="33" t="n">
        <f aca="false">$E98*CZ13</f>
        <v>0</v>
      </c>
      <c r="DA98" s="33" t="n">
        <f aca="false">$E98*DA13</f>
        <v>0</v>
      </c>
      <c r="DB98" s="33" t="n">
        <f aca="false">$E98*DB13</f>
        <v>0</v>
      </c>
      <c r="DC98" s="33" t="n">
        <f aca="false">$E98*DC13</f>
        <v>0</v>
      </c>
      <c r="DD98" s="33" t="n">
        <f aca="false">$E98*DD13</f>
        <v>0</v>
      </c>
      <c r="DE98" s="33" t="n">
        <f aca="false">$E98*DE13</f>
        <v>0</v>
      </c>
      <c r="DF98" s="33" t="n">
        <f aca="false">$E98*DF13</f>
        <v>0</v>
      </c>
      <c r="DG98" s="33" t="n">
        <f aca="false">$E98*DG13</f>
        <v>0</v>
      </c>
      <c r="DH98" s="33" t="n">
        <f aca="false">$E98*DH13</f>
        <v>0</v>
      </c>
      <c r="DI98" s="33" t="n">
        <f aca="false">$E98*DI13</f>
        <v>0</v>
      </c>
      <c r="DJ98" s="33" t="n">
        <f aca="false">$E98*DJ13</f>
        <v>0</v>
      </c>
      <c r="DK98" s="33" t="n">
        <f aca="false">$E98*DK13</f>
        <v>0</v>
      </c>
      <c r="DL98" s="33" t="n">
        <f aca="false">$E98*DL13</f>
        <v>0</v>
      </c>
      <c r="DM98" s="33" t="n">
        <f aca="false">$E98*DM13</f>
        <v>0</v>
      </c>
      <c r="DN98" s="33" t="n">
        <f aca="false">$E98*DN13</f>
        <v>0</v>
      </c>
      <c r="DO98" s="33" t="n">
        <f aca="false">$E98*DO13</f>
        <v>0</v>
      </c>
      <c r="DP98" s="33" t="n">
        <f aca="false">$E98*DP13</f>
        <v>0</v>
      </c>
      <c r="DQ98" s="33" t="n">
        <f aca="false">$E98*DQ13</f>
        <v>0</v>
      </c>
      <c r="DR98" s="33" t="n">
        <f aca="false">$E98*DR13</f>
        <v>0</v>
      </c>
      <c r="DS98" s="33" t="n">
        <f aca="false">$E98*DS13</f>
        <v>0</v>
      </c>
      <c r="DT98" s="33" t="n">
        <f aca="false">$E98*DT13</f>
        <v>0</v>
      </c>
      <c r="DU98" s="33" t="n">
        <f aca="false">$E98*DU13</f>
        <v>0</v>
      </c>
      <c r="DV98" s="33" t="n">
        <f aca="false">$E98*DV13</f>
        <v>0</v>
      </c>
      <c r="DW98" s="33" t="n">
        <f aca="false">$E98*DW13</f>
        <v>0</v>
      </c>
      <c r="DX98" s="33" t="n">
        <f aca="false">$E98*DX13</f>
        <v>0</v>
      </c>
      <c r="DY98" s="33" t="n">
        <f aca="false">$E98*DY13</f>
        <v>0</v>
      </c>
      <c r="DZ98" s="33" t="n">
        <f aca="false">$E98*DZ13</f>
        <v>0</v>
      </c>
      <c r="EA98" s="33" t="n">
        <f aca="false">$E98*EA13</f>
        <v>0</v>
      </c>
      <c r="EB98" s="33" t="n">
        <f aca="false">$E98*EB13</f>
        <v>0</v>
      </c>
      <c r="EC98" s="33" t="n">
        <f aca="false">$E98*EC13</f>
        <v>0</v>
      </c>
      <c r="ED98" s="33" t="n">
        <f aca="false">$E98*ED13</f>
        <v>0</v>
      </c>
      <c r="EE98" s="33" t="n">
        <f aca="false">$E98*EE13</f>
        <v>0</v>
      </c>
      <c r="EF98" s="33" t="n">
        <f aca="false">$E98*EF13</f>
        <v>0</v>
      </c>
      <c r="EG98" s="33" t="n">
        <f aca="false">$E98*EG13</f>
        <v>0</v>
      </c>
      <c r="EH98" s="33" t="n">
        <f aca="false">$E98*EH13</f>
        <v>0</v>
      </c>
      <c r="EI98" s="33" t="n">
        <f aca="false">$E98*EI13</f>
        <v>0</v>
      </c>
      <c r="EJ98" s="33" t="n">
        <f aca="false">$E98*EJ13</f>
        <v>0</v>
      </c>
      <c r="EK98" s="33" t="n">
        <f aca="false">$E98*EK13</f>
        <v>0</v>
      </c>
      <c r="EL98" s="33" t="n">
        <f aca="false">$E98*EL13</f>
        <v>0</v>
      </c>
      <c r="EM98" s="33" t="n">
        <f aca="false">$E98*EM13</f>
        <v>0</v>
      </c>
      <c r="EN98" s="33" t="n">
        <f aca="false">$E98*EN13</f>
        <v>0</v>
      </c>
      <c r="EO98" s="33" t="n">
        <f aca="false">$E98*EO13</f>
        <v>0</v>
      </c>
      <c r="EP98" s="33" t="n">
        <f aca="false">$E98*EP13</f>
        <v>0</v>
      </c>
      <c r="EQ98" s="33" t="n">
        <f aca="false">$E98*EQ13</f>
        <v>0</v>
      </c>
      <c r="ER98" s="33" t="n">
        <f aca="false">$E98*ER13</f>
        <v>0</v>
      </c>
      <c r="ES98" s="33" t="n">
        <f aca="false">$E98*ES13</f>
        <v>0</v>
      </c>
      <c r="ET98" s="33" t="n">
        <f aca="false">$E98*ET13</f>
        <v>0</v>
      </c>
    </row>
    <row r="99" customFormat="false" ht="15" hidden="false" customHeight="false" outlineLevel="0" collapsed="false">
      <c r="C99" s="0" t="s">
        <v>549</v>
      </c>
      <c r="D99" s="11" t="s">
        <v>247</v>
      </c>
      <c r="F99" s="53" t="n">
        <f aca="false">In_Debt_Rate*Months_Per_Period/Months_In_Year</f>
        <v>0.0125</v>
      </c>
      <c r="I99" s="33" t="n">
        <f aca="false">SUM(J99:ET99)</f>
        <v>4263.42718977436</v>
      </c>
      <c r="J99" s="33" t="n">
        <f aca="false">J97*$F99*(J$4&lt;=In_COD)</f>
        <v>0</v>
      </c>
      <c r="K99" s="33" t="n">
        <f aca="false">K97*$F99*(K$4&lt;=In_COD)</f>
        <v>0</v>
      </c>
      <c r="L99" s="33" t="n">
        <f aca="false">L97*$F99*(L$4&lt;=In_COD)</f>
        <v>0</v>
      </c>
      <c r="M99" s="33" t="n">
        <f aca="false">M97*$F99*(M$4&lt;=In_COD)</f>
        <v>0</v>
      </c>
      <c r="N99" s="33" t="n">
        <f aca="false">N97*$F99*(N$4&lt;=In_COD)</f>
        <v>0</v>
      </c>
      <c r="O99" s="33" t="n">
        <f aca="false">O97*$F99*(O$4&lt;=In_COD)</f>
        <v>0</v>
      </c>
      <c r="P99" s="33" t="n">
        <f aca="false">P97*$F99*(P$4&lt;=In_COD)</f>
        <v>0</v>
      </c>
      <c r="Q99" s="33" t="n">
        <f aca="false">Q97*$F99*(Q$4&lt;=In_COD)</f>
        <v>0</v>
      </c>
      <c r="R99" s="33" t="n">
        <f aca="false">R97*$F99*(R$4&lt;=In_COD)</f>
        <v>0</v>
      </c>
      <c r="S99" s="33" t="n">
        <f aca="false">S97*$F99*(S$4&lt;=In_COD)</f>
        <v>0</v>
      </c>
      <c r="T99" s="33" t="n">
        <f aca="false">T97*$F99*(T$4&lt;=In_COD)</f>
        <v>0</v>
      </c>
      <c r="U99" s="33" t="n">
        <f aca="false">U97*$F99*(U$4&lt;=In_COD)</f>
        <v>0</v>
      </c>
      <c r="V99" s="33" t="n">
        <f aca="false">V97*$F99*(V$4&lt;=In_COD)</f>
        <v>0</v>
      </c>
      <c r="W99" s="33" t="n">
        <f aca="false">W97*$F99*(W$4&lt;=In_COD)</f>
        <v>0</v>
      </c>
      <c r="X99" s="33" t="n">
        <f aca="false">X97*$F99*(X$4&lt;=In_COD)</f>
        <v>149.771955221468</v>
      </c>
      <c r="Y99" s="33" t="n">
        <f aca="false">Y97*$F99*(Y$4&lt;=In_COD)</f>
        <v>298.160147813171</v>
      </c>
      <c r="Z99" s="33" t="n">
        <f aca="false">Z97*$F99*(Z$4&lt;=In_COD)</f>
        <v>450.031148847288</v>
      </c>
      <c r="AA99" s="33" t="n">
        <f aca="false">AA97*$F99*(AA$4&lt;=In_COD)</f>
        <v>605.428493429346</v>
      </c>
      <c r="AB99" s="33" t="n">
        <f aca="false">AB97*$F99*(AB$4&lt;=In_COD)</f>
        <v>762.768304818681</v>
      </c>
      <c r="AC99" s="33" t="n">
        <f aca="false">AC97*$F99*(AC$4&lt;=In_COD)</f>
        <v>918.81895178035</v>
      </c>
      <c r="AD99" s="33" t="n">
        <f aca="false">AD97*$F99*(AD$4&lt;=In_COD)</f>
        <v>1078.44818786406</v>
      </c>
      <c r="AE99" s="33" t="n">
        <f aca="false">AE97*$F99*(AE$4&lt;=In_COD)</f>
        <v>0</v>
      </c>
      <c r="AF99" s="33" t="n">
        <f aca="false">AF97*$F99*(AF$4&lt;=In_COD)</f>
        <v>0</v>
      </c>
      <c r="AG99" s="33" t="n">
        <f aca="false">AG97*$F99*(AG$4&lt;=In_COD)</f>
        <v>0</v>
      </c>
      <c r="AH99" s="33" t="n">
        <f aca="false">AH97*$F99*(AH$4&lt;=In_COD)</f>
        <v>0</v>
      </c>
      <c r="AI99" s="33" t="n">
        <f aca="false">AI97*$F99*(AI$4&lt;=In_COD)</f>
        <v>0</v>
      </c>
      <c r="AJ99" s="33" t="n">
        <f aca="false">AJ97*$F99*(AJ$4&lt;=In_COD)</f>
        <v>0</v>
      </c>
      <c r="AK99" s="33" t="n">
        <f aca="false">AK97*$F99*(AK$4&lt;=In_COD)</f>
        <v>0</v>
      </c>
      <c r="AL99" s="33" t="n">
        <f aca="false">AL97*$F99*(AL$4&lt;=In_COD)</f>
        <v>0</v>
      </c>
      <c r="AM99" s="33" t="n">
        <f aca="false">AM97*$F99*(AM$4&lt;=In_COD)</f>
        <v>0</v>
      </c>
      <c r="AN99" s="33" t="n">
        <f aca="false">AN97*$F99*(AN$4&lt;=In_COD)</f>
        <v>0</v>
      </c>
      <c r="AO99" s="33" t="n">
        <f aca="false">AO97*$F99*(AO$4&lt;=In_COD)</f>
        <v>0</v>
      </c>
      <c r="AP99" s="33" t="n">
        <f aca="false">AP97*$F99*(AP$4&lt;=In_COD)</f>
        <v>0</v>
      </c>
      <c r="AQ99" s="33" t="n">
        <f aca="false">AQ97*$F99*(AQ$4&lt;=In_COD)</f>
        <v>0</v>
      </c>
      <c r="AR99" s="33" t="n">
        <f aca="false">AR97*$F99*(AR$4&lt;=In_COD)</f>
        <v>0</v>
      </c>
      <c r="AS99" s="33" t="n">
        <f aca="false">AS97*$F99*(AS$4&lt;=In_COD)</f>
        <v>0</v>
      </c>
      <c r="AT99" s="33" t="n">
        <f aca="false">AT97*$F99*(AT$4&lt;=In_COD)</f>
        <v>0</v>
      </c>
      <c r="AU99" s="33" t="n">
        <f aca="false">AU97*$F99*(AU$4&lt;=In_COD)</f>
        <v>0</v>
      </c>
      <c r="AV99" s="33" t="n">
        <f aca="false">AV97*$F99*(AV$4&lt;=In_COD)</f>
        <v>0</v>
      </c>
      <c r="AW99" s="33" t="n">
        <f aca="false">AW97*$F99*(AW$4&lt;=In_COD)</f>
        <v>0</v>
      </c>
      <c r="AX99" s="33" t="n">
        <f aca="false">AX97*$F99*(AX$4&lt;=In_COD)</f>
        <v>0</v>
      </c>
      <c r="AY99" s="33" t="n">
        <f aca="false">AY97*$F99*(AY$4&lt;=In_COD)</f>
        <v>0</v>
      </c>
      <c r="AZ99" s="33" t="n">
        <f aca="false">AZ97*$F99*(AZ$4&lt;=In_COD)</f>
        <v>0</v>
      </c>
      <c r="BA99" s="33" t="n">
        <f aca="false">BA97*$F99*(BA$4&lt;=In_COD)</f>
        <v>0</v>
      </c>
      <c r="BB99" s="33" t="n">
        <f aca="false">BB97*$F99*(BB$4&lt;=In_COD)</f>
        <v>0</v>
      </c>
      <c r="BC99" s="33" t="n">
        <f aca="false">BC97*$F99*(BC$4&lt;=In_COD)</f>
        <v>0</v>
      </c>
      <c r="BD99" s="33" t="n">
        <f aca="false">BD97*$F99*(BD$4&lt;=In_COD)</f>
        <v>0</v>
      </c>
      <c r="BE99" s="33" t="n">
        <f aca="false">BE97*$F99*(BE$4&lt;=In_COD)</f>
        <v>0</v>
      </c>
      <c r="BF99" s="33" t="n">
        <f aca="false">BF97*$F99*(BF$4&lt;=In_COD)</f>
        <v>0</v>
      </c>
      <c r="BG99" s="33" t="n">
        <f aca="false">BG97*$F99*(BG$4&lt;=In_COD)</f>
        <v>0</v>
      </c>
      <c r="BH99" s="33" t="n">
        <f aca="false">BH97*$F99*(BH$4&lt;=In_COD)</f>
        <v>0</v>
      </c>
      <c r="BI99" s="33" t="n">
        <f aca="false">BI97*$F99*(BI$4&lt;=In_COD)</f>
        <v>0</v>
      </c>
      <c r="BJ99" s="33" t="n">
        <f aca="false">BJ97*$F99*(BJ$4&lt;=In_COD)</f>
        <v>0</v>
      </c>
      <c r="BK99" s="33" t="n">
        <f aca="false">BK97*$F99*(BK$4&lt;=In_COD)</f>
        <v>0</v>
      </c>
      <c r="BL99" s="33" t="n">
        <f aca="false">BL97*$F99*(BL$4&lt;=In_COD)</f>
        <v>0</v>
      </c>
      <c r="BM99" s="33" t="n">
        <f aca="false">BM97*$F99*(BM$4&lt;=In_COD)</f>
        <v>0</v>
      </c>
      <c r="BN99" s="33" t="n">
        <f aca="false">BN97*$F99*(BN$4&lt;=In_COD)</f>
        <v>0</v>
      </c>
      <c r="BO99" s="33" t="n">
        <f aca="false">BO97*$F99*(BO$4&lt;=In_COD)</f>
        <v>0</v>
      </c>
      <c r="BP99" s="33" t="n">
        <f aca="false">BP97*$F99*(BP$4&lt;=In_COD)</f>
        <v>0</v>
      </c>
      <c r="BQ99" s="33" t="n">
        <f aca="false">BQ97*$F99*(BQ$4&lt;=In_COD)</f>
        <v>0</v>
      </c>
      <c r="BR99" s="33" t="n">
        <f aca="false">BR97*$F99*(BR$4&lt;=In_COD)</f>
        <v>0</v>
      </c>
      <c r="BS99" s="33" t="n">
        <f aca="false">BS97*$F99*(BS$4&lt;=In_COD)</f>
        <v>0</v>
      </c>
      <c r="BT99" s="33" t="n">
        <f aca="false">BT97*$F99*(BT$4&lt;=In_COD)</f>
        <v>0</v>
      </c>
      <c r="BU99" s="33" t="n">
        <f aca="false">BU97*$F99*(BU$4&lt;=In_COD)</f>
        <v>0</v>
      </c>
      <c r="BV99" s="33" t="n">
        <f aca="false">BV97*$F99*(BV$4&lt;=In_COD)</f>
        <v>0</v>
      </c>
      <c r="BW99" s="33" t="n">
        <f aca="false">BW97*$F99*(BW$4&lt;=In_COD)</f>
        <v>0</v>
      </c>
      <c r="BX99" s="33" t="n">
        <f aca="false">BX97*$F99*(BX$4&lt;=In_COD)</f>
        <v>0</v>
      </c>
      <c r="BY99" s="33" t="n">
        <f aca="false">BY97*$F99*(BY$4&lt;=In_COD)</f>
        <v>0</v>
      </c>
      <c r="BZ99" s="33" t="n">
        <f aca="false">BZ97*$F99*(BZ$4&lt;=In_COD)</f>
        <v>0</v>
      </c>
      <c r="CA99" s="33" t="n">
        <f aca="false">CA97*$F99*(CA$4&lt;=In_COD)</f>
        <v>0</v>
      </c>
      <c r="CB99" s="33" t="n">
        <f aca="false">CB97*$F99*(CB$4&lt;=In_COD)</f>
        <v>0</v>
      </c>
      <c r="CC99" s="33" t="n">
        <f aca="false">CC97*$F99*(CC$4&lt;=In_COD)</f>
        <v>0</v>
      </c>
      <c r="CD99" s="33" t="n">
        <f aca="false">CD97*$F99*(CD$4&lt;=In_COD)</f>
        <v>0</v>
      </c>
      <c r="CE99" s="33" t="n">
        <f aca="false">CE97*$F99*(CE$4&lt;=In_COD)</f>
        <v>0</v>
      </c>
      <c r="CF99" s="33" t="n">
        <f aca="false">CF97*$F99*(CF$4&lt;=In_COD)</f>
        <v>0</v>
      </c>
      <c r="CG99" s="33" t="n">
        <f aca="false">CG97*$F99*(CG$4&lt;=In_COD)</f>
        <v>0</v>
      </c>
      <c r="CH99" s="33" t="n">
        <f aca="false">CH97*$F99*(CH$4&lt;=In_COD)</f>
        <v>0</v>
      </c>
      <c r="CI99" s="33" t="n">
        <f aca="false">CI97*$F99*(CI$4&lt;=In_COD)</f>
        <v>0</v>
      </c>
      <c r="CJ99" s="33" t="n">
        <f aca="false">CJ97*$F99*(CJ$4&lt;=In_COD)</f>
        <v>0</v>
      </c>
      <c r="CK99" s="33" t="n">
        <f aca="false">CK97*$F99*(CK$4&lt;=In_COD)</f>
        <v>0</v>
      </c>
      <c r="CL99" s="33" t="n">
        <f aca="false">CL97*$F99*(CL$4&lt;=In_COD)</f>
        <v>0</v>
      </c>
      <c r="CM99" s="33" t="n">
        <f aca="false">CM97*$F99*(CM$4&lt;=In_COD)</f>
        <v>0</v>
      </c>
      <c r="CN99" s="33" t="n">
        <f aca="false">CN97*$F99*(CN$4&lt;=In_COD)</f>
        <v>0</v>
      </c>
      <c r="CO99" s="33" t="n">
        <f aca="false">CO97*$F99*(CO$4&lt;=In_COD)</f>
        <v>0</v>
      </c>
      <c r="CP99" s="33" t="n">
        <f aca="false">CP97*$F99*(CP$4&lt;=In_COD)</f>
        <v>0</v>
      </c>
      <c r="CQ99" s="33" t="n">
        <f aca="false">CQ97*$F99*(CQ$4&lt;=In_COD)</f>
        <v>0</v>
      </c>
      <c r="CR99" s="33" t="n">
        <f aca="false">CR97*$F99*(CR$4&lt;=In_COD)</f>
        <v>0</v>
      </c>
      <c r="CS99" s="33" t="n">
        <f aca="false">CS97*$F99*(CS$4&lt;=In_COD)</f>
        <v>0</v>
      </c>
      <c r="CT99" s="33" t="n">
        <f aca="false">CT97*$F99*(CT$4&lt;=In_COD)</f>
        <v>0</v>
      </c>
      <c r="CU99" s="33" t="n">
        <f aca="false">CU97*$F99*(CU$4&lt;=In_COD)</f>
        <v>0</v>
      </c>
      <c r="CV99" s="33" t="n">
        <f aca="false">CV97*$F99*(CV$4&lt;=In_COD)</f>
        <v>0</v>
      </c>
      <c r="CW99" s="33" t="n">
        <f aca="false">CW97*$F99*(CW$4&lt;=In_COD)</f>
        <v>0</v>
      </c>
      <c r="CX99" s="33" t="n">
        <f aca="false">CX97*$F99*(CX$4&lt;=In_COD)</f>
        <v>0</v>
      </c>
      <c r="CY99" s="33" t="n">
        <f aca="false">CY97*$F99*(CY$4&lt;=In_COD)</f>
        <v>0</v>
      </c>
      <c r="CZ99" s="33" t="n">
        <f aca="false">CZ97*$F99*(CZ$4&lt;=In_COD)</f>
        <v>0</v>
      </c>
      <c r="DA99" s="33" t="n">
        <f aca="false">DA97*$F99*(DA$4&lt;=In_COD)</f>
        <v>0</v>
      </c>
      <c r="DB99" s="33" t="n">
        <f aca="false">DB97*$F99*(DB$4&lt;=In_COD)</f>
        <v>0</v>
      </c>
      <c r="DC99" s="33" t="n">
        <f aca="false">DC97*$F99*(DC$4&lt;=In_COD)</f>
        <v>0</v>
      </c>
      <c r="DD99" s="33" t="n">
        <f aca="false">DD97*$F99*(DD$4&lt;=In_COD)</f>
        <v>0</v>
      </c>
      <c r="DE99" s="33" t="n">
        <f aca="false">DE97*$F99*(DE$4&lt;=In_COD)</f>
        <v>0</v>
      </c>
      <c r="DF99" s="33" t="n">
        <f aca="false">DF97*$F99*(DF$4&lt;=In_COD)</f>
        <v>0</v>
      </c>
      <c r="DG99" s="33" t="n">
        <f aca="false">DG97*$F99*(DG$4&lt;=In_COD)</f>
        <v>0</v>
      </c>
      <c r="DH99" s="33" t="n">
        <f aca="false">DH97*$F99*(DH$4&lt;=In_COD)</f>
        <v>0</v>
      </c>
      <c r="DI99" s="33" t="n">
        <f aca="false">DI97*$F99*(DI$4&lt;=In_COD)</f>
        <v>0</v>
      </c>
      <c r="DJ99" s="33" t="n">
        <f aca="false">DJ97*$F99*(DJ$4&lt;=In_COD)</f>
        <v>0</v>
      </c>
      <c r="DK99" s="33" t="n">
        <f aca="false">DK97*$F99*(DK$4&lt;=In_COD)</f>
        <v>0</v>
      </c>
      <c r="DL99" s="33" t="n">
        <f aca="false">DL97*$F99*(DL$4&lt;=In_COD)</f>
        <v>0</v>
      </c>
      <c r="DM99" s="33" t="n">
        <f aca="false">DM97*$F99*(DM$4&lt;=In_COD)</f>
        <v>0</v>
      </c>
      <c r="DN99" s="33" t="n">
        <f aca="false">DN97*$F99*(DN$4&lt;=In_COD)</f>
        <v>0</v>
      </c>
      <c r="DO99" s="33" t="n">
        <f aca="false">DO97*$F99*(DO$4&lt;=In_COD)</f>
        <v>0</v>
      </c>
      <c r="DP99" s="33" t="n">
        <f aca="false">DP97*$F99*(DP$4&lt;=In_COD)</f>
        <v>0</v>
      </c>
      <c r="DQ99" s="33" t="n">
        <f aca="false">DQ97*$F99*(DQ$4&lt;=In_COD)</f>
        <v>0</v>
      </c>
      <c r="DR99" s="33" t="n">
        <f aca="false">DR97*$F99*(DR$4&lt;=In_COD)</f>
        <v>0</v>
      </c>
      <c r="DS99" s="33" t="n">
        <f aca="false">DS97*$F99*(DS$4&lt;=In_COD)</f>
        <v>0</v>
      </c>
      <c r="DT99" s="33" t="n">
        <f aca="false">DT97*$F99*(DT$4&lt;=In_COD)</f>
        <v>0</v>
      </c>
      <c r="DU99" s="33" t="n">
        <f aca="false">DU97*$F99*(DU$4&lt;=In_COD)</f>
        <v>0</v>
      </c>
      <c r="DV99" s="33" t="n">
        <f aca="false">DV97*$F99*(DV$4&lt;=In_COD)</f>
        <v>0</v>
      </c>
      <c r="DW99" s="33" t="n">
        <f aca="false">DW97*$F99*(DW$4&lt;=In_COD)</f>
        <v>0</v>
      </c>
      <c r="DX99" s="33" t="n">
        <f aca="false">DX97*$F99*(DX$4&lt;=In_COD)</f>
        <v>0</v>
      </c>
      <c r="DY99" s="33" t="n">
        <f aca="false">DY97*$F99*(DY$4&lt;=In_COD)</f>
        <v>0</v>
      </c>
      <c r="DZ99" s="33" t="n">
        <f aca="false">DZ97*$F99*(DZ$4&lt;=In_COD)</f>
        <v>0</v>
      </c>
      <c r="EA99" s="33" t="n">
        <f aca="false">EA97*$F99*(EA$4&lt;=In_COD)</f>
        <v>0</v>
      </c>
      <c r="EB99" s="33" t="n">
        <f aca="false">EB97*$F99*(EB$4&lt;=In_COD)</f>
        <v>0</v>
      </c>
      <c r="EC99" s="33" t="n">
        <f aca="false">EC97*$F99*(EC$4&lt;=In_COD)</f>
        <v>0</v>
      </c>
      <c r="ED99" s="33" t="n">
        <f aca="false">ED97*$F99*(ED$4&lt;=In_COD)</f>
        <v>0</v>
      </c>
      <c r="EE99" s="33" t="n">
        <f aca="false">EE97*$F99*(EE$4&lt;=In_COD)</f>
        <v>0</v>
      </c>
      <c r="EF99" s="33" t="n">
        <f aca="false">EF97*$F99*(EF$4&lt;=In_COD)</f>
        <v>0</v>
      </c>
      <c r="EG99" s="33" t="n">
        <f aca="false">EG97*$F99*(EG$4&lt;=In_COD)</f>
        <v>0</v>
      </c>
      <c r="EH99" s="33" t="n">
        <f aca="false">EH97*$F99*(EH$4&lt;=In_COD)</f>
        <v>0</v>
      </c>
      <c r="EI99" s="33" t="n">
        <f aca="false">EI97*$F99*(EI$4&lt;=In_COD)</f>
        <v>0</v>
      </c>
      <c r="EJ99" s="33" t="n">
        <f aca="false">EJ97*$F99*(EJ$4&lt;=In_COD)</f>
        <v>0</v>
      </c>
      <c r="EK99" s="33" t="n">
        <f aca="false">EK97*$F99*(EK$4&lt;=In_COD)</f>
        <v>0</v>
      </c>
      <c r="EL99" s="33" t="n">
        <f aca="false">EL97*$F99*(EL$4&lt;=In_COD)</f>
        <v>0</v>
      </c>
      <c r="EM99" s="33" t="n">
        <f aca="false">EM97*$F99*(EM$4&lt;=In_COD)</f>
        <v>0</v>
      </c>
      <c r="EN99" s="33" t="n">
        <f aca="false">EN97*$F99*(EN$4&lt;=In_COD)</f>
        <v>0</v>
      </c>
      <c r="EO99" s="33" t="n">
        <f aca="false">EO97*$F99*(EO$4&lt;=In_COD)</f>
        <v>0</v>
      </c>
      <c r="EP99" s="33" t="n">
        <f aca="false">EP97*$F99*(EP$4&lt;=In_COD)</f>
        <v>0</v>
      </c>
      <c r="EQ99" s="33" t="n">
        <f aca="false">EQ97*$F99*(EQ$4&lt;=In_COD)</f>
        <v>0</v>
      </c>
      <c r="ER99" s="33" t="n">
        <f aca="false">ER97*$F99*(ER$4&lt;=In_COD)</f>
        <v>0</v>
      </c>
      <c r="ES99" s="33" t="n">
        <f aca="false">ES97*$F99*(ES$4&lt;=In_COD)</f>
        <v>0</v>
      </c>
      <c r="ET99" s="33" t="n">
        <f aca="false">ET97*$F99*(ET$4&lt;=In_COD)</f>
        <v>0</v>
      </c>
    </row>
    <row r="100" customFormat="false" ht="15" hidden="false" customHeight="false" outlineLevel="0" collapsed="false">
      <c r="C100" s="0" t="s">
        <v>550</v>
      </c>
      <c r="D100" s="11" t="s">
        <v>247</v>
      </c>
      <c r="I100" s="33" t="n">
        <f aca="false">SUM(J100:ET100)</f>
        <v>-99336.0596347059</v>
      </c>
      <c r="J100" s="33" t="n">
        <f aca="false">PPMT($F99,1,In_Debt_Tenor*Months_In_Year/Months_Per_Period-SUM($J17:J17)+1,J97)*J17</f>
        <v>0</v>
      </c>
      <c r="K100" s="33" t="n">
        <f aca="false">PPMT($F99,1,In_Debt_Tenor*Months_In_Year/Months_Per_Period-SUM($J17:K17)+1,K97)*K17</f>
        <v>0</v>
      </c>
      <c r="L100" s="33" t="n">
        <f aca="false">PPMT($F99,1,In_Debt_Tenor*Months_In_Year/Months_Per_Period-SUM($J17:L17)+1,L97)*L17</f>
        <v>0</v>
      </c>
      <c r="M100" s="33" t="n">
        <f aca="false">PPMT($F99,1,In_Debt_Tenor*Months_In_Year/Months_Per_Period-SUM($J17:M17)+1,M97)*M17</f>
        <v>0</v>
      </c>
      <c r="N100" s="33" t="n">
        <f aca="false">PPMT($F99,1,In_Debt_Tenor*Months_In_Year/Months_Per_Period-SUM($J17:N17)+1,N97)*N17</f>
        <v>0</v>
      </c>
      <c r="O100" s="33" t="n">
        <f aca="false">PPMT($F99,1,In_Debt_Tenor*Months_In_Year/Months_Per_Period-SUM($J17:O17)+1,O97)*O17</f>
        <v>0</v>
      </c>
      <c r="P100" s="33" t="n">
        <f aca="false">PPMT($F99,1,In_Debt_Tenor*Months_In_Year/Months_Per_Period-SUM($J17:P17)+1,P97)*P17</f>
        <v>0</v>
      </c>
      <c r="Q100" s="33" t="n">
        <f aca="false">PPMT($F99,1,In_Debt_Tenor*Months_In_Year/Months_Per_Period-SUM($J17:Q17)+1,Q97)*Q17</f>
        <v>0</v>
      </c>
      <c r="R100" s="33" t="n">
        <f aca="false">PPMT($F99,1,In_Debt_Tenor*Months_In_Year/Months_Per_Period-SUM($J17:R17)+1,R97)*R17</f>
        <v>0</v>
      </c>
      <c r="S100" s="33" t="n">
        <f aca="false">PPMT($F99,1,In_Debt_Tenor*Months_In_Year/Months_Per_Period-SUM($J17:S17)+1,S97)*S17</f>
        <v>0</v>
      </c>
      <c r="T100" s="33" t="n">
        <f aca="false">PPMT($F99,1,In_Debt_Tenor*Months_In_Year/Months_Per_Period-SUM($J17:T17)+1,T97)*T17</f>
        <v>0</v>
      </c>
      <c r="U100" s="33" t="n">
        <f aca="false">PPMT($F99,1,In_Debt_Tenor*Months_In_Year/Months_Per_Period-SUM($J17:U17)+1,U97)*U17</f>
        <v>0</v>
      </c>
      <c r="V100" s="33" t="n">
        <f aca="false">PPMT($F99,1,In_Debt_Tenor*Months_In_Year/Months_Per_Period-SUM($J17:V17)+1,V97)*V17</f>
        <v>0</v>
      </c>
      <c r="W100" s="33" t="n">
        <f aca="false">PPMT($F99,1,In_Debt_Tenor*Months_In_Year/Months_Per_Period-SUM($J17:W17)+1,W97)*W17</f>
        <v>0</v>
      </c>
      <c r="X100" s="33" t="n">
        <f aca="false">PPMT($F99,1,In_Debt_Tenor*Months_In_Year/Months_Per_Period-SUM($J17:X17)+1,X97)*X17</f>
        <v>-0</v>
      </c>
      <c r="Y100" s="33" t="n">
        <f aca="false">PPMT($F99,1,In_Debt_Tenor*Months_In_Year/Months_Per_Period-SUM($J17:Y17)+1,Y97)*Y17</f>
        <v>-0</v>
      </c>
      <c r="Z100" s="33" t="n">
        <f aca="false">PPMT($F99,1,In_Debt_Tenor*Months_In_Year/Months_Per_Period-SUM($J17:Z17)+1,Z97)*Z17</f>
        <v>-0</v>
      </c>
      <c r="AA100" s="33" t="n">
        <f aca="false">PPMT($F99,1,In_Debt_Tenor*Months_In_Year/Months_Per_Period-SUM($J17:AA17)+1,AA97)*AA17</f>
        <v>-0</v>
      </c>
      <c r="AB100" s="33" t="n">
        <f aca="false">PPMT($F99,1,In_Debt_Tenor*Months_In_Year/Months_Per_Period-SUM($J17:AB17)+1,AB97)*AB17</f>
        <v>-0</v>
      </c>
      <c r="AC100" s="33" t="n">
        <f aca="false">PPMT($F99,1,In_Debt_Tenor*Months_In_Year/Months_Per_Period-SUM($J17:AC17)+1,AC97)*AC17</f>
        <v>-0</v>
      </c>
      <c r="AD100" s="33" t="n">
        <f aca="false">PPMT($F99,1,In_Debt_Tenor*Months_In_Year/Months_Per_Period-SUM($J17:AD17)+1,AD97)*AD17</f>
        <v>-0</v>
      </c>
      <c r="AE100" s="33" t="n">
        <f aca="false">PPMT($F99,1,In_Debt_Tenor*Months_In_Year/Months_Per_Period-SUM($J17:AE17)+1,AE97)*AE17</f>
        <v>-1929.24673021309</v>
      </c>
      <c r="AF100" s="33" t="n">
        <f aca="false">PPMT($F99,1,In_Debt_Tenor*Months_In_Year/Months_Per_Period-SUM($J17:AF17)+1,AF97)*AF17</f>
        <v>-1953.36231434075</v>
      </c>
      <c r="AG100" s="33" t="n">
        <f aca="false">PPMT($F99,1,In_Debt_Tenor*Months_In_Year/Months_Per_Period-SUM($J17:AG17)+1,AG97)*AG17</f>
        <v>-1977.77934327001</v>
      </c>
      <c r="AH100" s="33" t="n">
        <f aca="false">PPMT($F99,1,In_Debt_Tenor*Months_In_Year/Months_Per_Period-SUM($J17:AH17)+1,AH97)*AH17</f>
        <v>-2002.50158506089</v>
      </c>
      <c r="AI100" s="33" t="n">
        <f aca="false">PPMT($F99,1,In_Debt_Tenor*Months_In_Year/Months_Per_Period-SUM($J17:AI17)+1,AI97)*AI17</f>
        <v>-2027.53285487415</v>
      </c>
      <c r="AJ100" s="33" t="n">
        <f aca="false">PPMT($F99,1,In_Debt_Tenor*Months_In_Year/Months_Per_Period-SUM($J17:AJ17)+1,AJ97)*AJ17</f>
        <v>-2052.87701556008</v>
      </c>
      <c r="AK100" s="33" t="n">
        <f aca="false">PPMT($F99,1,In_Debt_Tenor*Months_In_Year/Months_Per_Period-SUM($J17:AK17)+1,AK97)*AK17</f>
        <v>-2078.53797825458</v>
      </c>
      <c r="AL100" s="33" t="n">
        <f aca="false">PPMT($F99,1,In_Debt_Tenor*Months_In_Year/Months_Per_Period-SUM($J17:AL17)+1,AL97)*AL17</f>
        <v>-2104.51970298276</v>
      </c>
      <c r="AM100" s="33" t="n">
        <f aca="false">PPMT($F99,1,In_Debt_Tenor*Months_In_Year/Months_Per_Period-SUM($J17:AM17)+1,AM97)*AM17</f>
        <v>-2130.82619927004</v>
      </c>
      <c r="AN100" s="33" t="n">
        <f aca="false">PPMT($F99,1,In_Debt_Tenor*Months_In_Year/Months_Per_Period-SUM($J17:AN17)+1,AN97)*AN17</f>
        <v>-2157.46152676092</v>
      </c>
      <c r="AO100" s="33" t="n">
        <f aca="false">PPMT($F99,1,In_Debt_Tenor*Months_In_Year/Months_Per_Period-SUM($J17:AO17)+1,AO97)*AO17</f>
        <v>-2184.42979584543</v>
      </c>
      <c r="AP100" s="33" t="n">
        <f aca="false">PPMT($F99,1,In_Debt_Tenor*Months_In_Year/Months_Per_Period-SUM($J17:AP17)+1,AP97)*AP17</f>
        <v>-2211.7351682935</v>
      </c>
      <c r="AQ100" s="33" t="n">
        <f aca="false">PPMT($F99,1,In_Debt_Tenor*Months_In_Year/Months_Per_Period-SUM($J17:AQ17)+1,AQ97)*AQ17</f>
        <v>-2239.38185789717</v>
      </c>
      <c r="AR100" s="33" t="n">
        <f aca="false">PPMT($F99,1,In_Debt_Tenor*Months_In_Year/Months_Per_Period-SUM($J17:AR17)+1,AR97)*AR17</f>
        <v>-2267.37413112088</v>
      </c>
      <c r="AS100" s="33" t="n">
        <f aca="false">PPMT($F99,1,In_Debt_Tenor*Months_In_Year/Months_Per_Period-SUM($J17:AS17)+1,AS97)*AS17</f>
        <v>-2295.71630775989</v>
      </c>
      <c r="AT100" s="33" t="n">
        <f aca="false">PPMT($F99,1,In_Debt_Tenor*Months_In_Year/Months_Per_Period-SUM($J17:AT17)+1,AT97)*AT17</f>
        <v>-2324.41276160689</v>
      </c>
      <c r="AU100" s="33" t="n">
        <f aca="false">PPMT($F99,1,In_Debt_Tenor*Months_In_Year/Months_Per_Period-SUM($J17:AU17)+1,AU97)*AU17</f>
        <v>-2353.46792112698</v>
      </c>
      <c r="AV100" s="33" t="n">
        <f aca="false">PPMT($F99,1,In_Debt_Tenor*Months_In_Year/Months_Per_Period-SUM($J17:AV17)+1,AV97)*AV17</f>
        <v>-2382.88627014107</v>
      </c>
      <c r="AW100" s="33" t="n">
        <f aca="false">PPMT($F99,1,In_Debt_Tenor*Months_In_Year/Months_Per_Period-SUM($J17:AW17)+1,AW97)*AW17</f>
        <v>-2412.67234851783</v>
      </c>
      <c r="AX100" s="33" t="n">
        <f aca="false">PPMT($F99,1,In_Debt_Tenor*Months_In_Year/Months_Per_Period-SUM($J17:AX17)+1,AX97)*AX17</f>
        <v>-2442.8307528743</v>
      </c>
      <c r="AY100" s="33" t="n">
        <f aca="false">PPMT($F99,1,In_Debt_Tenor*Months_In_Year/Months_Per_Period-SUM($J17:AY17)+1,AY97)*AY17</f>
        <v>-2473.36613728523</v>
      </c>
      <c r="AZ100" s="33" t="n">
        <f aca="false">PPMT($F99,1,In_Debt_Tenor*Months_In_Year/Months_Per_Period-SUM($J17:AZ17)+1,AZ97)*AZ17</f>
        <v>-2504.2832140013</v>
      </c>
      <c r="BA100" s="33" t="n">
        <f aca="false">PPMT($F99,1,In_Debt_Tenor*Months_In_Year/Months_Per_Period-SUM($J17:BA17)+1,BA97)*BA17</f>
        <v>-2535.58675417631</v>
      </c>
      <c r="BB100" s="33" t="n">
        <f aca="false">PPMT($F99,1,In_Debt_Tenor*Months_In_Year/Months_Per_Period-SUM($J17:BB17)+1,BB97)*BB17</f>
        <v>-2567.28158860352</v>
      </c>
      <c r="BC100" s="33" t="n">
        <f aca="false">PPMT($F99,1,In_Debt_Tenor*Months_In_Year/Months_Per_Period-SUM($J17:BC17)+1,BC97)*BC17</f>
        <v>-2599.37260846106</v>
      </c>
      <c r="BD100" s="33" t="n">
        <f aca="false">PPMT($F99,1,In_Debt_Tenor*Months_In_Year/Months_Per_Period-SUM($J17:BD17)+1,BD97)*BD17</f>
        <v>-2631.86476606682</v>
      </c>
      <c r="BE100" s="33" t="n">
        <f aca="false">PPMT($F99,1,In_Debt_Tenor*Months_In_Year/Months_Per_Period-SUM($J17:BE17)+1,BE97)*BE17</f>
        <v>-2664.76307564266</v>
      </c>
      <c r="BF100" s="33" t="n">
        <f aca="false">PPMT($F99,1,In_Debt_Tenor*Months_In_Year/Months_Per_Period-SUM($J17:BF17)+1,BF97)*BF17</f>
        <v>-2698.07261408819</v>
      </c>
      <c r="BG100" s="33" t="n">
        <f aca="false">PPMT($F99,1,In_Debt_Tenor*Months_In_Year/Months_Per_Period-SUM($J17:BG17)+1,BG97)*BG17</f>
        <v>-2731.79852176429</v>
      </c>
      <c r="BH100" s="33" t="n">
        <f aca="false">PPMT($F99,1,In_Debt_Tenor*Months_In_Year/Months_Per_Period-SUM($J17:BH17)+1,BH97)*BH17</f>
        <v>-2765.94600328635</v>
      </c>
      <c r="BI100" s="33" t="n">
        <f aca="false">PPMT($F99,1,In_Debt_Tenor*Months_In_Year/Months_Per_Period-SUM($J17:BI17)+1,BI97)*BI17</f>
        <v>-2800.52032832743</v>
      </c>
      <c r="BJ100" s="33" t="n">
        <f aca="false">PPMT($F99,1,In_Debt_Tenor*Months_In_Year/Months_Per_Period-SUM($J17:BJ17)+1,BJ97)*BJ17</f>
        <v>-2835.52683243152</v>
      </c>
      <c r="BK100" s="33" t="n">
        <f aca="false">PPMT($F99,1,In_Debt_Tenor*Months_In_Year/Months_Per_Period-SUM($J17:BK17)+1,BK97)*BK17</f>
        <v>-2870.97091783691</v>
      </c>
      <c r="BL100" s="33" t="n">
        <f aca="false">PPMT($F99,1,In_Debt_Tenor*Months_In_Year/Months_Per_Period-SUM($J17:BL17)+1,BL97)*BL17</f>
        <v>-2906.85805430987</v>
      </c>
      <c r="BM100" s="33" t="n">
        <f aca="false">PPMT($F99,1,In_Debt_Tenor*Months_In_Year/Months_Per_Period-SUM($J17:BM17)+1,BM97)*BM17</f>
        <v>-2943.19377998875</v>
      </c>
      <c r="BN100" s="33" t="n">
        <f aca="false">PPMT($F99,1,In_Debt_Tenor*Months_In_Year/Months_Per_Period-SUM($J17:BN17)+1,BN97)*BN17</f>
        <v>-2979.98370223861</v>
      </c>
      <c r="BO100" s="33" t="n">
        <f aca="false">PPMT($F99,1,In_Debt_Tenor*Months_In_Year/Months_Per_Period-SUM($J17:BO17)+1,BO97)*BO17</f>
        <v>-3017.23349851659</v>
      </c>
      <c r="BP100" s="33" t="n">
        <f aca="false">PPMT($F99,1,In_Debt_Tenor*Months_In_Year/Months_Per_Period-SUM($J17:BP17)+1,BP97)*BP17</f>
        <v>-3054.94891724805</v>
      </c>
      <c r="BQ100" s="33" t="n">
        <f aca="false">PPMT($F99,1,In_Debt_Tenor*Months_In_Year/Months_Per_Period-SUM($J17:BQ17)+1,BQ97)*BQ17</f>
        <v>-3093.13577871365</v>
      </c>
      <c r="BR100" s="33" t="n">
        <f aca="false">PPMT($F99,1,In_Debt_Tenor*Months_In_Year/Months_Per_Period-SUM($J17:BR17)+1,BR97)*BR17</f>
        <v>-3131.79997594757</v>
      </c>
      <c r="BS100" s="33" t="n">
        <f aca="false">PPMT($F99,1,In_Debt_Tenor*Months_In_Year/Months_Per_Period-SUM($J17:BS17)+1,BS97)*BS17</f>
        <v>0</v>
      </c>
      <c r="BT100" s="33" t="n">
        <f aca="false">PPMT($F99,1,In_Debt_Tenor*Months_In_Year/Months_Per_Period-SUM($J17:BT17)+1,BT97)*BT17</f>
        <v>0</v>
      </c>
      <c r="BU100" s="33" t="n">
        <f aca="false">PPMT($F99,1,In_Debt_Tenor*Months_In_Year/Months_Per_Period-SUM($J17:BU17)+1,BU97)*BU17</f>
        <v>0</v>
      </c>
      <c r="BV100" s="33" t="n">
        <f aca="false">PPMT($F99,1,In_Debt_Tenor*Months_In_Year/Months_Per_Period-SUM($J17:BV17)+1,BV97)*BV17</f>
        <v>0</v>
      </c>
      <c r="BW100" s="33" t="n">
        <f aca="false">PPMT($F99,1,In_Debt_Tenor*Months_In_Year/Months_Per_Period-SUM($J17:BW17)+1,BW97)*BW17</f>
        <v>0</v>
      </c>
      <c r="BX100" s="33" t="n">
        <f aca="false">PPMT($F99,1,In_Debt_Tenor*Months_In_Year/Months_Per_Period-SUM($J17:BX17)+1,BX97)*BX17</f>
        <v>0</v>
      </c>
      <c r="BY100" s="33" t="n">
        <f aca="false">PPMT($F99,1,In_Debt_Tenor*Months_In_Year/Months_Per_Period-SUM($J17:BY17)+1,BY97)*BY17</f>
        <v>0</v>
      </c>
      <c r="BZ100" s="33" t="n">
        <f aca="false">PPMT($F99,1,In_Debt_Tenor*Months_In_Year/Months_Per_Period-SUM($J17:BZ17)+1,BZ97)*BZ17</f>
        <v>0</v>
      </c>
      <c r="CA100" s="33" t="n">
        <f aca="false">PPMT($F99,1,In_Debt_Tenor*Months_In_Year/Months_Per_Period-SUM($J17:CA17)+1,CA97)*CA17</f>
        <v>0</v>
      </c>
      <c r="CB100" s="33" t="n">
        <f aca="false">PPMT($F99,1,In_Debt_Tenor*Months_In_Year/Months_Per_Period-SUM($J17:CB17)+1,CB97)*CB17</f>
        <v>0</v>
      </c>
      <c r="CC100" s="33" t="n">
        <f aca="false">PPMT($F99,1,In_Debt_Tenor*Months_In_Year/Months_Per_Period-SUM($J17:CC17)+1,CC97)*CC17</f>
        <v>0</v>
      </c>
      <c r="CD100" s="33" t="n">
        <f aca="false">PPMT($F99,1,In_Debt_Tenor*Months_In_Year/Months_Per_Period-SUM($J17:CD17)+1,CD97)*CD17</f>
        <v>0</v>
      </c>
      <c r="CE100" s="33" t="n">
        <f aca="false">PPMT($F99,1,In_Debt_Tenor*Months_In_Year/Months_Per_Period-SUM($J17:CE17)+1,CE97)*CE17</f>
        <v>0</v>
      </c>
      <c r="CF100" s="33" t="n">
        <f aca="false">PPMT($F99,1,In_Debt_Tenor*Months_In_Year/Months_Per_Period-SUM($J17:CF17)+1,CF97)*CF17</f>
        <v>0</v>
      </c>
      <c r="CG100" s="33" t="n">
        <f aca="false">PPMT($F99,1,In_Debt_Tenor*Months_In_Year/Months_Per_Period-SUM($J17:CG17)+1,CG97)*CG17</f>
        <v>0</v>
      </c>
      <c r="CH100" s="33" t="n">
        <f aca="false">PPMT($F99,1,In_Debt_Tenor*Months_In_Year/Months_Per_Period-SUM($J17:CH17)+1,CH97)*CH17</f>
        <v>0</v>
      </c>
      <c r="CI100" s="33" t="n">
        <f aca="false">PPMT($F99,1,In_Debt_Tenor*Months_In_Year/Months_Per_Period-SUM($J17:CI17)+1,CI97)*CI17</f>
        <v>0</v>
      </c>
      <c r="CJ100" s="33" t="n">
        <f aca="false">PPMT($F99,1,In_Debt_Tenor*Months_In_Year/Months_Per_Period-SUM($J17:CJ17)+1,CJ97)*CJ17</f>
        <v>0</v>
      </c>
      <c r="CK100" s="33" t="n">
        <f aca="false">PPMT($F99,1,In_Debt_Tenor*Months_In_Year/Months_Per_Period-SUM($J17:CK17)+1,CK97)*CK17</f>
        <v>0</v>
      </c>
      <c r="CL100" s="33" t="n">
        <f aca="false">PPMT($F99,1,In_Debt_Tenor*Months_In_Year/Months_Per_Period-SUM($J17:CL17)+1,CL97)*CL17</f>
        <v>0</v>
      </c>
      <c r="CM100" s="33" t="n">
        <f aca="false">PPMT($F99,1,In_Debt_Tenor*Months_In_Year/Months_Per_Period-SUM($J17:CM17)+1,CM97)*CM17</f>
        <v>0</v>
      </c>
      <c r="CN100" s="33" t="n">
        <f aca="false">PPMT($F99,1,In_Debt_Tenor*Months_In_Year/Months_Per_Period-SUM($J17:CN17)+1,CN97)*CN17</f>
        <v>0</v>
      </c>
      <c r="CO100" s="33" t="n">
        <f aca="false">PPMT($F99,1,In_Debt_Tenor*Months_In_Year/Months_Per_Period-SUM($J17:CO17)+1,CO97)*CO17</f>
        <v>0</v>
      </c>
      <c r="CP100" s="33" t="n">
        <f aca="false">PPMT($F99,1,In_Debt_Tenor*Months_In_Year/Months_Per_Period-SUM($J17:CP17)+1,CP97)*CP17</f>
        <v>0</v>
      </c>
      <c r="CQ100" s="33" t="n">
        <f aca="false">PPMT($F99,1,In_Debt_Tenor*Months_In_Year/Months_Per_Period-SUM($J17:CQ17)+1,CQ97)*CQ17</f>
        <v>0</v>
      </c>
      <c r="CR100" s="33" t="n">
        <f aca="false">PPMT($F99,1,In_Debt_Tenor*Months_In_Year/Months_Per_Period-SUM($J17:CR17)+1,CR97)*CR17</f>
        <v>0</v>
      </c>
      <c r="CS100" s="33" t="n">
        <f aca="false">PPMT($F99,1,In_Debt_Tenor*Months_In_Year/Months_Per_Period-SUM($J17:CS17)+1,CS97)*CS17</f>
        <v>0</v>
      </c>
      <c r="CT100" s="33" t="n">
        <f aca="false">PPMT($F99,1,In_Debt_Tenor*Months_In_Year/Months_Per_Period-SUM($J17:CT17)+1,CT97)*CT17</f>
        <v>0</v>
      </c>
      <c r="CU100" s="33" t="n">
        <f aca="false">PPMT($F99,1,In_Debt_Tenor*Months_In_Year/Months_Per_Period-SUM($J17:CU17)+1,CU97)*CU17</f>
        <v>0</v>
      </c>
      <c r="CV100" s="33" t="n">
        <f aca="false">PPMT($F99,1,In_Debt_Tenor*Months_In_Year/Months_Per_Period-SUM($J17:CV17)+1,CV97)*CV17</f>
        <v>0</v>
      </c>
      <c r="CW100" s="33" t="n">
        <f aca="false">PPMT($F99,1,In_Debt_Tenor*Months_In_Year/Months_Per_Period-SUM($J17:CW17)+1,CW97)*CW17</f>
        <v>0</v>
      </c>
      <c r="CX100" s="33" t="n">
        <f aca="false">PPMT($F99,1,In_Debt_Tenor*Months_In_Year/Months_Per_Period-SUM($J17:CX17)+1,CX97)*CX17</f>
        <v>0</v>
      </c>
      <c r="CY100" s="33" t="n">
        <f aca="false">PPMT($F99,1,In_Debt_Tenor*Months_In_Year/Months_Per_Period-SUM($J17:CY17)+1,CY97)*CY17</f>
        <v>0</v>
      </c>
      <c r="CZ100" s="33" t="n">
        <f aca="false">PPMT($F99,1,In_Debt_Tenor*Months_In_Year/Months_Per_Period-SUM($J17:CZ17)+1,CZ97)*CZ17</f>
        <v>0</v>
      </c>
      <c r="DA100" s="33" t="n">
        <f aca="false">PPMT($F99,1,In_Debt_Tenor*Months_In_Year/Months_Per_Period-SUM($J17:DA17)+1,DA97)*DA17</f>
        <v>0</v>
      </c>
      <c r="DB100" s="33" t="n">
        <f aca="false">PPMT($F99,1,In_Debt_Tenor*Months_In_Year/Months_Per_Period-SUM($J17:DB17)+1,DB97)*DB17</f>
        <v>0</v>
      </c>
      <c r="DC100" s="33" t="n">
        <f aca="false">PPMT($F99,1,In_Debt_Tenor*Months_In_Year/Months_Per_Period-SUM($J17:DC17)+1,DC97)*DC17</f>
        <v>0</v>
      </c>
      <c r="DD100" s="33" t="n">
        <f aca="false">PPMT($F99,1,In_Debt_Tenor*Months_In_Year/Months_Per_Period-SUM($J17:DD17)+1,DD97)*DD17</f>
        <v>0</v>
      </c>
      <c r="DE100" s="33" t="n">
        <f aca="false">PPMT($F99,1,In_Debt_Tenor*Months_In_Year/Months_Per_Period-SUM($J17:DE17)+1,DE97)*DE17</f>
        <v>0</v>
      </c>
      <c r="DF100" s="33" t="n">
        <f aca="false">PPMT($F99,1,In_Debt_Tenor*Months_In_Year/Months_Per_Period-SUM($J17:DF17)+1,DF97)*DF17</f>
        <v>0</v>
      </c>
      <c r="DG100" s="33" t="n">
        <f aca="false">PPMT($F99,1,In_Debt_Tenor*Months_In_Year/Months_Per_Period-SUM($J17:DG17)+1,DG97)*DG17</f>
        <v>0</v>
      </c>
      <c r="DH100" s="33" t="n">
        <f aca="false">PPMT($F99,1,In_Debt_Tenor*Months_In_Year/Months_Per_Period-SUM($J17:DH17)+1,DH97)*DH17</f>
        <v>0</v>
      </c>
      <c r="DI100" s="33" t="n">
        <f aca="false">PPMT($F99,1,In_Debt_Tenor*Months_In_Year/Months_Per_Period-SUM($J17:DI17)+1,DI97)*DI17</f>
        <v>0</v>
      </c>
      <c r="DJ100" s="33" t="n">
        <f aca="false">PPMT($F99,1,In_Debt_Tenor*Months_In_Year/Months_Per_Period-SUM($J17:DJ17)+1,DJ97)*DJ17</f>
        <v>0</v>
      </c>
      <c r="DK100" s="33" t="n">
        <f aca="false">PPMT($F99,1,In_Debt_Tenor*Months_In_Year/Months_Per_Period-SUM($J17:DK17)+1,DK97)*DK17</f>
        <v>0</v>
      </c>
      <c r="DL100" s="33" t="n">
        <f aca="false">PPMT($F99,1,In_Debt_Tenor*Months_In_Year/Months_Per_Period-SUM($J17:DL17)+1,DL97)*DL17</f>
        <v>0</v>
      </c>
      <c r="DM100" s="33" t="n">
        <f aca="false">PPMT($F99,1,In_Debt_Tenor*Months_In_Year/Months_Per_Period-SUM($J17:DM17)+1,DM97)*DM17</f>
        <v>0</v>
      </c>
      <c r="DN100" s="33" t="n">
        <f aca="false">PPMT($F99,1,In_Debt_Tenor*Months_In_Year/Months_Per_Period-SUM($J17:DN17)+1,DN97)*DN17</f>
        <v>0</v>
      </c>
      <c r="DO100" s="33" t="n">
        <f aca="false">PPMT($F99,1,In_Debt_Tenor*Months_In_Year/Months_Per_Period-SUM($J17:DO17)+1,DO97)*DO17</f>
        <v>0</v>
      </c>
      <c r="DP100" s="33" t="n">
        <f aca="false">PPMT($F99,1,In_Debt_Tenor*Months_In_Year/Months_Per_Period-SUM($J17:DP17)+1,DP97)*DP17</f>
        <v>0</v>
      </c>
      <c r="DQ100" s="33" t="n">
        <f aca="false">PPMT($F99,1,In_Debt_Tenor*Months_In_Year/Months_Per_Period-SUM($J17:DQ17)+1,DQ97)*DQ17</f>
        <v>0</v>
      </c>
      <c r="DR100" s="33" t="n">
        <f aca="false">PPMT($F99,1,In_Debt_Tenor*Months_In_Year/Months_Per_Period-SUM($J17:DR17)+1,DR97)*DR17</f>
        <v>0</v>
      </c>
      <c r="DS100" s="33" t="n">
        <f aca="false">PPMT($F99,1,In_Debt_Tenor*Months_In_Year/Months_Per_Period-SUM($J17:DS17)+1,DS97)*DS17</f>
        <v>0</v>
      </c>
      <c r="DT100" s="33" t="n">
        <f aca="false">PPMT($F99,1,In_Debt_Tenor*Months_In_Year/Months_Per_Period-SUM($J17:DT17)+1,DT97)*DT17</f>
        <v>0</v>
      </c>
      <c r="DU100" s="33" t="n">
        <f aca="false">PPMT($F99,1,In_Debt_Tenor*Months_In_Year/Months_Per_Period-SUM($J17:DU17)+1,DU97)*DU17</f>
        <v>0</v>
      </c>
      <c r="DV100" s="33" t="n">
        <f aca="false">PPMT($F99,1,In_Debt_Tenor*Months_In_Year/Months_Per_Period-SUM($J17:DV17)+1,DV97)*DV17</f>
        <v>0</v>
      </c>
      <c r="DW100" s="33" t="n">
        <f aca="false">PPMT($F99,1,In_Debt_Tenor*Months_In_Year/Months_Per_Period-SUM($J17:DW17)+1,DW97)*DW17</f>
        <v>0</v>
      </c>
      <c r="DX100" s="33" t="n">
        <f aca="false">PPMT($F99,1,In_Debt_Tenor*Months_In_Year/Months_Per_Period-SUM($J17:DX17)+1,DX97)*DX17</f>
        <v>0</v>
      </c>
      <c r="DY100" s="33" t="n">
        <f aca="false">PPMT($F99,1,In_Debt_Tenor*Months_In_Year/Months_Per_Period-SUM($J17:DY17)+1,DY97)*DY17</f>
        <v>0</v>
      </c>
      <c r="DZ100" s="33" t="n">
        <f aca="false">PPMT($F99,1,In_Debt_Tenor*Months_In_Year/Months_Per_Period-SUM($J17:DZ17)+1,DZ97)*DZ17</f>
        <v>0</v>
      </c>
      <c r="EA100" s="33" t="n">
        <f aca="false">PPMT($F99,1,In_Debt_Tenor*Months_In_Year/Months_Per_Period-SUM($J17:EA17)+1,EA97)*EA17</f>
        <v>0</v>
      </c>
      <c r="EB100" s="33" t="n">
        <f aca="false">PPMT($F99,1,In_Debt_Tenor*Months_In_Year/Months_Per_Period-SUM($J17:EB17)+1,EB97)*EB17</f>
        <v>0</v>
      </c>
      <c r="EC100" s="33" t="n">
        <f aca="false">PPMT($F99,1,In_Debt_Tenor*Months_In_Year/Months_Per_Period-SUM($J17:EC17)+1,EC97)*EC17</f>
        <v>0</v>
      </c>
      <c r="ED100" s="33" t="n">
        <f aca="false">PPMT($F99,1,In_Debt_Tenor*Months_In_Year/Months_Per_Period-SUM($J17:ED17)+1,ED97)*ED17</f>
        <v>0</v>
      </c>
      <c r="EE100" s="33" t="n">
        <f aca="false">PPMT($F99,1,In_Debt_Tenor*Months_In_Year/Months_Per_Period-SUM($J17:EE17)+1,EE97)*EE17</f>
        <v>0</v>
      </c>
      <c r="EF100" s="33" t="n">
        <f aca="false">PPMT($F99,1,In_Debt_Tenor*Months_In_Year/Months_Per_Period-SUM($J17:EF17)+1,EF97)*EF17</f>
        <v>0</v>
      </c>
      <c r="EG100" s="33" t="n">
        <f aca="false">PPMT($F99,1,In_Debt_Tenor*Months_In_Year/Months_Per_Period-SUM($J17:EG17)+1,EG97)*EG17</f>
        <v>0</v>
      </c>
      <c r="EH100" s="33" t="n">
        <f aca="false">PPMT($F99,1,In_Debt_Tenor*Months_In_Year/Months_Per_Period-SUM($J17:EH17)+1,EH97)*EH17</f>
        <v>0</v>
      </c>
      <c r="EI100" s="33" t="n">
        <f aca="false">PPMT($F99,1,In_Debt_Tenor*Months_In_Year/Months_Per_Period-SUM($J17:EI17)+1,EI97)*EI17</f>
        <v>0</v>
      </c>
      <c r="EJ100" s="33" t="n">
        <f aca="false">PPMT($F99,1,In_Debt_Tenor*Months_In_Year/Months_Per_Period-SUM($J17:EJ17)+1,EJ97)*EJ17</f>
        <v>0</v>
      </c>
      <c r="EK100" s="33" t="n">
        <f aca="false">PPMT($F99,1,In_Debt_Tenor*Months_In_Year/Months_Per_Period-SUM($J17:EK17)+1,EK97)*EK17</f>
        <v>0</v>
      </c>
      <c r="EL100" s="33" t="n">
        <f aca="false">PPMT($F99,1,In_Debt_Tenor*Months_In_Year/Months_Per_Period-SUM($J17:EL17)+1,EL97)*EL17</f>
        <v>0</v>
      </c>
      <c r="EM100" s="33" t="n">
        <f aca="false">PPMT($F99,1,In_Debt_Tenor*Months_In_Year/Months_Per_Period-SUM($J17:EM17)+1,EM97)*EM17</f>
        <v>0</v>
      </c>
      <c r="EN100" s="33" t="n">
        <f aca="false">PPMT($F99,1,In_Debt_Tenor*Months_In_Year/Months_Per_Period-SUM($J17:EN17)+1,EN97)*EN17</f>
        <v>0</v>
      </c>
      <c r="EO100" s="33" t="n">
        <f aca="false">PPMT($F99,1,In_Debt_Tenor*Months_In_Year/Months_Per_Period-SUM($J17:EO17)+1,EO97)*EO17</f>
        <v>0</v>
      </c>
      <c r="EP100" s="33" t="n">
        <f aca="false">PPMT($F99,1,In_Debt_Tenor*Months_In_Year/Months_Per_Period-SUM($J17:EP17)+1,EP97)*EP17</f>
        <v>0</v>
      </c>
      <c r="EQ100" s="33" t="n">
        <f aca="false">PPMT($F99,1,In_Debt_Tenor*Months_In_Year/Months_Per_Period-SUM($J17:EQ17)+1,EQ97)*EQ17</f>
        <v>0</v>
      </c>
      <c r="ER100" s="33" t="n">
        <f aca="false">PPMT($F99,1,In_Debt_Tenor*Months_In_Year/Months_Per_Period-SUM($J17:ER17)+1,ER97)*ER17</f>
        <v>0</v>
      </c>
      <c r="ES100" s="33" t="n">
        <f aca="false">PPMT($F99,1,In_Debt_Tenor*Months_In_Year/Months_Per_Period-SUM($J17:ES17)+1,ES97)*ES17</f>
        <v>0</v>
      </c>
      <c r="ET100" s="33" t="n">
        <f aca="false">PPMT($F99,1,In_Debt_Tenor*Months_In_Year/Months_Per_Period-SUM($J17:ET17)+1,ET97)*ET17</f>
        <v>0</v>
      </c>
    </row>
    <row r="101" customFormat="false" ht="15" hidden="false" customHeight="false" outlineLevel="0" collapsed="false">
      <c r="C101" s="30" t="s">
        <v>530</v>
      </c>
      <c r="D101" s="11" t="s">
        <v>247</v>
      </c>
      <c r="I101" s="54"/>
      <c r="J101" s="35" t="n">
        <f aca="false">SUM(J97:J100)</f>
        <v>0</v>
      </c>
      <c r="K101" s="35" t="n">
        <f aca="false">SUM(K97:K100)</f>
        <v>0</v>
      </c>
      <c r="L101" s="35" t="n">
        <f aca="false">SUM(L97:L100)</f>
        <v>0</v>
      </c>
      <c r="M101" s="35" t="n">
        <f aca="false">SUM(M97:M100)</f>
        <v>0</v>
      </c>
      <c r="N101" s="35" t="n">
        <f aca="false">SUM(N97:N100)</f>
        <v>0</v>
      </c>
      <c r="O101" s="35" t="n">
        <f aca="false">SUM(O97:O100)</f>
        <v>0</v>
      </c>
      <c r="P101" s="35" t="n">
        <f aca="false">SUM(P97:P100)</f>
        <v>0</v>
      </c>
      <c r="Q101" s="35" t="n">
        <f aca="false">SUM(Q97:Q100)</f>
        <v>0</v>
      </c>
      <c r="R101" s="35" t="n">
        <f aca="false">SUM(R97:R100)</f>
        <v>0</v>
      </c>
      <c r="S101" s="35" t="n">
        <f aca="false">SUM(S97:S100)</f>
        <v>0</v>
      </c>
      <c r="T101" s="35" t="n">
        <f aca="false">SUM(T97:T100)</f>
        <v>0</v>
      </c>
      <c r="U101" s="35" t="n">
        <f aca="false">SUM(U97:U100)</f>
        <v>0</v>
      </c>
      <c r="V101" s="35" t="n">
        <f aca="false">SUM(V97:V100)</f>
        <v>0</v>
      </c>
      <c r="W101" s="35" t="n">
        <f aca="false">SUM(W97:W100)</f>
        <v>11981.7564177174</v>
      </c>
      <c r="X101" s="35" t="n">
        <f aca="false">SUM(X97:X100)</f>
        <v>23852.8118250537</v>
      </c>
      <c r="Y101" s="35" t="n">
        <f aca="false">SUM(Y97:Y100)</f>
        <v>36002.491907783</v>
      </c>
      <c r="Z101" s="35" t="n">
        <f aca="false">SUM(Z97:Z100)</f>
        <v>48434.2794743477</v>
      </c>
      <c r="AA101" s="35" t="n">
        <f aca="false">SUM(AA97:AA100)</f>
        <v>61021.4643854944</v>
      </c>
      <c r="AB101" s="35" t="n">
        <f aca="false">SUM(AB97:AB100)</f>
        <v>73505.516142428</v>
      </c>
      <c r="AC101" s="35" t="n">
        <f aca="false">SUM(AC97:AC100)</f>
        <v>86275.8550291244</v>
      </c>
      <c r="AD101" s="35" t="n">
        <f aca="false">SUM(AD97:AD100)</f>
        <v>99336.0596347059</v>
      </c>
      <c r="AE101" s="35" t="n">
        <f aca="false">SUM(AE97:AE100)</f>
        <v>97406.8129044928</v>
      </c>
      <c r="AF101" s="35" t="n">
        <f aca="false">SUM(AF97:AF100)</f>
        <v>95453.450590152</v>
      </c>
      <c r="AG101" s="35" t="n">
        <f aca="false">SUM(AG97:AG100)</f>
        <v>93475.671246882</v>
      </c>
      <c r="AH101" s="35" t="n">
        <f aca="false">SUM(AH97:AH100)</f>
        <v>91473.1696618211</v>
      </c>
      <c r="AI101" s="35" t="n">
        <f aca="false">SUM(AI97:AI100)</f>
        <v>89445.636806947</v>
      </c>
      <c r="AJ101" s="35" t="n">
        <f aca="false">SUM(AJ97:AJ100)</f>
        <v>87392.7597913869</v>
      </c>
      <c r="AK101" s="35" t="n">
        <f aca="false">SUM(AK97:AK100)</f>
        <v>85314.2218131323</v>
      </c>
      <c r="AL101" s="35" t="n">
        <f aca="false">SUM(AL97:AL100)</f>
        <v>83209.7021101496</v>
      </c>
      <c r="AM101" s="35" t="n">
        <f aca="false">SUM(AM97:AM100)</f>
        <v>81078.8759108795</v>
      </c>
      <c r="AN101" s="35" t="n">
        <f aca="false">SUM(AN97:AN100)</f>
        <v>78921.4143841186</v>
      </c>
      <c r="AO101" s="35" t="n">
        <f aca="false">SUM(AO97:AO100)</f>
        <v>76736.9845882732</v>
      </c>
      <c r="AP101" s="35" t="n">
        <f aca="false">SUM(AP97:AP100)</f>
        <v>74525.2494199797</v>
      </c>
      <c r="AQ101" s="35" t="n">
        <f aca="false">SUM(AQ97:AQ100)</f>
        <v>72285.8675620825</v>
      </c>
      <c r="AR101" s="35" t="n">
        <f aca="false">SUM(AR97:AR100)</f>
        <v>70018.4934309616</v>
      </c>
      <c r="AS101" s="35" t="n">
        <f aca="false">SUM(AS97:AS100)</f>
        <v>67722.7771232017</v>
      </c>
      <c r="AT101" s="35" t="n">
        <f aca="false">SUM(AT97:AT100)</f>
        <v>65398.3643615948</v>
      </c>
      <c r="AU101" s="35" t="n">
        <f aca="false">SUM(AU97:AU100)</f>
        <v>63044.8964404679</v>
      </c>
      <c r="AV101" s="35" t="n">
        <f aca="false">SUM(AV97:AV100)</f>
        <v>60662.0101703268</v>
      </c>
      <c r="AW101" s="35" t="n">
        <f aca="false">SUM(AW97:AW100)</f>
        <v>58249.337821809</v>
      </c>
      <c r="AX101" s="35" t="n">
        <f aca="false">SUM(AX97:AX100)</f>
        <v>55806.5070689347</v>
      </c>
      <c r="AY101" s="35" t="n">
        <f aca="false">SUM(AY97:AY100)</f>
        <v>53333.1409316494</v>
      </c>
      <c r="AZ101" s="35" t="n">
        <f aca="false">SUM(AZ97:AZ100)</f>
        <v>50828.8577176481</v>
      </c>
      <c r="BA101" s="35" t="n">
        <f aca="false">SUM(BA97:BA100)</f>
        <v>48293.2709634718</v>
      </c>
      <c r="BB101" s="35" t="n">
        <f aca="false">SUM(BB97:BB100)</f>
        <v>45725.9893748683</v>
      </c>
      <c r="BC101" s="35" t="n">
        <f aca="false">SUM(BC97:BC100)</f>
        <v>43126.6167664073</v>
      </c>
      <c r="BD101" s="35" t="n">
        <f aca="false">SUM(BD97:BD100)</f>
        <v>40494.7520003404</v>
      </c>
      <c r="BE101" s="35" t="n">
        <f aca="false">SUM(BE97:BE100)</f>
        <v>37829.9889246978</v>
      </c>
      <c r="BF101" s="35" t="n">
        <f aca="false">SUM(BF97:BF100)</f>
        <v>35131.9163106096</v>
      </c>
      <c r="BG101" s="35" t="n">
        <f aca="false">SUM(BG97:BG100)</f>
        <v>32400.1177888453</v>
      </c>
      <c r="BH101" s="35" t="n">
        <f aca="false">SUM(BH97:BH100)</f>
        <v>29634.1717855589</v>
      </c>
      <c r="BI101" s="35" t="n">
        <f aca="false">SUM(BI97:BI100)</f>
        <v>26833.6514572315</v>
      </c>
      <c r="BJ101" s="35" t="n">
        <f aca="false">SUM(BJ97:BJ100)</f>
        <v>23998.1246248</v>
      </c>
      <c r="BK101" s="35" t="n">
        <f aca="false">SUM(BK97:BK100)</f>
        <v>21127.1537069631</v>
      </c>
      <c r="BL101" s="35" t="n">
        <f aca="false">SUM(BL97:BL100)</f>
        <v>18220.2956526532</v>
      </c>
      <c r="BM101" s="35" t="n">
        <f aca="false">SUM(BM97:BM100)</f>
        <v>15277.1018726645</v>
      </c>
      <c r="BN101" s="35" t="n">
        <f aca="false">SUM(BN97:BN100)</f>
        <v>12297.1181704259</v>
      </c>
      <c r="BO101" s="35" t="n">
        <f aca="false">SUM(BO97:BO100)</f>
        <v>9279.88467190926</v>
      </c>
      <c r="BP101" s="35" t="n">
        <f aca="false">SUM(BP97:BP100)</f>
        <v>6224.93575466122</v>
      </c>
      <c r="BQ101" s="35" t="n">
        <f aca="false">SUM(BQ97:BQ100)</f>
        <v>3131.79997594757</v>
      </c>
      <c r="BR101" s="35" t="n">
        <f aca="false">SUM(BR97:BR100)</f>
        <v>0</v>
      </c>
      <c r="BS101" s="35" t="n">
        <f aca="false">SUM(BS97:BS100)</f>
        <v>0</v>
      </c>
      <c r="BT101" s="35" t="n">
        <f aca="false">SUM(BT97:BT100)</f>
        <v>0</v>
      </c>
      <c r="BU101" s="35" t="n">
        <f aca="false">SUM(BU97:BU100)</f>
        <v>0</v>
      </c>
      <c r="BV101" s="35" t="n">
        <f aca="false">SUM(BV97:BV100)</f>
        <v>0</v>
      </c>
      <c r="BW101" s="35" t="n">
        <f aca="false">SUM(BW97:BW100)</f>
        <v>0</v>
      </c>
      <c r="BX101" s="35" t="n">
        <f aca="false">SUM(BX97:BX100)</f>
        <v>0</v>
      </c>
      <c r="BY101" s="35" t="n">
        <f aca="false">SUM(BY97:BY100)</f>
        <v>0</v>
      </c>
      <c r="BZ101" s="35" t="n">
        <f aca="false">SUM(BZ97:BZ100)</f>
        <v>0</v>
      </c>
      <c r="CA101" s="35" t="n">
        <f aca="false">SUM(CA97:CA100)</f>
        <v>0</v>
      </c>
      <c r="CB101" s="35" t="n">
        <f aca="false">SUM(CB97:CB100)</f>
        <v>0</v>
      </c>
      <c r="CC101" s="35" t="n">
        <f aca="false">SUM(CC97:CC100)</f>
        <v>0</v>
      </c>
      <c r="CD101" s="35" t="n">
        <f aca="false">SUM(CD97:CD100)</f>
        <v>0</v>
      </c>
      <c r="CE101" s="35" t="n">
        <f aca="false">SUM(CE97:CE100)</f>
        <v>0</v>
      </c>
      <c r="CF101" s="35" t="n">
        <f aca="false">SUM(CF97:CF100)</f>
        <v>0</v>
      </c>
      <c r="CG101" s="35" t="n">
        <f aca="false">SUM(CG97:CG100)</f>
        <v>0</v>
      </c>
      <c r="CH101" s="35" t="n">
        <f aca="false">SUM(CH97:CH100)</f>
        <v>0</v>
      </c>
      <c r="CI101" s="35" t="n">
        <f aca="false">SUM(CI97:CI100)</f>
        <v>0</v>
      </c>
      <c r="CJ101" s="35" t="n">
        <f aca="false">SUM(CJ97:CJ100)</f>
        <v>0</v>
      </c>
      <c r="CK101" s="35" t="n">
        <f aca="false">SUM(CK97:CK100)</f>
        <v>0</v>
      </c>
      <c r="CL101" s="35" t="n">
        <f aca="false">SUM(CL97:CL100)</f>
        <v>0</v>
      </c>
      <c r="CM101" s="35" t="n">
        <f aca="false">SUM(CM97:CM100)</f>
        <v>0</v>
      </c>
      <c r="CN101" s="35" t="n">
        <f aca="false">SUM(CN97:CN100)</f>
        <v>0</v>
      </c>
      <c r="CO101" s="35" t="n">
        <f aca="false">SUM(CO97:CO100)</f>
        <v>0</v>
      </c>
      <c r="CP101" s="35" t="n">
        <f aca="false">SUM(CP97:CP100)</f>
        <v>0</v>
      </c>
      <c r="CQ101" s="35" t="n">
        <f aca="false">SUM(CQ97:CQ100)</f>
        <v>0</v>
      </c>
      <c r="CR101" s="35" t="n">
        <f aca="false">SUM(CR97:CR100)</f>
        <v>0</v>
      </c>
      <c r="CS101" s="35" t="n">
        <f aca="false">SUM(CS97:CS100)</f>
        <v>0</v>
      </c>
      <c r="CT101" s="35" t="n">
        <f aca="false">SUM(CT97:CT100)</f>
        <v>0</v>
      </c>
      <c r="CU101" s="35" t="n">
        <f aca="false">SUM(CU97:CU100)</f>
        <v>0</v>
      </c>
      <c r="CV101" s="35" t="n">
        <f aca="false">SUM(CV97:CV100)</f>
        <v>0</v>
      </c>
      <c r="CW101" s="35" t="n">
        <f aca="false">SUM(CW97:CW100)</f>
        <v>0</v>
      </c>
      <c r="CX101" s="35" t="n">
        <f aca="false">SUM(CX97:CX100)</f>
        <v>0</v>
      </c>
      <c r="CY101" s="35" t="n">
        <f aca="false">SUM(CY97:CY100)</f>
        <v>0</v>
      </c>
      <c r="CZ101" s="35" t="n">
        <f aca="false">SUM(CZ97:CZ100)</f>
        <v>0</v>
      </c>
      <c r="DA101" s="35" t="n">
        <f aca="false">SUM(DA97:DA100)</f>
        <v>0</v>
      </c>
      <c r="DB101" s="35" t="n">
        <f aca="false">SUM(DB97:DB100)</f>
        <v>0</v>
      </c>
      <c r="DC101" s="35" t="n">
        <f aca="false">SUM(DC97:DC100)</f>
        <v>0</v>
      </c>
      <c r="DD101" s="35" t="n">
        <f aca="false">SUM(DD97:DD100)</f>
        <v>0</v>
      </c>
      <c r="DE101" s="35" t="n">
        <f aca="false">SUM(DE97:DE100)</f>
        <v>0</v>
      </c>
      <c r="DF101" s="35" t="n">
        <f aca="false">SUM(DF97:DF100)</f>
        <v>0</v>
      </c>
      <c r="DG101" s="35" t="n">
        <f aca="false">SUM(DG97:DG100)</f>
        <v>0</v>
      </c>
      <c r="DH101" s="35" t="n">
        <f aca="false">SUM(DH97:DH100)</f>
        <v>0</v>
      </c>
      <c r="DI101" s="35" t="n">
        <f aca="false">SUM(DI97:DI100)</f>
        <v>0</v>
      </c>
      <c r="DJ101" s="35" t="n">
        <f aca="false">SUM(DJ97:DJ100)</f>
        <v>0</v>
      </c>
      <c r="DK101" s="35" t="n">
        <f aca="false">SUM(DK97:DK100)</f>
        <v>0</v>
      </c>
      <c r="DL101" s="35" t="n">
        <f aca="false">SUM(DL97:DL100)</f>
        <v>0</v>
      </c>
      <c r="DM101" s="35" t="n">
        <f aca="false">SUM(DM97:DM100)</f>
        <v>0</v>
      </c>
      <c r="DN101" s="35" t="n">
        <f aca="false">SUM(DN97:DN100)</f>
        <v>0</v>
      </c>
      <c r="DO101" s="35" t="n">
        <f aca="false">SUM(DO97:DO100)</f>
        <v>0</v>
      </c>
      <c r="DP101" s="35" t="n">
        <f aca="false">SUM(DP97:DP100)</f>
        <v>0</v>
      </c>
      <c r="DQ101" s="35" t="n">
        <f aca="false">SUM(DQ97:DQ100)</f>
        <v>0</v>
      </c>
      <c r="DR101" s="35" t="n">
        <f aca="false">SUM(DR97:DR100)</f>
        <v>0</v>
      </c>
      <c r="DS101" s="35" t="n">
        <f aca="false">SUM(DS97:DS100)</f>
        <v>0</v>
      </c>
      <c r="DT101" s="35" t="n">
        <f aca="false">SUM(DT97:DT100)</f>
        <v>0</v>
      </c>
      <c r="DU101" s="35" t="n">
        <f aca="false">SUM(DU97:DU100)</f>
        <v>0</v>
      </c>
      <c r="DV101" s="35" t="n">
        <f aca="false">SUM(DV97:DV100)</f>
        <v>0</v>
      </c>
      <c r="DW101" s="35" t="n">
        <f aca="false">SUM(DW97:DW100)</f>
        <v>0</v>
      </c>
      <c r="DX101" s="35" t="n">
        <f aca="false">SUM(DX97:DX100)</f>
        <v>0</v>
      </c>
      <c r="DY101" s="35" t="n">
        <f aca="false">SUM(DY97:DY100)</f>
        <v>0</v>
      </c>
      <c r="DZ101" s="35" t="n">
        <f aca="false">SUM(DZ97:DZ100)</f>
        <v>0</v>
      </c>
      <c r="EA101" s="35" t="n">
        <f aca="false">SUM(EA97:EA100)</f>
        <v>0</v>
      </c>
      <c r="EB101" s="35" t="n">
        <f aca="false">SUM(EB97:EB100)</f>
        <v>0</v>
      </c>
      <c r="EC101" s="35" t="n">
        <f aca="false">SUM(EC97:EC100)</f>
        <v>0</v>
      </c>
      <c r="ED101" s="35" t="n">
        <f aca="false">SUM(ED97:ED100)</f>
        <v>0</v>
      </c>
      <c r="EE101" s="35" t="n">
        <f aca="false">SUM(EE97:EE100)</f>
        <v>0</v>
      </c>
      <c r="EF101" s="35" t="n">
        <f aca="false">SUM(EF97:EF100)</f>
        <v>0</v>
      </c>
      <c r="EG101" s="35" t="n">
        <f aca="false">SUM(EG97:EG100)</f>
        <v>0</v>
      </c>
      <c r="EH101" s="35" t="n">
        <f aca="false">SUM(EH97:EH100)</f>
        <v>0</v>
      </c>
      <c r="EI101" s="35" t="n">
        <f aca="false">SUM(EI97:EI100)</f>
        <v>0</v>
      </c>
      <c r="EJ101" s="35" t="n">
        <f aca="false">SUM(EJ97:EJ100)</f>
        <v>0</v>
      </c>
      <c r="EK101" s="35" t="n">
        <f aca="false">SUM(EK97:EK100)</f>
        <v>0</v>
      </c>
      <c r="EL101" s="35" t="n">
        <f aca="false">SUM(EL97:EL100)</f>
        <v>0</v>
      </c>
      <c r="EM101" s="35" t="n">
        <f aca="false">SUM(EM97:EM100)</f>
        <v>0</v>
      </c>
      <c r="EN101" s="35" t="n">
        <f aca="false">SUM(EN97:EN100)</f>
        <v>0</v>
      </c>
      <c r="EO101" s="35" t="n">
        <f aca="false">SUM(EO97:EO100)</f>
        <v>0</v>
      </c>
      <c r="EP101" s="35" t="n">
        <f aca="false">SUM(EP97:EP100)</f>
        <v>0</v>
      </c>
      <c r="EQ101" s="35" t="n">
        <f aca="false">SUM(EQ97:EQ100)</f>
        <v>0</v>
      </c>
      <c r="ER101" s="35" t="n">
        <f aca="false">SUM(ER97:ER100)</f>
        <v>0</v>
      </c>
      <c r="ES101" s="35" t="n">
        <f aca="false">SUM(ES97:ES100)</f>
        <v>0</v>
      </c>
      <c r="ET101" s="35" t="n">
        <f aca="false">SUM(ET97:ET100)</f>
        <v>0</v>
      </c>
    </row>
    <row r="102" customFormat="false" ht="15" hidden="false" customHeight="false" outlineLevel="0" collapsed="false">
      <c r="C102" s="0" t="s">
        <v>551</v>
      </c>
      <c r="D102" s="11" t="s">
        <v>247</v>
      </c>
      <c r="I102" s="33" t="n">
        <f aca="false">SUM(J102:ET102)</f>
        <v>-27501.8393911707</v>
      </c>
      <c r="J102" s="33" t="n">
        <f aca="false">-J97*$F99*(J$4&gt;In_COD)</f>
        <v>-0</v>
      </c>
      <c r="K102" s="33" t="n">
        <f aca="false">-K97*$F99*(K$4&gt;In_COD)</f>
        <v>-0</v>
      </c>
      <c r="L102" s="33" t="n">
        <f aca="false">-L97*$F99*(L$4&gt;In_COD)</f>
        <v>-0</v>
      </c>
      <c r="M102" s="33" t="n">
        <f aca="false">-M97*$F99*(M$4&gt;In_COD)</f>
        <v>-0</v>
      </c>
      <c r="N102" s="33" t="n">
        <f aca="false">-N97*$F99*(N$4&gt;In_COD)</f>
        <v>-0</v>
      </c>
      <c r="O102" s="33" t="n">
        <f aca="false">-O97*$F99*(O$4&gt;In_COD)</f>
        <v>-0</v>
      </c>
      <c r="P102" s="33" t="n">
        <f aca="false">-P97*$F99*(P$4&gt;In_COD)</f>
        <v>-0</v>
      </c>
      <c r="Q102" s="33" t="n">
        <f aca="false">-Q97*$F99*(Q$4&gt;In_COD)</f>
        <v>-0</v>
      </c>
      <c r="R102" s="33" t="n">
        <f aca="false">-R97*$F99*(R$4&gt;In_COD)</f>
        <v>-0</v>
      </c>
      <c r="S102" s="33" t="n">
        <f aca="false">-S97*$F99*(S$4&gt;In_COD)</f>
        <v>-0</v>
      </c>
      <c r="T102" s="33" t="n">
        <f aca="false">-T97*$F99*(T$4&gt;In_COD)</f>
        <v>-0</v>
      </c>
      <c r="U102" s="33" t="n">
        <f aca="false">-U97*$F99*(U$4&gt;In_COD)</f>
        <v>-0</v>
      </c>
      <c r="V102" s="33" t="n">
        <f aca="false">-V97*$F99*(V$4&gt;In_COD)</f>
        <v>-0</v>
      </c>
      <c r="W102" s="33" t="n">
        <f aca="false">-W97*$F99*(W$4&gt;In_COD)</f>
        <v>-0</v>
      </c>
      <c r="X102" s="33" t="n">
        <f aca="false">-X97*$F99*(X$4&gt;In_COD)</f>
        <v>-0</v>
      </c>
      <c r="Y102" s="33" t="n">
        <f aca="false">-Y97*$F99*(Y$4&gt;In_COD)</f>
        <v>-0</v>
      </c>
      <c r="Z102" s="33" t="n">
        <f aca="false">-Z97*$F99*(Z$4&gt;In_COD)</f>
        <v>-0</v>
      </c>
      <c r="AA102" s="33" t="n">
        <f aca="false">-AA97*$F99*(AA$4&gt;In_COD)</f>
        <v>-0</v>
      </c>
      <c r="AB102" s="33" t="n">
        <f aca="false">-AB97*$F99*(AB$4&gt;In_COD)</f>
        <v>-0</v>
      </c>
      <c r="AC102" s="33" t="n">
        <f aca="false">-AC97*$F99*(AC$4&gt;In_COD)</f>
        <v>-0</v>
      </c>
      <c r="AD102" s="33" t="n">
        <f aca="false">-AD97*$F99*(AD$4&gt;In_COD)</f>
        <v>-0</v>
      </c>
      <c r="AE102" s="33" t="n">
        <f aca="false">-AE97*$F99*(AE$4&gt;In_COD)</f>
        <v>-1241.70074543382</v>
      </c>
      <c r="AF102" s="33" t="n">
        <f aca="false">-AF97*$F99*(AF$4&gt;In_COD)</f>
        <v>-1217.58516130616</v>
      </c>
      <c r="AG102" s="33" t="n">
        <f aca="false">-AG97*$F99*(AG$4&gt;In_COD)</f>
        <v>-1193.1681323769</v>
      </c>
      <c r="AH102" s="33" t="n">
        <f aca="false">-AH97*$F99*(AH$4&gt;In_COD)</f>
        <v>-1168.44589058603</v>
      </c>
      <c r="AI102" s="33" t="n">
        <f aca="false">-AI97*$F99*(AI$4&gt;In_COD)</f>
        <v>-1143.41462077276</v>
      </c>
      <c r="AJ102" s="33" t="n">
        <f aca="false">-AJ97*$F99*(AJ$4&gt;In_COD)</f>
        <v>-1118.07046008684</v>
      </c>
      <c r="AK102" s="33" t="n">
        <f aca="false">-AK97*$F99*(AK$4&gt;In_COD)</f>
        <v>-1092.40949739234</v>
      </c>
      <c r="AL102" s="33" t="n">
        <f aca="false">-AL97*$F99*(AL$4&gt;In_COD)</f>
        <v>-1066.42777266415</v>
      </c>
      <c r="AM102" s="33" t="n">
        <f aca="false">-AM97*$F99*(AM$4&gt;In_COD)</f>
        <v>-1040.12127637687</v>
      </c>
      <c r="AN102" s="33" t="n">
        <f aca="false">-AN97*$F99*(AN$4&gt;In_COD)</f>
        <v>-1013.48594888599</v>
      </c>
      <c r="AO102" s="33" t="n">
        <f aca="false">-AO97*$F99*(AO$4&gt;In_COD)</f>
        <v>-986.517679801483</v>
      </c>
      <c r="AP102" s="33" t="n">
        <f aca="false">-AP97*$F99*(AP$4&gt;In_COD)</f>
        <v>-959.212307353415</v>
      </c>
      <c r="AQ102" s="33" t="n">
        <f aca="false">-AQ97*$F99*(AQ$4&gt;In_COD)</f>
        <v>-931.565617749746</v>
      </c>
      <c r="AR102" s="33" t="n">
        <f aca="false">-AR97*$F99*(AR$4&gt;In_COD)</f>
        <v>-903.573344526032</v>
      </c>
      <c r="AS102" s="33" t="n">
        <f aca="false">-AS97*$F99*(AS$4&gt;In_COD)</f>
        <v>-875.23116788702</v>
      </c>
      <c r="AT102" s="33" t="n">
        <f aca="false">-AT97*$F99*(AT$4&gt;In_COD)</f>
        <v>-846.534714040022</v>
      </c>
      <c r="AU102" s="33" t="n">
        <f aca="false">-AU97*$F99*(AU$4&gt;In_COD)</f>
        <v>-817.479554519936</v>
      </c>
      <c r="AV102" s="33" t="n">
        <f aca="false">-AV97*$F99*(AV$4&gt;In_COD)</f>
        <v>-788.061205505848</v>
      </c>
      <c r="AW102" s="33" t="n">
        <f aca="false">-AW97*$F99*(AW$4&gt;In_COD)</f>
        <v>-758.275127129085</v>
      </c>
      <c r="AX102" s="33" t="n">
        <f aca="false">-AX97*$F99*(AX$4&gt;In_COD)</f>
        <v>-728.116722772612</v>
      </c>
      <c r="AY102" s="33" t="n">
        <f aca="false">-AY97*$F99*(AY$4&gt;In_COD)</f>
        <v>-697.581338361684</v>
      </c>
      <c r="AZ102" s="33" t="n">
        <f aca="false">-AZ97*$F99*(AZ$4&gt;In_COD)</f>
        <v>-666.664261645618</v>
      </c>
      <c r="BA102" s="33" t="n">
        <f aca="false">-BA97*$F99*(BA$4&gt;In_COD)</f>
        <v>-635.360721470602</v>
      </c>
      <c r="BB102" s="33" t="n">
        <f aca="false">-BB97*$F99*(BB$4&gt;In_COD)</f>
        <v>-603.665887043398</v>
      </c>
      <c r="BC102" s="33" t="n">
        <f aca="false">-BC97*$F99*(BC$4&gt;In_COD)</f>
        <v>-571.574867185854</v>
      </c>
      <c r="BD102" s="33" t="n">
        <f aca="false">-BD97*$F99*(BD$4&gt;In_COD)</f>
        <v>-539.082709580091</v>
      </c>
      <c r="BE102" s="33" t="n">
        <f aca="false">-BE97*$F99*(BE$4&gt;In_COD)</f>
        <v>-506.184400004255</v>
      </c>
      <c r="BF102" s="33" t="n">
        <f aca="false">-BF97*$F99*(BF$4&gt;In_COD)</f>
        <v>-472.874861558722</v>
      </c>
      <c r="BG102" s="33" t="n">
        <f aca="false">-BG97*$F99*(BG$4&gt;In_COD)</f>
        <v>-439.14895388262</v>
      </c>
      <c r="BH102" s="33" t="n">
        <f aca="false">-BH97*$F99*(BH$4&gt;In_COD)</f>
        <v>-405.001472360566</v>
      </c>
      <c r="BI102" s="33" t="n">
        <f aca="false">-BI97*$F99*(BI$4&gt;In_COD)</f>
        <v>-370.427147319487</v>
      </c>
      <c r="BJ102" s="33" t="n">
        <f aca="false">-BJ97*$F99*(BJ$4&gt;In_COD)</f>
        <v>-335.420643215394</v>
      </c>
      <c r="BK102" s="33" t="n">
        <f aca="false">-BK97*$F99*(BK$4&gt;In_COD)</f>
        <v>-299.97655781</v>
      </c>
      <c r="BL102" s="33" t="n">
        <f aca="false">-BL97*$F99*(BL$4&gt;In_COD)</f>
        <v>-264.089421337039</v>
      </c>
      <c r="BM102" s="33" t="n">
        <f aca="false">-BM97*$F99*(BM$4&gt;In_COD)</f>
        <v>-227.753695658165</v>
      </c>
      <c r="BN102" s="33" t="n">
        <f aca="false">-BN97*$F99*(BN$4&gt;In_COD)</f>
        <v>-190.963773408306</v>
      </c>
      <c r="BO102" s="33" t="n">
        <f aca="false">-BO97*$F99*(BO$4&gt;In_COD)</f>
        <v>-153.713977130323</v>
      </c>
      <c r="BP102" s="33" t="n">
        <f aca="false">-BP97*$F99*(BP$4&gt;In_COD)</f>
        <v>-115.998558398866</v>
      </c>
      <c r="BQ102" s="33" t="n">
        <f aca="false">-BQ97*$F99*(BQ$4&gt;In_COD)</f>
        <v>-77.8116969332652</v>
      </c>
      <c r="BR102" s="33" t="n">
        <f aca="false">-BR97*$F99*(BR$4&gt;In_COD)</f>
        <v>-39.1474996993446</v>
      </c>
      <c r="BS102" s="33" t="n">
        <f aca="false">-BS97*$F99*(BS$4&gt;In_COD)</f>
        <v>-0</v>
      </c>
      <c r="BT102" s="33" t="n">
        <f aca="false">-BT97*$F99*(BT$4&gt;In_COD)</f>
        <v>-0</v>
      </c>
      <c r="BU102" s="33" t="n">
        <f aca="false">-BU97*$F99*(BU$4&gt;In_COD)</f>
        <v>-0</v>
      </c>
      <c r="BV102" s="33" t="n">
        <f aca="false">-BV97*$F99*(BV$4&gt;In_COD)</f>
        <v>-0</v>
      </c>
      <c r="BW102" s="33" t="n">
        <f aca="false">-BW97*$F99*(BW$4&gt;In_COD)</f>
        <v>-0</v>
      </c>
      <c r="BX102" s="33" t="n">
        <f aca="false">-BX97*$F99*(BX$4&gt;In_COD)</f>
        <v>-0</v>
      </c>
      <c r="BY102" s="33" t="n">
        <f aca="false">-BY97*$F99*(BY$4&gt;In_COD)</f>
        <v>-0</v>
      </c>
      <c r="BZ102" s="33" t="n">
        <f aca="false">-BZ97*$F99*(BZ$4&gt;In_COD)</f>
        <v>-0</v>
      </c>
      <c r="CA102" s="33" t="n">
        <f aca="false">-CA97*$F99*(CA$4&gt;In_COD)</f>
        <v>-0</v>
      </c>
      <c r="CB102" s="33" t="n">
        <f aca="false">-CB97*$F99*(CB$4&gt;In_COD)</f>
        <v>-0</v>
      </c>
      <c r="CC102" s="33" t="n">
        <f aca="false">-CC97*$F99*(CC$4&gt;In_COD)</f>
        <v>-0</v>
      </c>
      <c r="CD102" s="33" t="n">
        <f aca="false">-CD97*$F99*(CD$4&gt;In_COD)</f>
        <v>-0</v>
      </c>
      <c r="CE102" s="33" t="n">
        <f aca="false">-CE97*$F99*(CE$4&gt;In_COD)</f>
        <v>-0</v>
      </c>
      <c r="CF102" s="33" t="n">
        <f aca="false">-CF97*$F99*(CF$4&gt;In_COD)</f>
        <v>-0</v>
      </c>
      <c r="CG102" s="33" t="n">
        <f aca="false">-CG97*$F99*(CG$4&gt;In_COD)</f>
        <v>-0</v>
      </c>
      <c r="CH102" s="33" t="n">
        <f aca="false">-CH97*$F99*(CH$4&gt;In_COD)</f>
        <v>-0</v>
      </c>
      <c r="CI102" s="33" t="n">
        <f aca="false">-CI97*$F99*(CI$4&gt;In_COD)</f>
        <v>-0</v>
      </c>
      <c r="CJ102" s="33" t="n">
        <f aca="false">-CJ97*$F99*(CJ$4&gt;In_COD)</f>
        <v>-0</v>
      </c>
      <c r="CK102" s="33" t="n">
        <f aca="false">-CK97*$F99*(CK$4&gt;In_COD)</f>
        <v>-0</v>
      </c>
      <c r="CL102" s="33" t="n">
        <f aca="false">-CL97*$F99*(CL$4&gt;In_COD)</f>
        <v>-0</v>
      </c>
      <c r="CM102" s="33" t="n">
        <f aca="false">-CM97*$F99*(CM$4&gt;In_COD)</f>
        <v>-0</v>
      </c>
      <c r="CN102" s="33" t="n">
        <f aca="false">-CN97*$F99*(CN$4&gt;In_COD)</f>
        <v>-0</v>
      </c>
      <c r="CO102" s="33" t="n">
        <f aca="false">-CO97*$F99*(CO$4&gt;In_COD)</f>
        <v>-0</v>
      </c>
      <c r="CP102" s="33" t="n">
        <f aca="false">-CP97*$F99*(CP$4&gt;In_COD)</f>
        <v>-0</v>
      </c>
      <c r="CQ102" s="33" t="n">
        <f aca="false">-CQ97*$F99*(CQ$4&gt;In_COD)</f>
        <v>-0</v>
      </c>
      <c r="CR102" s="33" t="n">
        <f aca="false">-CR97*$F99*(CR$4&gt;In_COD)</f>
        <v>-0</v>
      </c>
      <c r="CS102" s="33" t="n">
        <f aca="false">-CS97*$F99*(CS$4&gt;In_COD)</f>
        <v>-0</v>
      </c>
      <c r="CT102" s="33" t="n">
        <f aca="false">-CT97*$F99*(CT$4&gt;In_COD)</f>
        <v>-0</v>
      </c>
      <c r="CU102" s="33" t="n">
        <f aca="false">-CU97*$F99*(CU$4&gt;In_COD)</f>
        <v>-0</v>
      </c>
      <c r="CV102" s="33" t="n">
        <f aca="false">-CV97*$F99*(CV$4&gt;In_COD)</f>
        <v>-0</v>
      </c>
      <c r="CW102" s="33" t="n">
        <f aca="false">-CW97*$F99*(CW$4&gt;In_COD)</f>
        <v>-0</v>
      </c>
      <c r="CX102" s="33" t="n">
        <f aca="false">-CX97*$F99*(CX$4&gt;In_COD)</f>
        <v>-0</v>
      </c>
      <c r="CY102" s="33" t="n">
        <f aca="false">-CY97*$F99*(CY$4&gt;In_COD)</f>
        <v>-0</v>
      </c>
      <c r="CZ102" s="33" t="n">
        <f aca="false">-CZ97*$F99*(CZ$4&gt;In_COD)</f>
        <v>-0</v>
      </c>
      <c r="DA102" s="33" t="n">
        <f aca="false">-DA97*$F99*(DA$4&gt;In_COD)</f>
        <v>-0</v>
      </c>
      <c r="DB102" s="33" t="n">
        <f aca="false">-DB97*$F99*(DB$4&gt;In_COD)</f>
        <v>-0</v>
      </c>
      <c r="DC102" s="33" t="n">
        <f aca="false">-DC97*$F99*(DC$4&gt;In_COD)</f>
        <v>-0</v>
      </c>
      <c r="DD102" s="33" t="n">
        <f aca="false">-DD97*$F99*(DD$4&gt;In_COD)</f>
        <v>-0</v>
      </c>
      <c r="DE102" s="33" t="n">
        <f aca="false">-DE97*$F99*(DE$4&gt;In_COD)</f>
        <v>-0</v>
      </c>
      <c r="DF102" s="33" t="n">
        <f aca="false">-DF97*$F99*(DF$4&gt;In_COD)</f>
        <v>-0</v>
      </c>
      <c r="DG102" s="33" t="n">
        <f aca="false">-DG97*$F99*(DG$4&gt;In_COD)</f>
        <v>-0</v>
      </c>
      <c r="DH102" s="33" t="n">
        <f aca="false">-DH97*$F99*(DH$4&gt;In_COD)</f>
        <v>-0</v>
      </c>
      <c r="DI102" s="33" t="n">
        <f aca="false">-DI97*$F99*(DI$4&gt;In_COD)</f>
        <v>-0</v>
      </c>
      <c r="DJ102" s="33" t="n">
        <f aca="false">-DJ97*$F99*(DJ$4&gt;In_COD)</f>
        <v>-0</v>
      </c>
      <c r="DK102" s="33" t="n">
        <f aca="false">-DK97*$F99*(DK$4&gt;In_COD)</f>
        <v>-0</v>
      </c>
      <c r="DL102" s="33" t="n">
        <f aca="false">-DL97*$F99*(DL$4&gt;In_COD)</f>
        <v>-0</v>
      </c>
      <c r="DM102" s="33" t="n">
        <f aca="false">-DM97*$F99*(DM$4&gt;In_COD)</f>
        <v>-0</v>
      </c>
      <c r="DN102" s="33" t="n">
        <f aca="false">-DN97*$F99*(DN$4&gt;In_COD)</f>
        <v>-0</v>
      </c>
      <c r="DO102" s="33" t="n">
        <f aca="false">-DO97*$F99*(DO$4&gt;In_COD)</f>
        <v>-0</v>
      </c>
      <c r="DP102" s="33" t="n">
        <f aca="false">-DP97*$F99*(DP$4&gt;In_COD)</f>
        <v>-0</v>
      </c>
      <c r="DQ102" s="33" t="n">
        <f aca="false">-DQ97*$F99*(DQ$4&gt;In_COD)</f>
        <v>-0</v>
      </c>
      <c r="DR102" s="33" t="n">
        <f aca="false">-DR97*$F99*(DR$4&gt;In_COD)</f>
        <v>-0</v>
      </c>
      <c r="DS102" s="33" t="n">
        <f aca="false">-DS97*$F99*(DS$4&gt;In_COD)</f>
        <v>-0</v>
      </c>
      <c r="DT102" s="33" t="n">
        <f aca="false">-DT97*$F99*(DT$4&gt;In_COD)</f>
        <v>-0</v>
      </c>
      <c r="DU102" s="33" t="n">
        <f aca="false">-DU97*$F99*(DU$4&gt;In_COD)</f>
        <v>-0</v>
      </c>
      <c r="DV102" s="33" t="n">
        <f aca="false">-DV97*$F99*(DV$4&gt;In_COD)</f>
        <v>-0</v>
      </c>
      <c r="DW102" s="33" t="n">
        <f aca="false">-DW97*$F99*(DW$4&gt;In_COD)</f>
        <v>-0</v>
      </c>
      <c r="DX102" s="33" t="n">
        <f aca="false">-DX97*$F99*(DX$4&gt;In_COD)</f>
        <v>-0</v>
      </c>
      <c r="DY102" s="33" t="n">
        <f aca="false">-DY97*$F99*(DY$4&gt;In_COD)</f>
        <v>-0</v>
      </c>
      <c r="DZ102" s="33" t="n">
        <f aca="false">-DZ97*$F99*(DZ$4&gt;In_COD)</f>
        <v>-0</v>
      </c>
      <c r="EA102" s="33" t="n">
        <f aca="false">-EA97*$F99*(EA$4&gt;In_COD)</f>
        <v>-0</v>
      </c>
      <c r="EB102" s="33" t="n">
        <f aca="false">-EB97*$F99*(EB$4&gt;In_COD)</f>
        <v>-0</v>
      </c>
      <c r="EC102" s="33" t="n">
        <f aca="false">-EC97*$F99*(EC$4&gt;In_COD)</f>
        <v>-0</v>
      </c>
      <c r="ED102" s="33" t="n">
        <f aca="false">-ED97*$F99*(ED$4&gt;In_COD)</f>
        <v>-0</v>
      </c>
      <c r="EE102" s="33" t="n">
        <f aca="false">-EE97*$F99*(EE$4&gt;In_COD)</f>
        <v>-0</v>
      </c>
      <c r="EF102" s="33" t="n">
        <f aca="false">-EF97*$F99*(EF$4&gt;In_COD)</f>
        <v>-0</v>
      </c>
      <c r="EG102" s="33" t="n">
        <f aca="false">-EG97*$F99*(EG$4&gt;In_COD)</f>
        <v>-0</v>
      </c>
      <c r="EH102" s="33" t="n">
        <f aca="false">-EH97*$F99*(EH$4&gt;In_COD)</f>
        <v>-0</v>
      </c>
      <c r="EI102" s="33" t="n">
        <f aca="false">-EI97*$F99*(EI$4&gt;In_COD)</f>
        <v>-0</v>
      </c>
      <c r="EJ102" s="33" t="n">
        <f aca="false">-EJ97*$F99*(EJ$4&gt;In_COD)</f>
        <v>-0</v>
      </c>
      <c r="EK102" s="33" t="n">
        <f aca="false">-EK97*$F99*(EK$4&gt;In_COD)</f>
        <v>-0</v>
      </c>
      <c r="EL102" s="33" t="n">
        <f aca="false">-EL97*$F99*(EL$4&gt;In_COD)</f>
        <v>-0</v>
      </c>
      <c r="EM102" s="33" t="n">
        <f aca="false">-EM97*$F99*(EM$4&gt;In_COD)</f>
        <v>-0</v>
      </c>
      <c r="EN102" s="33" t="n">
        <f aca="false">-EN97*$F99*(EN$4&gt;In_COD)</f>
        <v>-0</v>
      </c>
      <c r="EO102" s="33" t="n">
        <f aca="false">-EO97*$F99*(EO$4&gt;In_COD)</f>
        <v>-0</v>
      </c>
      <c r="EP102" s="33" t="n">
        <f aca="false">-EP97*$F99*(EP$4&gt;In_COD)</f>
        <v>-0</v>
      </c>
      <c r="EQ102" s="33" t="n">
        <f aca="false">-EQ97*$F99*(EQ$4&gt;In_COD)</f>
        <v>-0</v>
      </c>
      <c r="ER102" s="33" t="n">
        <f aca="false">-ER97*$F99*(ER$4&gt;In_COD)</f>
        <v>-0</v>
      </c>
      <c r="ES102" s="33" t="n">
        <f aca="false">-ES97*$F99*(ES$4&gt;In_COD)</f>
        <v>-0</v>
      </c>
      <c r="ET102" s="33" t="n">
        <f aca="false">-ET97*$F99*(ET$4&gt;In_COD)</f>
        <v>-0</v>
      </c>
    </row>
    <row r="103" customFormat="false" ht="15" hidden="false" customHeight="false" outlineLevel="0" collapsed="false">
      <c r="C103" s="0" t="s">
        <v>398</v>
      </c>
      <c r="D103" s="11" t="s">
        <v>247</v>
      </c>
      <c r="I103" s="33" t="n">
        <f aca="false">SUM(J103:ET103)</f>
        <v>-1663.7710677863</v>
      </c>
      <c r="J103" s="33" t="n">
        <f aca="false">-In_Upfront_Fee*$E98*(J97=0)*(J98&gt;0)</f>
        <v>-0</v>
      </c>
      <c r="K103" s="33" t="n">
        <f aca="false">-In_Upfront_Fee*$E98*(K97=0)*(K98&gt;0)</f>
        <v>-0</v>
      </c>
      <c r="L103" s="33" t="n">
        <f aca="false">-In_Upfront_Fee*$E98*(L97=0)*(L98&gt;0)</f>
        <v>-0</v>
      </c>
      <c r="M103" s="33" t="n">
        <f aca="false">-In_Upfront_Fee*$E98*(M97=0)*(M98&gt;0)</f>
        <v>-0</v>
      </c>
      <c r="N103" s="33" t="n">
        <f aca="false">-In_Upfront_Fee*$E98*(N97=0)*(N98&gt;0)</f>
        <v>-0</v>
      </c>
      <c r="O103" s="33" t="n">
        <f aca="false">-In_Upfront_Fee*$E98*(O97=0)*(O98&gt;0)</f>
        <v>-0</v>
      </c>
      <c r="P103" s="33" t="n">
        <f aca="false">-In_Upfront_Fee*$E98*(P97=0)*(P98&gt;0)</f>
        <v>-0</v>
      </c>
      <c r="Q103" s="33" t="n">
        <f aca="false">-In_Upfront_Fee*$E98*(Q97=0)*(Q98&gt;0)</f>
        <v>-0</v>
      </c>
      <c r="R103" s="33" t="n">
        <f aca="false">-In_Upfront_Fee*$E98*(R97=0)*(R98&gt;0)</f>
        <v>-0</v>
      </c>
      <c r="S103" s="33" t="n">
        <f aca="false">-In_Upfront_Fee*$E98*(S97=0)*(S98&gt;0)</f>
        <v>-0</v>
      </c>
      <c r="T103" s="33" t="n">
        <f aca="false">-In_Upfront_Fee*$E98*(T97=0)*(T98&gt;0)</f>
        <v>-0</v>
      </c>
      <c r="U103" s="33" t="n">
        <f aca="false">-In_Upfront_Fee*$E98*(U97=0)*(U98&gt;0)</f>
        <v>-0</v>
      </c>
      <c r="V103" s="33" t="n">
        <f aca="false">-In_Upfront_Fee*$E98*(V97=0)*(V98&gt;0)</f>
        <v>-0</v>
      </c>
      <c r="W103" s="33" t="n">
        <f aca="false">-In_Upfront_Fee*$E98*(W97=0)*(W98&gt;0)</f>
        <v>-1663.7710677863</v>
      </c>
      <c r="X103" s="33" t="n">
        <f aca="false">-In_Upfront_Fee*$E98*(X97=0)*(X98&gt;0)</f>
        <v>-0</v>
      </c>
      <c r="Y103" s="33" t="n">
        <f aca="false">-In_Upfront_Fee*$E98*(Y97=0)*(Y98&gt;0)</f>
        <v>-0</v>
      </c>
      <c r="Z103" s="33" t="n">
        <f aca="false">-In_Upfront_Fee*$E98*(Z97=0)*(Z98&gt;0)</f>
        <v>-0</v>
      </c>
      <c r="AA103" s="33" t="n">
        <f aca="false">-In_Upfront_Fee*$E98*(AA97=0)*(AA98&gt;0)</f>
        <v>-0</v>
      </c>
      <c r="AB103" s="33" t="n">
        <f aca="false">-In_Upfront_Fee*$E98*(AB97=0)*(AB98&gt;0)</f>
        <v>-0</v>
      </c>
      <c r="AC103" s="33" t="n">
        <f aca="false">-In_Upfront_Fee*$E98*(AC97=0)*(AC98&gt;0)</f>
        <v>-0</v>
      </c>
      <c r="AD103" s="33" t="n">
        <f aca="false">-In_Upfront_Fee*$E98*(AD97=0)*(AD98&gt;0)</f>
        <v>-0</v>
      </c>
      <c r="AE103" s="33" t="n">
        <f aca="false">-In_Upfront_Fee*$E98*(AE97=0)*(AE98&gt;0)</f>
        <v>-0</v>
      </c>
      <c r="AF103" s="33" t="n">
        <f aca="false">-In_Upfront_Fee*$E98*(AF97=0)*(AF98&gt;0)</f>
        <v>-0</v>
      </c>
      <c r="AG103" s="33" t="n">
        <f aca="false">-In_Upfront_Fee*$E98*(AG97=0)*(AG98&gt;0)</f>
        <v>-0</v>
      </c>
      <c r="AH103" s="33" t="n">
        <f aca="false">-In_Upfront_Fee*$E98*(AH97=0)*(AH98&gt;0)</f>
        <v>-0</v>
      </c>
      <c r="AI103" s="33" t="n">
        <f aca="false">-In_Upfront_Fee*$E98*(AI97=0)*(AI98&gt;0)</f>
        <v>-0</v>
      </c>
      <c r="AJ103" s="33" t="n">
        <f aca="false">-In_Upfront_Fee*$E98*(AJ97=0)*(AJ98&gt;0)</f>
        <v>-0</v>
      </c>
      <c r="AK103" s="33" t="n">
        <f aca="false">-In_Upfront_Fee*$E98*(AK97=0)*(AK98&gt;0)</f>
        <v>-0</v>
      </c>
      <c r="AL103" s="33" t="n">
        <f aca="false">-In_Upfront_Fee*$E98*(AL97=0)*(AL98&gt;0)</f>
        <v>-0</v>
      </c>
      <c r="AM103" s="33" t="n">
        <f aca="false">-In_Upfront_Fee*$E98*(AM97=0)*(AM98&gt;0)</f>
        <v>-0</v>
      </c>
      <c r="AN103" s="33" t="n">
        <f aca="false">-In_Upfront_Fee*$E98*(AN97=0)*(AN98&gt;0)</f>
        <v>-0</v>
      </c>
      <c r="AO103" s="33" t="n">
        <f aca="false">-In_Upfront_Fee*$E98*(AO97=0)*(AO98&gt;0)</f>
        <v>-0</v>
      </c>
      <c r="AP103" s="33" t="n">
        <f aca="false">-In_Upfront_Fee*$E98*(AP97=0)*(AP98&gt;0)</f>
        <v>-0</v>
      </c>
      <c r="AQ103" s="33" t="n">
        <f aca="false">-In_Upfront_Fee*$E98*(AQ97=0)*(AQ98&gt;0)</f>
        <v>-0</v>
      </c>
      <c r="AR103" s="33" t="n">
        <f aca="false">-In_Upfront_Fee*$E98*(AR97=0)*(AR98&gt;0)</f>
        <v>-0</v>
      </c>
      <c r="AS103" s="33" t="n">
        <f aca="false">-In_Upfront_Fee*$E98*(AS97=0)*(AS98&gt;0)</f>
        <v>-0</v>
      </c>
      <c r="AT103" s="33" t="n">
        <f aca="false">-In_Upfront_Fee*$E98*(AT97=0)*(AT98&gt;0)</f>
        <v>-0</v>
      </c>
      <c r="AU103" s="33" t="n">
        <f aca="false">-In_Upfront_Fee*$E98*(AU97=0)*(AU98&gt;0)</f>
        <v>-0</v>
      </c>
      <c r="AV103" s="33" t="n">
        <f aca="false">-In_Upfront_Fee*$E98*(AV97=0)*(AV98&gt;0)</f>
        <v>-0</v>
      </c>
      <c r="AW103" s="33" t="n">
        <f aca="false">-In_Upfront_Fee*$E98*(AW97=0)*(AW98&gt;0)</f>
        <v>-0</v>
      </c>
      <c r="AX103" s="33" t="n">
        <f aca="false">-In_Upfront_Fee*$E98*(AX97=0)*(AX98&gt;0)</f>
        <v>-0</v>
      </c>
      <c r="AY103" s="33" t="n">
        <f aca="false">-In_Upfront_Fee*$E98*(AY97=0)*(AY98&gt;0)</f>
        <v>-0</v>
      </c>
      <c r="AZ103" s="33" t="n">
        <f aca="false">-In_Upfront_Fee*$E98*(AZ97=0)*(AZ98&gt;0)</f>
        <v>-0</v>
      </c>
      <c r="BA103" s="33" t="n">
        <f aca="false">-In_Upfront_Fee*$E98*(BA97=0)*(BA98&gt;0)</f>
        <v>-0</v>
      </c>
      <c r="BB103" s="33" t="n">
        <f aca="false">-In_Upfront_Fee*$E98*(BB97=0)*(BB98&gt;0)</f>
        <v>-0</v>
      </c>
      <c r="BC103" s="33" t="n">
        <f aca="false">-In_Upfront_Fee*$E98*(BC97=0)*(BC98&gt;0)</f>
        <v>-0</v>
      </c>
      <c r="BD103" s="33" t="n">
        <f aca="false">-In_Upfront_Fee*$E98*(BD97=0)*(BD98&gt;0)</f>
        <v>-0</v>
      </c>
      <c r="BE103" s="33" t="n">
        <f aca="false">-In_Upfront_Fee*$E98*(BE97=0)*(BE98&gt;0)</f>
        <v>-0</v>
      </c>
      <c r="BF103" s="33" t="n">
        <f aca="false">-In_Upfront_Fee*$E98*(BF97=0)*(BF98&gt;0)</f>
        <v>-0</v>
      </c>
      <c r="BG103" s="33" t="n">
        <f aca="false">-In_Upfront_Fee*$E98*(BG97=0)*(BG98&gt;0)</f>
        <v>-0</v>
      </c>
      <c r="BH103" s="33" t="n">
        <f aca="false">-In_Upfront_Fee*$E98*(BH97=0)*(BH98&gt;0)</f>
        <v>-0</v>
      </c>
      <c r="BI103" s="33" t="n">
        <f aca="false">-In_Upfront_Fee*$E98*(BI97=0)*(BI98&gt;0)</f>
        <v>-0</v>
      </c>
      <c r="BJ103" s="33" t="n">
        <f aca="false">-In_Upfront_Fee*$E98*(BJ97=0)*(BJ98&gt;0)</f>
        <v>-0</v>
      </c>
      <c r="BK103" s="33" t="n">
        <f aca="false">-In_Upfront_Fee*$E98*(BK97=0)*(BK98&gt;0)</f>
        <v>-0</v>
      </c>
      <c r="BL103" s="33" t="n">
        <f aca="false">-In_Upfront_Fee*$E98*(BL97=0)*(BL98&gt;0)</f>
        <v>-0</v>
      </c>
      <c r="BM103" s="33" t="n">
        <f aca="false">-In_Upfront_Fee*$E98*(BM97=0)*(BM98&gt;0)</f>
        <v>-0</v>
      </c>
      <c r="BN103" s="33" t="n">
        <f aca="false">-In_Upfront_Fee*$E98*(BN97=0)*(BN98&gt;0)</f>
        <v>-0</v>
      </c>
      <c r="BO103" s="33" t="n">
        <f aca="false">-In_Upfront_Fee*$E98*(BO97=0)*(BO98&gt;0)</f>
        <v>-0</v>
      </c>
      <c r="BP103" s="33" t="n">
        <f aca="false">-In_Upfront_Fee*$E98*(BP97=0)*(BP98&gt;0)</f>
        <v>-0</v>
      </c>
      <c r="BQ103" s="33" t="n">
        <f aca="false">-In_Upfront_Fee*$E98*(BQ97=0)*(BQ98&gt;0)</f>
        <v>-0</v>
      </c>
      <c r="BR103" s="33" t="n">
        <f aca="false">-In_Upfront_Fee*$E98*(BR97=0)*(BR98&gt;0)</f>
        <v>-0</v>
      </c>
      <c r="BS103" s="33" t="n">
        <f aca="false">-In_Upfront_Fee*$E98*(BS97=0)*(BS98&gt;0)</f>
        <v>-0</v>
      </c>
      <c r="BT103" s="33" t="n">
        <f aca="false">-In_Upfront_Fee*$E98*(BT97=0)*(BT98&gt;0)</f>
        <v>-0</v>
      </c>
      <c r="BU103" s="33" t="n">
        <f aca="false">-In_Upfront_Fee*$E98*(BU97=0)*(BU98&gt;0)</f>
        <v>-0</v>
      </c>
      <c r="BV103" s="33" t="n">
        <f aca="false">-In_Upfront_Fee*$E98*(BV97=0)*(BV98&gt;0)</f>
        <v>-0</v>
      </c>
      <c r="BW103" s="33" t="n">
        <f aca="false">-In_Upfront_Fee*$E98*(BW97=0)*(BW98&gt;0)</f>
        <v>-0</v>
      </c>
      <c r="BX103" s="33" t="n">
        <f aca="false">-In_Upfront_Fee*$E98*(BX97=0)*(BX98&gt;0)</f>
        <v>-0</v>
      </c>
      <c r="BY103" s="33" t="n">
        <f aca="false">-In_Upfront_Fee*$E98*(BY97=0)*(BY98&gt;0)</f>
        <v>-0</v>
      </c>
      <c r="BZ103" s="33" t="n">
        <f aca="false">-In_Upfront_Fee*$E98*(BZ97=0)*(BZ98&gt;0)</f>
        <v>-0</v>
      </c>
      <c r="CA103" s="33" t="n">
        <f aca="false">-In_Upfront_Fee*$E98*(CA97=0)*(CA98&gt;0)</f>
        <v>-0</v>
      </c>
      <c r="CB103" s="33" t="n">
        <f aca="false">-In_Upfront_Fee*$E98*(CB97=0)*(CB98&gt;0)</f>
        <v>-0</v>
      </c>
      <c r="CC103" s="33" t="n">
        <f aca="false">-In_Upfront_Fee*$E98*(CC97=0)*(CC98&gt;0)</f>
        <v>-0</v>
      </c>
      <c r="CD103" s="33" t="n">
        <f aca="false">-In_Upfront_Fee*$E98*(CD97=0)*(CD98&gt;0)</f>
        <v>-0</v>
      </c>
      <c r="CE103" s="33" t="n">
        <f aca="false">-In_Upfront_Fee*$E98*(CE97=0)*(CE98&gt;0)</f>
        <v>-0</v>
      </c>
      <c r="CF103" s="33" t="n">
        <f aca="false">-In_Upfront_Fee*$E98*(CF97=0)*(CF98&gt;0)</f>
        <v>-0</v>
      </c>
      <c r="CG103" s="33" t="n">
        <f aca="false">-In_Upfront_Fee*$E98*(CG97=0)*(CG98&gt;0)</f>
        <v>-0</v>
      </c>
      <c r="CH103" s="33" t="n">
        <f aca="false">-In_Upfront_Fee*$E98*(CH97=0)*(CH98&gt;0)</f>
        <v>-0</v>
      </c>
      <c r="CI103" s="33" t="n">
        <f aca="false">-In_Upfront_Fee*$E98*(CI97=0)*(CI98&gt;0)</f>
        <v>-0</v>
      </c>
      <c r="CJ103" s="33" t="n">
        <f aca="false">-In_Upfront_Fee*$E98*(CJ97=0)*(CJ98&gt;0)</f>
        <v>-0</v>
      </c>
      <c r="CK103" s="33" t="n">
        <f aca="false">-In_Upfront_Fee*$E98*(CK97=0)*(CK98&gt;0)</f>
        <v>-0</v>
      </c>
      <c r="CL103" s="33" t="n">
        <f aca="false">-In_Upfront_Fee*$E98*(CL97=0)*(CL98&gt;0)</f>
        <v>-0</v>
      </c>
      <c r="CM103" s="33" t="n">
        <f aca="false">-In_Upfront_Fee*$E98*(CM97=0)*(CM98&gt;0)</f>
        <v>-0</v>
      </c>
      <c r="CN103" s="33" t="n">
        <f aca="false">-In_Upfront_Fee*$E98*(CN97=0)*(CN98&gt;0)</f>
        <v>-0</v>
      </c>
      <c r="CO103" s="33" t="n">
        <f aca="false">-In_Upfront_Fee*$E98*(CO97=0)*(CO98&gt;0)</f>
        <v>-0</v>
      </c>
      <c r="CP103" s="33" t="n">
        <f aca="false">-In_Upfront_Fee*$E98*(CP97=0)*(CP98&gt;0)</f>
        <v>-0</v>
      </c>
      <c r="CQ103" s="33" t="n">
        <f aca="false">-In_Upfront_Fee*$E98*(CQ97=0)*(CQ98&gt;0)</f>
        <v>-0</v>
      </c>
      <c r="CR103" s="33" t="n">
        <f aca="false">-In_Upfront_Fee*$E98*(CR97=0)*(CR98&gt;0)</f>
        <v>-0</v>
      </c>
      <c r="CS103" s="33" t="n">
        <f aca="false">-In_Upfront_Fee*$E98*(CS97=0)*(CS98&gt;0)</f>
        <v>-0</v>
      </c>
      <c r="CT103" s="33" t="n">
        <f aca="false">-In_Upfront_Fee*$E98*(CT97=0)*(CT98&gt;0)</f>
        <v>-0</v>
      </c>
      <c r="CU103" s="33" t="n">
        <f aca="false">-In_Upfront_Fee*$E98*(CU97=0)*(CU98&gt;0)</f>
        <v>-0</v>
      </c>
      <c r="CV103" s="33" t="n">
        <f aca="false">-In_Upfront_Fee*$E98*(CV97=0)*(CV98&gt;0)</f>
        <v>-0</v>
      </c>
      <c r="CW103" s="33" t="n">
        <f aca="false">-In_Upfront_Fee*$E98*(CW97=0)*(CW98&gt;0)</f>
        <v>-0</v>
      </c>
      <c r="CX103" s="33" t="n">
        <f aca="false">-In_Upfront_Fee*$E98*(CX97=0)*(CX98&gt;0)</f>
        <v>-0</v>
      </c>
      <c r="CY103" s="33" t="n">
        <f aca="false">-In_Upfront_Fee*$E98*(CY97=0)*(CY98&gt;0)</f>
        <v>-0</v>
      </c>
      <c r="CZ103" s="33" t="n">
        <f aca="false">-In_Upfront_Fee*$E98*(CZ97=0)*(CZ98&gt;0)</f>
        <v>-0</v>
      </c>
      <c r="DA103" s="33" t="n">
        <f aca="false">-In_Upfront_Fee*$E98*(DA97=0)*(DA98&gt;0)</f>
        <v>-0</v>
      </c>
      <c r="DB103" s="33" t="n">
        <f aca="false">-In_Upfront_Fee*$E98*(DB97=0)*(DB98&gt;0)</f>
        <v>-0</v>
      </c>
      <c r="DC103" s="33" t="n">
        <f aca="false">-In_Upfront_Fee*$E98*(DC97=0)*(DC98&gt;0)</f>
        <v>-0</v>
      </c>
      <c r="DD103" s="33" t="n">
        <f aca="false">-In_Upfront_Fee*$E98*(DD97=0)*(DD98&gt;0)</f>
        <v>-0</v>
      </c>
      <c r="DE103" s="33" t="n">
        <f aca="false">-In_Upfront_Fee*$E98*(DE97=0)*(DE98&gt;0)</f>
        <v>-0</v>
      </c>
      <c r="DF103" s="33" t="n">
        <f aca="false">-In_Upfront_Fee*$E98*(DF97=0)*(DF98&gt;0)</f>
        <v>-0</v>
      </c>
      <c r="DG103" s="33" t="n">
        <f aca="false">-In_Upfront_Fee*$E98*(DG97=0)*(DG98&gt;0)</f>
        <v>-0</v>
      </c>
      <c r="DH103" s="33" t="n">
        <f aca="false">-In_Upfront_Fee*$E98*(DH97=0)*(DH98&gt;0)</f>
        <v>-0</v>
      </c>
      <c r="DI103" s="33" t="n">
        <f aca="false">-In_Upfront_Fee*$E98*(DI97=0)*(DI98&gt;0)</f>
        <v>-0</v>
      </c>
      <c r="DJ103" s="33" t="n">
        <f aca="false">-In_Upfront_Fee*$E98*(DJ97=0)*(DJ98&gt;0)</f>
        <v>-0</v>
      </c>
      <c r="DK103" s="33" t="n">
        <f aca="false">-In_Upfront_Fee*$E98*(DK97=0)*(DK98&gt;0)</f>
        <v>-0</v>
      </c>
      <c r="DL103" s="33" t="n">
        <f aca="false">-In_Upfront_Fee*$E98*(DL97=0)*(DL98&gt;0)</f>
        <v>-0</v>
      </c>
      <c r="DM103" s="33" t="n">
        <f aca="false">-In_Upfront_Fee*$E98*(DM97=0)*(DM98&gt;0)</f>
        <v>-0</v>
      </c>
      <c r="DN103" s="33" t="n">
        <f aca="false">-In_Upfront_Fee*$E98*(DN97=0)*(DN98&gt;0)</f>
        <v>-0</v>
      </c>
      <c r="DO103" s="33" t="n">
        <f aca="false">-In_Upfront_Fee*$E98*(DO97=0)*(DO98&gt;0)</f>
        <v>-0</v>
      </c>
      <c r="DP103" s="33" t="n">
        <f aca="false">-In_Upfront_Fee*$E98*(DP97=0)*(DP98&gt;0)</f>
        <v>-0</v>
      </c>
      <c r="DQ103" s="33" t="n">
        <f aca="false">-In_Upfront_Fee*$E98*(DQ97=0)*(DQ98&gt;0)</f>
        <v>-0</v>
      </c>
      <c r="DR103" s="33" t="n">
        <f aca="false">-In_Upfront_Fee*$E98*(DR97=0)*(DR98&gt;0)</f>
        <v>-0</v>
      </c>
      <c r="DS103" s="33" t="n">
        <f aca="false">-In_Upfront_Fee*$E98*(DS97=0)*(DS98&gt;0)</f>
        <v>-0</v>
      </c>
      <c r="DT103" s="33" t="n">
        <f aca="false">-In_Upfront_Fee*$E98*(DT97=0)*(DT98&gt;0)</f>
        <v>-0</v>
      </c>
      <c r="DU103" s="33" t="n">
        <f aca="false">-In_Upfront_Fee*$E98*(DU97=0)*(DU98&gt;0)</f>
        <v>-0</v>
      </c>
      <c r="DV103" s="33" t="n">
        <f aca="false">-In_Upfront_Fee*$E98*(DV97=0)*(DV98&gt;0)</f>
        <v>-0</v>
      </c>
      <c r="DW103" s="33" t="n">
        <f aca="false">-In_Upfront_Fee*$E98*(DW97=0)*(DW98&gt;0)</f>
        <v>-0</v>
      </c>
      <c r="DX103" s="33" t="n">
        <f aca="false">-In_Upfront_Fee*$E98*(DX97=0)*(DX98&gt;0)</f>
        <v>-0</v>
      </c>
      <c r="DY103" s="33" t="n">
        <f aca="false">-In_Upfront_Fee*$E98*(DY97=0)*(DY98&gt;0)</f>
        <v>-0</v>
      </c>
      <c r="DZ103" s="33" t="n">
        <f aca="false">-In_Upfront_Fee*$E98*(DZ97=0)*(DZ98&gt;0)</f>
        <v>-0</v>
      </c>
      <c r="EA103" s="33" t="n">
        <f aca="false">-In_Upfront_Fee*$E98*(EA97=0)*(EA98&gt;0)</f>
        <v>-0</v>
      </c>
      <c r="EB103" s="33" t="n">
        <f aca="false">-In_Upfront_Fee*$E98*(EB97=0)*(EB98&gt;0)</f>
        <v>-0</v>
      </c>
      <c r="EC103" s="33" t="n">
        <f aca="false">-In_Upfront_Fee*$E98*(EC97=0)*(EC98&gt;0)</f>
        <v>-0</v>
      </c>
      <c r="ED103" s="33" t="n">
        <f aca="false">-In_Upfront_Fee*$E98*(ED97=0)*(ED98&gt;0)</f>
        <v>-0</v>
      </c>
      <c r="EE103" s="33" t="n">
        <f aca="false">-In_Upfront_Fee*$E98*(EE97=0)*(EE98&gt;0)</f>
        <v>-0</v>
      </c>
      <c r="EF103" s="33" t="n">
        <f aca="false">-In_Upfront_Fee*$E98*(EF97=0)*(EF98&gt;0)</f>
        <v>-0</v>
      </c>
      <c r="EG103" s="33" t="n">
        <f aca="false">-In_Upfront_Fee*$E98*(EG97=0)*(EG98&gt;0)</f>
        <v>-0</v>
      </c>
      <c r="EH103" s="33" t="n">
        <f aca="false">-In_Upfront_Fee*$E98*(EH97=0)*(EH98&gt;0)</f>
        <v>-0</v>
      </c>
      <c r="EI103" s="33" t="n">
        <f aca="false">-In_Upfront_Fee*$E98*(EI97=0)*(EI98&gt;0)</f>
        <v>-0</v>
      </c>
      <c r="EJ103" s="33" t="n">
        <f aca="false">-In_Upfront_Fee*$E98*(EJ97=0)*(EJ98&gt;0)</f>
        <v>-0</v>
      </c>
      <c r="EK103" s="33" t="n">
        <f aca="false">-In_Upfront_Fee*$E98*(EK97=0)*(EK98&gt;0)</f>
        <v>-0</v>
      </c>
      <c r="EL103" s="33" t="n">
        <f aca="false">-In_Upfront_Fee*$E98*(EL97=0)*(EL98&gt;0)</f>
        <v>-0</v>
      </c>
      <c r="EM103" s="33" t="n">
        <f aca="false">-In_Upfront_Fee*$E98*(EM97=0)*(EM98&gt;0)</f>
        <v>-0</v>
      </c>
      <c r="EN103" s="33" t="n">
        <f aca="false">-In_Upfront_Fee*$E98*(EN97=0)*(EN98&gt;0)</f>
        <v>-0</v>
      </c>
      <c r="EO103" s="33" t="n">
        <f aca="false">-In_Upfront_Fee*$E98*(EO97=0)*(EO98&gt;0)</f>
        <v>-0</v>
      </c>
      <c r="EP103" s="33" t="n">
        <f aca="false">-In_Upfront_Fee*$E98*(EP97=0)*(EP98&gt;0)</f>
        <v>-0</v>
      </c>
      <c r="EQ103" s="33" t="n">
        <f aca="false">-In_Upfront_Fee*$E98*(EQ97=0)*(EQ98&gt;0)</f>
        <v>-0</v>
      </c>
      <c r="ER103" s="33" t="n">
        <f aca="false">-In_Upfront_Fee*$E98*(ER97=0)*(ER98&gt;0)</f>
        <v>-0</v>
      </c>
      <c r="ES103" s="33" t="n">
        <f aca="false">-In_Upfront_Fee*$E98*(ES97=0)*(ES98&gt;0)</f>
        <v>-0</v>
      </c>
      <c r="ET103" s="33" t="n">
        <f aca="false">-In_Upfront_Fee*$E98*(ET97=0)*(ET98&gt;0)</f>
        <v>-0</v>
      </c>
    </row>
    <row r="104" customFormat="false" ht="15" hidden="false" customHeight="false" outlineLevel="0" collapsed="false">
      <c r="C104" s="0" t="s">
        <v>552</v>
      </c>
      <c r="D104" s="11" t="s">
        <v>247</v>
      </c>
      <c r="I104" s="33" t="n">
        <f aca="false">SUM(J104:ET104)</f>
        <v>-962.619234608902</v>
      </c>
      <c r="J104" s="33" t="n">
        <f aca="false">-In_Commitment_Fee*($E98-SUM($J98:J98)+J98)*J$6*(J13&gt;0)</f>
        <v>-0</v>
      </c>
      <c r="K104" s="33" t="n">
        <f aca="false">-In_Commitment_Fee*($E98-SUM($J98:K98)+K98)*K$6*(K13&gt;0)</f>
        <v>-0</v>
      </c>
      <c r="L104" s="33" t="n">
        <f aca="false">-In_Commitment_Fee*($E98-SUM($J98:L98)+L98)*L$6*(L13&gt;0)</f>
        <v>-0</v>
      </c>
      <c r="M104" s="33" t="n">
        <f aca="false">-In_Commitment_Fee*($E98-SUM($J98:M98)+M98)*M$6*(M13&gt;0)</f>
        <v>-0</v>
      </c>
      <c r="N104" s="33" t="n">
        <f aca="false">-In_Commitment_Fee*($E98-SUM($J98:N98)+N98)*N$6*(N13&gt;0)</f>
        <v>-0</v>
      </c>
      <c r="O104" s="33" t="n">
        <f aca="false">-In_Commitment_Fee*($E98-SUM($J98:O98)+O98)*O$6*(O13&gt;0)</f>
        <v>-0</v>
      </c>
      <c r="P104" s="33" t="n">
        <f aca="false">-In_Commitment_Fee*($E98-SUM($J98:P98)+P98)*P$6*(P13&gt;0)</f>
        <v>-0</v>
      </c>
      <c r="Q104" s="33" t="n">
        <f aca="false">-In_Commitment_Fee*($E98-SUM($J98:Q98)+Q98)*Q$6*(Q13&gt;0)</f>
        <v>-0</v>
      </c>
      <c r="R104" s="33" t="n">
        <f aca="false">-In_Commitment_Fee*($E98-SUM($J98:R98)+R98)*R$6*(R13&gt;0)</f>
        <v>-0</v>
      </c>
      <c r="S104" s="33" t="n">
        <f aca="false">-In_Commitment_Fee*($E98-SUM($J98:S98)+S98)*S$6*(S13&gt;0)</f>
        <v>-0</v>
      </c>
      <c r="T104" s="33" t="n">
        <f aca="false">-In_Commitment_Fee*($E98-SUM($J98:T98)+T98)*T$6*(T13&gt;0)</f>
        <v>-0</v>
      </c>
      <c r="U104" s="33" t="n">
        <f aca="false">-In_Commitment_Fee*($E98-SUM($J98:U98)+U98)*U$6*(U13&gt;0)</f>
        <v>-0</v>
      </c>
      <c r="V104" s="33" t="n">
        <f aca="false">-In_Commitment_Fee*($E98-SUM($J98:V98)+V98)*V$6*(V13&gt;0)</f>
        <v>-0</v>
      </c>
      <c r="W104" s="33" t="n">
        <f aca="false">-In_Commitment_Fee*($E98-SUM($J98:W98)+W98)*W$6*(W13&gt;0)</f>
        <v>-215.671615518913</v>
      </c>
      <c r="X104" s="33" t="n">
        <f aca="false">-In_Commitment_Fee*($E98-SUM($J98:X98)+X98)*X$6*(X13&gt;0)</f>
        <v>-184.393450909708</v>
      </c>
      <c r="Y104" s="33" t="n">
        <f aca="false">-In_Commitment_Fee*($E98-SUM($J98:Y98)+Y98)*Y$6*(Y13&gt;0)</f>
        <v>-160.141633750702</v>
      </c>
      <c r="Z104" s="33" t="n">
        <f aca="false">-In_Commitment_Fee*($E98-SUM($J98:Z98)+Z98)*Z$6*(Z13&gt;0)</f>
        <v>-135.016340126224</v>
      </c>
      <c r="AA104" s="33" t="n">
        <f aca="false">-In_Commitment_Fee*($E98-SUM($J98:AA98)+AA98)*AA$6*(AA13&gt;0)</f>
        <v>-107.835807759457</v>
      </c>
      <c r="AB104" s="33" t="n">
        <f aca="false">-In_Commitment_Fee*($E98-SUM($J98:AB98)+AB98)*AB$6*(AB13&gt;0)</f>
        <v>-78.9018998406745</v>
      </c>
      <c r="AC104" s="33" t="n">
        <f aca="false">-In_Commitment_Fee*($E98-SUM($J98:AC98)+AC98)*AC$6*(AC13&gt;0)</f>
        <v>-53.4779543364571</v>
      </c>
      <c r="AD104" s="33" t="n">
        <f aca="false">-In_Commitment_Fee*($E98-SUM($J98:AD98)+AD98)*AD$6*(AD13&gt;0)</f>
        <v>-27.1805323667671</v>
      </c>
      <c r="AE104" s="33" t="n">
        <f aca="false">-In_Commitment_Fee*($E98-SUM($J98:AE98)+AE98)*AE$6*(AE13&gt;0)</f>
        <v>-0</v>
      </c>
      <c r="AF104" s="33" t="n">
        <f aca="false">-In_Commitment_Fee*($E98-SUM($J98:AF98)+AF98)*AF$6*(AF13&gt;0)</f>
        <v>-0</v>
      </c>
      <c r="AG104" s="33" t="n">
        <f aca="false">-In_Commitment_Fee*($E98-SUM($J98:AG98)+AG98)*AG$6*(AG13&gt;0)</f>
        <v>-0</v>
      </c>
      <c r="AH104" s="33" t="n">
        <f aca="false">-In_Commitment_Fee*($E98-SUM($J98:AH98)+AH98)*AH$6*(AH13&gt;0)</f>
        <v>-0</v>
      </c>
      <c r="AI104" s="33" t="n">
        <f aca="false">-In_Commitment_Fee*($E98-SUM($J98:AI98)+AI98)*AI$6*(AI13&gt;0)</f>
        <v>-0</v>
      </c>
      <c r="AJ104" s="33" t="n">
        <f aca="false">-In_Commitment_Fee*($E98-SUM($J98:AJ98)+AJ98)*AJ$6*(AJ13&gt;0)</f>
        <v>-0</v>
      </c>
      <c r="AK104" s="33" t="n">
        <f aca="false">-In_Commitment_Fee*($E98-SUM($J98:AK98)+AK98)*AK$6*(AK13&gt;0)</f>
        <v>-0</v>
      </c>
      <c r="AL104" s="33" t="n">
        <f aca="false">-In_Commitment_Fee*($E98-SUM($J98:AL98)+AL98)*AL$6*(AL13&gt;0)</f>
        <v>-0</v>
      </c>
      <c r="AM104" s="33" t="n">
        <f aca="false">-In_Commitment_Fee*($E98-SUM($J98:AM98)+AM98)*AM$6*(AM13&gt;0)</f>
        <v>-0</v>
      </c>
      <c r="AN104" s="33" t="n">
        <f aca="false">-In_Commitment_Fee*($E98-SUM($J98:AN98)+AN98)*AN$6*(AN13&gt;0)</f>
        <v>-0</v>
      </c>
      <c r="AO104" s="33" t="n">
        <f aca="false">-In_Commitment_Fee*($E98-SUM($J98:AO98)+AO98)*AO$6*(AO13&gt;0)</f>
        <v>-0</v>
      </c>
      <c r="AP104" s="33" t="n">
        <f aca="false">-In_Commitment_Fee*($E98-SUM($J98:AP98)+AP98)*AP$6*(AP13&gt;0)</f>
        <v>-0</v>
      </c>
      <c r="AQ104" s="33" t="n">
        <f aca="false">-In_Commitment_Fee*($E98-SUM($J98:AQ98)+AQ98)*AQ$6*(AQ13&gt;0)</f>
        <v>-0</v>
      </c>
      <c r="AR104" s="33" t="n">
        <f aca="false">-In_Commitment_Fee*($E98-SUM($J98:AR98)+AR98)*AR$6*(AR13&gt;0)</f>
        <v>-0</v>
      </c>
      <c r="AS104" s="33" t="n">
        <f aca="false">-In_Commitment_Fee*($E98-SUM($J98:AS98)+AS98)*AS$6*(AS13&gt;0)</f>
        <v>-0</v>
      </c>
      <c r="AT104" s="33" t="n">
        <f aca="false">-In_Commitment_Fee*($E98-SUM($J98:AT98)+AT98)*AT$6*(AT13&gt;0)</f>
        <v>-0</v>
      </c>
      <c r="AU104" s="33" t="n">
        <f aca="false">-In_Commitment_Fee*($E98-SUM($J98:AU98)+AU98)*AU$6*(AU13&gt;0)</f>
        <v>-0</v>
      </c>
      <c r="AV104" s="33" t="n">
        <f aca="false">-In_Commitment_Fee*($E98-SUM($J98:AV98)+AV98)*AV$6*(AV13&gt;0)</f>
        <v>-0</v>
      </c>
      <c r="AW104" s="33" t="n">
        <f aca="false">-In_Commitment_Fee*($E98-SUM($J98:AW98)+AW98)*AW$6*(AW13&gt;0)</f>
        <v>-0</v>
      </c>
      <c r="AX104" s="33" t="n">
        <f aca="false">-In_Commitment_Fee*($E98-SUM($J98:AX98)+AX98)*AX$6*(AX13&gt;0)</f>
        <v>-0</v>
      </c>
      <c r="AY104" s="33" t="n">
        <f aca="false">-In_Commitment_Fee*($E98-SUM($J98:AY98)+AY98)*AY$6*(AY13&gt;0)</f>
        <v>-0</v>
      </c>
      <c r="AZ104" s="33" t="n">
        <f aca="false">-In_Commitment_Fee*($E98-SUM($J98:AZ98)+AZ98)*AZ$6*(AZ13&gt;0)</f>
        <v>-0</v>
      </c>
      <c r="BA104" s="33" t="n">
        <f aca="false">-In_Commitment_Fee*($E98-SUM($J98:BA98)+BA98)*BA$6*(BA13&gt;0)</f>
        <v>-0</v>
      </c>
      <c r="BB104" s="33" t="n">
        <f aca="false">-In_Commitment_Fee*($E98-SUM($J98:BB98)+BB98)*BB$6*(BB13&gt;0)</f>
        <v>-0</v>
      </c>
      <c r="BC104" s="33" t="n">
        <f aca="false">-In_Commitment_Fee*($E98-SUM($J98:BC98)+BC98)*BC$6*(BC13&gt;0)</f>
        <v>-0</v>
      </c>
      <c r="BD104" s="33" t="n">
        <f aca="false">-In_Commitment_Fee*($E98-SUM($J98:BD98)+BD98)*BD$6*(BD13&gt;0)</f>
        <v>-0</v>
      </c>
      <c r="BE104" s="33" t="n">
        <f aca="false">-In_Commitment_Fee*($E98-SUM($J98:BE98)+BE98)*BE$6*(BE13&gt;0)</f>
        <v>-0</v>
      </c>
      <c r="BF104" s="33" t="n">
        <f aca="false">-In_Commitment_Fee*($E98-SUM($J98:BF98)+BF98)*BF$6*(BF13&gt;0)</f>
        <v>-0</v>
      </c>
      <c r="BG104" s="33" t="n">
        <f aca="false">-In_Commitment_Fee*($E98-SUM($J98:BG98)+BG98)*BG$6*(BG13&gt;0)</f>
        <v>-0</v>
      </c>
      <c r="BH104" s="33" t="n">
        <f aca="false">-In_Commitment_Fee*($E98-SUM($J98:BH98)+BH98)*BH$6*(BH13&gt;0)</f>
        <v>-0</v>
      </c>
      <c r="BI104" s="33" t="n">
        <f aca="false">-In_Commitment_Fee*($E98-SUM($J98:BI98)+BI98)*BI$6*(BI13&gt;0)</f>
        <v>-0</v>
      </c>
      <c r="BJ104" s="33" t="n">
        <f aca="false">-In_Commitment_Fee*($E98-SUM($J98:BJ98)+BJ98)*BJ$6*(BJ13&gt;0)</f>
        <v>-0</v>
      </c>
      <c r="BK104" s="33" t="n">
        <f aca="false">-In_Commitment_Fee*($E98-SUM($J98:BK98)+BK98)*BK$6*(BK13&gt;0)</f>
        <v>-0</v>
      </c>
      <c r="BL104" s="33" t="n">
        <f aca="false">-In_Commitment_Fee*($E98-SUM($J98:BL98)+BL98)*BL$6*(BL13&gt;0)</f>
        <v>-0</v>
      </c>
      <c r="BM104" s="33" t="n">
        <f aca="false">-In_Commitment_Fee*($E98-SUM($J98:BM98)+BM98)*BM$6*(BM13&gt;0)</f>
        <v>-0</v>
      </c>
      <c r="BN104" s="33" t="n">
        <f aca="false">-In_Commitment_Fee*($E98-SUM($J98:BN98)+BN98)*BN$6*(BN13&gt;0)</f>
        <v>-0</v>
      </c>
      <c r="BO104" s="33" t="n">
        <f aca="false">-In_Commitment_Fee*($E98-SUM($J98:BO98)+BO98)*BO$6*(BO13&gt;0)</f>
        <v>-0</v>
      </c>
      <c r="BP104" s="33" t="n">
        <f aca="false">-In_Commitment_Fee*($E98-SUM($J98:BP98)+BP98)*BP$6*(BP13&gt;0)</f>
        <v>-0</v>
      </c>
      <c r="BQ104" s="33" t="n">
        <f aca="false">-In_Commitment_Fee*($E98-SUM($J98:BQ98)+BQ98)*BQ$6*(BQ13&gt;0)</f>
        <v>-0</v>
      </c>
      <c r="BR104" s="33" t="n">
        <f aca="false">-In_Commitment_Fee*($E98-SUM($J98:BR98)+BR98)*BR$6*(BR13&gt;0)</f>
        <v>-0</v>
      </c>
      <c r="BS104" s="33" t="n">
        <f aca="false">-In_Commitment_Fee*($E98-SUM($J98:BS98)+BS98)*BS$6*(BS13&gt;0)</f>
        <v>-0</v>
      </c>
      <c r="BT104" s="33" t="n">
        <f aca="false">-In_Commitment_Fee*($E98-SUM($J98:BT98)+BT98)*BT$6*(BT13&gt;0)</f>
        <v>-0</v>
      </c>
      <c r="BU104" s="33" t="n">
        <f aca="false">-In_Commitment_Fee*($E98-SUM($J98:BU98)+BU98)*BU$6*(BU13&gt;0)</f>
        <v>-0</v>
      </c>
      <c r="BV104" s="33" t="n">
        <f aca="false">-In_Commitment_Fee*($E98-SUM($J98:BV98)+BV98)*BV$6*(BV13&gt;0)</f>
        <v>-0</v>
      </c>
      <c r="BW104" s="33" t="n">
        <f aca="false">-In_Commitment_Fee*($E98-SUM($J98:BW98)+BW98)*BW$6*(BW13&gt;0)</f>
        <v>-0</v>
      </c>
      <c r="BX104" s="33" t="n">
        <f aca="false">-In_Commitment_Fee*($E98-SUM($J98:BX98)+BX98)*BX$6*(BX13&gt;0)</f>
        <v>-0</v>
      </c>
      <c r="BY104" s="33" t="n">
        <f aca="false">-In_Commitment_Fee*($E98-SUM($J98:BY98)+BY98)*BY$6*(BY13&gt;0)</f>
        <v>-0</v>
      </c>
      <c r="BZ104" s="33" t="n">
        <f aca="false">-In_Commitment_Fee*($E98-SUM($J98:BZ98)+BZ98)*BZ$6*(BZ13&gt;0)</f>
        <v>-0</v>
      </c>
      <c r="CA104" s="33" t="n">
        <f aca="false">-In_Commitment_Fee*($E98-SUM($J98:CA98)+CA98)*CA$6*(CA13&gt;0)</f>
        <v>-0</v>
      </c>
      <c r="CB104" s="33" t="n">
        <f aca="false">-In_Commitment_Fee*($E98-SUM($J98:CB98)+CB98)*CB$6*(CB13&gt;0)</f>
        <v>-0</v>
      </c>
      <c r="CC104" s="33" t="n">
        <f aca="false">-In_Commitment_Fee*($E98-SUM($J98:CC98)+CC98)*CC$6*(CC13&gt;0)</f>
        <v>-0</v>
      </c>
      <c r="CD104" s="33" t="n">
        <f aca="false">-In_Commitment_Fee*($E98-SUM($J98:CD98)+CD98)*CD$6*(CD13&gt;0)</f>
        <v>-0</v>
      </c>
      <c r="CE104" s="33" t="n">
        <f aca="false">-In_Commitment_Fee*($E98-SUM($J98:CE98)+CE98)*CE$6*(CE13&gt;0)</f>
        <v>-0</v>
      </c>
      <c r="CF104" s="33" t="n">
        <f aca="false">-In_Commitment_Fee*($E98-SUM($J98:CF98)+CF98)*CF$6*(CF13&gt;0)</f>
        <v>-0</v>
      </c>
      <c r="CG104" s="33" t="n">
        <f aca="false">-In_Commitment_Fee*($E98-SUM($J98:CG98)+CG98)*CG$6*(CG13&gt;0)</f>
        <v>-0</v>
      </c>
      <c r="CH104" s="33" t="n">
        <f aca="false">-In_Commitment_Fee*($E98-SUM($J98:CH98)+CH98)*CH$6*(CH13&gt;0)</f>
        <v>-0</v>
      </c>
      <c r="CI104" s="33" t="n">
        <f aca="false">-In_Commitment_Fee*($E98-SUM($J98:CI98)+CI98)*CI$6*(CI13&gt;0)</f>
        <v>-0</v>
      </c>
      <c r="CJ104" s="33" t="n">
        <f aca="false">-In_Commitment_Fee*($E98-SUM($J98:CJ98)+CJ98)*CJ$6*(CJ13&gt;0)</f>
        <v>-0</v>
      </c>
      <c r="CK104" s="33" t="n">
        <f aca="false">-In_Commitment_Fee*($E98-SUM($J98:CK98)+CK98)*CK$6*(CK13&gt;0)</f>
        <v>-0</v>
      </c>
      <c r="CL104" s="33" t="n">
        <f aca="false">-In_Commitment_Fee*($E98-SUM($J98:CL98)+CL98)*CL$6*(CL13&gt;0)</f>
        <v>-0</v>
      </c>
      <c r="CM104" s="33" t="n">
        <f aca="false">-In_Commitment_Fee*($E98-SUM($J98:CM98)+CM98)*CM$6*(CM13&gt;0)</f>
        <v>-0</v>
      </c>
      <c r="CN104" s="33" t="n">
        <f aca="false">-In_Commitment_Fee*($E98-SUM($J98:CN98)+CN98)*CN$6*(CN13&gt;0)</f>
        <v>-0</v>
      </c>
      <c r="CO104" s="33" t="n">
        <f aca="false">-In_Commitment_Fee*($E98-SUM($J98:CO98)+CO98)*CO$6*(CO13&gt;0)</f>
        <v>-0</v>
      </c>
      <c r="CP104" s="33" t="n">
        <f aca="false">-In_Commitment_Fee*($E98-SUM($J98:CP98)+CP98)*CP$6*(CP13&gt;0)</f>
        <v>-0</v>
      </c>
      <c r="CQ104" s="33" t="n">
        <f aca="false">-In_Commitment_Fee*($E98-SUM($J98:CQ98)+CQ98)*CQ$6*(CQ13&gt;0)</f>
        <v>-0</v>
      </c>
      <c r="CR104" s="33" t="n">
        <f aca="false">-In_Commitment_Fee*($E98-SUM($J98:CR98)+CR98)*CR$6*(CR13&gt;0)</f>
        <v>-0</v>
      </c>
      <c r="CS104" s="33" t="n">
        <f aca="false">-In_Commitment_Fee*($E98-SUM($J98:CS98)+CS98)*CS$6*(CS13&gt;0)</f>
        <v>-0</v>
      </c>
      <c r="CT104" s="33" t="n">
        <f aca="false">-In_Commitment_Fee*($E98-SUM($J98:CT98)+CT98)*CT$6*(CT13&gt;0)</f>
        <v>-0</v>
      </c>
      <c r="CU104" s="33" t="n">
        <f aca="false">-In_Commitment_Fee*($E98-SUM($J98:CU98)+CU98)*CU$6*(CU13&gt;0)</f>
        <v>-0</v>
      </c>
      <c r="CV104" s="33" t="n">
        <f aca="false">-In_Commitment_Fee*($E98-SUM($J98:CV98)+CV98)*CV$6*(CV13&gt;0)</f>
        <v>-0</v>
      </c>
      <c r="CW104" s="33" t="n">
        <f aca="false">-In_Commitment_Fee*($E98-SUM($J98:CW98)+CW98)*CW$6*(CW13&gt;0)</f>
        <v>-0</v>
      </c>
      <c r="CX104" s="33" t="n">
        <f aca="false">-In_Commitment_Fee*($E98-SUM($J98:CX98)+CX98)*CX$6*(CX13&gt;0)</f>
        <v>-0</v>
      </c>
      <c r="CY104" s="33" t="n">
        <f aca="false">-In_Commitment_Fee*($E98-SUM($J98:CY98)+CY98)*CY$6*(CY13&gt;0)</f>
        <v>-0</v>
      </c>
      <c r="CZ104" s="33" t="n">
        <f aca="false">-In_Commitment_Fee*($E98-SUM($J98:CZ98)+CZ98)*CZ$6*(CZ13&gt;0)</f>
        <v>-0</v>
      </c>
      <c r="DA104" s="33" t="n">
        <f aca="false">-In_Commitment_Fee*($E98-SUM($J98:DA98)+DA98)*DA$6*(DA13&gt;0)</f>
        <v>-0</v>
      </c>
      <c r="DB104" s="33" t="n">
        <f aca="false">-In_Commitment_Fee*($E98-SUM($J98:DB98)+DB98)*DB$6*(DB13&gt;0)</f>
        <v>-0</v>
      </c>
      <c r="DC104" s="33" t="n">
        <f aca="false">-In_Commitment_Fee*($E98-SUM($J98:DC98)+DC98)*DC$6*(DC13&gt;0)</f>
        <v>-0</v>
      </c>
      <c r="DD104" s="33" t="n">
        <f aca="false">-In_Commitment_Fee*($E98-SUM($J98:DD98)+DD98)*DD$6*(DD13&gt;0)</f>
        <v>-0</v>
      </c>
      <c r="DE104" s="33" t="n">
        <f aca="false">-In_Commitment_Fee*($E98-SUM($J98:DE98)+DE98)*DE$6*(DE13&gt;0)</f>
        <v>-0</v>
      </c>
      <c r="DF104" s="33" t="n">
        <f aca="false">-In_Commitment_Fee*($E98-SUM($J98:DF98)+DF98)*DF$6*(DF13&gt;0)</f>
        <v>-0</v>
      </c>
      <c r="DG104" s="33" t="n">
        <f aca="false">-In_Commitment_Fee*($E98-SUM($J98:DG98)+DG98)*DG$6*(DG13&gt;0)</f>
        <v>-0</v>
      </c>
      <c r="DH104" s="33" t="n">
        <f aca="false">-In_Commitment_Fee*($E98-SUM($J98:DH98)+DH98)*DH$6*(DH13&gt;0)</f>
        <v>-0</v>
      </c>
      <c r="DI104" s="33" t="n">
        <f aca="false">-In_Commitment_Fee*($E98-SUM($J98:DI98)+DI98)*DI$6*(DI13&gt;0)</f>
        <v>-0</v>
      </c>
      <c r="DJ104" s="33" t="n">
        <f aca="false">-In_Commitment_Fee*($E98-SUM($J98:DJ98)+DJ98)*DJ$6*(DJ13&gt;0)</f>
        <v>-0</v>
      </c>
      <c r="DK104" s="33" t="n">
        <f aca="false">-In_Commitment_Fee*($E98-SUM($J98:DK98)+DK98)*DK$6*(DK13&gt;0)</f>
        <v>-0</v>
      </c>
      <c r="DL104" s="33" t="n">
        <f aca="false">-In_Commitment_Fee*($E98-SUM($J98:DL98)+DL98)*DL$6*(DL13&gt;0)</f>
        <v>-0</v>
      </c>
      <c r="DM104" s="33" t="n">
        <f aca="false">-In_Commitment_Fee*($E98-SUM($J98:DM98)+DM98)*DM$6*(DM13&gt;0)</f>
        <v>-0</v>
      </c>
      <c r="DN104" s="33" t="n">
        <f aca="false">-In_Commitment_Fee*($E98-SUM($J98:DN98)+DN98)*DN$6*(DN13&gt;0)</f>
        <v>-0</v>
      </c>
      <c r="DO104" s="33" t="n">
        <f aca="false">-In_Commitment_Fee*($E98-SUM($J98:DO98)+DO98)*DO$6*(DO13&gt;0)</f>
        <v>-0</v>
      </c>
      <c r="DP104" s="33" t="n">
        <f aca="false">-In_Commitment_Fee*($E98-SUM($J98:DP98)+DP98)*DP$6*(DP13&gt;0)</f>
        <v>-0</v>
      </c>
      <c r="DQ104" s="33" t="n">
        <f aca="false">-In_Commitment_Fee*($E98-SUM($J98:DQ98)+DQ98)*DQ$6*(DQ13&gt;0)</f>
        <v>-0</v>
      </c>
      <c r="DR104" s="33" t="n">
        <f aca="false">-In_Commitment_Fee*($E98-SUM($J98:DR98)+DR98)*DR$6*(DR13&gt;0)</f>
        <v>-0</v>
      </c>
      <c r="DS104" s="33" t="n">
        <f aca="false">-In_Commitment_Fee*($E98-SUM($J98:DS98)+DS98)*DS$6*(DS13&gt;0)</f>
        <v>-0</v>
      </c>
      <c r="DT104" s="33" t="n">
        <f aca="false">-In_Commitment_Fee*($E98-SUM($J98:DT98)+DT98)*DT$6*(DT13&gt;0)</f>
        <v>-0</v>
      </c>
      <c r="DU104" s="33" t="n">
        <f aca="false">-In_Commitment_Fee*($E98-SUM($J98:DU98)+DU98)*DU$6*(DU13&gt;0)</f>
        <v>-0</v>
      </c>
      <c r="DV104" s="33" t="n">
        <f aca="false">-In_Commitment_Fee*($E98-SUM($J98:DV98)+DV98)*DV$6*(DV13&gt;0)</f>
        <v>-0</v>
      </c>
      <c r="DW104" s="33" t="n">
        <f aca="false">-In_Commitment_Fee*($E98-SUM($J98:DW98)+DW98)*DW$6*(DW13&gt;0)</f>
        <v>-0</v>
      </c>
      <c r="DX104" s="33" t="n">
        <f aca="false">-In_Commitment_Fee*($E98-SUM($J98:DX98)+DX98)*DX$6*(DX13&gt;0)</f>
        <v>-0</v>
      </c>
      <c r="DY104" s="33" t="n">
        <f aca="false">-In_Commitment_Fee*($E98-SUM($J98:DY98)+DY98)*DY$6*(DY13&gt;0)</f>
        <v>-0</v>
      </c>
      <c r="DZ104" s="33" t="n">
        <f aca="false">-In_Commitment_Fee*($E98-SUM($J98:DZ98)+DZ98)*DZ$6*(DZ13&gt;0)</f>
        <v>-0</v>
      </c>
      <c r="EA104" s="33" t="n">
        <f aca="false">-In_Commitment_Fee*($E98-SUM($J98:EA98)+EA98)*EA$6*(EA13&gt;0)</f>
        <v>-0</v>
      </c>
      <c r="EB104" s="33" t="n">
        <f aca="false">-In_Commitment_Fee*($E98-SUM($J98:EB98)+EB98)*EB$6*(EB13&gt;0)</f>
        <v>-0</v>
      </c>
      <c r="EC104" s="33" t="n">
        <f aca="false">-In_Commitment_Fee*($E98-SUM($J98:EC98)+EC98)*EC$6*(EC13&gt;0)</f>
        <v>-0</v>
      </c>
      <c r="ED104" s="33" t="n">
        <f aca="false">-In_Commitment_Fee*($E98-SUM($J98:ED98)+ED98)*ED$6*(ED13&gt;0)</f>
        <v>-0</v>
      </c>
      <c r="EE104" s="33" t="n">
        <f aca="false">-In_Commitment_Fee*($E98-SUM($J98:EE98)+EE98)*EE$6*(EE13&gt;0)</f>
        <v>-0</v>
      </c>
      <c r="EF104" s="33" t="n">
        <f aca="false">-In_Commitment_Fee*($E98-SUM($J98:EF98)+EF98)*EF$6*(EF13&gt;0)</f>
        <v>-0</v>
      </c>
      <c r="EG104" s="33" t="n">
        <f aca="false">-In_Commitment_Fee*($E98-SUM($J98:EG98)+EG98)*EG$6*(EG13&gt;0)</f>
        <v>-0</v>
      </c>
      <c r="EH104" s="33" t="n">
        <f aca="false">-In_Commitment_Fee*($E98-SUM($J98:EH98)+EH98)*EH$6*(EH13&gt;0)</f>
        <v>-0</v>
      </c>
      <c r="EI104" s="33" t="n">
        <f aca="false">-In_Commitment_Fee*($E98-SUM($J98:EI98)+EI98)*EI$6*(EI13&gt;0)</f>
        <v>-0</v>
      </c>
      <c r="EJ104" s="33" t="n">
        <f aca="false">-In_Commitment_Fee*($E98-SUM($J98:EJ98)+EJ98)*EJ$6*(EJ13&gt;0)</f>
        <v>-0</v>
      </c>
      <c r="EK104" s="33" t="n">
        <f aca="false">-In_Commitment_Fee*($E98-SUM($J98:EK98)+EK98)*EK$6*(EK13&gt;0)</f>
        <v>-0</v>
      </c>
      <c r="EL104" s="33" t="n">
        <f aca="false">-In_Commitment_Fee*($E98-SUM($J98:EL98)+EL98)*EL$6*(EL13&gt;0)</f>
        <v>-0</v>
      </c>
      <c r="EM104" s="33" t="n">
        <f aca="false">-In_Commitment_Fee*($E98-SUM($J98:EM98)+EM98)*EM$6*(EM13&gt;0)</f>
        <v>-0</v>
      </c>
      <c r="EN104" s="33" t="n">
        <f aca="false">-In_Commitment_Fee*($E98-SUM($J98:EN98)+EN98)*EN$6*(EN13&gt;0)</f>
        <v>-0</v>
      </c>
      <c r="EO104" s="33" t="n">
        <f aca="false">-In_Commitment_Fee*($E98-SUM($J98:EO98)+EO98)*EO$6*(EO13&gt;0)</f>
        <v>-0</v>
      </c>
      <c r="EP104" s="33" t="n">
        <f aca="false">-In_Commitment_Fee*($E98-SUM($J98:EP98)+EP98)*EP$6*(EP13&gt;0)</f>
        <v>-0</v>
      </c>
      <c r="EQ104" s="33" t="n">
        <f aca="false">-In_Commitment_Fee*($E98-SUM($J98:EQ98)+EQ98)*EQ$6*(EQ13&gt;0)</f>
        <v>-0</v>
      </c>
      <c r="ER104" s="33" t="n">
        <f aca="false">-In_Commitment_Fee*($E98-SUM($J98:ER98)+ER98)*ER$6*(ER13&gt;0)</f>
        <v>-0</v>
      </c>
      <c r="ES104" s="33" t="n">
        <f aca="false">-In_Commitment_Fee*($E98-SUM($J98:ES98)+ES98)*ES$6*(ES13&gt;0)</f>
        <v>-0</v>
      </c>
      <c r="ET104" s="33" t="n">
        <f aca="false">-In_Commitment_Fee*($E98-SUM($J98:ET98)+ET98)*ET$6*(ET13&gt;0)</f>
        <v>-0</v>
      </c>
    </row>
    <row r="105" customFormat="false" ht="15" hidden="false" customHeight="false" outlineLevel="0" collapsed="false">
      <c r="C105" s="30" t="s">
        <v>553</v>
      </c>
      <c r="D105" s="11" t="s">
        <v>247</v>
      </c>
      <c r="I105" s="35" t="n">
        <f aca="false">SUM(J105:ET105)</f>
        <v>-161080.777710614</v>
      </c>
      <c r="J105" s="35" t="n">
        <f aca="false">J94+J53+J95+J103+J104</f>
        <v>-0</v>
      </c>
      <c r="K105" s="35" t="n">
        <f aca="false">K94+K53+K95+K103+K104</f>
        <v>-0</v>
      </c>
      <c r="L105" s="35" t="n">
        <f aca="false">L94+L53+L95+L103+L104</f>
        <v>-0</v>
      </c>
      <c r="M105" s="35" t="n">
        <f aca="false">M94+M53+M95+M103+M104</f>
        <v>-0</v>
      </c>
      <c r="N105" s="35" t="n">
        <f aca="false">N94+N53+N95+N103+N104</f>
        <v>-0</v>
      </c>
      <c r="O105" s="35" t="n">
        <f aca="false">O94+O53+O95+O103+O104</f>
        <v>-0</v>
      </c>
      <c r="P105" s="35" t="n">
        <f aca="false">P94+P53+P95+P103+P104</f>
        <v>-0</v>
      </c>
      <c r="Q105" s="35" t="n">
        <f aca="false">Q94+Q53+Q95+Q103+Q104</f>
        <v>-0</v>
      </c>
      <c r="R105" s="35" t="n">
        <f aca="false">R94+R53+R95+R103+R104</f>
        <v>-0</v>
      </c>
      <c r="S105" s="35" t="n">
        <f aca="false">S94+S53+S95+S103+S104</f>
        <v>-0</v>
      </c>
      <c r="T105" s="35" t="n">
        <f aca="false">T94+T53+T95+T103+T104</f>
        <v>-20179.3874082192</v>
      </c>
      <c r="U105" s="35" t="n">
        <f aca="false">U94+U53+U95+U103+U104</f>
        <v>-0</v>
      </c>
      <c r="V105" s="35" t="n">
        <f aca="false">V94+V53+V95+V103+V104</f>
        <v>-0</v>
      </c>
      <c r="W105" s="35" t="n">
        <f aca="false">W94+W53+W95+W103+W104</f>
        <v>-18675.7440531682</v>
      </c>
      <c r="X105" s="35" t="n">
        <f aca="false">X94+X53+X95+X103+X104</f>
        <v>-16615.5578344714</v>
      </c>
      <c r="Y105" s="35" t="n">
        <f aca="false">Y94+Y53+Y95+Y103+Y104</f>
        <v>-16773.874510463</v>
      </c>
      <c r="Z105" s="35" t="n">
        <f aca="false">Z94+Z53+Z95+Z103+Z104</f>
        <v>-16931.3177099892</v>
      </c>
      <c r="AA105" s="35" t="n">
        <f aca="false">AA94+AA53+AA95+AA103+AA104</f>
        <v>-16904.1371776225</v>
      </c>
      <c r="AB105" s="35" t="n">
        <f aca="false">AB94+AB53+AB95+AB103+AB104</f>
        <v>-16510.0662834023</v>
      </c>
      <c r="AC105" s="35" t="n">
        <f aca="false">AC94+AC53+AC95+AC103+AC104</f>
        <v>-16667.2108310488</v>
      </c>
      <c r="AD105" s="35" t="n">
        <f aca="false">AD94+AD53+AD95+AD103+AD104</f>
        <v>-21823.4819022298</v>
      </c>
      <c r="AE105" s="35" t="n">
        <f aca="false">AE94+AE53+AE95+AE103+AE104</f>
        <v>-0</v>
      </c>
      <c r="AF105" s="35" t="n">
        <f aca="false">AF94+AF53+AF95+AF103+AF104</f>
        <v>-0</v>
      </c>
      <c r="AG105" s="35" t="n">
        <f aca="false">AG94+AG53+AG95+AG103+AG104</f>
        <v>-0</v>
      </c>
      <c r="AH105" s="35" t="n">
        <f aca="false">AH94+AH53+AH95+AH103+AH104</f>
        <v>-0</v>
      </c>
      <c r="AI105" s="35" t="n">
        <f aca="false">AI94+AI53+AI95+AI103+AI104</f>
        <v>-0</v>
      </c>
      <c r="AJ105" s="35" t="n">
        <f aca="false">AJ94+AJ53+AJ95+AJ103+AJ104</f>
        <v>-0</v>
      </c>
      <c r="AK105" s="35" t="n">
        <f aca="false">AK94+AK53+AK95+AK103+AK104</f>
        <v>-0</v>
      </c>
      <c r="AL105" s="35" t="n">
        <f aca="false">AL94+AL53+AL95+AL103+AL104</f>
        <v>-0</v>
      </c>
      <c r="AM105" s="35" t="n">
        <f aca="false">AM94+AM53+AM95+AM103+AM104</f>
        <v>-0</v>
      </c>
      <c r="AN105" s="35" t="n">
        <f aca="false">AN94+AN53+AN95+AN103+AN104</f>
        <v>-0</v>
      </c>
      <c r="AO105" s="35" t="n">
        <f aca="false">AO94+AO53+AO95+AO103+AO104</f>
        <v>-0</v>
      </c>
      <c r="AP105" s="35" t="n">
        <f aca="false">AP94+AP53+AP95+AP103+AP104</f>
        <v>-0</v>
      </c>
      <c r="AQ105" s="35" t="n">
        <f aca="false">AQ94+AQ53+AQ95+AQ103+AQ104</f>
        <v>-0</v>
      </c>
      <c r="AR105" s="35" t="n">
        <f aca="false">AR94+AR53+AR95+AR103+AR104</f>
        <v>-0</v>
      </c>
      <c r="AS105" s="35" t="n">
        <f aca="false">AS94+AS53+AS95+AS103+AS104</f>
        <v>-0</v>
      </c>
      <c r="AT105" s="35" t="n">
        <f aca="false">AT94+AT53+AT95+AT103+AT104</f>
        <v>-0</v>
      </c>
      <c r="AU105" s="35" t="n">
        <f aca="false">AU94+AU53+AU95+AU103+AU104</f>
        <v>-0</v>
      </c>
      <c r="AV105" s="35" t="n">
        <f aca="false">AV94+AV53+AV95+AV103+AV104</f>
        <v>-0</v>
      </c>
      <c r="AW105" s="35" t="n">
        <f aca="false">AW94+AW53+AW95+AW103+AW104</f>
        <v>-0</v>
      </c>
      <c r="AX105" s="35" t="n">
        <f aca="false">AX94+AX53+AX95+AX103+AX104</f>
        <v>-0</v>
      </c>
      <c r="AY105" s="35" t="n">
        <f aca="false">AY94+AY53+AY95+AY103+AY104</f>
        <v>-0</v>
      </c>
      <c r="AZ105" s="35" t="n">
        <f aca="false">AZ94+AZ53+AZ95+AZ103+AZ104</f>
        <v>-0</v>
      </c>
      <c r="BA105" s="35" t="n">
        <f aca="false">BA94+BA53+BA95+BA103+BA104</f>
        <v>-0</v>
      </c>
      <c r="BB105" s="35" t="n">
        <f aca="false">BB94+BB53+BB95+BB103+BB104</f>
        <v>-0</v>
      </c>
      <c r="BC105" s="35" t="n">
        <f aca="false">BC94+BC53+BC95+BC103+BC104</f>
        <v>-0</v>
      </c>
      <c r="BD105" s="35" t="n">
        <f aca="false">BD94+BD53+BD95+BD103+BD104</f>
        <v>-0</v>
      </c>
      <c r="BE105" s="35" t="n">
        <f aca="false">BE94+BE53+BE95+BE103+BE104</f>
        <v>-0</v>
      </c>
      <c r="BF105" s="35" t="n">
        <f aca="false">BF94+BF53+BF95+BF103+BF104</f>
        <v>-0</v>
      </c>
      <c r="BG105" s="35" t="n">
        <f aca="false">BG94+BG53+BG95+BG103+BG104</f>
        <v>-0</v>
      </c>
      <c r="BH105" s="35" t="n">
        <f aca="false">BH94+BH53+BH95+BH103+BH104</f>
        <v>-0</v>
      </c>
      <c r="BI105" s="35" t="n">
        <f aca="false">BI94+BI53+BI95+BI103+BI104</f>
        <v>-0</v>
      </c>
      <c r="BJ105" s="35" t="n">
        <f aca="false">BJ94+BJ53+BJ95+BJ103+BJ104</f>
        <v>-0</v>
      </c>
      <c r="BK105" s="35" t="n">
        <f aca="false">BK94+BK53+BK95+BK103+BK104</f>
        <v>-0</v>
      </c>
      <c r="BL105" s="35" t="n">
        <f aca="false">BL94+BL53+BL95+BL103+BL104</f>
        <v>-0</v>
      </c>
      <c r="BM105" s="35" t="n">
        <f aca="false">BM94+BM53+BM95+BM103+BM104</f>
        <v>-0</v>
      </c>
      <c r="BN105" s="35" t="n">
        <f aca="false">BN94+BN53+BN95+BN103+BN104</f>
        <v>-0</v>
      </c>
      <c r="BO105" s="35" t="n">
        <f aca="false">BO94+BO53+BO95+BO103+BO104</f>
        <v>-0</v>
      </c>
      <c r="BP105" s="35" t="n">
        <f aca="false">BP94+BP53+BP95+BP103+BP104</f>
        <v>-0</v>
      </c>
      <c r="BQ105" s="35" t="n">
        <f aca="false">BQ94+BQ53+BQ95+BQ103+BQ104</f>
        <v>-0</v>
      </c>
      <c r="BR105" s="35" t="n">
        <f aca="false">BR94+BR53+BR95+BR103+BR104</f>
        <v>-0</v>
      </c>
      <c r="BS105" s="35" t="n">
        <f aca="false">BS94+BS53+BS95+BS103+BS104</f>
        <v>-0</v>
      </c>
      <c r="BT105" s="35" t="n">
        <f aca="false">BT94+BT53+BT95+BT103+BT104</f>
        <v>-0</v>
      </c>
      <c r="BU105" s="35" t="n">
        <f aca="false">BU94+BU53+BU95+BU103+BU104</f>
        <v>-0</v>
      </c>
      <c r="BV105" s="35" t="n">
        <f aca="false">BV94+BV53+BV95+BV103+BV104</f>
        <v>-0</v>
      </c>
      <c r="BW105" s="35" t="n">
        <f aca="false">BW94+BW53+BW95+BW103+BW104</f>
        <v>-0</v>
      </c>
      <c r="BX105" s="35" t="n">
        <f aca="false">BX94+BX53+BX95+BX103+BX104</f>
        <v>-0</v>
      </c>
      <c r="BY105" s="35" t="n">
        <f aca="false">BY94+BY53+BY95+BY103+BY104</f>
        <v>-0</v>
      </c>
      <c r="BZ105" s="35" t="n">
        <f aca="false">BZ94+BZ53+BZ95+BZ103+BZ104</f>
        <v>-0</v>
      </c>
      <c r="CA105" s="35" t="n">
        <f aca="false">CA94+CA53+CA95+CA103+CA104</f>
        <v>-0</v>
      </c>
      <c r="CB105" s="35" t="n">
        <f aca="false">CB94+CB53+CB95+CB103+CB104</f>
        <v>-0</v>
      </c>
      <c r="CC105" s="35" t="n">
        <f aca="false">CC94+CC53+CC95+CC103+CC104</f>
        <v>-0</v>
      </c>
      <c r="CD105" s="35" t="n">
        <f aca="false">CD94+CD53+CD95+CD103+CD104</f>
        <v>-0</v>
      </c>
      <c r="CE105" s="35" t="n">
        <f aca="false">CE94+CE53+CE95+CE103+CE104</f>
        <v>-0</v>
      </c>
      <c r="CF105" s="35" t="n">
        <f aca="false">CF94+CF53+CF95+CF103+CF104</f>
        <v>-0</v>
      </c>
      <c r="CG105" s="35" t="n">
        <f aca="false">CG94+CG53+CG95+CG103+CG104</f>
        <v>-0</v>
      </c>
      <c r="CH105" s="35" t="n">
        <f aca="false">CH94+CH53+CH95+CH103+CH104</f>
        <v>-0</v>
      </c>
      <c r="CI105" s="35" t="n">
        <f aca="false">CI94+CI53+CI95+CI103+CI104</f>
        <v>-0</v>
      </c>
      <c r="CJ105" s="35" t="n">
        <f aca="false">CJ94+CJ53+CJ95+CJ103+CJ104</f>
        <v>-0</v>
      </c>
      <c r="CK105" s="35" t="n">
        <f aca="false">CK94+CK53+CK95+CK103+CK104</f>
        <v>-0</v>
      </c>
      <c r="CL105" s="35" t="n">
        <f aca="false">CL94+CL53+CL95+CL103+CL104</f>
        <v>-0</v>
      </c>
      <c r="CM105" s="35" t="n">
        <f aca="false">CM94+CM53+CM95+CM103+CM104</f>
        <v>-0</v>
      </c>
      <c r="CN105" s="35" t="n">
        <f aca="false">CN94+CN53+CN95+CN103+CN104</f>
        <v>-0</v>
      </c>
      <c r="CO105" s="35" t="n">
        <f aca="false">CO94+CO53+CO95+CO103+CO104</f>
        <v>-0</v>
      </c>
      <c r="CP105" s="35" t="n">
        <f aca="false">CP94+CP53+CP95+CP103+CP104</f>
        <v>-0</v>
      </c>
      <c r="CQ105" s="35" t="n">
        <f aca="false">CQ94+CQ53+CQ95+CQ103+CQ104</f>
        <v>-0</v>
      </c>
      <c r="CR105" s="35" t="n">
        <f aca="false">CR94+CR53+CR95+CR103+CR104</f>
        <v>-0</v>
      </c>
      <c r="CS105" s="35" t="n">
        <f aca="false">CS94+CS53+CS95+CS103+CS104</f>
        <v>-0</v>
      </c>
      <c r="CT105" s="35" t="n">
        <f aca="false">CT94+CT53+CT95+CT103+CT104</f>
        <v>-0</v>
      </c>
      <c r="CU105" s="35" t="n">
        <f aca="false">CU94+CU53+CU95+CU103+CU104</f>
        <v>-0</v>
      </c>
      <c r="CV105" s="35" t="n">
        <f aca="false">CV94+CV53+CV95+CV103+CV104</f>
        <v>-0</v>
      </c>
      <c r="CW105" s="35" t="n">
        <f aca="false">CW94+CW53+CW95+CW103+CW104</f>
        <v>-0</v>
      </c>
      <c r="CX105" s="35" t="n">
        <f aca="false">CX94+CX53+CX95+CX103+CX104</f>
        <v>-0</v>
      </c>
      <c r="CY105" s="35" t="n">
        <f aca="false">CY94+CY53+CY95+CY103+CY104</f>
        <v>-0</v>
      </c>
      <c r="CZ105" s="35" t="n">
        <f aca="false">CZ94+CZ53+CZ95+CZ103+CZ104</f>
        <v>-0</v>
      </c>
      <c r="DA105" s="35" t="n">
        <f aca="false">DA94+DA53+DA95+DA103+DA104</f>
        <v>-0</v>
      </c>
      <c r="DB105" s="35" t="n">
        <f aca="false">DB94+DB53+DB95+DB103+DB104</f>
        <v>-0</v>
      </c>
      <c r="DC105" s="35" t="n">
        <f aca="false">DC94+DC53+DC95+DC103+DC104</f>
        <v>-0</v>
      </c>
      <c r="DD105" s="35" t="n">
        <f aca="false">DD94+DD53+DD95+DD103+DD104</f>
        <v>-0</v>
      </c>
      <c r="DE105" s="35" t="n">
        <f aca="false">DE94+DE53+DE95+DE103+DE104</f>
        <v>-0</v>
      </c>
      <c r="DF105" s="35" t="n">
        <f aca="false">DF94+DF53+DF95+DF103+DF104</f>
        <v>-0</v>
      </c>
      <c r="DG105" s="35" t="n">
        <f aca="false">DG94+DG53+DG95+DG103+DG104</f>
        <v>-0</v>
      </c>
      <c r="DH105" s="35" t="n">
        <f aca="false">DH94+DH53+DH95+DH103+DH104</f>
        <v>-0</v>
      </c>
      <c r="DI105" s="35" t="n">
        <f aca="false">DI94+DI53+DI95+DI103+DI104</f>
        <v>-0</v>
      </c>
      <c r="DJ105" s="35" t="n">
        <f aca="false">DJ94+DJ53+DJ95+DJ103+DJ104</f>
        <v>-0</v>
      </c>
      <c r="DK105" s="35" t="n">
        <f aca="false">DK94+DK53+DK95+DK103+DK104</f>
        <v>-0</v>
      </c>
      <c r="DL105" s="35" t="n">
        <f aca="false">DL94+DL53+DL95+DL103+DL104</f>
        <v>-0</v>
      </c>
      <c r="DM105" s="35" t="n">
        <f aca="false">DM94+DM53+DM95+DM103+DM104</f>
        <v>-0</v>
      </c>
      <c r="DN105" s="35" t="n">
        <f aca="false">DN94+DN53+DN95+DN103+DN104</f>
        <v>-0</v>
      </c>
      <c r="DO105" s="35" t="n">
        <f aca="false">DO94+DO53+DO95+DO103+DO104</f>
        <v>-0</v>
      </c>
      <c r="DP105" s="35" t="n">
        <f aca="false">DP94+DP53+DP95+DP103+DP104</f>
        <v>-0</v>
      </c>
      <c r="DQ105" s="35" t="n">
        <f aca="false">DQ94+DQ53+DQ95+DQ103+DQ104</f>
        <v>-0</v>
      </c>
      <c r="DR105" s="35" t="n">
        <f aca="false">DR94+DR53+DR95+DR103+DR104</f>
        <v>-0</v>
      </c>
      <c r="DS105" s="35" t="n">
        <f aca="false">DS94+DS53+DS95+DS103+DS104</f>
        <v>-0</v>
      </c>
      <c r="DT105" s="35" t="n">
        <f aca="false">DT94+DT53+DT95+DT103+DT104</f>
        <v>-0</v>
      </c>
      <c r="DU105" s="35" t="n">
        <f aca="false">DU94+DU53+DU95+DU103+DU104</f>
        <v>-0</v>
      </c>
      <c r="DV105" s="35" t="n">
        <f aca="false">DV94+DV53+DV95+DV103+DV104</f>
        <v>-0</v>
      </c>
      <c r="DW105" s="35" t="n">
        <f aca="false">DW94+DW53+DW95+DW103+DW104</f>
        <v>-0</v>
      </c>
      <c r="DX105" s="35" t="n">
        <f aca="false">DX94+DX53+DX95+DX103+DX104</f>
        <v>-0</v>
      </c>
      <c r="DY105" s="35" t="n">
        <f aca="false">DY94+DY53+DY95+DY103+DY104</f>
        <v>-0</v>
      </c>
      <c r="DZ105" s="35" t="n">
        <f aca="false">DZ94+DZ53+DZ95+DZ103+DZ104</f>
        <v>-0</v>
      </c>
      <c r="EA105" s="35" t="n">
        <f aca="false">EA94+EA53+EA95+EA103+EA104</f>
        <v>-0</v>
      </c>
      <c r="EB105" s="35" t="n">
        <f aca="false">EB94+EB53+EB95+EB103+EB104</f>
        <v>-0</v>
      </c>
      <c r="EC105" s="35" t="n">
        <f aca="false">EC94+EC53+EC95+EC103+EC104</f>
        <v>-0</v>
      </c>
      <c r="ED105" s="35" t="n">
        <f aca="false">ED94+ED53+ED95+ED103+ED104</f>
        <v>-0</v>
      </c>
      <c r="EE105" s="35" t="n">
        <f aca="false">EE94+EE53+EE95+EE103+EE104</f>
        <v>-0</v>
      </c>
      <c r="EF105" s="35" t="n">
        <f aca="false">EF94+EF53+EF95+EF103+EF104</f>
        <v>-0</v>
      </c>
      <c r="EG105" s="35" t="n">
        <f aca="false">EG94+EG53+EG95+EG103+EG104</f>
        <v>-0</v>
      </c>
      <c r="EH105" s="35" t="n">
        <f aca="false">EH94+EH53+EH95+EH103+EH104</f>
        <v>-0</v>
      </c>
      <c r="EI105" s="35" t="n">
        <f aca="false">EI94+EI53+EI95+EI103+EI104</f>
        <v>-0</v>
      </c>
      <c r="EJ105" s="35" t="n">
        <f aca="false">EJ94+EJ53+EJ95+EJ103+EJ104</f>
        <v>-0</v>
      </c>
      <c r="EK105" s="35" t="n">
        <f aca="false">EK94+EK53+EK95+EK103+EK104</f>
        <v>-0</v>
      </c>
      <c r="EL105" s="35" t="n">
        <f aca="false">EL94+EL53+EL95+EL103+EL104</f>
        <v>-0</v>
      </c>
      <c r="EM105" s="35" t="n">
        <f aca="false">EM94+EM53+EM95+EM103+EM104</f>
        <v>-0</v>
      </c>
      <c r="EN105" s="35" t="n">
        <f aca="false">EN94+EN53+EN95+EN103+EN104</f>
        <v>-0</v>
      </c>
      <c r="EO105" s="35" t="n">
        <f aca="false">EO94+EO53+EO95+EO103+EO104</f>
        <v>-0</v>
      </c>
      <c r="EP105" s="35" t="n">
        <f aca="false">EP94+EP53+EP95+EP103+EP104</f>
        <v>-0</v>
      </c>
      <c r="EQ105" s="35" t="n">
        <f aca="false">EQ94+EQ53+EQ95+EQ103+EQ104</f>
        <v>-0</v>
      </c>
      <c r="ER105" s="35" t="n">
        <f aca="false">ER94+ER53+ER95+ER103+ER104</f>
        <v>-0</v>
      </c>
      <c r="ES105" s="35" t="n">
        <f aca="false">ES94+ES53+ES95+ES103+ES104</f>
        <v>-0</v>
      </c>
      <c r="ET105" s="35" t="n">
        <f aca="false">ET94+ET53+ET95+ET103+ET104</f>
        <v>-0</v>
      </c>
    </row>
    <row r="107" customFormat="false" ht="15" hidden="false" customHeight="false" outlineLevel="0" collapsed="false">
      <c r="A107" s="9" t="s">
        <v>13</v>
      </c>
      <c r="B107" s="9"/>
      <c r="C107" s="9" t="s">
        <v>364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</row>
    <row r="108" customFormat="false" ht="15" hidden="false" customHeight="false" outlineLevel="0" collapsed="false">
      <c r="C108" s="0" t="s">
        <v>554</v>
      </c>
      <c r="D108" s="11" t="s">
        <v>205</v>
      </c>
      <c r="J108" s="42" t="n">
        <f aca="false">ROUNDUP(YEARFRAC(In_COD,J$4),0)*(J$4&gt;In_COD)</f>
        <v>0</v>
      </c>
      <c r="K108" s="42" t="n">
        <f aca="false">ROUNDUP(YEARFRAC(In_COD,K$4),0)*(K$4&gt;In_COD)</f>
        <v>0</v>
      </c>
      <c r="L108" s="42" t="n">
        <f aca="false">ROUNDUP(YEARFRAC(In_COD,L$4),0)*(L$4&gt;In_COD)</f>
        <v>0</v>
      </c>
      <c r="M108" s="42" t="n">
        <f aca="false">ROUNDUP(YEARFRAC(In_COD,M$4),0)*(M$4&gt;In_COD)</f>
        <v>0</v>
      </c>
      <c r="N108" s="42" t="n">
        <f aca="false">ROUNDUP(YEARFRAC(In_COD,N$4),0)*(N$4&gt;In_COD)</f>
        <v>0</v>
      </c>
      <c r="O108" s="42" t="n">
        <f aca="false">ROUNDUP(YEARFRAC(In_COD,O$4),0)*(O$4&gt;In_COD)</f>
        <v>0</v>
      </c>
      <c r="P108" s="42" t="n">
        <f aca="false">ROUNDUP(YEARFRAC(In_COD,P$4),0)*(P$4&gt;In_COD)</f>
        <v>0</v>
      </c>
      <c r="Q108" s="42" t="n">
        <f aca="false">ROUNDUP(YEARFRAC(In_COD,Q$4),0)*(Q$4&gt;In_COD)</f>
        <v>0</v>
      </c>
      <c r="R108" s="42" t="n">
        <f aca="false">ROUNDUP(YEARFRAC(In_COD,R$4),0)*(R$4&gt;In_COD)</f>
        <v>0</v>
      </c>
      <c r="S108" s="42" t="n">
        <f aca="false">ROUNDUP(YEARFRAC(In_COD,S$4),0)*(S$4&gt;In_COD)</f>
        <v>0</v>
      </c>
      <c r="T108" s="42" t="n">
        <f aca="false">ROUNDUP(YEARFRAC(In_COD,T$4),0)*(T$4&gt;In_COD)</f>
        <v>0</v>
      </c>
      <c r="U108" s="42" t="n">
        <f aca="false">ROUNDUP(YEARFRAC(In_COD,U$4),0)*(U$4&gt;In_COD)</f>
        <v>0</v>
      </c>
      <c r="V108" s="42" t="n">
        <f aca="false">ROUNDUP(YEARFRAC(In_COD,V$4),0)*(V$4&gt;In_COD)</f>
        <v>0</v>
      </c>
      <c r="W108" s="42" t="n">
        <f aca="false">ROUNDUP(YEARFRAC(In_COD,W$4),0)*(W$4&gt;In_COD)</f>
        <v>0</v>
      </c>
      <c r="X108" s="42" t="n">
        <f aca="false">ROUNDUP(YEARFRAC(In_COD,X$4),0)*(X$4&gt;In_COD)</f>
        <v>0</v>
      </c>
      <c r="Y108" s="42" t="n">
        <f aca="false">ROUNDUP(YEARFRAC(In_COD,Y$4),0)*(Y$4&gt;In_COD)</f>
        <v>0</v>
      </c>
      <c r="Z108" s="42" t="n">
        <f aca="false">ROUNDUP(YEARFRAC(In_COD,Z$4),0)*(Z$4&gt;In_COD)</f>
        <v>0</v>
      </c>
      <c r="AA108" s="42" t="n">
        <f aca="false">ROUNDUP(YEARFRAC(In_COD,AA$4),0)*(AA$4&gt;In_COD)</f>
        <v>0</v>
      </c>
      <c r="AB108" s="42" t="n">
        <f aca="false">ROUNDUP(YEARFRAC(In_COD,AB$4),0)*(AB$4&gt;In_COD)</f>
        <v>0</v>
      </c>
      <c r="AC108" s="42" t="n">
        <f aca="false">ROUNDUP(YEARFRAC(In_COD,AC$4),0)*(AC$4&gt;In_COD)</f>
        <v>0</v>
      </c>
      <c r="AD108" s="42" t="n">
        <f aca="false">ROUNDUP(YEARFRAC(In_COD,AD$4),0)*(AD$4&gt;In_COD)</f>
        <v>0</v>
      </c>
      <c r="AE108" s="42" t="n">
        <f aca="false">ROUNDUP(YEARFRAC(In_COD,AE$4),0)*(AE$4&gt;In_COD)</f>
        <v>1</v>
      </c>
      <c r="AF108" s="42" t="n">
        <f aca="false">ROUNDUP(YEARFRAC(In_COD,AF$4),0)*(AF$4&gt;In_COD)</f>
        <v>1</v>
      </c>
      <c r="AG108" s="42" t="n">
        <f aca="false">ROUNDUP(YEARFRAC(In_COD,AG$4),0)*(AG$4&gt;In_COD)</f>
        <v>1</v>
      </c>
      <c r="AH108" s="42" t="n">
        <f aca="false">ROUNDUP(YEARFRAC(In_COD,AH$4),0)*(AH$4&gt;In_COD)</f>
        <v>1</v>
      </c>
      <c r="AI108" s="42" t="n">
        <f aca="false">ROUNDUP(YEARFRAC(In_COD,AI$4),0)*(AI$4&gt;In_COD)</f>
        <v>2</v>
      </c>
      <c r="AJ108" s="42" t="n">
        <f aca="false">ROUNDUP(YEARFRAC(In_COD,AJ$4),0)*(AJ$4&gt;In_COD)</f>
        <v>2</v>
      </c>
      <c r="AK108" s="42" t="n">
        <f aca="false">ROUNDUP(YEARFRAC(In_COD,AK$4),0)*(AK$4&gt;In_COD)</f>
        <v>2</v>
      </c>
      <c r="AL108" s="42" t="n">
        <f aca="false">ROUNDUP(YEARFRAC(In_COD,AL$4),0)*(AL$4&gt;In_COD)</f>
        <v>2</v>
      </c>
      <c r="AM108" s="42" t="n">
        <f aca="false">ROUNDUP(YEARFRAC(In_COD,AM$4),0)*(AM$4&gt;In_COD)</f>
        <v>3</v>
      </c>
      <c r="AN108" s="42" t="n">
        <f aca="false">ROUNDUP(YEARFRAC(In_COD,AN$4),0)*(AN$4&gt;In_COD)</f>
        <v>3</v>
      </c>
      <c r="AO108" s="42" t="n">
        <f aca="false">ROUNDUP(YEARFRAC(In_COD,AO$4),0)*(AO$4&gt;In_COD)</f>
        <v>3</v>
      </c>
      <c r="AP108" s="42" t="n">
        <f aca="false">ROUNDUP(YEARFRAC(In_COD,AP$4),0)*(AP$4&gt;In_COD)</f>
        <v>3</v>
      </c>
      <c r="AQ108" s="42" t="n">
        <f aca="false">ROUNDUP(YEARFRAC(In_COD,AQ$4),0)*(AQ$4&gt;In_COD)</f>
        <v>4</v>
      </c>
      <c r="AR108" s="42" t="n">
        <f aca="false">ROUNDUP(YEARFRAC(In_COD,AR$4),0)*(AR$4&gt;In_COD)</f>
        <v>4</v>
      </c>
      <c r="AS108" s="42" t="n">
        <f aca="false">ROUNDUP(YEARFRAC(In_COD,AS$4),0)*(AS$4&gt;In_COD)</f>
        <v>4</v>
      </c>
      <c r="AT108" s="42" t="n">
        <f aca="false">ROUNDUP(YEARFRAC(In_COD,AT$4),0)*(AT$4&gt;In_COD)</f>
        <v>4</v>
      </c>
      <c r="AU108" s="42" t="n">
        <f aca="false">ROUNDUP(YEARFRAC(In_COD,AU$4),0)*(AU$4&gt;In_COD)</f>
        <v>5</v>
      </c>
      <c r="AV108" s="42" t="n">
        <f aca="false">ROUNDUP(YEARFRAC(In_COD,AV$4),0)*(AV$4&gt;In_COD)</f>
        <v>5</v>
      </c>
      <c r="AW108" s="42" t="n">
        <f aca="false">ROUNDUP(YEARFRAC(In_COD,AW$4),0)*(AW$4&gt;In_COD)</f>
        <v>5</v>
      </c>
      <c r="AX108" s="42" t="n">
        <f aca="false">ROUNDUP(YEARFRAC(In_COD,AX$4),0)*(AX$4&gt;In_COD)</f>
        <v>5</v>
      </c>
      <c r="AY108" s="42" t="n">
        <f aca="false">ROUNDUP(YEARFRAC(In_COD,AY$4),0)*(AY$4&gt;In_COD)</f>
        <v>6</v>
      </c>
      <c r="AZ108" s="42" t="n">
        <f aca="false">ROUNDUP(YEARFRAC(In_COD,AZ$4),0)*(AZ$4&gt;In_COD)</f>
        <v>6</v>
      </c>
      <c r="BA108" s="42" t="n">
        <f aca="false">ROUNDUP(YEARFRAC(In_COD,BA$4),0)*(BA$4&gt;In_COD)</f>
        <v>6</v>
      </c>
      <c r="BB108" s="42" t="n">
        <f aca="false">ROUNDUP(YEARFRAC(In_COD,BB$4),0)*(BB$4&gt;In_COD)</f>
        <v>6</v>
      </c>
      <c r="BC108" s="42" t="n">
        <f aca="false">ROUNDUP(YEARFRAC(In_COD,BC$4),0)*(BC$4&gt;In_COD)</f>
        <v>7</v>
      </c>
      <c r="BD108" s="42" t="n">
        <f aca="false">ROUNDUP(YEARFRAC(In_COD,BD$4),0)*(BD$4&gt;In_COD)</f>
        <v>7</v>
      </c>
      <c r="BE108" s="42" t="n">
        <f aca="false">ROUNDUP(YEARFRAC(In_COD,BE$4),0)*(BE$4&gt;In_COD)</f>
        <v>7</v>
      </c>
      <c r="BF108" s="42" t="n">
        <f aca="false">ROUNDUP(YEARFRAC(In_COD,BF$4),0)*(BF$4&gt;In_COD)</f>
        <v>7</v>
      </c>
      <c r="BG108" s="42" t="n">
        <f aca="false">ROUNDUP(YEARFRAC(In_COD,BG$4),0)*(BG$4&gt;In_COD)</f>
        <v>8</v>
      </c>
      <c r="BH108" s="42" t="n">
        <f aca="false">ROUNDUP(YEARFRAC(In_COD,BH$4),0)*(BH$4&gt;In_COD)</f>
        <v>8</v>
      </c>
      <c r="BI108" s="42" t="n">
        <f aca="false">ROUNDUP(YEARFRAC(In_COD,BI$4),0)*(BI$4&gt;In_COD)</f>
        <v>8</v>
      </c>
      <c r="BJ108" s="42" t="n">
        <f aca="false">ROUNDUP(YEARFRAC(In_COD,BJ$4),0)*(BJ$4&gt;In_COD)</f>
        <v>8</v>
      </c>
      <c r="BK108" s="42" t="n">
        <f aca="false">ROUNDUP(YEARFRAC(In_COD,BK$4),0)*(BK$4&gt;In_COD)</f>
        <v>9</v>
      </c>
      <c r="BL108" s="42" t="n">
        <f aca="false">ROUNDUP(YEARFRAC(In_COD,BL$4),0)*(BL$4&gt;In_COD)</f>
        <v>9</v>
      </c>
      <c r="BM108" s="42" t="n">
        <f aca="false">ROUNDUP(YEARFRAC(In_COD,BM$4),0)*(BM$4&gt;In_COD)</f>
        <v>9</v>
      </c>
      <c r="BN108" s="42" t="n">
        <f aca="false">ROUNDUP(YEARFRAC(In_COD,BN$4),0)*(BN$4&gt;In_COD)</f>
        <v>9</v>
      </c>
      <c r="BO108" s="42" t="n">
        <f aca="false">ROUNDUP(YEARFRAC(In_COD,BO$4),0)*(BO$4&gt;In_COD)</f>
        <v>10</v>
      </c>
      <c r="BP108" s="42" t="n">
        <f aca="false">ROUNDUP(YEARFRAC(In_COD,BP$4),0)*(BP$4&gt;In_COD)</f>
        <v>10</v>
      </c>
      <c r="BQ108" s="42" t="n">
        <f aca="false">ROUNDUP(YEARFRAC(In_COD,BQ$4),0)*(BQ$4&gt;In_COD)</f>
        <v>10</v>
      </c>
      <c r="BR108" s="42" t="n">
        <f aca="false">ROUNDUP(YEARFRAC(In_COD,BR$4),0)*(BR$4&gt;In_COD)</f>
        <v>10</v>
      </c>
      <c r="BS108" s="42" t="n">
        <f aca="false">ROUNDUP(YEARFRAC(In_COD,BS$4),0)*(BS$4&gt;In_COD)</f>
        <v>11</v>
      </c>
      <c r="BT108" s="42" t="n">
        <f aca="false">ROUNDUP(YEARFRAC(In_COD,BT$4),0)*(BT$4&gt;In_COD)</f>
        <v>11</v>
      </c>
      <c r="BU108" s="42" t="n">
        <f aca="false">ROUNDUP(YEARFRAC(In_COD,BU$4),0)*(BU$4&gt;In_COD)</f>
        <v>11</v>
      </c>
      <c r="BV108" s="42" t="n">
        <f aca="false">ROUNDUP(YEARFRAC(In_COD,BV$4),0)*(BV$4&gt;In_COD)</f>
        <v>11</v>
      </c>
      <c r="BW108" s="42" t="n">
        <f aca="false">ROUNDUP(YEARFRAC(In_COD,BW$4),0)*(BW$4&gt;In_COD)</f>
        <v>12</v>
      </c>
      <c r="BX108" s="42" t="n">
        <f aca="false">ROUNDUP(YEARFRAC(In_COD,BX$4),0)*(BX$4&gt;In_COD)</f>
        <v>12</v>
      </c>
      <c r="BY108" s="42" t="n">
        <f aca="false">ROUNDUP(YEARFRAC(In_COD,BY$4),0)*(BY$4&gt;In_COD)</f>
        <v>12</v>
      </c>
      <c r="BZ108" s="42" t="n">
        <f aca="false">ROUNDUP(YEARFRAC(In_COD,BZ$4),0)*(BZ$4&gt;In_COD)</f>
        <v>12</v>
      </c>
      <c r="CA108" s="42" t="n">
        <f aca="false">ROUNDUP(YEARFRAC(In_COD,CA$4),0)*(CA$4&gt;In_COD)</f>
        <v>13</v>
      </c>
      <c r="CB108" s="42" t="n">
        <f aca="false">ROUNDUP(YEARFRAC(In_COD,CB$4),0)*(CB$4&gt;In_COD)</f>
        <v>13</v>
      </c>
      <c r="CC108" s="42" t="n">
        <f aca="false">ROUNDUP(YEARFRAC(In_COD,CC$4),0)*(CC$4&gt;In_COD)</f>
        <v>13</v>
      </c>
      <c r="CD108" s="42" t="n">
        <f aca="false">ROUNDUP(YEARFRAC(In_COD,CD$4),0)*(CD$4&gt;In_COD)</f>
        <v>13</v>
      </c>
      <c r="CE108" s="42" t="n">
        <f aca="false">ROUNDUP(YEARFRAC(In_COD,CE$4),0)*(CE$4&gt;In_COD)</f>
        <v>14</v>
      </c>
      <c r="CF108" s="42" t="n">
        <f aca="false">ROUNDUP(YEARFRAC(In_COD,CF$4),0)*(CF$4&gt;In_COD)</f>
        <v>14</v>
      </c>
      <c r="CG108" s="42" t="n">
        <f aca="false">ROUNDUP(YEARFRAC(In_COD,CG$4),0)*(CG$4&gt;In_COD)</f>
        <v>14</v>
      </c>
      <c r="CH108" s="42" t="n">
        <f aca="false">ROUNDUP(YEARFRAC(In_COD,CH$4),0)*(CH$4&gt;In_COD)</f>
        <v>14</v>
      </c>
      <c r="CI108" s="42" t="n">
        <f aca="false">ROUNDUP(YEARFRAC(In_COD,CI$4),0)*(CI$4&gt;In_COD)</f>
        <v>15</v>
      </c>
      <c r="CJ108" s="42" t="n">
        <f aca="false">ROUNDUP(YEARFRAC(In_COD,CJ$4),0)*(CJ$4&gt;In_COD)</f>
        <v>15</v>
      </c>
      <c r="CK108" s="42" t="n">
        <f aca="false">ROUNDUP(YEARFRAC(In_COD,CK$4),0)*(CK$4&gt;In_COD)</f>
        <v>15</v>
      </c>
      <c r="CL108" s="42" t="n">
        <f aca="false">ROUNDUP(YEARFRAC(In_COD,CL$4),0)*(CL$4&gt;In_COD)</f>
        <v>15</v>
      </c>
      <c r="CM108" s="42" t="n">
        <f aca="false">ROUNDUP(YEARFRAC(In_COD,CM$4),0)*(CM$4&gt;In_COD)</f>
        <v>16</v>
      </c>
      <c r="CN108" s="42" t="n">
        <f aca="false">ROUNDUP(YEARFRAC(In_COD,CN$4),0)*(CN$4&gt;In_COD)</f>
        <v>16</v>
      </c>
      <c r="CO108" s="42" t="n">
        <f aca="false">ROUNDUP(YEARFRAC(In_COD,CO$4),0)*(CO$4&gt;In_COD)</f>
        <v>16</v>
      </c>
      <c r="CP108" s="42" t="n">
        <f aca="false">ROUNDUP(YEARFRAC(In_COD,CP$4),0)*(CP$4&gt;In_COD)</f>
        <v>16</v>
      </c>
      <c r="CQ108" s="42" t="n">
        <f aca="false">ROUNDUP(YEARFRAC(In_COD,CQ$4),0)*(CQ$4&gt;In_COD)</f>
        <v>17</v>
      </c>
      <c r="CR108" s="42" t="n">
        <f aca="false">ROUNDUP(YEARFRAC(In_COD,CR$4),0)*(CR$4&gt;In_COD)</f>
        <v>17</v>
      </c>
      <c r="CS108" s="42" t="n">
        <f aca="false">ROUNDUP(YEARFRAC(In_COD,CS$4),0)*(CS$4&gt;In_COD)</f>
        <v>17</v>
      </c>
      <c r="CT108" s="42" t="n">
        <f aca="false">ROUNDUP(YEARFRAC(In_COD,CT$4),0)*(CT$4&gt;In_COD)</f>
        <v>17</v>
      </c>
      <c r="CU108" s="42" t="n">
        <f aca="false">ROUNDUP(YEARFRAC(In_COD,CU$4),0)*(CU$4&gt;In_COD)</f>
        <v>18</v>
      </c>
      <c r="CV108" s="42" t="n">
        <f aca="false">ROUNDUP(YEARFRAC(In_COD,CV$4),0)*(CV$4&gt;In_COD)</f>
        <v>18</v>
      </c>
      <c r="CW108" s="42" t="n">
        <f aca="false">ROUNDUP(YEARFRAC(In_COD,CW$4),0)*(CW$4&gt;In_COD)</f>
        <v>18</v>
      </c>
      <c r="CX108" s="42" t="n">
        <f aca="false">ROUNDUP(YEARFRAC(In_COD,CX$4),0)*(CX$4&gt;In_COD)</f>
        <v>18</v>
      </c>
      <c r="CY108" s="42" t="n">
        <f aca="false">ROUNDUP(YEARFRAC(In_COD,CY$4),0)*(CY$4&gt;In_COD)</f>
        <v>19</v>
      </c>
      <c r="CZ108" s="42" t="n">
        <f aca="false">ROUNDUP(YEARFRAC(In_COD,CZ$4),0)*(CZ$4&gt;In_COD)</f>
        <v>19</v>
      </c>
      <c r="DA108" s="42" t="n">
        <f aca="false">ROUNDUP(YEARFRAC(In_COD,DA$4),0)*(DA$4&gt;In_COD)</f>
        <v>19</v>
      </c>
      <c r="DB108" s="42" t="n">
        <f aca="false">ROUNDUP(YEARFRAC(In_COD,DB$4),0)*(DB$4&gt;In_COD)</f>
        <v>19</v>
      </c>
      <c r="DC108" s="42" t="n">
        <f aca="false">ROUNDUP(YEARFRAC(In_COD,DC$4),0)*(DC$4&gt;In_COD)</f>
        <v>20</v>
      </c>
      <c r="DD108" s="42" t="n">
        <f aca="false">ROUNDUP(YEARFRAC(In_COD,DD$4),0)*(DD$4&gt;In_COD)</f>
        <v>20</v>
      </c>
      <c r="DE108" s="42" t="n">
        <f aca="false">ROUNDUP(YEARFRAC(In_COD,DE$4),0)*(DE$4&gt;In_COD)</f>
        <v>20</v>
      </c>
      <c r="DF108" s="42" t="n">
        <f aca="false">ROUNDUP(YEARFRAC(In_COD,DF$4),0)*(DF$4&gt;In_COD)</f>
        <v>20</v>
      </c>
      <c r="DG108" s="42" t="n">
        <f aca="false">ROUNDUP(YEARFRAC(In_COD,DG$4),0)*(DG$4&gt;In_COD)</f>
        <v>21</v>
      </c>
      <c r="DH108" s="42" t="n">
        <f aca="false">ROUNDUP(YEARFRAC(In_COD,DH$4),0)*(DH$4&gt;In_COD)</f>
        <v>21</v>
      </c>
      <c r="DI108" s="42" t="n">
        <f aca="false">ROUNDUP(YEARFRAC(In_COD,DI$4),0)*(DI$4&gt;In_COD)</f>
        <v>21</v>
      </c>
      <c r="DJ108" s="42" t="n">
        <f aca="false">ROUNDUP(YEARFRAC(In_COD,DJ$4),0)*(DJ$4&gt;In_COD)</f>
        <v>21</v>
      </c>
      <c r="DK108" s="42" t="n">
        <f aca="false">ROUNDUP(YEARFRAC(In_COD,DK$4),0)*(DK$4&gt;In_COD)</f>
        <v>22</v>
      </c>
      <c r="DL108" s="42" t="n">
        <f aca="false">ROUNDUP(YEARFRAC(In_COD,DL$4),0)*(DL$4&gt;In_COD)</f>
        <v>22</v>
      </c>
      <c r="DM108" s="42" t="n">
        <f aca="false">ROUNDUP(YEARFRAC(In_COD,DM$4),0)*(DM$4&gt;In_COD)</f>
        <v>22</v>
      </c>
      <c r="DN108" s="42" t="n">
        <f aca="false">ROUNDUP(YEARFRAC(In_COD,DN$4),0)*(DN$4&gt;In_COD)</f>
        <v>22</v>
      </c>
      <c r="DO108" s="42" t="n">
        <f aca="false">ROUNDUP(YEARFRAC(In_COD,DO$4),0)*(DO$4&gt;In_COD)</f>
        <v>23</v>
      </c>
      <c r="DP108" s="42" t="n">
        <f aca="false">ROUNDUP(YEARFRAC(In_COD,DP$4),0)*(DP$4&gt;In_COD)</f>
        <v>23</v>
      </c>
      <c r="DQ108" s="42" t="n">
        <f aca="false">ROUNDUP(YEARFRAC(In_COD,DQ$4),0)*(DQ$4&gt;In_COD)</f>
        <v>23</v>
      </c>
      <c r="DR108" s="42" t="n">
        <f aca="false">ROUNDUP(YEARFRAC(In_COD,DR$4),0)*(DR$4&gt;In_COD)</f>
        <v>23</v>
      </c>
      <c r="DS108" s="42" t="n">
        <f aca="false">ROUNDUP(YEARFRAC(In_COD,DS$4),0)*(DS$4&gt;In_COD)</f>
        <v>24</v>
      </c>
      <c r="DT108" s="42" t="n">
        <f aca="false">ROUNDUP(YEARFRAC(In_COD,DT$4),0)*(DT$4&gt;In_COD)</f>
        <v>24</v>
      </c>
      <c r="DU108" s="42" t="n">
        <f aca="false">ROUNDUP(YEARFRAC(In_COD,DU$4),0)*(DU$4&gt;In_COD)</f>
        <v>24</v>
      </c>
      <c r="DV108" s="42" t="n">
        <f aca="false">ROUNDUP(YEARFRAC(In_COD,DV$4),0)*(DV$4&gt;In_COD)</f>
        <v>24</v>
      </c>
      <c r="DW108" s="42" t="n">
        <f aca="false">ROUNDUP(YEARFRAC(In_COD,DW$4),0)*(DW$4&gt;In_COD)</f>
        <v>25</v>
      </c>
      <c r="DX108" s="42" t="n">
        <f aca="false">ROUNDUP(YEARFRAC(In_COD,DX$4),0)*(DX$4&gt;In_COD)</f>
        <v>25</v>
      </c>
      <c r="DY108" s="42" t="n">
        <f aca="false">ROUNDUP(YEARFRAC(In_COD,DY$4),0)*(DY$4&gt;In_COD)</f>
        <v>25</v>
      </c>
      <c r="DZ108" s="42" t="n">
        <f aca="false">ROUNDUP(YEARFRAC(In_COD,DZ$4),0)*(DZ$4&gt;In_COD)</f>
        <v>25</v>
      </c>
      <c r="EA108" s="42" t="n">
        <f aca="false">ROUNDUP(YEARFRAC(In_COD,EA$4),0)*(EA$4&gt;In_COD)</f>
        <v>26</v>
      </c>
      <c r="EB108" s="42" t="n">
        <f aca="false">ROUNDUP(YEARFRAC(In_COD,EB$4),0)*(EB$4&gt;In_COD)</f>
        <v>26</v>
      </c>
      <c r="EC108" s="42" t="n">
        <f aca="false">ROUNDUP(YEARFRAC(In_COD,EC$4),0)*(EC$4&gt;In_COD)</f>
        <v>26</v>
      </c>
      <c r="ED108" s="42" t="n">
        <f aca="false">ROUNDUP(YEARFRAC(In_COD,ED$4),0)*(ED$4&gt;In_COD)</f>
        <v>26</v>
      </c>
      <c r="EE108" s="42" t="n">
        <f aca="false">ROUNDUP(YEARFRAC(In_COD,EE$4),0)*(EE$4&gt;In_COD)</f>
        <v>27</v>
      </c>
      <c r="EF108" s="42" t="n">
        <f aca="false">ROUNDUP(YEARFRAC(In_COD,EF$4),0)*(EF$4&gt;In_COD)</f>
        <v>27</v>
      </c>
      <c r="EG108" s="42" t="n">
        <f aca="false">ROUNDUP(YEARFRAC(In_COD,EG$4),0)*(EG$4&gt;In_COD)</f>
        <v>27</v>
      </c>
      <c r="EH108" s="42" t="n">
        <f aca="false">ROUNDUP(YEARFRAC(In_COD,EH$4),0)*(EH$4&gt;In_COD)</f>
        <v>27</v>
      </c>
      <c r="EI108" s="42" t="n">
        <f aca="false">ROUNDUP(YEARFRAC(In_COD,EI$4),0)*(EI$4&gt;In_COD)</f>
        <v>28</v>
      </c>
      <c r="EJ108" s="42" t="n">
        <f aca="false">ROUNDUP(YEARFRAC(In_COD,EJ$4),0)*(EJ$4&gt;In_COD)</f>
        <v>28</v>
      </c>
      <c r="EK108" s="42" t="n">
        <f aca="false">ROUNDUP(YEARFRAC(In_COD,EK$4),0)*(EK$4&gt;In_COD)</f>
        <v>28</v>
      </c>
      <c r="EL108" s="42" t="n">
        <f aca="false">ROUNDUP(YEARFRAC(In_COD,EL$4),0)*(EL$4&gt;In_COD)</f>
        <v>28</v>
      </c>
      <c r="EM108" s="42" t="n">
        <f aca="false">ROUNDUP(YEARFRAC(In_COD,EM$4),0)*(EM$4&gt;In_COD)</f>
        <v>29</v>
      </c>
      <c r="EN108" s="42" t="n">
        <f aca="false">ROUNDUP(YEARFRAC(In_COD,EN$4),0)*(EN$4&gt;In_COD)</f>
        <v>29</v>
      </c>
      <c r="EO108" s="42" t="n">
        <f aca="false">ROUNDUP(YEARFRAC(In_COD,EO$4),0)*(EO$4&gt;In_COD)</f>
        <v>29</v>
      </c>
      <c r="EP108" s="42" t="n">
        <f aca="false">ROUNDUP(YEARFRAC(In_COD,EP$4),0)*(EP$4&gt;In_COD)</f>
        <v>29</v>
      </c>
      <c r="EQ108" s="42" t="n">
        <f aca="false">ROUNDUP(YEARFRAC(In_COD,EQ$4),0)*(EQ$4&gt;In_COD)</f>
        <v>30</v>
      </c>
      <c r="ER108" s="42" t="n">
        <f aca="false">ROUNDUP(YEARFRAC(In_COD,ER$4),0)*(ER$4&gt;In_COD)</f>
        <v>30</v>
      </c>
      <c r="ES108" s="42" t="n">
        <f aca="false">ROUNDUP(YEARFRAC(In_COD,ES$4),0)*(ES$4&gt;In_COD)</f>
        <v>30</v>
      </c>
      <c r="ET108" s="42" t="n">
        <f aca="false">ROUNDUP(YEARFRAC(In_COD,ET$4),0)*(ET$4&gt;In_COD)</f>
        <v>30</v>
      </c>
    </row>
    <row r="109" customFormat="false" ht="15" hidden="false" customHeight="false" outlineLevel="0" collapsed="false">
      <c r="C109" s="0" t="s">
        <v>555</v>
      </c>
      <c r="D109" s="11" t="s">
        <v>475</v>
      </c>
      <c r="J109" s="52" t="n">
        <f aca="false">(1+In_Opex_Esc)^(J$7-YEAR(In_COD))</f>
        <v>0.883854287609517</v>
      </c>
      <c r="K109" s="52" t="n">
        <f aca="false">(1+In_Opex_Esc)^(K$7-YEAR(In_COD))</f>
        <v>0.883854287609517</v>
      </c>
      <c r="L109" s="52" t="n">
        <f aca="false">(1+In_Opex_Esc)^(L$7-YEAR(In_COD))</f>
        <v>0.905950644799755</v>
      </c>
      <c r="M109" s="52" t="n">
        <f aca="false">(1+In_Opex_Esc)^(M$7-YEAR(In_COD))</f>
        <v>0.905950644799755</v>
      </c>
      <c r="N109" s="52" t="n">
        <f aca="false">(1+In_Opex_Esc)^(N$7-YEAR(In_COD))</f>
        <v>0.905950644799755</v>
      </c>
      <c r="O109" s="52" t="n">
        <f aca="false">(1+In_Opex_Esc)^(O$7-YEAR(In_COD))</f>
        <v>0.905950644799755</v>
      </c>
      <c r="P109" s="52" t="n">
        <f aca="false">(1+In_Opex_Esc)^(P$7-YEAR(In_COD))</f>
        <v>0.928599410919749</v>
      </c>
      <c r="Q109" s="52" t="n">
        <f aca="false">(1+In_Opex_Esc)^(Q$7-YEAR(In_COD))</f>
        <v>0.928599410919749</v>
      </c>
      <c r="R109" s="52" t="n">
        <f aca="false">(1+In_Opex_Esc)^(R$7-YEAR(In_COD))</f>
        <v>0.928599410919749</v>
      </c>
      <c r="S109" s="52" t="n">
        <f aca="false">(1+In_Opex_Esc)^(S$7-YEAR(In_COD))</f>
        <v>0.928599410919749</v>
      </c>
      <c r="T109" s="52" t="n">
        <f aca="false">(1+In_Opex_Esc)^(T$7-YEAR(In_COD))</f>
        <v>0.951814396192743</v>
      </c>
      <c r="U109" s="52" t="n">
        <f aca="false">(1+In_Opex_Esc)^(U$7-YEAR(In_COD))</f>
        <v>0.951814396192743</v>
      </c>
      <c r="V109" s="52" t="n">
        <f aca="false">(1+In_Opex_Esc)^(V$7-YEAR(In_COD))</f>
        <v>0.951814396192743</v>
      </c>
      <c r="W109" s="52" t="n">
        <f aca="false">(1+In_Opex_Esc)^(W$7-YEAR(In_COD))</f>
        <v>0.951814396192743</v>
      </c>
      <c r="X109" s="52" t="n">
        <f aca="false">(1+In_Opex_Esc)^(X$7-YEAR(In_COD))</f>
        <v>0.975609756097561</v>
      </c>
      <c r="Y109" s="52" t="n">
        <f aca="false">(1+In_Opex_Esc)^(Y$7-YEAR(In_COD))</f>
        <v>0.975609756097561</v>
      </c>
      <c r="Z109" s="52" t="n">
        <f aca="false">(1+In_Opex_Esc)^(Z$7-YEAR(In_COD))</f>
        <v>0.975609756097561</v>
      </c>
      <c r="AA109" s="52" t="n">
        <f aca="false">(1+In_Opex_Esc)^(AA$7-YEAR(In_COD))</f>
        <v>0.975609756097561</v>
      </c>
      <c r="AB109" s="52" t="n">
        <f aca="false">(1+In_Opex_Esc)^(AB$7-YEAR(In_COD))</f>
        <v>1</v>
      </c>
      <c r="AC109" s="52" t="n">
        <f aca="false">(1+In_Opex_Esc)^(AC$7-YEAR(In_COD))</f>
        <v>1</v>
      </c>
      <c r="AD109" s="52" t="n">
        <f aca="false">(1+In_Opex_Esc)^(AD$7-YEAR(In_COD))</f>
        <v>1</v>
      </c>
      <c r="AE109" s="52" t="n">
        <f aca="false">(1+In_Opex_Esc)^(AE$7-YEAR(In_COD))</f>
        <v>1</v>
      </c>
      <c r="AF109" s="52" t="n">
        <f aca="false">(1+In_Opex_Esc)^(AF$7-YEAR(In_COD))</f>
        <v>1.025</v>
      </c>
      <c r="AG109" s="52" t="n">
        <f aca="false">(1+In_Opex_Esc)^(AG$7-YEAR(In_COD))</f>
        <v>1.025</v>
      </c>
      <c r="AH109" s="52" t="n">
        <f aca="false">(1+In_Opex_Esc)^(AH$7-YEAR(In_COD))</f>
        <v>1.025</v>
      </c>
      <c r="AI109" s="52" t="n">
        <f aca="false">(1+In_Opex_Esc)^(AI$7-YEAR(In_COD))</f>
        <v>1.025</v>
      </c>
      <c r="AJ109" s="52" t="n">
        <f aca="false">(1+In_Opex_Esc)^(AJ$7-YEAR(In_COD))</f>
        <v>1.050625</v>
      </c>
      <c r="AK109" s="52" t="n">
        <f aca="false">(1+In_Opex_Esc)^(AK$7-YEAR(In_COD))</f>
        <v>1.050625</v>
      </c>
      <c r="AL109" s="52" t="n">
        <f aca="false">(1+In_Opex_Esc)^(AL$7-YEAR(In_COD))</f>
        <v>1.050625</v>
      </c>
      <c r="AM109" s="52" t="n">
        <f aca="false">(1+In_Opex_Esc)^(AM$7-YEAR(In_COD))</f>
        <v>1.050625</v>
      </c>
      <c r="AN109" s="52" t="n">
        <f aca="false">(1+In_Opex_Esc)^(AN$7-YEAR(In_COD))</f>
        <v>1.076890625</v>
      </c>
      <c r="AO109" s="52" t="n">
        <f aca="false">(1+In_Opex_Esc)^(AO$7-YEAR(In_COD))</f>
        <v>1.076890625</v>
      </c>
      <c r="AP109" s="52" t="n">
        <f aca="false">(1+In_Opex_Esc)^(AP$7-YEAR(In_COD))</f>
        <v>1.076890625</v>
      </c>
      <c r="AQ109" s="52" t="n">
        <f aca="false">(1+In_Opex_Esc)^(AQ$7-YEAR(In_COD))</f>
        <v>1.076890625</v>
      </c>
      <c r="AR109" s="52" t="n">
        <f aca="false">(1+In_Opex_Esc)^(AR$7-YEAR(In_COD))</f>
        <v>1.103812890625</v>
      </c>
      <c r="AS109" s="52" t="n">
        <f aca="false">(1+In_Opex_Esc)^(AS$7-YEAR(In_COD))</f>
        <v>1.103812890625</v>
      </c>
      <c r="AT109" s="52" t="n">
        <f aca="false">(1+In_Opex_Esc)^(AT$7-YEAR(In_COD))</f>
        <v>1.103812890625</v>
      </c>
      <c r="AU109" s="52" t="n">
        <f aca="false">(1+In_Opex_Esc)^(AU$7-YEAR(In_COD))</f>
        <v>1.103812890625</v>
      </c>
      <c r="AV109" s="52" t="n">
        <f aca="false">(1+In_Opex_Esc)^(AV$7-YEAR(In_COD))</f>
        <v>1.13140821289062</v>
      </c>
      <c r="AW109" s="52" t="n">
        <f aca="false">(1+In_Opex_Esc)^(AW$7-YEAR(In_COD))</f>
        <v>1.13140821289062</v>
      </c>
      <c r="AX109" s="52" t="n">
        <f aca="false">(1+In_Opex_Esc)^(AX$7-YEAR(In_COD))</f>
        <v>1.13140821289062</v>
      </c>
      <c r="AY109" s="52" t="n">
        <f aca="false">(1+In_Opex_Esc)^(AY$7-YEAR(In_COD))</f>
        <v>1.13140821289062</v>
      </c>
      <c r="AZ109" s="52" t="n">
        <f aca="false">(1+In_Opex_Esc)^(AZ$7-YEAR(In_COD))</f>
        <v>1.15969341821289</v>
      </c>
      <c r="BA109" s="52" t="n">
        <f aca="false">(1+In_Opex_Esc)^(BA$7-YEAR(In_COD))</f>
        <v>1.15969341821289</v>
      </c>
      <c r="BB109" s="52" t="n">
        <f aca="false">(1+In_Opex_Esc)^(BB$7-YEAR(In_COD))</f>
        <v>1.15969341821289</v>
      </c>
      <c r="BC109" s="52" t="n">
        <f aca="false">(1+In_Opex_Esc)^(BC$7-YEAR(In_COD))</f>
        <v>1.15969341821289</v>
      </c>
      <c r="BD109" s="52" t="n">
        <f aca="false">(1+In_Opex_Esc)^(BD$7-YEAR(In_COD))</f>
        <v>1.18868575366821</v>
      </c>
      <c r="BE109" s="52" t="n">
        <f aca="false">(1+In_Opex_Esc)^(BE$7-YEAR(In_COD))</f>
        <v>1.18868575366821</v>
      </c>
      <c r="BF109" s="52" t="n">
        <f aca="false">(1+In_Opex_Esc)^(BF$7-YEAR(In_COD))</f>
        <v>1.18868575366821</v>
      </c>
      <c r="BG109" s="52" t="n">
        <f aca="false">(1+In_Opex_Esc)^(BG$7-YEAR(In_COD))</f>
        <v>1.18868575366821</v>
      </c>
      <c r="BH109" s="52" t="n">
        <f aca="false">(1+In_Opex_Esc)^(BH$7-YEAR(In_COD))</f>
        <v>1.21840289750992</v>
      </c>
      <c r="BI109" s="52" t="n">
        <f aca="false">(1+In_Opex_Esc)^(BI$7-YEAR(In_COD))</f>
        <v>1.21840289750992</v>
      </c>
      <c r="BJ109" s="52" t="n">
        <f aca="false">(1+In_Opex_Esc)^(BJ$7-YEAR(In_COD))</f>
        <v>1.21840289750992</v>
      </c>
      <c r="BK109" s="52" t="n">
        <f aca="false">(1+In_Opex_Esc)^(BK$7-YEAR(In_COD))</f>
        <v>1.21840289750992</v>
      </c>
      <c r="BL109" s="52" t="n">
        <f aca="false">(1+In_Opex_Esc)^(BL$7-YEAR(In_COD))</f>
        <v>1.24886296994767</v>
      </c>
      <c r="BM109" s="52" t="n">
        <f aca="false">(1+In_Opex_Esc)^(BM$7-YEAR(In_COD))</f>
        <v>1.24886296994767</v>
      </c>
      <c r="BN109" s="52" t="n">
        <f aca="false">(1+In_Opex_Esc)^(BN$7-YEAR(In_COD))</f>
        <v>1.24886296994767</v>
      </c>
      <c r="BO109" s="52" t="n">
        <f aca="false">(1+In_Opex_Esc)^(BO$7-YEAR(In_COD))</f>
        <v>1.24886296994767</v>
      </c>
      <c r="BP109" s="52" t="n">
        <f aca="false">(1+In_Opex_Esc)^(BP$7-YEAR(In_COD))</f>
        <v>1.28008454419636</v>
      </c>
      <c r="BQ109" s="52" t="n">
        <f aca="false">(1+In_Opex_Esc)^(BQ$7-YEAR(In_COD))</f>
        <v>1.28008454419636</v>
      </c>
      <c r="BR109" s="52" t="n">
        <f aca="false">(1+In_Opex_Esc)^(BR$7-YEAR(In_COD))</f>
        <v>1.28008454419636</v>
      </c>
      <c r="BS109" s="52" t="n">
        <f aca="false">(1+In_Opex_Esc)^(BS$7-YEAR(In_COD))</f>
        <v>1.28008454419636</v>
      </c>
      <c r="BT109" s="52" t="n">
        <f aca="false">(1+In_Opex_Esc)^(BT$7-YEAR(In_COD))</f>
        <v>1.31208665780127</v>
      </c>
      <c r="BU109" s="52" t="n">
        <f aca="false">(1+In_Opex_Esc)^(BU$7-YEAR(In_COD))</f>
        <v>1.31208665780127</v>
      </c>
      <c r="BV109" s="52" t="n">
        <f aca="false">(1+In_Opex_Esc)^(BV$7-YEAR(In_COD))</f>
        <v>1.31208665780127</v>
      </c>
      <c r="BW109" s="52" t="n">
        <f aca="false">(1+In_Opex_Esc)^(BW$7-YEAR(In_COD))</f>
        <v>1.31208665780127</v>
      </c>
      <c r="BX109" s="52" t="n">
        <f aca="false">(1+In_Opex_Esc)^(BX$7-YEAR(In_COD))</f>
        <v>1.3448888242463</v>
      </c>
      <c r="BY109" s="52" t="n">
        <f aca="false">(1+In_Opex_Esc)^(BY$7-YEAR(In_COD))</f>
        <v>1.3448888242463</v>
      </c>
      <c r="BZ109" s="52" t="n">
        <f aca="false">(1+In_Opex_Esc)^(BZ$7-YEAR(In_COD))</f>
        <v>1.3448888242463</v>
      </c>
      <c r="CA109" s="52" t="n">
        <f aca="false">(1+In_Opex_Esc)^(CA$7-YEAR(In_COD))</f>
        <v>1.3448888242463</v>
      </c>
      <c r="CB109" s="52" t="n">
        <f aca="false">(1+In_Opex_Esc)^(CB$7-YEAR(In_COD))</f>
        <v>1.37851104485245</v>
      </c>
      <c r="CC109" s="52" t="n">
        <f aca="false">(1+In_Opex_Esc)^(CC$7-YEAR(In_COD))</f>
        <v>1.37851104485245</v>
      </c>
      <c r="CD109" s="52" t="n">
        <f aca="false">(1+In_Opex_Esc)^(CD$7-YEAR(In_COD))</f>
        <v>1.37851104485245</v>
      </c>
      <c r="CE109" s="52" t="n">
        <f aca="false">(1+In_Opex_Esc)^(CE$7-YEAR(In_COD))</f>
        <v>1.37851104485245</v>
      </c>
      <c r="CF109" s="52" t="n">
        <f aca="false">(1+In_Opex_Esc)^(CF$7-YEAR(In_COD))</f>
        <v>1.41297382097377</v>
      </c>
      <c r="CG109" s="52" t="n">
        <f aca="false">(1+In_Opex_Esc)^(CG$7-YEAR(In_COD))</f>
        <v>1.41297382097377</v>
      </c>
      <c r="CH109" s="52" t="n">
        <f aca="false">(1+In_Opex_Esc)^(CH$7-YEAR(In_COD))</f>
        <v>1.41297382097377</v>
      </c>
      <c r="CI109" s="52" t="n">
        <f aca="false">(1+In_Opex_Esc)^(CI$7-YEAR(In_COD))</f>
        <v>1.41297382097377</v>
      </c>
      <c r="CJ109" s="52" t="n">
        <f aca="false">(1+In_Opex_Esc)^(CJ$7-YEAR(In_COD))</f>
        <v>1.44829816649811</v>
      </c>
      <c r="CK109" s="52" t="n">
        <f aca="false">(1+In_Opex_Esc)^(CK$7-YEAR(In_COD))</f>
        <v>1.44829816649811</v>
      </c>
      <c r="CL109" s="52" t="n">
        <f aca="false">(1+In_Opex_Esc)^(CL$7-YEAR(In_COD))</f>
        <v>1.44829816649811</v>
      </c>
      <c r="CM109" s="52" t="n">
        <f aca="false">(1+In_Opex_Esc)^(CM$7-YEAR(In_COD))</f>
        <v>1.44829816649811</v>
      </c>
      <c r="CN109" s="52" t="n">
        <f aca="false">(1+In_Opex_Esc)^(CN$7-YEAR(In_COD))</f>
        <v>1.48450562066056</v>
      </c>
      <c r="CO109" s="52" t="n">
        <f aca="false">(1+In_Opex_Esc)^(CO$7-YEAR(In_COD))</f>
        <v>1.48450562066056</v>
      </c>
      <c r="CP109" s="52" t="n">
        <f aca="false">(1+In_Opex_Esc)^(CP$7-YEAR(In_COD))</f>
        <v>1.48450562066056</v>
      </c>
      <c r="CQ109" s="52" t="n">
        <f aca="false">(1+In_Opex_Esc)^(CQ$7-YEAR(In_COD))</f>
        <v>1.48450562066056</v>
      </c>
      <c r="CR109" s="52" t="n">
        <f aca="false">(1+In_Opex_Esc)^(CR$7-YEAR(In_COD))</f>
        <v>1.52161826117708</v>
      </c>
      <c r="CS109" s="52" t="n">
        <f aca="false">(1+In_Opex_Esc)^(CS$7-YEAR(In_COD))</f>
        <v>1.52161826117708</v>
      </c>
      <c r="CT109" s="52" t="n">
        <f aca="false">(1+In_Opex_Esc)^(CT$7-YEAR(In_COD))</f>
        <v>1.52161826117708</v>
      </c>
      <c r="CU109" s="52" t="n">
        <f aca="false">(1+In_Opex_Esc)^(CU$7-YEAR(In_COD))</f>
        <v>1.52161826117708</v>
      </c>
      <c r="CV109" s="52" t="n">
        <f aca="false">(1+In_Opex_Esc)^(CV$7-YEAR(In_COD))</f>
        <v>1.5596587177065</v>
      </c>
      <c r="CW109" s="52" t="n">
        <f aca="false">(1+In_Opex_Esc)^(CW$7-YEAR(In_COD))</f>
        <v>1.5596587177065</v>
      </c>
      <c r="CX109" s="52" t="n">
        <f aca="false">(1+In_Opex_Esc)^(CX$7-YEAR(In_COD))</f>
        <v>1.5596587177065</v>
      </c>
      <c r="CY109" s="52" t="n">
        <f aca="false">(1+In_Opex_Esc)^(CY$7-YEAR(In_COD))</f>
        <v>1.5596587177065</v>
      </c>
      <c r="CZ109" s="52" t="n">
        <f aca="false">(1+In_Opex_Esc)^(CZ$7-YEAR(In_COD))</f>
        <v>1.59865018564917</v>
      </c>
      <c r="DA109" s="52" t="n">
        <f aca="false">(1+In_Opex_Esc)^(DA$7-YEAR(In_COD))</f>
        <v>1.59865018564917</v>
      </c>
      <c r="DB109" s="52" t="n">
        <f aca="false">(1+In_Opex_Esc)^(DB$7-YEAR(In_COD))</f>
        <v>1.59865018564917</v>
      </c>
      <c r="DC109" s="52" t="n">
        <f aca="false">(1+In_Opex_Esc)^(DC$7-YEAR(In_COD))</f>
        <v>1.59865018564917</v>
      </c>
      <c r="DD109" s="52" t="n">
        <f aca="false">(1+In_Opex_Esc)^(DD$7-YEAR(In_COD))</f>
        <v>1.63861644029039</v>
      </c>
      <c r="DE109" s="52" t="n">
        <f aca="false">(1+In_Opex_Esc)^(DE$7-YEAR(In_COD))</f>
        <v>1.63861644029039</v>
      </c>
      <c r="DF109" s="52" t="n">
        <f aca="false">(1+In_Opex_Esc)^(DF$7-YEAR(In_COD))</f>
        <v>1.63861644029039</v>
      </c>
      <c r="DG109" s="52" t="n">
        <f aca="false">(1+In_Opex_Esc)^(DG$7-YEAR(In_COD))</f>
        <v>1.63861644029039</v>
      </c>
      <c r="DH109" s="52" t="n">
        <f aca="false">(1+In_Opex_Esc)^(DH$7-YEAR(In_COD))</f>
        <v>1.67958185129765</v>
      </c>
      <c r="DI109" s="52" t="n">
        <f aca="false">(1+In_Opex_Esc)^(DI$7-YEAR(In_COD))</f>
        <v>1.67958185129765</v>
      </c>
      <c r="DJ109" s="52" t="n">
        <f aca="false">(1+In_Opex_Esc)^(DJ$7-YEAR(In_COD))</f>
        <v>1.67958185129765</v>
      </c>
      <c r="DK109" s="52" t="n">
        <f aca="false">(1+In_Opex_Esc)^(DK$7-YEAR(In_COD))</f>
        <v>1.67958185129765</v>
      </c>
      <c r="DL109" s="52" t="n">
        <f aca="false">(1+In_Opex_Esc)^(DL$7-YEAR(In_COD))</f>
        <v>1.7215713975801</v>
      </c>
      <c r="DM109" s="52" t="n">
        <f aca="false">(1+In_Opex_Esc)^(DM$7-YEAR(In_COD))</f>
        <v>1.7215713975801</v>
      </c>
      <c r="DN109" s="52" t="n">
        <f aca="false">(1+In_Opex_Esc)^(DN$7-YEAR(In_COD))</f>
        <v>1.7215713975801</v>
      </c>
      <c r="DO109" s="52" t="n">
        <f aca="false">(1+In_Opex_Esc)^(DO$7-YEAR(In_COD))</f>
        <v>1.7215713975801</v>
      </c>
      <c r="DP109" s="52" t="n">
        <f aca="false">(1+In_Opex_Esc)^(DP$7-YEAR(In_COD))</f>
        <v>1.7646106825196</v>
      </c>
      <c r="DQ109" s="52" t="n">
        <f aca="false">(1+In_Opex_Esc)^(DQ$7-YEAR(In_COD))</f>
        <v>1.7646106825196</v>
      </c>
      <c r="DR109" s="52" t="n">
        <f aca="false">(1+In_Opex_Esc)^(DR$7-YEAR(In_COD))</f>
        <v>1.7646106825196</v>
      </c>
      <c r="DS109" s="52" t="n">
        <f aca="false">(1+In_Opex_Esc)^(DS$7-YEAR(In_COD))</f>
        <v>1.7646106825196</v>
      </c>
      <c r="DT109" s="52" t="n">
        <f aca="false">(1+In_Opex_Esc)^(DT$7-YEAR(In_COD))</f>
        <v>1.80872594958259</v>
      </c>
      <c r="DU109" s="52" t="n">
        <f aca="false">(1+In_Opex_Esc)^(DU$7-YEAR(In_COD))</f>
        <v>1.80872594958259</v>
      </c>
      <c r="DV109" s="52" t="n">
        <f aca="false">(1+In_Opex_Esc)^(DV$7-YEAR(In_COD))</f>
        <v>1.80872594958259</v>
      </c>
      <c r="DW109" s="52" t="n">
        <f aca="false">(1+In_Opex_Esc)^(DW$7-YEAR(In_COD))</f>
        <v>1.80872594958259</v>
      </c>
      <c r="DX109" s="52" t="n">
        <f aca="false">(1+In_Opex_Esc)^(DX$7-YEAR(In_COD))</f>
        <v>1.85394409832215</v>
      </c>
      <c r="DY109" s="52" t="n">
        <f aca="false">(1+In_Opex_Esc)^(DY$7-YEAR(In_COD))</f>
        <v>1.85394409832215</v>
      </c>
      <c r="DZ109" s="52" t="n">
        <f aca="false">(1+In_Opex_Esc)^(DZ$7-YEAR(In_COD))</f>
        <v>1.85394409832215</v>
      </c>
      <c r="EA109" s="52" t="n">
        <f aca="false">(1+In_Opex_Esc)^(EA$7-YEAR(In_COD))</f>
        <v>1.85394409832215</v>
      </c>
      <c r="EB109" s="52" t="n">
        <f aca="false">(1+In_Opex_Esc)^(EB$7-YEAR(In_COD))</f>
        <v>1.90029270078021</v>
      </c>
      <c r="EC109" s="52" t="n">
        <f aca="false">(1+In_Opex_Esc)^(EC$7-YEAR(In_COD))</f>
        <v>1.90029270078021</v>
      </c>
      <c r="ED109" s="52" t="n">
        <f aca="false">(1+In_Opex_Esc)^(ED$7-YEAR(In_COD))</f>
        <v>1.90029270078021</v>
      </c>
      <c r="EE109" s="52" t="n">
        <f aca="false">(1+In_Opex_Esc)^(EE$7-YEAR(In_COD))</f>
        <v>1.90029270078021</v>
      </c>
      <c r="EF109" s="52" t="n">
        <f aca="false">(1+In_Opex_Esc)^(EF$7-YEAR(In_COD))</f>
        <v>1.94780001829971</v>
      </c>
      <c r="EG109" s="52" t="n">
        <f aca="false">(1+In_Opex_Esc)^(EG$7-YEAR(In_COD))</f>
        <v>1.94780001829971</v>
      </c>
      <c r="EH109" s="52" t="n">
        <f aca="false">(1+In_Opex_Esc)^(EH$7-YEAR(In_COD))</f>
        <v>1.94780001829971</v>
      </c>
      <c r="EI109" s="52" t="n">
        <f aca="false">(1+In_Opex_Esc)^(EI$7-YEAR(In_COD))</f>
        <v>1.94780001829971</v>
      </c>
      <c r="EJ109" s="52" t="n">
        <f aca="false">(1+In_Opex_Esc)^(EJ$7-YEAR(In_COD))</f>
        <v>1.9964950187572</v>
      </c>
      <c r="EK109" s="52" t="n">
        <f aca="false">(1+In_Opex_Esc)^(EK$7-YEAR(In_COD))</f>
        <v>1.9964950187572</v>
      </c>
      <c r="EL109" s="52" t="n">
        <f aca="false">(1+In_Opex_Esc)^(EL$7-YEAR(In_COD))</f>
        <v>1.9964950187572</v>
      </c>
      <c r="EM109" s="52" t="n">
        <f aca="false">(1+In_Opex_Esc)^(EM$7-YEAR(In_COD))</f>
        <v>1.9964950187572</v>
      </c>
      <c r="EN109" s="52" t="n">
        <f aca="false">(1+In_Opex_Esc)^(EN$7-YEAR(In_COD))</f>
        <v>2.04640739422613</v>
      </c>
      <c r="EO109" s="52" t="n">
        <f aca="false">(1+In_Opex_Esc)^(EO$7-YEAR(In_COD))</f>
        <v>2.04640739422613</v>
      </c>
      <c r="EP109" s="52" t="n">
        <f aca="false">(1+In_Opex_Esc)^(EP$7-YEAR(In_COD))</f>
        <v>2.04640739422613</v>
      </c>
      <c r="EQ109" s="52" t="n">
        <f aca="false">(1+In_Opex_Esc)^(EQ$7-YEAR(In_COD))</f>
        <v>2.04640739422613</v>
      </c>
      <c r="ER109" s="52" t="n">
        <f aca="false">(1+In_Opex_Esc)^(ER$7-YEAR(In_COD))</f>
        <v>2.09756757908179</v>
      </c>
      <c r="ES109" s="52" t="n">
        <f aca="false">(1+In_Opex_Esc)^(ES$7-YEAR(In_COD))</f>
        <v>2.09756757908179</v>
      </c>
      <c r="ET109" s="52" t="n">
        <f aca="false">(1+In_Opex_Esc)^(ET$7-YEAR(In_COD))</f>
        <v>2.09756757908179</v>
      </c>
    </row>
    <row r="110" customFormat="false" ht="15" hidden="false" customHeight="false" outlineLevel="0" collapsed="false">
      <c r="C110" s="0" t="s">
        <v>556</v>
      </c>
      <c r="D110" s="11" t="s">
        <v>32</v>
      </c>
      <c r="J110" s="28" t="n">
        <f aca="false">In_PPA_Price*(1+In_PPA_Esc)^(J$7-YEAR(In_COD))</f>
        <v>85.6319118846074</v>
      </c>
      <c r="K110" s="28" t="n">
        <f aca="false">In_PPA_Price*(1+In_PPA_Esc)^(K$7-YEAR(In_COD))</f>
        <v>85.6319118846074</v>
      </c>
      <c r="L110" s="28" t="n">
        <f aca="false">In_PPA_Price*(1+In_PPA_Esc)^(L$7-YEAR(In_COD))</f>
        <v>86.4882310034535</v>
      </c>
      <c r="M110" s="28" t="n">
        <f aca="false">In_PPA_Price*(1+In_PPA_Esc)^(M$7-YEAR(In_COD))</f>
        <v>86.4882310034535</v>
      </c>
      <c r="N110" s="28" t="n">
        <f aca="false">In_PPA_Price*(1+In_PPA_Esc)^(N$7-YEAR(In_COD))</f>
        <v>86.4882310034535</v>
      </c>
      <c r="O110" s="28" t="n">
        <f aca="false">In_PPA_Price*(1+In_PPA_Esc)^(O$7-YEAR(In_COD))</f>
        <v>86.4882310034535</v>
      </c>
      <c r="P110" s="28" t="n">
        <f aca="false">In_PPA_Price*(1+In_PPA_Esc)^(P$7-YEAR(In_COD))</f>
        <v>87.353113313488</v>
      </c>
      <c r="Q110" s="28" t="n">
        <f aca="false">In_PPA_Price*(1+In_PPA_Esc)^(Q$7-YEAR(In_COD))</f>
        <v>87.353113313488</v>
      </c>
      <c r="R110" s="28" t="n">
        <f aca="false">In_PPA_Price*(1+In_PPA_Esc)^(R$7-YEAR(In_COD))</f>
        <v>87.353113313488</v>
      </c>
      <c r="S110" s="28" t="n">
        <f aca="false">In_PPA_Price*(1+In_PPA_Esc)^(S$7-YEAR(In_COD))</f>
        <v>87.353113313488</v>
      </c>
      <c r="T110" s="28" t="n">
        <f aca="false">In_PPA_Price*(1+In_PPA_Esc)^(T$7-YEAR(In_COD))</f>
        <v>88.2266444466229</v>
      </c>
      <c r="U110" s="28" t="n">
        <f aca="false">In_PPA_Price*(1+In_PPA_Esc)^(U$7-YEAR(In_COD))</f>
        <v>88.2266444466229</v>
      </c>
      <c r="V110" s="28" t="n">
        <f aca="false">In_PPA_Price*(1+In_PPA_Esc)^(V$7-YEAR(In_COD))</f>
        <v>88.2266444466229</v>
      </c>
      <c r="W110" s="28" t="n">
        <f aca="false">In_PPA_Price*(1+In_PPA_Esc)^(W$7-YEAR(In_COD))</f>
        <v>88.2266444466229</v>
      </c>
      <c r="X110" s="28" t="n">
        <f aca="false">In_PPA_Price*(1+In_PPA_Esc)^(X$7-YEAR(In_COD))</f>
        <v>89.1089108910891</v>
      </c>
      <c r="Y110" s="28" t="n">
        <f aca="false">In_PPA_Price*(1+In_PPA_Esc)^(Y$7-YEAR(In_COD))</f>
        <v>89.1089108910891</v>
      </c>
      <c r="Z110" s="28" t="n">
        <f aca="false">In_PPA_Price*(1+In_PPA_Esc)^(Z$7-YEAR(In_COD))</f>
        <v>89.1089108910891</v>
      </c>
      <c r="AA110" s="28" t="n">
        <f aca="false">In_PPA_Price*(1+In_PPA_Esc)^(AA$7-YEAR(In_COD))</f>
        <v>89.1089108910891</v>
      </c>
      <c r="AB110" s="28" t="n">
        <f aca="false">In_PPA_Price*(1+In_PPA_Esc)^(AB$7-YEAR(In_COD))</f>
        <v>90</v>
      </c>
      <c r="AC110" s="28" t="n">
        <f aca="false">In_PPA_Price*(1+In_PPA_Esc)^(AC$7-YEAR(In_COD))</f>
        <v>90</v>
      </c>
      <c r="AD110" s="28" t="n">
        <f aca="false">In_PPA_Price*(1+In_PPA_Esc)^(AD$7-YEAR(In_COD))</f>
        <v>90</v>
      </c>
      <c r="AE110" s="28" t="n">
        <f aca="false">In_PPA_Price*(1+In_PPA_Esc)^(AE$7-YEAR(In_COD))</f>
        <v>90</v>
      </c>
      <c r="AF110" s="28" t="n">
        <f aca="false">In_PPA_Price*(1+In_PPA_Esc)^(AF$7-YEAR(In_COD))</f>
        <v>90.9</v>
      </c>
      <c r="AG110" s="28" t="n">
        <f aca="false">In_PPA_Price*(1+In_PPA_Esc)^(AG$7-YEAR(In_COD))</f>
        <v>90.9</v>
      </c>
      <c r="AH110" s="28" t="n">
        <f aca="false">In_PPA_Price*(1+In_PPA_Esc)^(AH$7-YEAR(In_COD))</f>
        <v>90.9</v>
      </c>
      <c r="AI110" s="28" t="n">
        <f aca="false">In_PPA_Price*(1+In_PPA_Esc)^(AI$7-YEAR(In_COD))</f>
        <v>90.9</v>
      </c>
      <c r="AJ110" s="28" t="n">
        <f aca="false">In_PPA_Price*(1+In_PPA_Esc)^(AJ$7-YEAR(In_COD))</f>
        <v>91.809</v>
      </c>
      <c r="AK110" s="28" t="n">
        <f aca="false">In_PPA_Price*(1+In_PPA_Esc)^(AK$7-YEAR(In_COD))</f>
        <v>91.809</v>
      </c>
      <c r="AL110" s="28" t="n">
        <f aca="false">In_PPA_Price*(1+In_PPA_Esc)^(AL$7-YEAR(In_COD))</f>
        <v>91.809</v>
      </c>
      <c r="AM110" s="28" t="n">
        <f aca="false">In_PPA_Price*(1+In_PPA_Esc)^(AM$7-YEAR(In_COD))</f>
        <v>91.809</v>
      </c>
      <c r="AN110" s="28" t="n">
        <f aca="false">In_PPA_Price*(1+In_PPA_Esc)^(AN$7-YEAR(In_COD))</f>
        <v>92.72709</v>
      </c>
      <c r="AO110" s="28" t="n">
        <f aca="false">In_PPA_Price*(1+In_PPA_Esc)^(AO$7-YEAR(In_COD))</f>
        <v>92.72709</v>
      </c>
      <c r="AP110" s="28" t="n">
        <f aca="false">In_PPA_Price*(1+In_PPA_Esc)^(AP$7-YEAR(In_COD))</f>
        <v>92.72709</v>
      </c>
      <c r="AQ110" s="28" t="n">
        <f aca="false">In_PPA_Price*(1+In_PPA_Esc)^(AQ$7-YEAR(In_COD))</f>
        <v>92.72709</v>
      </c>
      <c r="AR110" s="28" t="n">
        <f aca="false">In_PPA_Price*(1+In_PPA_Esc)^(AR$7-YEAR(In_COD))</f>
        <v>93.6543609</v>
      </c>
      <c r="AS110" s="28" t="n">
        <f aca="false">In_PPA_Price*(1+In_PPA_Esc)^(AS$7-YEAR(In_COD))</f>
        <v>93.6543609</v>
      </c>
      <c r="AT110" s="28" t="n">
        <f aca="false">In_PPA_Price*(1+In_PPA_Esc)^(AT$7-YEAR(In_COD))</f>
        <v>93.6543609</v>
      </c>
      <c r="AU110" s="28" t="n">
        <f aca="false">In_PPA_Price*(1+In_PPA_Esc)^(AU$7-YEAR(In_COD))</f>
        <v>93.6543609</v>
      </c>
      <c r="AV110" s="28" t="n">
        <f aca="false">In_PPA_Price*(1+In_PPA_Esc)^(AV$7-YEAR(In_COD))</f>
        <v>94.590904509</v>
      </c>
      <c r="AW110" s="28" t="n">
        <f aca="false">In_PPA_Price*(1+In_PPA_Esc)^(AW$7-YEAR(In_COD))</f>
        <v>94.590904509</v>
      </c>
      <c r="AX110" s="28" t="n">
        <f aca="false">In_PPA_Price*(1+In_PPA_Esc)^(AX$7-YEAR(In_COD))</f>
        <v>94.590904509</v>
      </c>
      <c r="AY110" s="28" t="n">
        <f aca="false">In_PPA_Price*(1+In_PPA_Esc)^(AY$7-YEAR(In_COD))</f>
        <v>94.590904509</v>
      </c>
      <c r="AZ110" s="28" t="n">
        <f aca="false">In_PPA_Price*(1+In_PPA_Esc)^(AZ$7-YEAR(In_COD))</f>
        <v>95.53681355409</v>
      </c>
      <c r="BA110" s="28" t="n">
        <f aca="false">In_PPA_Price*(1+In_PPA_Esc)^(BA$7-YEAR(In_COD))</f>
        <v>95.53681355409</v>
      </c>
      <c r="BB110" s="28" t="n">
        <f aca="false">In_PPA_Price*(1+In_PPA_Esc)^(BB$7-YEAR(In_COD))</f>
        <v>95.53681355409</v>
      </c>
      <c r="BC110" s="28" t="n">
        <f aca="false">In_PPA_Price*(1+In_PPA_Esc)^(BC$7-YEAR(In_COD))</f>
        <v>95.53681355409</v>
      </c>
      <c r="BD110" s="28" t="n">
        <f aca="false">In_PPA_Price*(1+In_PPA_Esc)^(BD$7-YEAR(In_COD))</f>
        <v>96.4921816896309</v>
      </c>
      <c r="BE110" s="28" t="n">
        <f aca="false">In_PPA_Price*(1+In_PPA_Esc)^(BE$7-YEAR(In_COD))</f>
        <v>96.4921816896309</v>
      </c>
      <c r="BF110" s="28" t="n">
        <f aca="false">In_PPA_Price*(1+In_PPA_Esc)^(BF$7-YEAR(In_COD))</f>
        <v>96.4921816896309</v>
      </c>
      <c r="BG110" s="28" t="n">
        <f aca="false">In_PPA_Price*(1+In_PPA_Esc)^(BG$7-YEAR(In_COD))</f>
        <v>96.4921816896309</v>
      </c>
      <c r="BH110" s="28" t="n">
        <f aca="false">In_PPA_Price*(1+In_PPA_Esc)^(BH$7-YEAR(In_COD))</f>
        <v>97.4571035065272</v>
      </c>
      <c r="BI110" s="28" t="n">
        <f aca="false">In_PPA_Price*(1+In_PPA_Esc)^(BI$7-YEAR(In_COD))</f>
        <v>97.4571035065272</v>
      </c>
      <c r="BJ110" s="28" t="n">
        <f aca="false">In_PPA_Price*(1+In_PPA_Esc)^(BJ$7-YEAR(In_COD))</f>
        <v>97.4571035065272</v>
      </c>
      <c r="BK110" s="28" t="n">
        <f aca="false">In_PPA_Price*(1+In_PPA_Esc)^(BK$7-YEAR(In_COD))</f>
        <v>97.4571035065272</v>
      </c>
      <c r="BL110" s="28" t="n">
        <f aca="false">In_PPA_Price*(1+In_PPA_Esc)^(BL$7-YEAR(In_COD))</f>
        <v>98.4316745415925</v>
      </c>
      <c r="BM110" s="28" t="n">
        <f aca="false">In_PPA_Price*(1+In_PPA_Esc)^(BM$7-YEAR(In_COD))</f>
        <v>98.4316745415925</v>
      </c>
      <c r="BN110" s="28" t="n">
        <f aca="false">In_PPA_Price*(1+In_PPA_Esc)^(BN$7-YEAR(In_COD))</f>
        <v>98.4316745415925</v>
      </c>
      <c r="BO110" s="28" t="n">
        <f aca="false">In_PPA_Price*(1+In_PPA_Esc)^(BO$7-YEAR(In_COD))</f>
        <v>98.4316745415925</v>
      </c>
      <c r="BP110" s="28" t="n">
        <f aca="false">In_PPA_Price*(1+In_PPA_Esc)^(BP$7-YEAR(In_COD))</f>
        <v>99.4159912870084</v>
      </c>
      <c r="BQ110" s="28" t="n">
        <f aca="false">In_PPA_Price*(1+In_PPA_Esc)^(BQ$7-YEAR(In_COD))</f>
        <v>99.4159912870084</v>
      </c>
      <c r="BR110" s="28" t="n">
        <f aca="false">In_PPA_Price*(1+In_PPA_Esc)^(BR$7-YEAR(In_COD))</f>
        <v>99.4159912870084</v>
      </c>
      <c r="BS110" s="28" t="n">
        <f aca="false">In_PPA_Price*(1+In_PPA_Esc)^(BS$7-YEAR(In_COD))</f>
        <v>99.4159912870084</v>
      </c>
      <c r="BT110" s="28" t="n">
        <f aca="false">In_PPA_Price*(1+In_PPA_Esc)^(BT$7-YEAR(In_COD))</f>
        <v>100.410151199878</v>
      </c>
      <c r="BU110" s="28" t="n">
        <f aca="false">In_PPA_Price*(1+In_PPA_Esc)^(BU$7-YEAR(In_COD))</f>
        <v>100.410151199878</v>
      </c>
      <c r="BV110" s="28" t="n">
        <f aca="false">In_PPA_Price*(1+In_PPA_Esc)^(BV$7-YEAR(In_COD))</f>
        <v>100.410151199878</v>
      </c>
      <c r="BW110" s="28" t="n">
        <f aca="false">In_PPA_Price*(1+In_PPA_Esc)^(BW$7-YEAR(In_COD))</f>
        <v>100.410151199878</v>
      </c>
      <c r="BX110" s="28" t="n">
        <f aca="false">In_PPA_Price*(1+In_PPA_Esc)^(BX$7-YEAR(In_COD))</f>
        <v>101.414252711877</v>
      </c>
      <c r="BY110" s="28" t="n">
        <f aca="false">In_PPA_Price*(1+In_PPA_Esc)^(BY$7-YEAR(In_COD))</f>
        <v>101.414252711877</v>
      </c>
      <c r="BZ110" s="28" t="n">
        <f aca="false">In_PPA_Price*(1+In_PPA_Esc)^(BZ$7-YEAR(In_COD))</f>
        <v>101.414252711877</v>
      </c>
      <c r="CA110" s="28" t="n">
        <f aca="false">In_PPA_Price*(1+In_PPA_Esc)^(CA$7-YEAR(In_COD))</f>
        <v>101.414252711877</v>
      </c>
      <c r="CB110" s="28" t="n">
        <f aca="false">In_PPA_Price*(1+In_PPA_Esc)^(CB$7-YEAR(In_COD))</f>
        <v>102.428395238996</v>
      </c>
      <c r="CC110" s="28" t="n">
        <f aca="false">In_PPA_Price*(1+In_PPA_Esc)^(CC$7-YEAR(In_COD))</f>
        <v>102.428395238996</v>
      </c>
      <c r="CD110" s="28" t="n">
        <f aca="false">In_PPA_Price*(1+In_PPA_Esc)^(CD$7-YEAR(In_COD))</f>
        <v>102.428395238996</v>
      </c>
      <c r="CE110" s="28" t="n">
        <f aca="false">In_PPA_Price*(1+In_PPA_Esc)^(CE$7-YEAR(In_COD))</f>
        <v>102.428395238996</v>
      </c>
      <c r="CF110" s="28" t="n">
        <f aca="false">In_PPA_Price*(1+In_PPA_Esc)^(CF$7-YEAR(In_COD))</f>
        <v>103.452679191386</v>
      </c>
      <c r="CG110" s="28" t="n">
        <f aca="false">In_PPA_Price*(1+In_PPA_Esc)^(CG$7-YEAR(In_COD))</f>
        <v>103.452679191386</v>
      </c>
      <c r="CH110" s="28" t="n">
        <f aca="false">In_PPA_Price*(1+In_PPA_Esc)^(CH$7-YEAR(In_COD))</f>
        <v>103.452679191386</v>
      </c>
      <c r="CI110" s="28" t="n">
        <f aca="false">In_PPA_Price*(1+In_PPA_Esc)^(CI$7-YEAR(In_COD))</f>
        <v>103.452679191386</v>
      </c>
      <c r="CJ110" s="28" t="n">
        <f aca="false">In_PPA_Price*(1+In_PPA_Esc)^(CJ$7-YEAR(In_COD))</f>
        <v>104.4872059833</v>
      </c>
      <c r="CK110" s="28" t="n">
        <f aca="false">In_PPA_Price*(1+In_PPA_Esc)^(CK$7-YEAR(In_COD))</f>
        <v>104.4872059833</v>
      </c>
      <c r="CL110" s="28" t="n">
        <f aca="false">In_PPA_Price*(1+In_PPA_Esc)^(CL$7-YEAR(In_COD))</f>
        <v>104.4872059833</v>
      </c>
      <c r="CM110" s="28" t="n">
        <f aca="false">In_PPA_Price*(1+In_PPA_Esc)^(CM$7-YEAR(In_COD))</f>
        <v>104.4872059833</v>
      </c>
      <c r="CN110" s="28" t="n">
        <f aca="false">In_PPA_Price*(1+In_PPA_Esc)^(CN$7-YEAR(In_COD))</f>
        <v>105.532078043133</v>
      </c>
      <c r="CO110" s="28" t="n">
        <f aca="false">In_PPA_Price*(1+In_PPA_Esc)^(CO$7-YEAR(In_COD))</f>
        <v>105.532078043133</v>
      </c>
      <c r="CP110" s="28" t="n">
        <f aca="false">In_PPA_Price*(1+In_PPA_Esc)^(CP$7-YEAR(In_COD))</f>
        <v>105.532078043133</v>
      </c>
      <c r="CQ110" s="28" t="n">
        <f aca="false">In_PPA_Price*(1+In_PPA_Esc)^(CQ$7-YEAR(In_COD))</f>
        <v>105.532078043133</v>
      </c>
      <c r="CR110" s="28" t="n">
        <f aca="false">In_PPA_Price*(1+In_PPA_Esc)^(CR$7-YEAR(In_COD))</f>
        <v>106.587398823564</v>
      </c>
      <c r="CS110" s="28" t="n">
        <f aca="false">In_PPA_Price*(1+In_PPA_Esc)^(CS$7-YEAR(In_COD))</f>
        <v>106.587398823564</v>
      </c>
      <c r="CT110" s="28" t="n">
        <f aca="false">In_PPA_Price*(1+In_PPA_Esc)^(CT$7-YEAR(In_COD))</f>
        <v>106.587398823564</v>
      </c>
      <c r="CU110" s="28" t="n">
        <f aca="false">In_PPA_Price*(1+In_PPA_Esc)^(CU$7-YEAR(In_COD))</f>
        <v>106.587398823564</v>
      </c>
      <c r="CV110" s="28" t="n">
        <f aca="false">In_PPA_Price*(1+In_PPA_Esc)^(CV$7-YEAR(In_COD))</f>
        <v>107.6532728118</v>
      </c>
      <c r="CW110" s="28" t="n">
        <f aca="false">In_PPA_Price*(1+In_PPA_Esc)^(CW$7-YEAR(In_COD))</f>
        <v>107.6532728118</v>
      </c>
      <c r="CX110" s="28" t="n">
        <f aca="false">In_PPA_Price*(1+In_PPA_Esc)^(CX$7-YEAR(In_COD))</f>
        <v>107.6532728118</v>
      </c>
      <c r="CY110" s="28" t="n">
        <f aca="false">In_PPA_Price*(1+In_PPA_Esc)^(CY$7-YEAR(In_COD))</f>
        <v>107.6532728118</v>
      </c>
      <c r="CZ110" s="28" t="n">
        <f aca="false">In_PPA_Price*(1+In_PPA_Esc)^(CZ$7-YEAR(In_COD))</f>
        <v>108.729805539918</v>
      </c>
      <c r="DA110" s="28" t="n">
        <f aca="false">In_PPA_Price*(1+In_PPA_Esc)^(DA$7-YEAR(In_COD))</f>
        <v>108.729805539918</v>
      </c>
      <c r="DB110" s="28" t="n">
        <f aca="false">In_PPA_Price*(1+In_PPA_Esc)^(DB$7-YEAR(In_COD))</f>
        <v>108.729805539918</v>
      </c>
      <c r="DC110" s="28" t="n">
        <f aca="false">In_PPA_Price*(1+In_PPA_Esc)^(DC$7-YEAR(In_COD))</f>
        <v>108.729805539918</v>
      </c>
      <c r="DD110" s="28" t="n">
        <f aca="false">In_PPA_Price*(1+In_PPA_Esc)^(DD$7-YEAR(In_COD))</f>
        <v>109.817103595317</v>
      </c>
      <c r="DE110" s="28" t="n">
        <f aca="false">In_PPA_Price*(1+In_PPA_Esc)^(DE$7-YEAR(In_COD))</f>
        <v>109.817103595317</v>
      </c>
      <c r="DF110" s="28" t="n">
        <f aca="false">In_PPA_Price*(1+In_PPA_Esc)^(DF$7-YEAR(In_COD))</f>
        <v>109.817103595317</v>
      </c>
      <c r="DG110" s="28" t="n">
        <f aca="false">In_PPA_Price*(1+In_PPA_Esc)^(DG$7-YEAR(In_COD))</f>
        <v>109.817103595317</v>
      </c>
      <c r="DH110" s="28" t="n">
        <f aca="false">In_PPA_Price*(1+In_PPA_Esc)^(DH$7-YEAR(In_COD))</f>
        <v>110.91527463127</v>
      </c>
      <c r="DI110" s="28" t="n">
        <f aca="false">In_PPA_Price*(1+In_PPA_Esc)^(DI$7-YEAR(In_COD))</f>
        <v>110.91527463127</v>
      </c>
      <c r="DJ110" s="28" t="n">
        <f aca="false">In_PPA_Price*(1+In_PPA_Esc)^(DJ$7-YEAR(In_COD))</f>
        <v>110.91527463127</v>
      </c>
      <c r="DK110" s="28" t="n">
        <f aca="false">In_PPA_Price*(1+In_PPA_Esc)^(DK$7-YEAR(In_COD))</f>
        <v>110.91527463127</v>
      </c>
      <c r="DL110" s="28" t="n">
        <f aca="false">In_PPA_Price*(1+In_PPA_Esc)^(DL$7-YEAR(In_COD))</f>
        <v>112.024427377583</v>
      </c>
      <c r="DM110" s="28" t="n">
        <f aca="false">In_PPA_Price*(1+In_PPA_Esc)^(DM$7-YEAR(In_COD))</f>
        <v>112.024427377583</v>
      </c>
      <c r="DN110" s="28" t="n">
        <f aca="false">In_PPA_Price*(1+In_PPA_Esc)^(DN$7-YEAR(In_COD))</f>
        <v>112.024427377583</v>
      </c>
      <c r="DO110" s="28" t="n">
        <f aca="false">In_PPA_Price*(1+In_PPA_Esc)^(DO$7-YEAR(In_COD))</f>
        <v>112.024427377583</v>
      </c>
      <c r="DP110" s="28" t="n">
        <f aca="false">In_PPA_Price*(1+In_PPA_Esc)^(DP$7-YEAR(In_COD))</f>
        <v>113.144671651359</v>
      </c>
      <c r="DQ110" s="28" t="n">
        <f aca="false">In_PPA_Price*(1+In_PPA_Esc)^(DQ$7-YEAR(In_COD))</f>
        <v>113.144671651359</v>
      </c>
      <c r="DR110" s="28" t="n">
        <f aca="false">In_PPA_Price*(1+In_PPA_Esc)^(DR$7-YEAR(In_COD))</f>
        <v>113.144671651359</v>
      </c>
      <c r="DS110" s="28" t="n">
        <f aca="false">In_PPA_Price*(1+In_PPA_Esc)^(DS$7-YEAR(In_COD))</f>
        <v>113.144671651359</v>
      </c>
      <c r="DT110" s="28" t="n">
        <f aca="false">In_PPA_Price*(1+In_PPA_Esc)^(DT$7-YEAR(In_COD))</f>
        <v>114.276118367872</v>
      </c>
      <c r="DU110" s="28" t="n">
        <f aca="false">In_PPA_Price*(1+In_PPA_Esc)^(DU$7-YEAR(In_COD))</f>
        <v>114.276118367872</v>
      </c>
      <c r="DV110" s="28" t="n">
        <f aca="false">In_PPA_Price*(1+In_PPA_Esc)^(DV$7-YEAR(In_COD))</f>
        <v>114.276118367872</v>
      </c>
      <c r="DW110" s="28" t="n">
        <f aca="false">In_PPA_Price*(1+In_PPA_Esc)^(DW$7-YEAR(In_COD))</f>
        <v>114.276118367872</v>
      </c>
      <c r="DX110" s="28" t="n">
        <f aca="false">In_PPA_Price*(1+In_PPA_Esc)^(DX$7-YEAR(In_COD))</f>
        <v>115.418879551551</v>
      </c>
      <c r="DY110" s="28" t="n">
        <f aca="false">In_PPA_Price*(1+In_PPA_Esc)^(DY$7-YEAR(In_COD))</f>
        <v>115.418879551551</v>
      </c>
      <c r="DZ110" s="28" t="n">
        <f aca="false">In_PPA_Price*(1+In_PPA_Esc)^(DZ$7-YEAR(In_COD))</f>
        <v>115.418879551551</v>
      </c>
      <c r="EA110" s="28" t="n">
        <f aca="false">In_PPA_Price*(1+In_PPA_Esc)^(EA$7-YEAR(In_COD))</f>
        <v>115.418879551551</v>
      </c>
      <c r="EB110" s="28" t="n">
        <f aca="false">In_PPA_Price*(1+In_PPA_Esc)^(EB$7-YEAR(In_COD))</f>
        <v>116.573068347067</v>
      </c>
      <c r="EC110" s="28" t="n">
        <f aca="false">In_PPA_Price*(1+In_PPA_Esc)^(EC$7-YEAR(In_COD))</f>
        <v>116.573068347067</v>
      </c>
      <c r="ED110" s="28" t="n">
        <f aca="false">In_PPA_Price*(1+In_PPA_Esc)^(ED$7-YEAR(In_COD))</f>
        <v>116.573068347067</v>
      </c>
      <c r="EE110" s="28" t="n">
        <f aca="false">In_PPA_Price*(1+In_PPA_Esc)^(EE$7-YEAR(In_COD))</f>
        <v>116.573068347067</v>
      </c>
      <c r="EF110" s="28" t="n">
        <f aca="false">In_PPA_Price*(1+In_PPA_Esc)^(EF$7-YEAR(In_COD))</f>
        <v>117.738799030537</v>
      </c>
      <c r="EG110" s="28" t="n">
        <f aca="false">In_PPA_Price*(1+In_PPA_Esc)^(EG$7-YEAR(In_COD))</f>
        <v>117.738799030537</v>
      </c>
      <c r="EH110" s="28" t="n">
        <f aca="false">In_PPA_Price*(1+In_PPA_Esc)^(EH$7-YEAR(In_COD))</f>
        <v>117.738799030537</v>
      </c>
      <c r="EI110" s="28" t="n">
        <f aca="false">In_PPA_Price*(1+In_PPA_Esc)^(EI$7-YEAR(In_COD))</f>
        <v>117.738799030537</v>
      </c>
      <c r="EJ110" s="28" t="n">
        <f aca="false">In_PPA_Price*(1+In_PPA_Esc)^(EJ$7-YEAR(In_COD))</f>
        <v>118.916187020843</v>
      </c>
      <c r="EK110" s="28" t="n">
        <f aca="false">In_PPA_Price*(1+In_PPA_Esc)^(EK$7-YEAR(In_COD))</f>
        <v>118.916187020843</v>
      </c>
      <c r="EL110" s="28" t="n">
        <f aca="false">In_PPA_Price*(1+In_PPA_Esc)^(EL$7-YEAR(In_COD))</f>
        <v>118.916187020843</v>
      </c>
      <c r="EM110" s="28" t="n">
        <f aca="false">In_PPA_Price*(1+In_PPA_Esc)^(EM$7-YEAR(In_COD))</f>
        <v>118.916187020843</v>
      </c>
      <c r="EN110" s="28" t="n">
        <f aca="false">In_PPA_Price*(1+In_PPA_Esc)^(EN$7-YEAR(In_COD))</f>
        <v>120.105348891051</v>
      </c>
      <c r="EO110" s="28" t="n">
        <f aca="false">In_PPA_Price*(1+In_PPA_Esc)^(EO$7-YEAR(In_COD))</f>
        <v>120.105348891051</v>
      </c>
      <c r="EP110" s="28" t="n">
        <f aca="false">In_PPA_Price*(1+In_PPA_Esc)^(EP$7-YEAR(In_COD))</f>
        <v>120.105348891051</v>
      </c>
      <c r="EQ110" s="28" t="n">
        <f aca="false">In_PPA_Price*(1+In_PPA_Esc)^(EQ$7-YEAR(In_COD))</f>
        <v>120.105348891051</v>
      </c>
      <c r="ER110" s="28" t="n">
        <f aca="false">In_PPA_Price*(1+In_PPA_Esc)^(ER$7-YEAR(In_COD))</f>
        <v>121.306402379962</v>
      </c>
      <c r="ES110" s="28" t="n">
        <f aca="false">In_PPA_Price*(1+In_PPA_Esc)^(ES$7-YEAR(In_COD))</f>
        <v>121.306402379962</v>
      </c>
      <c r="ET110" s="28" t="n">
        <f aca="false">In_PPA_Price*(1+In_PPA_Esc)^(ET$7-YEAR(In_COD))</f>
        <v>121.306402379962</v>
      </c>
    </row>
    <row r="111" customFormat="false" ht="15" hidden="false" customHeight="false" outlineLevel="0" collapsed="false">
      <c r="C111" s="0" t="s">
        <v>557</v>
      </c>
      <c r="D111" s="11" t="s">
        <v>492</v>
      </c>
      <c r="I111" s="33" t="n">
        <f aca="false">SUM(J111:ET111)</f>
        <v>6931492.24461103</v>
      </c>
      <c r="J111" s="33" t="n">
        <f aca="false">$F24*In_P50_Hours*(1-In_Curtailment)*(1-$E27)*(1-In_Degradation)^(J108-1)*J15*J$6</f>
        <v>0</v>
      </c>
      <c r="K111" s="33" t="n">
        <f aca="false">$F24*In_P50_Hours*(1-In_Curtailment)*(1-$E27)*(1-In_Degradation)^(K108-1)*K15*K$6</f>
        <v>0</v>
      </c>
      <c r="L111" s="33" t="n">
        <f aca="false">$F24*In_P50_Hours*(1-In_Curtailment)*(1-$E27)*(1-In_Degradation)^(L108-1)*L15*L$6</f>
        <v>0</v>
      </c>
      <c r="M111" s="33" t="n">
        <f aca="false">$F24*In_P50_Hours*(1-In_Curtailment)*(1-$E27)*(1-In_Degradation)^(M108-1)*M15*M$6</f>
        <v>0</v>
      </c>
      <c r="N111" s="33" t="n">
        <f aca="false">$F24*In_P50_Hours*(1-In_Curtailment)*(1-$E27)*(1-In_Degradation)^(N108-1)*N15*N$6</f>
        <v>0</v>
      </c>
      <c r="O111" s="33" t="n">
        <f aca="false">$F24*In_P50_Hours*(1-In_Curtailment)*(1-$E27)*(1-In_Degradation)^(O108-1)*O15*O$6</f>
        <v>0</v>
      </c>
      <c r="P111" s="33" t="n">
        <f aca="false">$F24*In_P50_Hours*(1-In_Curtailment)*(1-$E27)*(1-In_Degradation)^(P108-1)*P15*P$6</f>
        <v>0</v>
      </c>
      <c r="Q111" s="33" t="n">
        <f aca="false">$F24*In_P50_Hours*(1-In_Curtailment)*(1-$E27)*(1-In_Degradation)^(Q108-1)*Q15*Q$6</f>
        <v>0</v>
      </c>
      <c r="R111" s="33" t="n">
        <f aca="false">$F24*In_P50_Hours*(1-In_Curtailment)*(1-$E27)*(1-In_Degradation)^(R108-1)*R15*R$6</f>
        <v>0</v>
      </c>
      <c r="S111" s="33" t="n">
        <f aca="false">$F24*In_P50_Hours*(1-In_Curtailment)*(1-$E27)*(1-In_Degradation)^(S108-1)*S15*S$6</f>
        <v>0</v>
      </c>
      <c r="T111" s="33" t="n">
        <f aca="false">$F24*In_P50_Hours*(1-In_Curtailment)*(1-$E27)*(1-In_Degradation)^(T108-1)*T15*T$6</f>
        <v>0</v>
      </c>
      <c r="U111" s="33" t="n">
        <f aca="false">$F24*In_P50_Hours*(1-In_Curtailment)*(1-$E27)*(1-In_Degradation)^(U108-1)*U15*U$6</f>
        <v>0</v>
      </c>
      <c r="V111" s="33" t="n">
        <f aca="false">$F24*In_P50_Hours*(1-In_Curtailment)*(1-$E27)*(1-In_Degradation)^(V108-1)*V15*V$6</f>
        <v>0</v>
      </c>
      <c r="W111" s="33" t="n">
        <f aca="false">$F24*In_P50_Hours*(1-In_Curtailment)*(1-$E27)*(1-In_Degradation)^(W108-1)*W15*W$6</f>
        <v>0</v>
      </c>
      <c r="X111" s="33" t="n">
        <f aca="false">$F24*In_P50_Hours*(1-In_Curtailment)*(1-$E27)*(1-In_Degradation)^(X108-1)*X15*X$6</f>
        <v>0</v>
      </c>
      <c r="Y111" s="33" t="n">
        <f aca="false">$F24*In_P50_Hours*(1-In_Curtailment)*(1-$E27)*(1-In_Degradation)^(Y108-1)*Y15*Y$6</f>
        <v>0</v>
      </c>
      <c r="Z111" s="33" t="n">
        <f aca="false">$F24*In_P50_Hours*(1-In_Curtailment)*(1-$E27)*(1-In_Degradation)^(Z108-1)*Z15*Z$6</f>
        <v>0</v>
      </c>
      <c r="AA111" s="33" t="n">
        <f aca="false">$F24*In_P50_Hours*(1-In_Curtailment)*(1-$E27)*(1-In_Degradation)^(AA108-1)*AA15*AA$6</f>
        <v>0</v>
      </c>
      <c r="AB111" s="33" t="n">
        <f aca="false">$F24*In_P50_Hours*(1-In_Curtailment)*(1-$E27)*(1-In_Degradation)^(AB108-1)*AB15*AB$6</f>
        <v>0</v>
      </c>
      <c r="AC111" s="33" t="n">
        <f aca="false">$F24*In_P50_Hours*(1-In_Curtailment)*(1-$E27)*(1-In_Degradation)^(AC108-1)*AC15*AC$6</f>
        <v>0</v>
      </c>
      <c r="AD111" s="33" t="n">
        <f aca="false">$F24*In_P50_Hours*(1-In_Curtailment)*(1-$E27)*(1-In_Degradation)^(AD108-1)*AD15*AD$6</f>
        <v>0</v>
      </c>
      <c r="AE111" s="33" t="n">
        <f aca="false">$F24*In_P50_Hours*(1-In_Curtailment)*(1-$E27)*(1-In_Degradation)^(AE108-1)*AE15*AE$6</f>
        <v>60765.3698630137</v>
      </c>
      <c r="AF111" s="33" t="n">
        <f aca="false">$F24*In_P50_Hours*(1-In_Curtailment)*(1-$E27)*(1-In_Degradation)^(AF108-1)*AF15*AF$6</f>
        <v>60104.8767123288</v>
      </c>
      <c r="AG111" s="33" t="n">
        <f aca="false">$F24*In_P50_Hours*(1-In_Curtailment)*(1-$E27)*(1-In_Degradation)^(AG108-1)*AG15*AG$6</f>
        <v>60104.8767123288</v>
      </c>
      <c r="AH111" s="33" t="n">
        <f aca="false">$F24*In_P50_Hours*(1-In_Curtailment)*(1-$E27)*(1-In_Degradation)^(AH108-1)*AH15*AH$6</f>
        <v>60765.3698630137</v>
      </c>
      <c r="AI111" s="33" t="n">
        <f aca="false">$F24*In_P50_Hours*(1-In_Curtailment)*(1-$E27)*(1-In_Degradation)^(AI108-1)*AI15*AI$6</f>
        <v>60583.0737534247</v>
      </c>
      <c r="AJ111" s="33" t="n">
        <f aca="false">$F24*In_P50_Hours*(1-In_Curtailment)*(1-$E27)*(1-In_Degradation)^(AJ108-1)*AJ15*AJ$6</f>
        <v>59266.0504109589</v>
      </c>
      <c r="AK111" s="33" t="n">
        <f aca="false">$F24*In_P50_Hours*(1-In_Curtailment)*(1-$E27)*(1-In_Degradation)^(AK108-1)*AK15*AK$6</f>
        <v>59924.5620821918</v>
      </c>
      <c r="AL111" s="33" t="n">
        <f aca="false">$F24*In_P50_Hours*(1-In_Curtailment)*(1-$E27)*(1-In_Degradation)^(AL108-1)*AL15*AL$6</f>
        <v>60583.0737534247</v>
      </c>
      <c r="AM111" s="33" t="n">
        <f aca="false">$F24*In_P50_Hours*(1-In_Curtailment)*(1-$E27)*(1-In_Degradation)^(AM108-1)*AM15*AM$6</f>
        <v>60401.3245321644</v>
      </c>
      <c r="AN111" s="33" t="n">
        <f aca="false">$F24*In_P50_Hours*(1-In_Curtailment)*(1-$E27)*(1-In_Degradation)^(AN108-1)*AN15*AN$6</f>
        <v>59088.252259726</v>
      </c>
      <c r="AO111" s="33" t="n">
        <f aca="false">$F24*In_P50_Hours*(1-In_Curtailment)*(1-$E27)*(1-In_Degradation)^(AO108-1)*AO15*AO$6</f>
        <v>59744.7883959452</v>
      </c>
      <c r="AP111" s="33" t="n">
        <f aca="false">$F24*In_P50_Hours*(1-In_Curtailment)*(1-$E27)*(1-In_Degradation)^(AP108-1)*AP15*AP$6</f>
        <v>60401.3245321644</v>
      </c>
      <c r="AQ111" s="33" t="n">
        <f aca="false">$F24*In_P50_Hours*(1-In_Curtailment)*(1-$E27)*(1-In_Degradation)^(AQ108-1)*AQ15*AQ$6</f>
        <v>60220.1205585679</v>
      </c>
      <c r="AR111" s="33" t="n">
        <f aca="false">$F24*In_P50_Hours*(1-In_Curtailment)*(1-$E27)*(1-In_Degradation)^(AR108-1)*AR15*AR$6</f>
        <v>58910.9875029468</v>
      </c>
      <c r="AS111" s="33" t="n">
        <f aca="false">$F24*In_P50_Hours*(1-In_Curtailment)*(1-$E27)*(1-In_Degradation)^(AS108-1)*AS15*AS$6</f>
        <v>59565.5540307574</v>
      </c>
      <c r="AT111" s="33" t="n">
        <f aca="false">$F24*In_P50_Hours*(1-In_Curtailment)*(1-$E27)*(1-In_Degradation)^(AT108-1)*AT15*AT$6</f>
        <v>60220.1205585679</v>
      </c>
      <c r="AU111" s="33" t="n">
        <f aca="false">$F24*In_P50_Hours*(1-In_Curtailment)*(1-$E27)*(1-In_Degradation)^(AU108-1)*AU15*AU$6</f>
        <v>60039.4601968922</v>
      </c>
      <c r="AV111" s="33" t="n">
        <f aca="false">$F24*In_P50_Hours*(1-In_Curtailment)*(1-$E27)*(1-In_Degradation)^(AV108-1)*AV15*AV$6</f>
        <v>59386.8573686651</v>
      </c>
      <c r="AW111" s="33" t="n">
        <f aca="false">$F24*In_P50_Hours*(1-In_Curtailment)*(1-$E27)*(1-In_Degradation)^(AW108-1)*AW15*AW$6</f>
        <v>59386.8573686651</v>
      </c>
      <c r="AX111" s="33" t="n">
        <f aca="false">$F24*In_P50_Hours*(1-In_Curtailment)*(1-$E27)*(1-In_Degradation)^(AX108-1)*AX15*AX$6</f>
        <v>60039.4601968922</v>
      </c>
      <c r="AY111" s="33" t="n">
        <f aca="false">$F24*In_P50_Hours*(1-In_Curtailment)*(1-$E27)*(1-In_Degradation)^(AY108-1)*AY15*AY$6</f>
        <v>59859.3418163015</v>
      </c>
      <c r="AZ111" s="33" t="n">
        <f aca="false">$F24*In_P50_Hours*(1-In_Curtailment)*(1-$E27)*(1-In_Degradation)^(AZ108-1)*AZ15*AZ$6</f>
        <v>58558.0517768167</v>
      </c>
      <c r="BA111" s="33" t="n">
        <f aca="false">$F24*In_P50_Hours*(1-In_Curtailment)*(1-$E27)*(1-In_Degradation)^(BA108-1)*BA15*BA$6</f>
        <v>59208.6967965591</v>
      </c>
      <c r="BB111" s="33" t="n">
        <f aca="false">$F24*In_P50_Hours*(1-In_Curtailment)*(1-$E27)*(1-In_Degradation)^(BB108-1)*BB15*BB$6</f>
        <v>59859.3418163015</v>
      </c>
      <c r="BC111" s="33" t="n">
        <f aca="false">$F24*In_P50_Hours*(1-In_Curtailment)*(1-$E27)*(1-In_Degradation)^(BC108-1)*BC15*BC$6</f>
        <v>59679.7637908526</v>
      </c>
      <c r="BD111" s="33" t="n">
        <f aca="false">$F24*In_P50_Hours*(1-In_Curtailment)*(1-$E27)*(1-In_Degradation)^(BD108-1)*BD15*BD$6</f>
        <v>58382.3776214862</v>
      </c>
      <c r="BE111" s="33" t="n">
        <f aca="false">$F24*In_P50_Hours*(1-In_Curtailment)*(1-$E27)*(1-In_Degradation)^(BE108-1)*BE15*BE$6</f>
        <v>59031.0707061694</v>
      </c>
      <c r="BF111" s="33" t="n">
        <f aca="false">$F24*In_P50_Hours*(1-In_Curtailment)*(1-$E27)*(1-In_Degradation)^(BF108-1)*BF15*BF$6</f>
        <v>59679.7637908526</v>
      </c>
      <c r="BG111" s="33" t="n">
        <f aca="false">$F24*In_P50_Hours*(1-In_Curtailment)*(1-$E27)*(1-In_Degradation)^(BG108-1)*BG15*BG$6</f>
        <v>59500.7244994801</v>
      </c>
      <c r="BH111" s="33" t="n">
        <f aca="false">$F24*In_P50_Hours*(1-In_Curtailment)*(1-$E27)*(1-In_Degradation)^(BH108-1)*BH15*BH$6</f>
        <v>58207.2304886218</v>
      </c>
      <c r="BI111" s="33" t="n">
        <f aca="false">$F24*In_P50_Hours*(1-In_Curtailment)*(1-$E27)*(1-In_Degradation)^(BI108-1)*BI15*BI$6</f>
        <v>58853.9774940509</v>
      </c>
      <c r="BJ111" s="33" t="n">
        <f aca="false">$F24*In_P50_Hours*(1-In_Curtailment)*(1-$E27)*(1-In_Degradation)^(BJ108-1)*BJ15*BJ$6</f>
        <v>59500.7244994801</v>
      </c>
      <c r="BK111" s="33" t="n">
        <f aca="false">$F24*In_P50_Hours*(1-In_Curtailment)*(1-$E27)*(1-In_Degradation)^(BK108-1)*BK15*BK$6</f>
        <v>59322.2223259816</v>
      </c>
      <c r="BL111" s="33" t="n">
        <f aca="false">$F24*In_P50_Hours*(1-In_Curtailment)*(1-$E27)*(1-In_Degradation)^(BL108-1)*BL15*BL$6</f>
        <v>58677.4155615688</v>
      </c>
      <c r="BM111" s="33" t="n">
        <f aca="false">$F24*In_P50_Hours*(1-In_Curtailment)*(1-$E27)*(1-In_Degradation)^(BM108-1)*BM15*BM$6</f>
        <v>58677.4155615688</v>
      </c>
      <c r="BN111" s="33" t="n">
        <f aca="false">$F24*In_P50_Hours*(1-In_Curtailment)*(1-$E27)*(1-In_Degradation)^(BN108-1)*BN15*BN$6</f>
        <v>59322.2223259816</v>
      </c>
      <c r="BO111" s="33" t="n">
        <f aca="false">$F24*In_P50_Hours*(1-In_Curtailment)*(1-$E27)*(1-In_Degradation)^(BO108-1)*BO15*BO$6</f>
        <v>59144.2556590037</v>
      </c>
      <c r="BP111" s="33" t="n">
        <f aca="false">$F24*In_P50_Hours*(1-In_Curtailment)*(1-$E27)*(1-In_Degradation)^(BP108-1)*BP15*BP$6</f>
        <v>57858.5109707644</v>
      </c>
      <c r="BQ111" s="33" t="n">
        <f aca="false">$F24*In_P50_Hours*(1-In_Curtailment)*(1-$E27)*(1-In_Degradation)^(BQ108-1)*BQ15*BQ$6</f>
        <v>58501.3833148841</v>
      </c>
      <c r="BR111" s="33" t="n">
        <f aca="false">$F24*In_P50_Hours*(1-In_Curtailment)*(1-$E27)*(1-In_Degradation)^(BR108-1)*BR15*BR$6</f>
        <v>59144.2556590037</v>
      </c>
      <c r="BS111" s="33" t="n">
        <f aca="false">$F24*In_P50_Hours*(1-In_Curtailment)*(1-$E27)*(1-In_Degradation)^(BS108-1)*BS15*BS$6</f>
        <v>58966.8228920267</v>
      </c>
      <c r="BT111" s="33" t="n">
        <f aca="false">$F24*In_P50_Hours*(1-In_Curtailment)*(1-$E27)*(1-In_Degradation)^(BT108-1)*BT15*BT$6</f>
        <v>57684.9354378522</v>
      </c>
      <c r="BU111" s="33" t="n">
        <f aca="false">$F24*In_P50_Hours*(1-In_Curtailment)*(1-$E27)*(1-In_Degradation)^(BU108-1)*BU15*BU$6</f>
        <v>58325.8791649394</v>
      </c>
      <c r="BV111" s="33" t="n">
        <f aca="false">$F24*In_P50_Hours*(1-In_Curtailment)*(1-$E27)*(1-In_Degradation)^(BV108-1)*BV15*BV$6</f>
        <v>58966.8228920267</v>
      </c>
      <c r="BW111" s="33" t="n">
        <f aca="false">$F24*In_P50_Hours*(1-In_Curtailment)*(1-$E27)*(1-In_Degradation)^(BW108-1)*BW15*BW$6</f>
        <v>58789.9224233506</v>
      </c>
      <c r="BX111" s="33" t="n">
        <f aca="false">$F24*In_P50_Hours*(1-In_Curtailment)*(1-$E27)*(1-In_Degradation)^(BX108-1)*BX15*BX$6</f>
        <v>57511.8806315386</v>
      </c>
      <c r="BY111" s="33" t="n">
        <f aca="false">$F24*In_P50_Hours*(1-In_Curtailment)*(1-$E27)*(1-In_Degradation)^(BY108-1)*BY15*BY$6</f>
        <v>58150.9015274446</v>
      </c>
      <c r="BZ111" s="33" t="n">
        <f aca="false">$F24*In_P50_Hours*(1-In_Curtailment)*(1-$E27)*(1-In_Degradation)^(BZ108-1)*BZ15*BZ$6</f>
        <v>58789.9224233506</v>
      </c>
      <c r="CA111" s="33" t="n">
        <f aca="false">$F24*In_P50_Hours*(1-In_Curtailment)*(1-$E27)*(1-In_Degradation)^(CA108-1)*CA15*CA$6</f>
        <v>58613.5526560805</v>
      </c>
      <c r="CB111" s="33" t="n">
        <f aca="false">$F24*In_P50_Hours*(1-In_Curtailment)*(1-$E27)*(1-In_Degradation)^(CB108-1)*CB15*CB$6</f>
        <v>57976.4488228623</v>
      </c>
      <c r="CC111" s="33" t="n">
        <f aca="false">$F24*In_P50_Hours*(1-In_Curtailment)*(1-$E27)*(1-In_Degradation)^(CC108-1)*CC15*CC$6</f>
        <v>57976.4488228623</v>
      </c>
      <c r="CD111" s="33" t="n">
        <f aca="false">$F24*In_P50_Hours*(1-In_Curtailment)*(1-$E27)*(1-In_Degradation)^(CD108-1)*CD15*CD$6</f>
        <v>58613.5526560805</v>
      </c>
      <c r="CE111" s="33" t="n">
        <f aca="false">$F24*In_P50_Hours*(1-In_Curtailment)*(1-$E27)*(1-In_Degradation)^(CE108-1)*CE15*CE$6</f>
        <v>58437.7119981123</v>
      </c>
      <c r="CF111" s="33" t="n">
        <f aca="false">$F24*In_P50_Hours*(1-In_Curtailment)*(1-$E27)*(1-In_Degradation)^(CF108-1)*CF15*CF$6</f>
        <v>57167.326954675</v>
      </c>
      <c r="CG111" s="33" t="n">
        <f aca="false">$F24*In_P50_Hours*(1-In_Curtailment)*(1-$E27)*(1-In_Degradation)^(CG108-1)*CG15*CG$6</f>
        <v>57802.5194763937</v>
      </c>
      <c r="CH111" s="33" t="n">
        <f aca="false">$F24*In_P50_Hours*(1-In_Curtailment)*(1-$E27)*(1-In_Degradation)^(CH108-1)*CH15*CH$6</f>
        <v>58437.7119981123</v>
      </c>
      <c r="CI111" s="33" t="n">
        <f aca="false">$F24*In_P50_Hours*(1-In_Curtailment)*(1-$E27)*(1-In_Degradation)^(CI108-1)*CI15*CI$6</f>
        <v>58262.398862118</v>
      </c>
      <c r="CJ111" s="33" t="n">
        <f aca="false">$F24*In_P50_Hours*(1-In_Curtailment)*(1-$E27)*(1-In_Degradation)^(CJ108-1)*CJ15*CJ$6</f>
        <v>56995.824973811</v>
      </c>
      <c r="CK111" s="33" t="n">
        <f aca="false">$F24*In_P50_Hours*(1-In_Curtailment)*(1-$E27)*(1-In_Degradation)^(CK108-1)*CK15*CK$6</f>
        <v>57629.1119179645</v>
      </c>
      <c r="CL111" s="33" t="n">
        <f aca="false">$F24*In_P50_Hours*(1-In_Curtailment)*(1-$E27)*(1-In_Degradation)^(CL108-1)*CL15*CL$6</f>
        <v>58262.398862118</v>
      </c>
      <c r="CM111" s="33" t="n">
        <f aca="false">$F24*In_P50_Hours*(1-In_Curtailment)*(1-$E27)*(1-In_Degradation)^(CM108-1)*CM15*CM$6</f>
        <v>58087.6116655316</v>
      </c>
      <c r="CN111" s="33" t="n">
        <f aca="false">$F24*In_P50_Hours*(1-In_Curtailment)*(1-$E27)*(1-In_Degradation)^(CN108-1)*CN15*CN$6</f>
        <v>56824.8374988896</v>
      </c>
      <c r="CO111" s="33" t="n">
        <f aca="false">$F24*In_P50_Hours*(1-In_Curtailment)*(1-$E27)*(1-In_Degradation)^(CO108-1)*CO15*CO$6</f>
        <v>57456.2245822106</v>
      </c>
      <c r="CP111" s="33" t="n">
        <f aca="false">$F24*In_P50_Hours*(1-In_Curtailment)*(1-$E27)*(1-In_Degradation)^(CP108-1)*CP15*CP$6</f>
        <v>58087.6116655316</v>
      </c>
      <c r="CQ111" s="33" t="n">
        <f aca="false">$F24*In_P50_Hours*(1-In_Curtailment)*(1-$E27)*(1-In_Degradation)^(CQ108-1)*CQ15*CQ$6</f>
        <v>57913.348830535</v>
      </c>
      <c r="CR111" s="33" t="n">
        <f aca="false">$F24*In_P50_Hours*(1-In_Curtailment)*(1-$E27)*(1-In_Degradation)^(CR108-1)*CR15*CR$6</f>
        <v>57283.855908464</v>
      </c>
      <c r="CS111" s="33" t="n">
        <f aca="false">$F24*In_P50_Hours*(1-In_Curtailment)*(1-$E27)*(1-In_Degradation)^(CS108-1)*CS15*CS$6</f>
        <v>57283.855908464</v>
      </c>
      <c r="CT111" s="33" t="n">
        <f aca="false">$F24*In_P50_Hours*(1-In_Curtailment)*(1-$E27)*(1-In_Degradation)^(CT108-1)*CT15*CT$6</f>
        <v>57913.348830535</v>
      </c>
      <c r="CU111" s="33" t="n">
        <f aca="false">$F24*In_P50_Hours*(1-In_Curtailment)*(1-$E27)*(1-In_Degradation)^(CU108-1)*CU15*CU$6</f>
        <v>57739.6087840434</v>
      </c>
      <c r="CV111" s="33" t="n">
        <f aca="false">$F24*In_P50_Hours*(1-In_Curtailment)*(1-$E27)*(1-In_Degradation)^(CV108-1)*CV15*CV$6</f>
        <v>56484.3998974337</v>
      </c>
      <c r="CW111" s="33" t="n">
        <f aca="false">$F24*In_P50_Hours*(1-In_Curtailment)*(1-$E27)*(1-In_Degradation)^(CW108-1)*CW15*CW$6</f>
        <v>57112.0043407386</v>
      </c>
      <c r="CX111" s="33" t="n">
        <f aca="false">$F24*In_P50_Hours*(1-In_Curtailment)*(1-$E27)*(1-In_Degradation)^(CX108-1)*CX15*CX$6</f>
        <v>57739.6087840434</v>
      </c>
      <c r="CY111" s="33" t="n">
        <f aca="false">$F24*In_P50_Hours*(1-In_Curtailment)*(1-$E27)*(1-In_Degradation)^(CY108-1)*CY15*CY$6</f>
        <v>57566.3899576913</v>
      </c>
      <c r="CZ111" s="33" t="n">
        <f aca="false">$F24*In_P50_Hours*(1-In_Curtailment)*(1-$E27)*(1-In_Degradation)^(CZ108-1)*CZ15*CZ$6</f>
        <v>56314.9466977414</v>
      </c>
      <c r="DA111" s="33" t="n">
        <f aca="false">$F24*In_P50_Hours*(1-In_Curtailment)*(1-$E27)*(1-In_Degradation)^(DA108-1)*DA15*DA$6</f>
        <v>56940.6683277164</v>
      </c>
      <c r="DB111" s="33" t="n">
        <f aca="false">$F24*In_P50_Hours*(1-In_Curtailment)*(1-$E27)*(1-In_Degradation)^(DB108-1)*DB15*DB$6</f>
        <v>57566.3899576913</v>
      </c>
      <c r="DC111" s="33" t="n">
        <f aca="false">$F24*In_P50_Hours*(1-In_Curtailment)*(1-$E27)*(1-In_Degradation)^(DC108-1)*DC15*DC$6</f>
        <v>57393.6907878182</v>
      </c>
      <c r="DD111" s="33" t="n">
        <f aca="false">$F24*In_P50_Hours*(1-In_Curtailment)*(1-$E27)*(1-In_Degradation)^(DD108-1)*DD15*DD$6</f>
        <v>56146.0018576482</v>
      </c>
      <c r="DE111" s="33" t="n">
        <f aca="false">$F24*In_P50_Hours*(1-In_Curtailment)*(1-$E27)*(1-In_Degradation)^(DE108-1)*DE15*DE$6</f>
        <v>56769.8463227332</v>
      </c>
      <c r="DF111" s="33" t="n">
        <f aca="false">$F24*In_P50_Hours*(1-In_Curtailment)*(1-$E27)*(1-In_Degradation)^(DF108-1)*DF15*DF$6</f>
        <v>57393.6907878182</v>
      </c>
      <c r="DG111" s="33" t="n">
        <f aca="false">$F24*In_P50_Hours*(1-In_Curtailment)*(1-$E27)*(1-In_Degradation)^(DG108-1)*DG15*DG$6</f>
        <v>57221.5097154547</v>
      </c>
      <c r="DH111" s="33" t="n">
        <f aca="false">$F24*In_P50_Hours*(1-In_Curtailment)*(1-$E27)*(1-In_Degradation)^(DH108-1)*DH15*DH$6</f>
        <v>56599.536783765</v>
      </c>
      <c r="DI111" s="33" t="n">
        <f aca="false">$F24*In_P50_Hours*(1-In_Curtailment)*(1-$E27)*(1-In_Degradation)^(DI108-1)*DI15*DI$6</f>
        <v>56599.536783765</v>
      </c>
      <c r="DJ111" s="33" t="n">
        <f aca="false">$F24*In_P50_Hours*(1-In_Curtailment)*(1-$E27)*(1-In_Degradation)^(DJ108-1)*DJ15*DJ$6</f>
        <v>57221.5097154547</v>
      </c>
      <c r="DK111" s="33" t="n">
        <f aca="false">$F24*In_P50_Hours*(1-In_Curtailment)*(1-$E27)*(1-In_Degradation)^(DK108-1)*DK15*DK$6</f>
        <v>57049.8451863084</v>
      </c>
      <c r="DL111" s="33" t="n">
        <f aca="false">$F24*In_P50_Hours*(1-In_Curtailment)*(1-$E27)*(1-In_Degradation)^(DL108-1)*DL15*DL$6</f>
        <v>55809.6311605191</v>
      </c>
      <c r="DM111" s="33" t="n">
        <f aca="false">$F24*In_P50_Hours*(1-In_Curtailment)*(1-$E27)*(1-In_Degradation)^(DM108-1)*DM15*DM$6</f>
        <v>56429.7381734137</v>
      </c>
      <c r="DN111" s="33" t="n">
        <f aca="false">$F24*In_P50_Hours*(1-In_Curtailment)*(1-$E27)*(1-In_Degradation)^(DN108-1)*DN15*DN$6</f>
        <v>57049.8451863084</v>
      </c>
      <c r="DO111" s="33" t="n">
        <f aca="false">$F24*In_P50_Hours*(1-In_Curtailment)*(1-$E27)*(1-In_Degradation)^(DO108-1)*DO15*DO$6</f>
        <v>56878.6956507494</v>
      </c>
      <c r="DP111" s="33" t="n">
        <f aca="false">$F24*In_P50_Hours*(1-In_Curtailment)*(1-$E27)*(1-In_Degradation)^(DP108-1)*DP15*DP$6</f>
        <v>55642.2022670375</v>
      </c>
      <c r="DQ111" s="33" t="n">
        <f aca="false">$F24*In_P50_Hours*(1-In_Curtailment)*(1-$E27)*(1-In_Degradation)^(DQ108-1)*DQ15*DQ$6</f>
        <v>56260.4489588935</v>
      </c>
      <c r="DR111" s="33" t="n">
        <f aca="false">$F24*In_P50_Hours*(1-In_Curtailment)*(1-$E27)*(1-In_Degradation)^(DR108-1)*DR15*DR$6</f>
        <v>56878.6956507494</v>
      </c>
      <c r="DS111" s="33" t="n">
        <f aca="false">$F24*In_P50_Hours*(1-In_Curtailment)*(1-$E27)*(1-In_Degradation)^(DS108-1)*DS15*DS$6</f>
        <v>56708.0595637972</v>
      </c>
      <c r="DT111" s="33" t="n">
        <f aca="false">$F24*In_P50_Hours*(1-In_Curtailment)*(1-$E27)*(1-In_Degradation)^(DT108-1)*DT15*DT$6</f>
        <v>55475.2756602364</v>
      </c>
      <c r="DU111" s="33" t="n">
        <f aca="false">$F24*In_P50_Hours*(1-In_Curtailment)*(1-$E27)*(1-In_Degradation)^(DU108-1)*DU15*DU$6</f>
        <v>56091.6676120168</v>
      </c>
      <c r="DV111" s="33" t="n">
        <f aca="false">$F24*In_P50_Hours*(1-In_Curtailment)*(1-$E27)*(1-In_Degradation)^(DV108-1)*DV15*DV$6</f>
        <v>56708.0595637972</v>
      </c>
      <c r="DW111" s="33" t="n">
        <f aca="false">$F24*In_P50_Hours*(1-In_Curtailment)*(1-$E27)*(1-In_Degradation)^(DW108-1)*DW15*DW$6</f>
        <v>56537.9353851058</v>
      </c>
      <c r="DX111" s="33" t="n">
        <f aca="false">$F24*In_P50_Hours*(1-In_Curtailment)*(1-$E27)*(1-In_Degradation)^(DX108-1)*DX15*DX$6</f>
        <v>55923.3926091807</v>
      </c>
      <c r="DY111" s="33" t="n">
        <f aca="false">$F24*In_P50_Hours*(1-In_Curtailment)*(1-$E27)*(1-In_Degradation)^(DY108-1)*DY15*DY$6</f>
        <v>55923.3926091807</v>
      </c>
      <c r="DZ111" s="33" t="n">
        <f aca="false">$F24*In_P50_Hours*(1-In_Curtailment)*(1-$E27)*(1-In_Degradation)^(DZ108-1)*DZ15*DZ$6</f>
        <v>56537.9353851058</v>
      </c>
      <c r="EA111" s="33" t="n">
        <f aca="false">$F24*In_P50_Hours*(1-In_Curtailment)*(1-$E27)*(1-In_Degradation)^(EA108-1)*EA15*EA$6</f>
        <v>56368.3215789505</v>
      </c>
      <c r="EB111" s="33" t="n">
        <f aca="false">$F24*In_P50_Hours*(1-In_Curtailment)*(1-$E27)*(1-In_Degradation)^(EB108-1)*EB15*EB$6</f>
        <v>55142.9232837559</v>
      </c>
      <c r="EC111" s="33" t="n">
        <f aca="false">$F24*In_P50_Hours*(1-In_Curtailment)*(1-$E27)*(1-In_Degradation)^(EC108-1)*EC15*EC$6</f>
        <v>55755.6224313532</v>
      </c>
      <c r="ED111" s="33" t="n">
        <f aca="false">$F24*In_P50_Hours*(1-In_Curtailment)*(1-$E27)*(1-In_Degradation)^(ED108-1)*ED15*ED$6</f>
        <v>56368.3215789505</v>
      </c>
      <c r="EE111" s="33" t="n">
        <f aca="false">$F24*In_P50_Hours*(1-In_Curtailment)*(1-$E27)*(1-In_Degradation)^(EE108-1)*EE15*EE$6</f>
        <v>56199.2166142136</v>
      </c>
      <c r="EF111" s="33" t="n">
        <f aca="false">$F24*In_P50_Hours*(1-In_Curtailment)*(1-$E27)*(1-In_Degradation)^(EF108-1)*EF15*EF$6</f>
        <v>54977.4945139046</v>
      </c>
      <c r="EG111" s="33" t="n">
        <f aca="false">$F24*In_P50_Hours*(1-In_Curtailment)*(1-$E27)*(1-In_Degradation)^(EG108-1)*EG15*EG$6</f>
        <v>55588.3555640591</v>
      </c>
      <c r="EH111" s="33" t="n">
        <f aca="false">$F24*In_P50_Hours*(1-In_Curtailment)*(1-$E27)*(1-In_Degradation)^(EH108-1)*EH15*EH$6</f>
        <v>56199.2166142136</v>
      </c>
      <c r="EI111" s="33" t="n">
        <f aca="false">$F24*In_P50_Hours*(1-In_Curtailment)*(1-$E27)*(1-In_Degradation)^(EI108-1)*EI15*EI$6</f>
        <v>56030.618964371</v>
      </c>
      <c r="EJ111" s="33" t="n">
        <f aca="false">$F24*In_P50_Hours*(1-In_Curtailment)*(1-$E27)*(1-In_Degradation)^(EJ108-1)*EJ15*EJ$6</f>
        <v>54812.5620303629</v>
      </c>
      <c r="EK111" s="33" t="n">
        <f aca="false">$F24*In_P50_Hours*(1-In_Curtailment)*(1-$E27)*(1-In_Degradation)^(EK108-1)*EK15*EK$6</f>
        <v>55421.590497367</v>
      </c>
      <c r="EL111" s="33" t="n">
        <f aca="false">$F24*In_P50_Hours*(1-In_Curtailment)*(1-$E27)*(1-In_Degradation)^(EL108-1)*EL15*EL$6</f>
        <v>56030.618964371</v>
      </c>
      <c r="EM111" s="33" t="n">
        <f aca="false">$F24*In_P50_Hours*(1-In_Curtailment)*(1-$E27)*(1-In_Degradation)^(EM108-1)*EM15*EM$6</f>
        <v>55862.5271074779</v>
      </c>
      <c r="EN111" s="33" t="n">
        <f aca="false">$F24*In_P50_Hours*(1-In_Curtailment)*(1-$E27)*(1-In_Degradation)^(EN108-1)*EN15*EN$6</f>
        <v>55255.3257258749</v>
      </c>
      <c r="EO111" s="33" t="n">
        <f aca="false">$F24*In_P50_Hours*(1-In_Curtailment)*(1-$E27)*(1-In_Degradation)^(EO108-1)*EO15*EO$6</f>
        <v>55255.3257258749</v>
      </c>
      <c r="EP111" s="33" t="n">
        <f aca="false">$F24*In_P50_Hours*(1-In_Curtailment)*(1-$E27)*(1-In_Degradation)^(EP108-1)*EP15*EP$6</f>
        <v>55862.5271074779</v>
      </c>
      <c r="EQ111" s="33" t="n">
        <f aca="false">$F24*In_P50_Hours*(1-In_Curtailment)*(1-$E27)*(1-In_Degradation)^(EQ108-1)*EQ15*EQ$6</f>
        <v>55694.9395261554</v>
      </c>
      <c r="ER111" s="33" t="n">
        <f aca="false">$F24*In_P50_Hours*(1-In_Curtailment)*(1-$E27)*(1-In_Degradation)^(ER108-1)*ER15*ER$6</f>
        <v>54484.179971239</v>
      </c>
      <c r="ES111" s="33" t="n">
        <f aca="false">$F24*In_P50_Hours*(1-In_Curtailment)*(1-$E27)*(1-In_Degradation)^(ES108-1)*ES15*ES$6</f>
        <v>55089.5597486972</v>
      </c>
      <c r="ET111" s="33" t="n">
        <f aca="false">$F24*In_P50_Hours*(1-In_Curtailment)*(1-$E27)*(1-In_Degradation)^(ET108-1)*ET15*ET$6</f>
        <v>55694.9395261554</v>
      </c>
    </row>
    <row r="112" customFormat="false" ht="15" hidden="false" customHeight="false" outlineLevel="0" collapsed="false">
      <c r="C112" s="0" t="s">
        <v>558</v>
      </c>
      <c r="D112" s="11" t="s">
        <v>247</v>
      </c>
      <c r="I112" s="33" t="n">
        <f aca="false">SUM(J112:ET112)</f>
        <v>727113.739439716</v>
      </c>
      <c r="J112" s="33" t="n">
        <f aca="false">J111*J110/Thousand</f>
        <v>0</v>
      </c>
      <c r="K112" s="33" t="n">
        <f aca="false">K111*K110/Thousand</f>
        <v>0</v>
      </c>
      <c r="L112" s="33" t="n">
        <f aca="false">L111*L110/Thousand</f>
        <v>0</v>
      </c>
      <c r="M112" s="33" t="n">
        <f aca="false">M111*M110/Thousand</f>
        <v>0</v>
      </c>
      <c r="N112" s="33" t="n">
        <f aca="false">N111*N110/Thousand</f>
        <v>0</v>
      </c>
      <c r="O112" s="33" t="n">
        <f aca="false">O111*O110/Thousand</f>
        <v>0</v>
      </c>
      <c r="P112" s="33" t="n">
        <f aca="false">P111*P110/Thousand</f>
        <v>0</v>
      </c>
      <c r="Q112" s="33" t="n">
        <f aca="false">Q111*Q110/Thousand</f>
        <v>0</v>
      </c>
      <c r="R112" s="33" t="n">
        <f aca="false">R111*R110/Thousand</f>
        <v>0</v>
      </c>
      <c r="S112" s="33" t="n">
        <f aca="false">S111*S110/Thousand</f>
        <v>0</v>
      </c>
      <c r="T112" s="33" t="n">
        <f aca="false">T111*T110/Thousand</f>
        <v>0</v>
      </c>
      <c r="U112" s="33" t="n">
        <f aca="false">U111*U110/Thousand</f>
        <v>0</v>
      </c>
      <c r="V112" s="33" t="n">
        <f aca="false">V111*V110/Thousand</f>
        <v>0</v>
      </c>
      <c r="W112" s="33" t="n">
        <f aca="false">W111*W110/Thousand</f>
        <v>0</v>
      </c>
      <c r="X112" s="33" t="n">
        <f aca="false">X111*X110/Thousand</f>
        <v>0</v>
      </c>
      <c r="Y112" s="33" t="n">
        <f aca="false">Y111*Y110/Thousand</f>
        <v>0</v>
      </c>
      <c r="Z112" s="33" t="n">
        <f aca="false">Z111*Z110/Thousand</f>
        <v>0</v>
      </c>
      <c r="AA112" s="33" t="n">
        <f aca="false">AA111*AA110/Thousand</f>
        <v>0</v>
      </c>
      <c r="AB112" s="33" t="n">
        <f aca="false">AB111*AB110/Thousand</f>
        <v>0</v>
      </c>
      <c r="AC112" s="33" t="n">
        <f aca="false">AC111*AC110/Thousand</f>
        <v>0</v>
      </c>
      <c r="AD112" s="33" t="n">
        <f aca="false">AD111*AD110/Thousand</f>
        <v>0</v>
      </c>
      <c r="AE112" s="33" t="n">
        <f aca="false">AE111*AE110/Thousand</f>
        <v>5468.88328767123</v>
      </c>
      <c r="AF112" s="33" t="n">
        <f aca="false">AF111*AF110/Thousand</f>
        <v>5463.53329315069</v>
      </c>
      <c r="AG112" s="33" t="n">
        <f aca="false">AG111*AG110/Thousand</f>
        <v>5463.53329315069</v>
      </c>
      <c r="AH112" s="33" t="n">
        <f aca="false">AH111*AH110/Thousand</f>
        <v>5523.57212054795</v>
      </c>
      <c r="AI112" s="33" t="n">
        <f aca="false">AI111*AI110/Thousand</f>
        <v>5507.0014041863</v>
      </c>
      <c r="AJ112" s="33" t="n">
        <f aca="false">AJ111*AJ110/Thousand</f>
        <v>5441.15682217973</v>
      </c>
      <c r="AK112" s="33" t="n">
        <f aca="false">AK111*AK110/Thousand</f>
        <v>5501.61412020395</v>
      </c>
      <c r="AL112" s="33" t="n">
        <f aca="false">AL111*AL110/Thousand</f>
        <v>5562.07141822817</v>
      </c>
      <c r="AM112" s="33" t="n">
        <f aca="false">AM111*AM110/Thousand</f>
        <v>5545.38520397348</v>
      </c>
      <c r="AN112" s="33" t="n">
        <f aca="false">AN111*AN110/Thousand</f>
        <v>5479.08168523032</v>
      </c>
      <c r="AO112" s="33" t="n">
        <f aca="false">AO111*AO110/Thousand</f>
        <v>5539.96037062177</v>
      </c>
      <c r="AP112" s="33" t="n">
        <f aca="false">AP111*AP110/Thousand</f>
        <v>5600.83905601322</v>
      </c>
      <c r="AQ112" s="33" t="n">
        <f aca="false">AQ111*AQ110/Thousand</f>
        <v>5584.03653884518</v>
      </c>
      <c r="AR112" s="33" t="n">
        <f aca="false">AR111*AR110/Thousand</f>
        <v>5517.27088457637</v>
      </c>
      <c r="AS112" s="33" t="n">
        <f aca="false">AS111*AS110/Thousand</f>
        <v>5578.573894405</v>
      </c>
      <c r="AT112" s="33" t="n">
        <f aca="false">AT111*AT110/Thousand</f>
        <v>5639.87690423363</v>
      </c>
      <c r="AU112" s="33" t="n">
        <f aca="false">AU111*AU110/Thousand</f>
        <v>5622.95727352093</v>
      </c>
      <c r="AV112" s="33" t="n">
        <f aca="false">AV111*AV110/Thousand</f>
        <v>5617.456554449</v>
      </c>
      <c r="AW112" s="33" t="n">
        <f aca="false">AW111*AW110/Thousand</f>
        <v>5617.456554449</v>
      </c>
      <c r="AX112" s="33" t="n">
        <f aca="false">AX111*AX110/Thousand</f>
        <v>5679.18684625614</v>
      </c>
      <c r="AY112" s="33" t="n">
        <f aca="false">AY111*AY110/Thousand</f>
        <v>5662.14928571737</v>
      </c>
      <c r="AZ112" s="33" t="n">
        <f aca="false">AZ111*AZ110/Thousand</f>
        <v>5594.44967469249</v>
      </c>
      <c r="BA112" s="33" t="n">
        <f aca="false">BA111*BA110/Thousand</f>
        <v>5656.61022663352</v>
      </c>
      <c r="BB112" s="33" t="n">
        <f aca="false">BB111*BB110/Thousand</f>
        <v>5718.77077857454</v>
      </c>
      <c r="BC112" s="33" t="n">
        <f aca="false">BC111*BC110/Thousand</f>
        <v>5701.61446623882</v>
      </c>
      <c r="BD112" s="33" t="n">
        <f aca="false">BD111*BD110/Thousand</f>
        <v>5633.44298892509</v>
      </c>
      <c r="BE112" s="33" t="n">
        <f aca="false">BE111*BE110/Thousand</f>
        <v>5696.03679991315</v>
      </c>
      <c r="BF112" s="33" t="n">
        <f aca="false">BF111*BF110/Thousand</f>
        <v>5758.63061090121</v>
      </c>
      <c r="BG112" s="33" t="n">
        <f aca="false">BG111*BG110/Thousand</f>
        <v>5741.3547190685</v>
      </c>
      <c r="BH112" s="33" t="n">
        <f aca="false">BH111*BH110/Thousand</f>
        <v>5672.7080865579</v>
      </c>
      <c r="BI112" s="33" t="n">
        <f aca="false">BI111*BI110/Thousand</f>
        <v>5735.73817640854</v>
      </c>
      <c r="BJ112" s="33" t="n">
        <f aca="false">BJ111*BJ110/Thousand</f>
        <v>5798.76826625919</v>
      </c>
      <c r="BK112" s="33" t="n">
        <f aca="false">BK111*BK110/Thousand</f>
        <v>5781.37196146041</v>
      </c>
      <c r="BL112" s="33" t="n">
        <f aca="false">BL111*BL110/Thousand</f>
        <v>5775.71627149811</v>
      </c>
      <c r="BM112" s="33" t="n">
        <f aca="false">BM111*BM110/Thousand</f>
        <v>5775.71627149811</v>
      </c>
      <c r="BN112" s="33" t="n">
        <f aca="false">BN111*BN110/Thousand</f>
        <v>5839.18568107501</v>
      </c>
      <c r="BO112" s="33" t="n">
        <f aca="false">BO111*BO110/Thousand</f>
        <v>5821.66812403179</v>
      </c>
      <c r="BP112" s="33" t="n">
        <f aca="false">BP111*BP110/Thousand</f>
        <v>5752.0612225488</v>
      </c>
      <c r="BQ112" s="33" t="n">
        <f aca="false">BQ111*BQ110/Thousand</f>
        <v>5815.97301391045</v>
      </c>
      <c r="BR112" s="33" t="n">
        <f aca="false">BR111*BR110/Thousand</f>
        <v>5879.88480527211</v>
      </c>
      <c r="BS112" s="33" t="n">
        <f aca="false">BS111*BS110/Thousand</f>
        <v>5862.24515085629</v>
      </c>
      <c r="BT112" s="33" t="n">
        <f aca="false">BT111*BT110/Thousand</f>
        <v>5792.15308926996</v>
      </c>
      <c r="BU112" s="33" t="n">
        <f aca="false">BU111*BU110/Thousand</f>
        <v>5856.51034581741</v>
      </c>
      <c r="BV112" s="33" t="n">
        <f aca="false">BV111*BV110/Thousand</f>
        <v>5920.86760236485</v>
      </c>
      <c r="BW112" s="33" t="n">
        <f aca="false">BW111*BW110/Thousand</f>
        <v>5903.10499955776</v>
      </c>
      <c r="BX112" s="33" t="n">
        <f aca="false">BX111*BX110/Thousand</f>
        <v>5832.52439630218</v>
      </c>
      <c r="BY112" s="33" t="n">
        <f aca="false">BY111*BY110/Thousand</f>
        <v>5897.33022292776</v>
      </c>
      <c r="BZ112" s="33" t="n">
        <f aca="false">BZ111*BZ110/Thousand</f>
        <v>5962.13604955334</v>
      </c>
      <c r="CA112" s="33" t="n">
        <f aca="false">CA111*CA110/Thousand</f>
        <v>5944.24964140468</v>
      </c>
      <c r="CB112" s="33" t="n">
        <f aca="false">CB111*CB110/Thousand</f>
        <v>5938.43461458156</v>
      </c>
      <c r="CC112" s="33" t="n">
        <f aca="false">CC111*CC110/Thousand</f>
        <v>5938.43461458156</v>
      </c>
      <c r="CD112" s="33" t="n">
        <f aca="false">CD111*CD110/Thousand</f>
        <v>6003.69213781872</v>
      </c>
      <c r="CE112" s="33" t="n">
        <f aca="false">CE111*CE110/Thousand</f>
        <v>5985.68106140527</v>
      </c>
      <c r="CF112" s="33" t="n">
        <f aca="false">CF111*CF110/Thousand</f>
        <v>5914.11313567107</v>
      </c>
      <c r="CG112" s="33" t="n">
        <f aca="false">CG111*CG110/Thousand</f>
        <v>5979.8255038452</v>
      </c>
      <c r="CH112" s="33" t="n">
        <f aca="false">CH111*CH110/Thousand</f>
        <v>6045.53787201932</v>
      </c>
      <c r="CI112" s="33" t="n">
        <f aca="false">CI111*CI110/Thousand</f>
        <v>6027.40125840326</v>
      </c>
      <c r="CJ112" s="33" t="n">
        <f aca="false">CJ111*CJ110/Thousand</f>
        <v>5955.3345042267</v>
      </c>
      <c r="CK112" s="33" t="n">
        <f aca="false">CK111*CK110/Thousand</f>
        <v>6021.504887607</v>
      </c>
      <c r="CL112" s="33" t="n">
        <f aca="false">CL111*CL110/Thousand</f>
        <v>6087.67527098729</v>
      </c>
      <c r="CM112" s="33" t="n">
        <f aca="false">CM111*CM110/Thousand</f>
        <v>6069.41224517433</v>
      </c>
      <c r="CN112" s="33" t="n">
        <f aca="false">CN111*CN110/Thousand</f>
        <v>5996.84318572116</v>
      </c>
      <c r="CO112" s="33" t="n">
        <f aca="false">CO111*CO110/Thousand</f>
        <v>6063.47477667362</v>
      </c>
      <c r="CP112" s="33" t="n">
        <f aca="false">CP111*CP110/Thousand</f>
        <v>6130.10636762608</v>
      </c>
      <c r="CQ112" s="33" t="n">
        <f aca="false">CQ111*CQ110/Thousand</f>
        <v>6111.7160485232</v>
      </c>
      <c r="CR112" s="33" t="n">
        <f aca="false">CR111*CR110/Thousand</f>
        <v>6105.73719586703</v>
      </c>
      <c r="CS112" s="33" t="n">
        <f aca="false">CS111*CS110/Thousand</f>
        <v>6105.73719586703</v>
      </c>
      <c r="CT112" s="33" t="n">
        <f aca="false">CT111*CT110/Thousand</f>
        <v>6172.83320900843</v>
      </c>
      <c r="CU112" s="33" t="n">
        <f aca="false">CU111*CU110/Thousand</f>
        <v>6154.3147093814</v>
      </c>
      <c r="CV112" s="33" t="n">
        <f aca="false">CV111*CV110/Thousand</f>
        <v>6080.73051176923</v>
      </c>
      <c r="CW112" s="33" t="n">
        <f aca="false">CW111*CW110/Thousand</f>
        <v>6148.29418412223</v>
      </c>
      <c r="CX112" s="33" t="n">
        <f aca="false">CX111*CX110/Thousand</f>
        <v>6215.85785647522</v>
      </c>
      <c r="CY112" s="33" t="n">
        <f aca="false">CY111*CY110/Thousand</f>
        <v>6197.21028290579</v>
      </c>
      <c r="CZ112" s="33" t="n">
        <f aca="false">CZ111*CZ110/Thousand</f>
        <v>6123.11320343627</v>
      </c>
      <c r="DA112" s="33" t="n">
        <f aca="false">DA111*DA110/Thousand</f>
        <v>6191.14779458556</v>
      </c>
      <c r="DB112" s="33" t="n">
        <f aca="false">DB111*DB110/Thousand</f>
        <v>6259.18238573485</v>
      </c>
      <c r="DC112" s="33" t="n">
        <f aca="false">DC111*DC110/Thousand</f>
        <v>6240.40483857765</v>
      </c>
      <c r="DD112" s="33" t="n">
        <f aca="false">DD111*DD110/Thousand</f>
        <v>6165.79130246422</v>
      </c>
      <c r="DE112" s="33" t="n">
        <f aca="false">DE111*DE110/Thousand</f>
        <v>6234.30009471382</v>
      </c>
      <c r="DF112" s="33" t="n">
        <f aca="false">DF111*DF110/Thousand</f>
        <v>6302.80888696342</v>
      </c>
      <c r="DG112" s="33" t="n">
        <f aca="false">DG111*DG110/Thousand</f>
        <v>6283.90046030253</v>
      </c>
      <c r="DH112" s="33" t="n">
        <f aca="false">DH111*DH110/Thousand</f>
        <v>6277.75316637398</v>
      </c>
      <c r="DI112" s="33" t="n">
        <f aca="false">DI111*DI110/Thousand</f>
        <v>6277.75316637398</v>
      </c>
      <c r="DJ112" s="33" t="n">
        <f aca="false">DJ111*DJ110/Thousand</f>
        <v>6346.73946490556</v>
      </c>
      <c r="DK112" s="33" t="n">
        <f aca="false">DK111*DK110/Thousand</f>
        <v>6327.69924651084</v>
      </c>
      <c r="DL112" s="33" t="n">
        <f aca="false">DL111*DL110/Thousand</f>
        <v>6252.04197291125</v>
      </c>
      <c r="DM112" s="33" t="n">
        <f aca="false">DM111*DM110/Thousand</f>
        <v>6321.5091059436</v>
      </c>
      <c r="DN112" s="33" t="n">
        <f aca="false">DN111*DN110/Thousand</f>
        <v>6390.97623897595</v>
      </c>
      <c r="DO112" s="33" t="n">
        <f aca="false">DO111*DO110/Thousand</f>
        <v>6371.80331025902</v>
      </c>
      <c r="DP112" s="33" t="n">
        <f aca="false">DP111*DP110/Thousand</f>
        <v>6295.61870546244</v>
      </c>
      <c r="DQ112" s="33" t="n">
        <f aca="false">DQ111*DQ110/Thousand</f>
        <v>6365.57002441203</v>
      </c>
      <c r="DR112" s="33" t="n">
        <f aca="false">DR111*DR110/Thousand</f>
        <v>6435.52134336161</v>
      </c>
      <c r="DS112" s="33" t="n">
        <f aca="false">DS111*DS110/Thousand</f>
        <v>6416.21477933153</v>
      </c>
      <c r="DT112" s="33" t="n">
        <f aca="false">DT111*DT110/Thousand</f>
        <v>6339.49916783952</v>
      </c>
      <c r="DU112" s="33" t="n">
        <f aca="false">DU111*DU110/Thousand</f>
        <v>6409.93804748218</v>
      </c>
      <c r="DV112" s="33" t="n">
        <f aca="false">DV111*DV110/Thousand</f>
        <v>6480.37692712484</v>
      </c>
      <c r="DW112" s="33" t="n">
        <f aca="false">DW111*DW110/Thousand</f>
        <v>6460.93579634347</v>
      </c>
      <c r="DX112" s="33" t="n">
        <f aca="false">DX111*DX110/Thousand</f>
        <v>6454.61531567313</v>
      </c>
      <c r="DY112" s="33" t="n">
        <f aca="false">DY111*DY110/Thousand</f>
        <v>6454.61531567313</v>
      </c>
      <c r="DZ112" s="33" t="n">
        <f aca="false">DZ111*DZ110/Thousand</f>
        <v>6525.5451543069</v>
      </c>
      <c r="EA112" s="33" t="n">
        <f aca="false">EA111*EA110/Thousand</f>
        <v>6505.96851884398</v>
      </c>
      <c r="EB112" s="33" t="n">
        <f aca="false">EB111*EB110/Thousand</f>
        <v>6428.17976481433</v>
      </c>
      <c r="EC112" s="33" t="n">
        <f aca="false">EC111*EC110/Thousand</f>
        <v>6499.60398442337</v>
      </c>
      <c r="ED112" s="33" t="n">
        <f aca="false">ED111*ED110/Thousand</f>
        <v>6571.02820403242</v>
      </c>
      <c r="EE112" s="33" t="n">
        <f aca="false">EE111*EE110/Thousand</f>
        <v>6551.31511942033</v>
      </c>
      <c r="EF112" s="33" t="n">
        <f aca="false">EF111*EF110/Thousand</f>
        <v>6472.98417777508</v>
      </c>
      <c r="EG112" s="33" t="n">
        <f aca="false">EG111*EG110/Thousand</f>
        <v>6544.90622419481</v>
      </c>
      <c r="EH112" s="33" t="n">
        <f aca="false">EH111*EH110/Thousand</f>
        <v>6616.82827061453</v>
      </c>
      <c r="EI112" s="33" t="n">
        <f aca="false">EI111*EI110/Thousand</f>
        <v>6596.97778580269</v>
      </c>
      <c r="EJ112" s="33" t="n">
        <f aca="false">EJ111*EJ110/Thousand</f>
        <v>6518.10087749417</v>
      </c>
      <c r="EK112" s="33" t="n">
        <f aca="false">EK111*EK110/Thousand</f>
        <v>6590.52422057744</v>
      </c>
      <c r="EL112" s="33" t="n">
        <f aca="false">EL111*EL110/Thousand</f>
        <v>6662.94756366071</v>
      </c>
      <c r="EM112" s="33" t="n">
        <f aca="false">EM111*EM110/Thousand</f>
        <v>6642.95872096973</v>
      </c>
      <c r="EN112" s="33" t="n">
        <f aca="false">EN111*EN110/Thousand</f>
        <v>6636.46017439487</v>
      </c>
      <c r="EO112" s="33" t="n">
        <f aca="false">EO111*EO110/Thousand</f>
        <v>6636.46017439487</v>
      </c>
      <c r="EP112" s="33" t="n">
        <f aca="false">EP111*EP110/Thousand</f>
        <v>6709.38830817943</v>
      </c>
      <c r="EQ112" s="33" t="n">
        <f aca="false">EQ111*EQ110/Thousand</f>
        <v>6689.26014325489</v>
      </c>
      <c r="ER112" s="33" t="n">
        <f aca="false">ER111*ER110/Thousand</f>
        <v>6609.27985893336</v>
      </c>
      <c r="ES112" s="33" t="n">
        <f aca="false">ES111*ES110/Thousand</f>
        <v>6682.7163018104</v>
      </c>
      <c r="ET112" s="33" t="n">
        <f aca="false">ET111*ET110/Thousand</f>
        <v>6756.15274468744</v>
      </c>
    </row>
    <row r="113" customFormat="false" ht="15" hidden="false" customHeight="false" outlineLevel="0" collapsed="false">
      <c r="C113" s="0" t="s">
        <v>559</v>
      </c>
      <c r="D113" s="11" t="s">
        <v>247</v>
      </c>
      <c r="I113" s="33" t="n">
        <f aca="false">SUM(J113:ET113)</f>
        <v>-51382.5373327149</v>
      </c>
      <c r="J113" s="33" t="n">
        <f aca="false">-In_Var_Opex*J111*J109/Thousand</f>
        <v>-0</v>
      </c>
      <c r="K113" s="33" t="n">
        <f aca="false">-In_Var_Opex*K111*K109/Thousand</f>
        <v>-0</v>
      </c>
      <c r="L113" s="33" t="n">
        <f aca="false">-In_Var_Opex*L111*L109/Thousand</f>
        <v>-0</v>
      </c>
      <c r="M113" s="33" t="n">
        <f aca="false">-In_Var_Opex*M111*M109/Thousand</f>
        <v>-0</v>
      </c>
      <c r="N113" s="33" t="n">
        <f aca="false">-In_Var_Opex*N111*N109/Thousand</f>
        <v>-0</v>
      </c>
      <c r="O113" s="33" t="n">
        <f aca="false">-In_Var_Opex*O111*O109/Thousand</f>
        <v>-0</v>
      </c>
      <c r="P113" s="33" t="n">
        <f aca="false">-In_Var_Opex*P111*P109/Thousand</f>
        <v>-0</v>
      </c>
      <c r="Q113" s="33" t="n">
        <f aca="false">-In_Var_Opex*Q111*Q109/Thousand</f>
        <v>-0</v>
      </c>
      <c r="R113" s="33" t="n">
        <f aca="false">-In_Var_Opex*R111*R109/Thousand</f>
        <v>-0</v>
      </c>
      <c r="S113" s="33" t="n">
        <f aca="false">-In_Var_Opex*S111*S109/Thousand</f>
        <v>-0</v>
      </c>
      <c r="T113" s="33" t="n">
        <f aca="false">-In_Var_Opex*T111*T109/Thousand</f>
        <v>-0</v>
      </c>
      <c r="U113" s="33" t="n">
        <f aca="false">-In_Var_Opex*U111*U109/Thousand</f>
        <v>-0</v>
      </c>
      <c r="V113" s="33" t="n">
        <f aca="false">-In_Var_Opex*V111*V109/Thousand</f>
        <v>-0</v>
      </c>
      <c r="W113" s="33" t="n">
        <f aca="false">-In_Var_Opex*W111*W109/Thousand</f>
        <v>-0</v>
      </c>
      <c r="X113" s="33" t="n">
        <f aca="false">-In_Var_Opex*X111*X109/Thousand</f>
        <v>-0</v>
      </c>
      <c r="Y113" s="33" t="n">
        <f aca="false">-In_Var_Opex*Y111*Y109/Thousand</f>
        <v>-0</v>
      </c>
      <c r="Z113" s="33" t="n">
        <f aca="false">-In_Var_Opex*Z111*Z109/Thousand</f>
        <v>-0</v>
      </c>
      <c r="AA113" s="33" t="n">
        <f aca="false">-In_Var_Opex*AA111*AA109/Thousand</f>
        <v>-0</v>
      </c>
      <c r="AB113" s="33" t="n">
        <f aca="false">-In_Var_Opex*AB111*AB109/Thousand</f>
        <v>-0</v>
      </c>
      <c r="AC113" s="33" t="n">
        <f aca="false">-In_Var_Opex*AC111*AC109/Thousand</f>
        <v>-0</v>
      </c>
      <c r="AD113" s="33" t="n">
        <f aca="false">-In_Var_Opex*AD111*AD109/Thousand</f>
        <v>-0</v>
      </c>
      <c r="AE113" s="33" t="n">
        <f aca="false">-In_Var_Opex*AE111*AE109/Thousand</f>
        <v>-303.826849315069</v>
      </c>
      <c r="AF113" s="33" t="n">
        <f aca="false">-In_Var_Opex*AF111*AF109/Thousand</f>
        <v>-308.037493150685</v>
      </c>
      <c r="AG113" s="33" t="n">
        <f aca="false">-In_Var_Opex*AG111*AG109/Thousand</f>
        <v>-308.037493150685</v>
      </c>
      <c r="AH113" s="33" t="n">
        <f aca="false">-In_Var_Opex*AH111*AH109/Thousand</f>
        <v>-311.422520547945</v>
      </c>
      <c r="AI113" s="33" t="n">
        <f aca="false">-In_Var_Opex*AI111*AI109/Thousand</f>
        <v>-310.488252986301</v>
      </c>
      <c r="AJ113" s="33" t="n">
        <f aca="false">-In_Var_Opex*AJ111*AJ109/Thousand</f>
        <v>-311.331971065068</v>
      </c>
      <c r="AK113" s="33" t="n">
        <f aca="false">-In_Var_Opex*AK111*AK109/Thousand</f>
        <v>-314.791215188014</v>
      </c>
      <c r="AL113" s="33" t="n">
        <f aca="false">-In_Var_Opex*AL111*AL109/Thousand</f>
        <v>-318.250459310959</v>
      </c>
      <c r="AM113" s="33" t="n">
        <f aca="false">-In_Var_Opex*AM111*AM109/Thousand</f>
        <v>-317.295707933026</v>
      </c>
      <c r="AN113" s="33" t="n">
        <f aca="false">-In_Var_Opex*AN111*AN109/Thousand</f>
        <v>-318.15792453067</v>
      </c>
      <c r="AO113" s="33" t="n">
        <f aca="false">-In_Var_Opex*AO111*AO109/Thousand</f>
        <v>-321.693012581011</v>
      </c>
      <c r="AP113" s="33" t="n">
        <f aca="false">-In_Var_Opex*AP111*AP109/Thousand</f>
        <v>-325.228100631352</v>
      </c>
      <c r="AQ113" s="33" t="n">
        <f aca="false">-In_Var_Opex*AQ111*AQ109/Thousand</f>
        <v>-324.252416329458</v>
      </c>
      <c r="AR113" s="33" t="n">
        <f aca="false">-In_Var_Opex*AR111*AR109/Thousand</f>
        <v>-325.133537026005</v>
      </c>
      <c r="AS113" s="33" t="n">
        <f aca="false">-In_Var_Opex*AS111*AS109/Thousand</f>
        <v>-328.746131881849</v>
      </c>
      <c r="AT113" s="33" t="n">
        <f aca="false">-In_Var_Opex*AT111*AT109/Thousand</f>
        <v>-332.358726737694</v>
      </c>
      <c r="AU113" s="33" t="n">
        <f aca="false">-In_Var_Opex*AU111*AU109/Thousand</f>
        <v>-331.361650557481</v>
      </c>
      <c r="AV113" s="33" t="n">
        <f aca="false">-In_Var_Opex*AV111*AV109/Thousand</f>
        <v>-335.953890823359</v>
      </c>
      <c r="AW113" s="33" t="n">
        <f aca="false">-In_Var_Opex*AW111*AW109/Thousand</f>
        <v>-335.953890823359</v>
      </c>
      <c r="AX113" s="33" t="n">
        <f aca="false">-In_Var_Opex*AX111*AX109/Thousand</f>
        <v>-339.645691821418</v>
      </c>
      <c r="AY113" s="33" t="n">
        <f aca="false">-In_Var_Opex*AY111*AY109/Thousand</f>
        <v>-338.626754745954</v>
      </c>
      <c r="AZ113" s="33" t="n">
        <f aca="false">-In_Var_Opex*AZ111*AZ109/Thousand</f>
        <v>-339.54693614472</v>
      </c>
      <c r="BA113" s="33" t="n">
        <f aca="false">-In_Var_Opex*BA111*BA109/Thousand</f>
        <v>-343.319679879661</v>
      </c>
      <c r="BB113" s="33" t="n">
        <f aca="false">-In_Var_Opex*BB111*BB109/Thousand</f>
        <v>-347.092423614602</v>
      </c>
      <c r="BC113" s="33" t="n">
        <f aca="false">-In_Var_Opex*BC111*BC109/Thousand</f>
        <v>-346.051146343759</v>
      </c>
      <c r="BD113" s="33" t="n">
        <f aca="false">-In_Var_Opex*BD111*BD109/Thousand</f>
        <v>-346.991502719693</v>
      </c>
      <c r="BE113" s="33" t="n">
        <f aca="false">-In_Var_Opex*BE111*BE109/Thousand</f>
        <v>-350.846963861023</v>
      </c>
      <c r="BF113" s="33" t="n">
        <f aca="false">-In_Var_Opex*BF111*BF109/Thousand</f>
        <v>-354.702425002353</v>
      </c>
      <c r="BG113" s="33" t="n">
        <f aca="false">-In_Var_Opex*BG111*BG109/Thousand</f>
        <v>-353.638317727346</v>
      </c>
      <c r="BH113" s="33" t="n">
        <f aca="false">-In_Var_Opex*BH111*BH109/Thousand</f>
        <v>-354.599291416822</v>
      </c>
      <c r="BI113" s="33" t="n">
        <f aca="false">-In_Var_Opex*BI111*BI109/Thousand</f>
        <v>-358.539283543675</v>
      </c>
      <c r="BJ113" s="33" t="n">
        <f aca="false">-In_Var_Opex*BJ111*BJ109/Thousand</f>
        <v>-362.479275670529</v>
      </c>
      <c r="BK113" s="33" t="n">
        <f aca="false">-In_Var_Opex*BK111*BK109/Thousand</f>
        <v>-361.391837843517</v>
      </c>
      <c r="BL113" s="33" t="n">
        <f aca="false">-In_Var_Opex*BL111*BL109/Thousand</f>
        <v>-366.400257335371</v>
      </c>
      <c r="BM113" s="33" t="n">
        <f aca="false">-In_Var_Opex*BM111*BM109/Thousand</f>
        <v>-366.400257335371</v>
      </c>
      <c r="BN113" s="33" t="n">
        <f aca="false">-In_Var_Opex*BN111*BN109/Thousand</f>
        <v>-370.426633789605</v>
      </c>
      <c r="BO113" s="33" t="n">
        <f aca="false">-In_Var_Opex*BO111*BO109/Thousand</f>
        <v>-369.315353888237</v>
      </c>
      <c r="BP113" s="33" t="n">
        <f aca="false">-In_Var_Opex*BP111*BP109/Thousand</f>
        <v>-370.318928219455</v>
      </c>
      <c r="BQ113" s="33" t="n">
        <f aca="false">-In_Var_Opex*BQ111*BQ109/Thousand</f>
        <v>-374.433582977449</v>
      </c>
      <c r="BR113" s="33" t="n">
        <f aca="false">-In_Var_Opex*BR111*BR109/Thousand</f>
        <v>-378.548237735442</v>
      </c>
      <c r="BS113" s="33" t="n">
        <f aca="false">-In_Var_Opex*BS111*BS109/Thousand</f>
        <v>-377.412593022236</v>
      </c>
      <c r="BT113" s="33" t="n">
        <f aca="false">-In_Var_Opex*BT111*BT109/Thousand</f>
        <v>-378.438170720666</v>
      </c>
      <c r="BU113" s="33" t="n">
        <f aca="false">-In_Var_Opex*BU111*BU109/Thousand</f>
        <v>-382.643039284229</v>
      </c>
      <c r="BV113" s="33" t="n">
        <f aca="false">-In_Var_Opex*BV111*BV109/Thousand</f>
        <v>-386.847907847792</v>
      </c>
      <c r="BW113" s="33" t="n">
        <f aca="false">-In_Var_Opex*BW111*BW109/Thousand</f>
        <v>-385.687364124249</v>
      </c>
      <c r="BX113" s="33" t="n">
        <f aca="false">-In_Var_Opex*BX111*BX109/Thousand</f>
        <v>-386.735427613717</v>
      </c>
      <c r="BY113" s="33" t="n">
        <f aca="false">-In_Var_Opex*BY111*BY109/Thousand</f>
        <v>-391.032487920536</v>
      </c>
      <c r="BZ113" s="33" t="n">
        <f aca="false">-In_Var_Opex*BZ111*BZ109/Thousand</f>
        <v>-395.329548227355</v>
      </c>
      <c r="CA113" s="33" t="n">
        <f aca="false">-In_Var_Opex*CA111*CA109/Thousand</f>
        <v>-394.143559582673</v>
      </c>
      <c r="CB113" s="33" t="n">
        <f aca="false">-In_Var_Opex*CB111*CB109/Thousand</f>
        <v>-399.605875218193</v>
      </c>
      <c r="CC113" s="33" t="n">
        <f aca="false">-In_Var_Opex*CC111*CC109/Thousand</f>
        <v>-399.605875218193</v>
      </c>
      <c r="CD113" s="33" t="n">
        <f aca="false">-In_Var_Opex*CD111*CD109/Thousand</f>
        <v>-403.99714857224</v>
      </c>
      <c r="CE113" s="33" t="n">
        <f aca="false">-In_Var_Opex*CE111*CE109/Thousand</f>
        <v>-402.785157126523</v>
      </c>
      <c r="CF113" s="33" t="n">
        <f aca="false">-In_Var_Opex*CF111*CF109/Thousand</f>
        <v>-403.879682010019</v>
      </c>
      <c r="CG113" s="33" t="n">
        <f aca="false">-In_Var_Opex*CG111*CG109/Thousand</f>
        <v>-408.367234032352</v>
      </c>
      <c r="CH113" s="33" t="n">
        <f aca="false">-In_Var_Opex*CH111*CH109/Thousand</f>
        <v>-412.854786054686</v>
      </c>
      <c r="CI113" s="33" t="n">
        <f aca="false">-In_Var_Opex*CI111*CI109/Thousand</f>
        <v>-411.616221696522</v>
      </c>
      <c r="CJ113" s="33" t="n">
        <f aca="false">-In_Var_Opex*CJ111*CJ109/Thousand</f>
        <v>-412.734744038088</v>
      </c>
      <c r="CK113" s="33" t="n">
        <f aca="false">-In_Var_Opex*CK111*CK109/Thousand</f>
        <v>-417.320685638512</v>
      </c>
      <c r="CL113" s="33" t="n">
        <f aca="false">-In_Var_Opex*CL111*CL109/Thousand</f>
        <v>-421.906627238935</v>
      </c>
      <c r="CM113" s="33" t="n">
        <f aca="false">-In_Var_Opex*CM111*CM109/Thousand</f>
        <v>-420.640907357218</v>
      </c>
      <c r="CN113" s="33" t="n">
        <f aca="false">-In_Var_Opex*CN111*CN109/Thousand</f>
        <v>-421.783953301123</v>
      </c>
      <c r="CO113" s="33" t="n">
        <f aca="false">-In_Var_Opex*CO111*CO109/Thousand</f>
        <v>-426.470441671136</v>
      </c>
      <c r="CP113" s="33" t="n">
        <f aca="false">-In_Var_Opex*CP111*CP109/Thousand</f>
        <v>-431.156930041149</v>
      </c>
      <c r="CQ113" s="33" t="n">
        <f aca="false">-In_Var_Opex*CQ111*CQ109/Thousand</f>
        <v>-429.863459251025</v>
      </c>
      <c r="CR113" s="33" t="n">
        <f aca="false">-In_Var_Opex*CR111*CR109/Thousand</f>
        <v>-435.820806104776</v>
      </c>
      <c r="CS113" s="33" t="n">
        <f aca="false">-In_Var_Opex*CS111*CS109/Thousand</f>
        <v>-435.820806104776</v>
      </c>
      <c r="CT113" s="33" t="n">
        <f aca="false">-In_Var_Opex*CT111*CT109/Thousand</f>
        <v>-440.610045732301</v>
      </c>
      <c r="CU113" s="33" t="n">
        <f aca="false">-In_Var_Opex*CU111*CU109/Thousand</f>
        <v>-439.288215595104</v>
      </c>
      <c r="CV113" s="33" t="n">
        <f aca="false">-In_Var_Opex*CV111*CV109/Thousand</f>
        <v>-440.481933572264</v>
      </c>
      <c r="CW113" s="33" t="n">
        <f aca="false">-In_Var_Opex*CW111*CW109/Thousand</f>
        <v>-445.376177278623</v>
      </c>
      <c r="CX113" s="33" t="n">
        <f aca="false">-In_Var_Opex*CX111*CX109/Thousand</f>
        <v>-450.270420984981</v>
      </c>
      <c r="CY113" s="33" t="n">
        <f aca="false">-In_Var_Opex*CY111*CY109/Thousand</f>
        <v>-448.919609722026</v>
      </c>
      <c r="CZ113" s="33" t="n">
        <f aca="false">-In_Var_Opex*CZ111*CZ109/Thousand</f>
        <v>-450.139499965836</v>
      </c>
      <c r="DA113" s="33" t="n">
        <f aca="false">-In_Var_Opex*DA111*DA109/Thousand</f>
        <v>-455.141049965457</v>
      </c>
      <c r="DB113" s="33" t="n">
        <f aca="false">-In_Var_Opex*DB111*DB109/Thousand</f>
        <v>-460.142599965077</v>
      </c>
      <c r="DC113" s="33" t="n">
        <f aca="false">-In_Var_Opex*DC111*DC109/Thousand</f>
        <v>-458.762172165182</v>
      </c>
      <c r="DD113" s="33" t="n">
        <f aca="false">-In_Var_Opex*DD111*DD109/Thousand</f>
        <v>-460.008808502587</v>
      </c>
      <c r="DE113" s="33" t="n">
        <f aca="false">-In_Var_Opex*DE111*DE109/Thousand</f>
        <v>-465.120017485949</v>
      </c>
      <c r="DF113" s="33" t="n">
        <f aca="false">-In_Var_Opex*DF111*DF109/Thousand</f>
        <v>-470.231226469311</v>
      </c>
      <c r="DG113" s="33" t="n">
        <f aca="false">-In_Var_Opex*DG111*DG109/Thousand</f>
        <v>-468.820532789903</v>
      </c>
      <c r="DH113" s="33" t="n">
        <f aca="false">-In_Var_Opex*DH111*DH109/Thousand</f>
        <v>-475.317773869328</v>
      </c>
      <c r="DI113" s="33" t="n">
        <f aca="false">-In_Var_Opex*DI111*DI109/Thousand</f>
        <v>-475.317773869328</v>
      </c>
      <c r="DJ113" s="33" t="n">
        <f aca="false">-In_Var_Opex*DJ111*DJ109/Thousand</f>
        <v>-480.541046109651</v>
      </c>
      <c r="DK113" s="33" t="n">
        <f aca="false">-In_Var_Opex*DK111*DK109/Thousand</f>
        <v>-479.099422971322</v>
      </c>
      <c r="DL113" s="33" t="n">
        <f aca="false">-In_Var_Opex*DL111*DL109/Thousand</f>
        <v>-480.401323577222</v>
      </c>
      <c r="DM113" s="33" t="n">
        <f aca="false">-In_Var_Opex*DM111*DM109/Thousand</f>
        <v>-485.739116061413</v>
      </c>
      <c r="DN113" s="33" t="n">
        <f aca="false">-In_Var_Opex*DN111*DN109/Thousand</f>
        <v>-491.076908545605</v>
      </c>
      <c r="DO113" s="33" t="n">
        <f aca="false">-In_Var_Opex*DO111*DO109/Thousand</f>
        <v>-489.603677819968</v>
      </c>
      <c r="DP113" s="33" t="n">
        <f aca="false">-In_Var_Opex*DP111*DP109/Thousand</f>
        <v>-490.934122596653</v>
      </c>
      <c r="DQ113" s="33" t="n">
        <f aca="false">-In_Var_Opex*DQ111*DQ109/Thousand</f>
        <v>-496.38894618106</v>
      </c>
      <c r="DR113" s="33" t="n">
        <f aca="false">-In_Var_Opex*DR111*DR109/Thousand</f>
        <v>-501.843769765467</v>
      </c>
      <c r="DS113" s="33" t="n">
        <f aca="false">-In_Var_Opex*DS111*DS109/Thousand</f>
        <v>-500.338238456171</v>
      </c>
      <c r="DT113" s="33" t="n">
        <f aca="false">-In_Var_Opex*DT111*DT109/Thousand</f>
        <v>-501.697853234584</v>
      </c>
      <c r="DU113" s="33" t="n">
        <f aca="false">-In_Var_Opex*DU111*DU109/Thousand</f>
        <v>-507.27227382608</v>
      </c>
      <c r="DV113" s="33" t="n">
        <f aca="false">-In_Var_Opex*DV111*DV109/Thousand</f>
        <v>-512.846694417575</v>
      </c>
      <c r="DW113" s="33" t="n">
        <f aca="false">-In_Var_Opex*DW111*DW109/Thousand</f>
        <v>-511.308154334322</v>
      </c>
      <c r="DX113" s="33" t="n">
        <f aca="false">-In_Var_Opex*DX111*DX109/Thousand</f>
        <v>-518.394218429716</v>
      </c>
      <c r="DY113" s="33" t="n">
        <f aca="false">-In_Var_Opex*DY111*DY109/Thousand</f>
        <v>-518.394218429716</v>
      </c>
      <c r="DZ113" s="33" t="n">
        <f aca="false">-In_Var_Opex*DZ111*DZ109/Thousand</f>
        <v>-524.09085819268</v>
      </c>
      <c r="EA113" s="33" t="n">
        <f aca="false">-In_Var_Opex*EA111*EA109/Thousand</f>
        <v>-522.518585618102</v>
      </c>
      <c r="EB113" s="33" t="n">
        <f aca="false">-In_Var_Opex*EB111*EB109/Thousand</f>
        <v>-523.938473079021</v>
      </c>
      <c r="EC113" s="33" t="n">
        <f aca="false">-In_Var_Opex*EC111*EC109/Thousand</f>
        <v>-529.760011668788</v>
      </c>
      <c r="ED113" s="33" t="n">
        <f aca="false">-In_Var_Opex*ED111*ED109/Thousand</f>
        <v>-535.581550258555</v>
      </c>
      <c r="EE113" s="33" t="n">
        <f aca="false">-In_Var_Opex*EE111*EE109/Thousand</f>
        <v>-533.974805607779</v>
      </c>
      <c r="EF113" s="33" t="n">
        <f aca="false">-In_Var_Opex*EF111*EF109/Thousand</f>
        <v>-535.425824101278</v>
      </c>
      <c r="EG113" s="33" t="n">
        <f aca="false">-In_Var_Opex*EG111*EG109/Thousand</f>
        <v>-541.374999924626</v>
      </c>
      <c r="EH113" s="33" t="n">
        <f aca="false">-In_Var_Opex*EH111*EH109/Thousand</f>
        <v>-547.324175747974</v>
      </c>
      <c r="EI113" s="33" t="n">
        <f aca="false">-In_Var_Opex*EI111*EI109/Thousand</f>
        <v>-545.68220322073</v>
      </c>
      <c r="EJ113" s="33" t="n">
        <f aca="false">-In_Var_Opex*EJ111*EJ109/Thousand</f>
        <v>-547.165035294699</v>
      </c>
      <c r="EK113" s="33" t="n">
        <f aca="false">-In_Var_Opex*EK111*EK109/Thousand</f>
        <v>-553.244646797973</v>
      </c>
      <c r="EL113" s="33" t="n">
        <f aca="false">-In_Var_Opex*EL111*EL109/Thousand</f>
        <v>-559.324258301248</v>
      </c>
      <c r="EM113" s="33" t="n">
        <f aca="false">-In_Var_Opex*EM111*EM109/Thousand</f>
        <v>-557.646285526344</v>
      </c>
      <c r="EN113" s="33" t="n">
        <f aca="false">-In_Var_Opex*EN111*EN109/Thousand</f>
        <v>-565.374535679019</v>
      </c>
      <c r="EO113" s="33" t="n">
        <f aca="false">-In_Var_Opex*EO111*EO109/Thousand</f>
        <v>-565.374535679019</v>
      </c>
      <c r="EP113" s="33" t="n">
        <f aca="false">-In_Var_Opex*EP111*EP109/Thousand</f>
        <v>-571.587442664503</v>
      </c>
      <c r="EQ113" s="33" t="n">
        <f aca="false">-In_Var_Opex*EQ111*EQ109/Thousand</f>
        <v>-569.872680336509</v>
      </c>
      <c r="ER113" s="33" t="n">
        <f aca="false">-In_Var_Opex*ER111*ER109/Thousand</f>
        <v>-571.421247402641</v>
      </c>
      <c r="ES113" s="33" t="n">
        <f aca="false">-In_Var_Opex*ES111*ES109/Thousand</f>
        <v>-577.770372373781</v>
      </c>
      <c r="ET113" s="33" t="n">
        <f aca="false">-In_Var_Opex*ET111*ET109/Thousand</f>
        <v>-584.119497344922</v>
      </c>
    </row>
    <row r="114" customFormat="false" ht="15" hidden="false" customHeight="false" outlineLevel="0" collapsed="false">
      <c r="C114" s="0" t="s">
        <v>560</v>
      </c>
      <c r="D114" s="11" t="s">
        <v>247</v>
      </c>
      <c r="I114" s="33" t="n">
        <f aca="false">SUM(J114:ET114)</f>
        <v>-105177.037405926</v>
      </c>
      <c r="J114" s="33" t="n">
        <f aca="false">-(In_Fixed_Opex*$F24+In_Admin)*J109*J15*J$6</f>
        <v>-0</v>
      </c>
      <c r="K114" s="33" t="n">
        <f aca="false">-(In_Fixed_Opex*$F24+In_Admin)*K109*K15*K$6</f>
        <v>-0</v>
      </c>
      <c r="L114" s="33" t="n">
        <f aca="false">-(In_Fixed_Opex*$F24+In_Admin)*L109*L15*L$6</f>
        <v>-0</v>
      </c>
      <c r="M114" s="33" t="n">
        <f aca="false">-(In_Fixed_Opex*$F24+In_Admin)*M109*M15*M$6</f>
        <v>-0</v>
      </c>
      <c r="N114" s="33" t="n">
        <f aca="false">-(In_Fixed_Opex*$F24+In_Admin)*N109*N15*N$6</f>
        <v>-0</v>
      </c>
      <c r="O114" s="33" t="n">
        <f aca="false">-(In_Fixed_Opex*$F24+In_Admin)*O109*O15*O$6</f>
        <v>-0</v>
      </c>
      <c r="P114" s="33" t="n">
        <f aca="false">-(In_Fixed_Opex*$F24+In_Admin)*P109*P15*P$6</f>
        <v>-0</v>
      </c>
      <c r="Q114" s="33" t="n">
        <f aca="false">-(In_Fixed_Opex*$F24+In_Admin)*Q109*Q15*Q$6</f>
        <v>-0</v>
      </c>
      <c r="R114" s="33" t="n">
        <f aca="false">-(In_Fixed_Opex*$F24+In_Admin)*R109*R15*R$6</f>
        <v>-0</v>
      </c>
      <c r="S114" s="33" t="n">
        <f aca="false">-(In_Fixed_Opex*$F24+In_Admin)*S109*S15*S$6</f>
        <v>-0</v>
      </c>
      <c r="T114" s="33" t="n">
        <f aca="false">-(In_Fixed_Opex*$F24+In_Admin)*T109*T15*T$6</f>
        <v>-0</v>
      </c>
      <c r="U114" s="33" t="n">
        <f aca="false">-(In_Fixed_Opex*$F24+In_Admin)*U109*U15*U$6</f>
        <v>-0</v>
      </c>
      <c r="V114" s="33" t="n">
        <f aca="false">-(In_Fixed_Opex*$F24+In_Admin)*V109*V15*V$6</f>
        <v>-0</v>
      </c>
      <c r="W114" s="33" t="n">
        <f aca="false">-(In_Fixed_Opex*$F24+In_Admin)*W109*W15*W$6</f>
        <v>-0</v>
      </c>
      <c r="X114" s="33" t="n">
        <f aca="false">-(In_Fixed_Opex*$F24+In_Admin)*X109*X15*X$6</f>
        <v>-0</v>
      </c>
      <c r="Y114" s="33" t="n">
        <f aca="false">-(In_Fixed_Opex*$F24+In_Admin)*Y109*Y15*Y$6</f>
        <v>-0</v>
      </c>
      <c r="Z114" s="33" t="n">
        <f aca="false">-(In_Fixed_Opex*$F24+In_Admin)*Z109*Z15*Z$6</f>
        <v>-0</v>
      </c>
      <c r="AA114" s="33" t="n">
        <f aca="false">-(In_Fixed_Opex*$F24+In_Admin)*AA109*AA15*AA$6</f>
        <v>-0</v>
      </c>
      <c r="AB114" s="33" t="n">
        <f aca="false">-(In_Fixed_Opex*$F24+In_Admin)*AB109*AB15*AB$6</f>
        <v>-0</v>
      </c>
      <c r="AC114" s="33" t="n">
        <f aca="false">-(In_Fixed_Opex*$F24+In_Admin)*AC109*AC15*AC$6</f>
        <v>-0</v>
      </c>
      <c r="AD114" s="33" t="n">
        <f aca="false">-(In_Fixed_Opex*$F24+In_Admin)*AD109*AD15*AD$6</f>
        <v>-0</v>
      </c>
      <c r="AE114" s="33" t="n">
        <f aca="false">-(In_Fixed_Opex*$F24+In_Admin)*AE109*AE15*AE$6</f>
        <v>-592.328767123288</v>
      </c>
      <c r="AF114" s="33" t="n">
        <f aca="false">-(In_Fixed_Opex*$F24+In_Admin)*AF109*AF15*AF$6</f>
        <v>-600.537671232877</v>
      </c>
      <c r="AG114" s="33" t="n">
        <f aca="false">-(In_Fixed_Opex*$F24+In_Admin)*AG109*AG15*AG$6</f>
        <v>-600.537671232877</v>
      </c>
      <c r="AH114" s="33" t="n">
        <f aca="false">-(In_Fixed_Opex*$F24+In_Admin)*AH109*AH15*AH$6</f>
        <v>-607.13698630137</v>
      </c>
      <c r="AI114" s="33" t="n">
        <f aca="false">-(In_Fixed_Opex*$F24+In_Admin)*AI109*AI15*AI$6</f>
        <v>-607.13698630137</v>
      </c>
      <c r="AJ114" s="33" t="n">
        <f aca="false">-(In_Fixed_Opex*$F24+In_Admin)*AJ109*AJ15*AJ$6</f>
        <v>-608.786815068493</v>
      </c>
      <c r="AK114" s="33" t="n">
        <f aca="false">-(In_Fixed_Opex*$F24+In_Admin)*AK109*AK15*AK$6</f>
        <v>-615.551113013699</v>
      </c>
      <c r="AL114" s="33" t="n">
        <f aca="false">-(In_Fixed_Opex*$F24+In_Admin)*AL109*AL15*AL$6</f>
        <v>-622.315410958904</v>
      </c>
      <c r="AM114" s="33" t="n">
        <f aca="false">-(In_Fixed_Opex*$F24+In_Admin)*AM109*AM15*AM$6</f>
        <v>-622.315410958904</v>
      </c>
      <c r="AN114" s="33" t="n">
        <f aca="false">-(In_Fixed_Opex*$F24+In_Admin)*AN109*AN15*AN$6</f>
        <v>-624.006485445205</v>
      </c>
      <c r="AO114" s="33" t="n">
        <f aca="false">-(In_Fixed_Opex*$F24+In_Admin)*AO109*AO15*AO$6</f>
        <v>-630.939890839041</v>
      </c>
      <c r="AP114" s="33" t="n">
        <f aca="false">-(In_Fixed_Opex*$F24+In_Admin)*AP109*AP15*AP$6</f>
        <v>-637.873296232877</v>
      </c>
      <c r="AQ114" s="33" t="n">
        <f aca="false">-(In_Fixed_Opex*$F24+In_Admin)*AQ109*AQ15*AQ$6</f>
        <v>-637.873296232877</v>
      </c>
      <c r="AR114" s="33" t="n">
        <f aca="false">-(In_Fixed_Opex*$F24+In_Admin)*AR109*AR15*AR$6</f>
        <v>-639.606647581335</v>
      </c>
      <c r="AS114" s="33" t="n">
        <f aca="false">-(In_Fixed_Opex*$F24+In_Admin)*AS109*AS15*AS$6</f>
        <v>-646.713388110017</v>
      </c>
      <c r="AT114" s="33" t="n">
        <f aca="false">-(In_Fixed_Opex*$F24+In_Admin)*AT109*AT15*AT$6</f>
        <v>-653.820128638698</v>
      </c>
      <c r="AU114" s="33" t="n">
        <f aca="false">-(In_Fixed_Opex*$F24+In_Admin)*AU109*AU15*AU$6</f>
        <v>-653.820128638698</v>
      </c>
      <c r="AV114" s="33" t="n">
        <f aca="false">-(In_Fixed_Opex*$F24+In_Admin)*AV109*AV15*AV$6</f>
        <v>-662.881222812767</v>
      </c>
      <c r="AW114" s="33" t="n">
        <f aca="false">-(In_Fixed_Opex*$F24+In_Admin)*AW109*AW15*AW$6</f>
        <v>-662.881222812767</v>
      </c>
      <c r="AX114" s="33" t="n">
        <f aca="false">-(In_Fixed_Opex*$F24+In_Admin)*AX109*AX15*AX$6</f>
        <v>-670.165631854666</v>
      </c>
      <c r="AY114" s="33" t="n">
        <f aca="false">-(In_Fixed_Opex*$F24+In_Admin)*AY109*AY15*AY$6</f>
        <v>-670.165631854666</v>
      </c>
      <c r="AZ114" s="33" t="n">
        <f aca="false">-(In_Fixed_Opex*$F24+In_Admin)*AZ109*AZ15*AZ$6</f>
        <v>-671.98673411514</v>
      </c>
      <c r="BA114" s="33" t="n">
        <f aca="false">-(In_Fixed_Opex*$F24+In_Admin)*BA109*BA15*BA$6</f>
        <v>-679.453253383086</v>
      </c>
      <c r="BB114" s="33" t="n">
        <f aca="false">-(In_Fixed_Opex*$F24+In_Admin)*BB109*BB15*BB$6</f>
        <v>-686.919772651032</v>
      </c>
      <c r="BC114" s="33" t="n">
        <f aca="false">-(In_Fixed_Opex*$F24+In_Admin)*BC109*BC15*BC$6</f>
        <v>-686.919772651032</v>
      </c>
      <c r="BD114" s="33" t="n">
        <f aca="false">-(In_Fixed_Opex*$F24+In_Admin)*BD109*BD15*BD$6</f>
        <v>-688.786402468019</v>
      </c>
      <c r="BE114" s="33" t="n">
        <f aca="false">-(In_Fixed_Opex*$F24+In_Admin)*BE109*BE15*BE$6</f>
        <v>-696.439584717664</v>
      </c>
      <c r="BF114" s="33" t="n">
        <f aca="false">-(In_Fixed_Opex*$F24+In_Admin)*BF109*BF15*BF$6</f>
        <v>-704.092766967308</v>
      </c>
      <c r="BG114" s="33" t="n">
        <f aca="false">-(In_Fixed_Opex*$F24+In_Admin)*BG109*BG15*BG$6</f>
        <v>-704.092766967308</v>
      </c>
      <c r="BH114" s="33" t="n">
        <f aca="false">-(In_Fixed_Opex*$F24+In_Admin)*BH109*BH15*BH$6</f>
        <v>-706.006062529719</v>
      </c>
      <c r="BI114" s="33" t="n">
        <f aca="false">-(In_Fixed_Opex*$F24+In_Admin)*BI109*BI15*BI$6</f>
        <v>-713.850574335605</v>
      </c>
      <c r="BJ114" s="33" t="n">
        <f aca="false">-(In_Fixed_Opex*$F24+In_Admin)*BJ109*BJ15*BJ$6</f>
        <v>-721.695086141491</v>
      </c>
      <c r="BK114" s="33" t="n">
        <f aca="false">-(In_Fixed_Opex*$F24+In_Admin)*BK109*BK15*BK$6</f>
        <v>-721.695086141491</v>
      </c>
      <c r="BL114" s="33" t="n">
        <f aca="false">-(In_Fixed_Opex*$F24+In_Admin)*BL109*BL15*BL$6</f>
        <v>-731.696838693995</v>
      </c>
      <c r="BM114" s="33" t="n">
        <f aca="false">-(In_Fixed_Opex*$F24+In_Admin)*BM109*BM15*BM$6</f>
        <v>-731.696838693995</v>
      </c>
      <c r="BN114" s="33" t="n">
        <f aca="false">-(In_Fixed_Opex*$F24+In_Admin)*BN109*BN15*BN$6</f>
        <v>-739.737463295028</v>
      </c>
      <c r="BO114" s="33" t="n">
        <f aca="false">-(In_Fixed_Opex*$F24+In_Admin)*BO109*BO15*BO$6</f>
        <v>-739.737463295028</v>
      </c>
      <c r="BP114" s="33" t="n">
        <f aca="false">-(In_Fixed_Opex*$F24+In_Admin)*BP109*BP15*BP$6</f>
        <v>-741.747619445286</v>
      </c>
      <c r="BQ114" s="33" t="n">
        <f aca="false">-(In_Fixed_Opex*$F24+In_Admin)*BQ109*BQ15*BQ$6</f>
        <v>-749.989259661345</v>
      </c>
      <c r="BR114" s="33" t="n">
        <f aca="false">-(In_Fixed_Opex*$F24+In_Admin)*BR109*BR15*BR$6</f>
        <v>-758.230899877404</v>
      </c>
      <c r="BS114" s="33" t="n">
        <f aca="false">-(In_Fixed_Opex*$F24+In_Admin)*BS109*BS15*BS$6</f>
        <v>-758.230899877404</v>
      </c>
      <c r="BT114" s="33" t="n">
        <f aca="false">-(In_Fixed_Opex*$F24+In_Admin)*BT109*BT15*BT$6</f>
        <v>-760.291309931418</v>
      </c>
      <c r="BU114" s="33" t="n">
        <f aca="false">-(In_Fixed_Opex*$F24+In_Admin)*BU109*BU15*BU$6</f>
        <v>-768.738991152879</v>
      </c>
      <c r="BV114" s="33" t="n">
        <f aca="false">-(In_Fixed_Opex*$F24+In_Admin)*BV109*BV15*BV$6</f>
        <v>-777.186672374339</v>
      </c>
      <c r="BW114" s="33" t="n">
        <f aca="false">-(In_Fixed_Opex*$F24+In_Admin)*BW109*BW15*BW$6</f>
        <v>-777.186672374339</v>
      </c>
      <c r="BX114" s="33" t="n">
        <f aca="false">-(In_Fixed_Opex*$F24+In_Admin)*BX109*BX15*BX$6</f>
        <v>-779.298592679704</v>
      </c>
      <c r="BY114" s="33" t="n">
        <f aca="false">-(In_Fixed_Opex*$F24+In_Admin)*BY109*BY15*BY$6</f>
        <v>-787.9574659317</v>
      </c>
      <c r="BZ114" s="33" t="n">
        <f aca="false">-(In_Fixed_Opex*$F24+In_Admin)*BZ109*BZ15*BZ$6</f>
        <v>-796.616339183697</v>
      </c>
      <c r="CA114" s="33" t="n">
        <f aca="false">-(In_Fixed_Opex*$F24+In_Admin)*CA109*CA15*CA$6</f>
        <v>-796.616339183697</v>
      </c>
      <c r="CB114" s="33" t="n">
        <f aca="false">-(In_Fixed_Opex*$F24+In_Admin)*CB109*CB15*CB$6</f>
        <v>-807.656402579993</v>
      </c>
      <c r="CC114" s="33" t="n">
        <f aca="false">-(In_Fixed_Opex*$F24+In_Admin)*CC109*CC15*CC$6</f>
        <v>-807.656402579993</v>
      </c>
      <c r="CD114" s="33" t="n">
        <f aca="false">-(In_Fixed_Opex*$F24+In_Admin)*CD109*CD15*CD$6</f>
        <v>-816.53174766329</v>
      </c>
      <c r="CE114" s="33" t="n">
        <f aca="false">-(In_Fixed_Opex*$F24+In_Admin)*CE109*CE15*CE$6</f>
        <v>-816.53174766329</v>
      </c>
      <c r="CF114" s="33" t="n">
        <f aca="false">-(In_Fixed_Opex*$F24+In_Admin)*CF109*CF15*CF$6</f>
        <v>-818.750583934114</v>
      </c>
      <c r="CG114" s="33" t="n">
        <f aca="false">-(In_Fixed_Opex*$F24+In_Admin)*CG109*CG15*CG$6</f>
        <v>-827.847812644493</v>
      </c>
      <c r="CH114" s="33" t="n">
        <f aca="false">-(In_Fixed_Opex*$F24+In_Admin)*CH109*CH15*CH$6</f>
        <v>-836.945041354872</v>
      </c>
      <c r="CI114" s="33" t="n">
        <f aca="false">-(In_Fixed_Opex*$F24+In_Admin)*CI109*CI15*CI$6</f>
        <v>-836.945041354872</v>
      </c>
      <c r="CJ114" s="33" t="n">
        <f aca="false">-(In_Fixed_Opex*$F24+In_Admin)*CJ109*CJ15*CJ$6</f>
        <v>-839.219348532466</v>
      </c>
      <c r="CK114" s="33" t="n">
        <f aca="false">-(In_Fixed_Opex*$F24+In_Admin)*CK109*CK15*CK$6</f>
        <v>-848.544007960605</v>
      </c>
      <c r="CL114" s="33" t="n">
        <f aca="false">-(In_Fixed_Opex*$F24+In_Admin)*CL109*CL15*CL$6</f>
        <v>-857.868667388743</v>
      </c>
      <c r="CM114" s="33" t="n">
        <f aca="false">-(In_Fixed_Opex*$F24+In_Admin)*CM109*CM15*CM$6</f>
        <v>-857.868667388743</v>
      </c>
      <c r="CN114" s="33" t="n">
        <f aca="false">-(In_Fixed_Opex*$F24+In_Admin)*CN109*CN15*CN$6</f>
        <v>-860.199832245778</v>
      </c>
      <c r="CO114" s="33" t="n">
        <f aca="false">-(In_Fixed_Opex*$F24+In_Admin)*CO109*CO15*CO$6</f>
        <v>-869.75760815962</v>
      </c>
      <c r="CP114" s="33" t="n">
        <f aca="false">-(In_Fixed_Opex*$F24+In_Admin)*CP109*CP15*CP$6</f>
        <v>-879.315384073462</v>
      </c>
      <c r="CQ114" s="33" t="n">
        <f aca="false">-(In_Fixed_Opex*$F24+In_Admin)*CQ109*CQ15*CQ$6</f>
        <v>-879.315384073462</v>
      </c>
      <c r="CR114" s="33" t="n">
        <f aca="false">-(In_Fixed_Opex*$F24+In_Admin)*CR109*CR15*CR$6</f>
        <v>-891.50154836361</v>
      </c>
      <c r="CS114" s="33" t="n">
        <f aca="false">-(In_Fixed_Opex*$F24+In_Admin)*CS109*CS15*CS$6</f>
        <v>-891.50154836361</v>
      </c>
      <c r="CT114" s="33" t="n">
        <f aca="false">-(In_Fixed_Opex*$F24+In_Admin)*CT109*CT15*CT$6</f>
        <v>-901.298268675298</v>
      </c>
      <c r="CU114" s="33" t="n">
        <f aca="false">-(In_Fixed_Opex*$F24+In_Admin)*CU109*CU15*CU$6</f>
        <v>-901.298268675298</v>
      </c>
      <c r="CV114" s="33" t="n">
        <f aca="false">-(In_Fixed_Opex*$F24+In_Admin)*CV109*CV15*CV$6</f>
        <v>-903.74744875322</v>
      </c>
      <c r="CW114" s="33" t="n">
        <f aca="false">-(In_Fixed_Opex*$F24+In_Admin)*CW109*CW15*CW$6</f>
        <v>-913.789087072701</v>
      </c>
      <c r="CX114" s="33" t="n">
        <f aca="false">-(In_Fixed_Opex*$F24+In_Admin)*CX109*CX15*CX$6</f>
        <v>-923.830725392181</v>
      </c>
      <c r="CY114" s="33" t="n">
        <f aca="false">-(In_Fixed_Opex*$F24+In_Admin)*CY109*CY15*CY$6</f>
        <v>-923.830725392181</v>
      </c>
      <c r="CZ114" s="33" t="n">
        <f aca="false">-(In_Fixed_Opex*$F24+In_Admin)*CZ109*CZ15*CZ$6</f>
        <v>-926.341134972051</v>
      </c>
      <c r="DA114" s="33" t="n">
        <f aca="false">-(In_Fixed_Opex*$F24+In_Admin)*DA109*DA15*DA$6</f>
        <v>-936.633814249518</v>
      </c>
      <c r="DB114" s="33" t="n">
        <f aca="false">-(In_Fixed_Opex*$F24+In_Admin)*DB109*DB15*DB$6</f>
        <v>-946.926493526985</v>
      </c>
      <c r="DC114" s="33" t="n">
        <f aca="false">-(In_Fixed_Opex*$F24+In_Admin)*DC109*DC15*DC$6</f>
        <v>-946.926493526985</v>
      </c>
      <c r="DD114" s="33" t="n">
        <f aca="false">-(In_Fixed_Opex*$F24+In_Admin)*DD109*DD15*DD$6</f>
        <v>-949.499663346352</v>
      </c>
      <c r="DE114" s="33" t="n">
        <f aca="false">-(In_Fixed_Opex*$F24+In_Admin)*DE109*DE15*DE$6</f>
        <v>-960.049659605756</v>
      </c>
      <c r="DF114" s="33" t="n">
        <f aca="false">-(In_Fixed_Opex*$F24+In_Admin)*DF109*DF15*DF$6</f>
        <v>-970.59965586516</v>
      </c>
      <c r="DG114" s="33" t="n">
        <f aca="false">-(In_Fixed_Opex*$F24+In_Admin)*DG109*DG15*DG$6</f>
        <v>-970.59965586516</v>
      </c>
      <c r="DH114" s="33" t="n">
        <f aca="false">-(In_Fixed_Opex*$F24+In_Admin)*DH109*DH15*DH$6</f>
        <v>-984.0509010959</v>
      </c>
      <c r="DI114" s="33" t="n">
        <f aca="false">-(In_Fixed_Opex*$F24+In_Admin)*DI109*DI15*DI$6</f>
        <v>-984.0509010959</v>
      </c>
      <c r="DJ114" s="33" t="n">
        <f aca="false">-(In_Fixed_Opex*$F24+In_Admin)*DJ109*DJ15*DJ$6</f>
        <v>-994.864647261789</v>
      </c>
      <c r="DK114" s="33" t="n">
        <f aca="false">-(In_Fixed_Opex*$F24+In_Admin)*DK109*DK15*DK$6</f>
        <v>-994.864647261789</v>
      </c>
      <c r="DL114" s="33" t="n">
        <f aca="false">-(In_Fixed_Opex*$F24+In_Admin)*DL109*DL15*DL$6</f>
        <v>-997.568083803261</v>
      </c>
      <c r="DM114" s="33" t="n">
        <f aca="false">-(In_Fixed_Opex*$F24+In_Admin)*DM109*DM15*DM$6</f>
        <v>-1008.6521736233</v>
      </c>
      <c r="DN114" s="33" t="n">
        <f aca="false">-(In_Fixed_Opex*$F24+In_Admin)*DN109*DN15*DN$6</f>
        <v>-1019.73626344333</v>
      </c>
      <c r="DO114" s="33" t="n">
        <f aca="false">-(In_Fixed_Opex*$F24+In_Admin)*DO109*DO15*DO$6</f>
        <v>-1019.73626344333</v>
      </c>
      <c r="DP114" s="33" t="n">
        <f aca="false">-(In_Fixed_Opex*$F24+In_Admin)*DP109*DP15*DP$6</f>
        <v>-1022.50728589834</v>
      </c>
      <c r="DQ114" s="33" t="n">
        <f aca="false">-(In_Fixed_Opex*$F24+In_Admin)*DQ109*DQ15*DQ$6</f>
        <v>-1033.86847796388</v>
      </c>
      <c r="DR114" s="33" t="n">
        <f aca="false">-(In_Fixed_Opex*$F24+In_Admin)*DR109*DR15*DR$6</f>
        <v>-1045.22967002942</v>
      </c>
      <c r="DS114" s="33" t="n">
        <f aca="false">-(In_Fixed_Opex*$F24+In_Admin)*DS109*DS15*DS$6</f>
        <v>-1045.22967002942</v>
      </c>
      <c r="DT114" s="33" t="n">
        <f aca="false">-(In_Fixed_Opex*$F24+In_Admin)*DT109*DT15*DT$6</f>
        <v>-1048.0699680458</v>
      </c>
      <c r="DU114" s="33" t="n">
        <f aca="false">-(In_Fixed_Opex*$F24+In_Admin)*DU109*DU15*DU$6</f>
        <v>-1059.71518991298</v>
      </c>
      <c r="DV114" s="33" t="n">
        <f aca="false">-(In_Fixed_Opex*$F24+In_Admin)*DV109*DV15*DV$6</f>
        <v>-1071.36041178015</v>
      </c>
      <c r="DW114" s="33" t="n">
        <f aca="false">-(In_Fixed_Opex*$F24+In_Admin)*DW109*DW15*DW$6</f>
        <v>-1071.36041178015</v>
      </c>
      <c r="DX114" s="33" t="n">
        <f aca="false">-(In_Fixed_Opex*$F24+In_Admin)*DX109*DX15*DX$6</f>
        <v>-1086.2080696608</v>
      </c>
      <c r="DY114" s="33" t="n">
        <f aca="false">-(In_Fixed_Opex*$F24+In_Admin)*DY109*DY15*DY$6</f>
        <v>-1086.2080696608</v>
      </c>
      <c r="DZ114" s="33" t="n">
        <f aca="false">-(In_Fixed_Opex*$F24+In_Admin)*DZ109*DZ15*DZ$6</f>
        <v>-1098.14442207466</v>
      </c>
      <c r="EA114" s="33" t="n">
        <f aca="false">-(In_Fixed_Opex*$F24+In_Admin)*EA109*EA15*EA$6</f>
        <v>-1098.14442207466</v>
      </c>
      <c r="EB114" s="33" t="n">
        <f aca="false">-(In_Fixed_Opex*$F24+In_Admin)*EB109*EB15*EB$6</f>
        <v>-1101.12851017812</v>
      </c>
      <c r="EC114" s="33" t="n">
        <f aca="false">-(In_Fixed_Opex*$F24+In_Admin)*EC109*EC15*EC$6</f>
        <v>-1113.36327140232</v>
      </c>
      <c r="ED114" s="33" t="n">
        <f aca="false">-(In_Fixed_Opex*$F24+In_Admin)*ED109*ED15*ED$6</f>
        <v>-1125.59803262652</v>
      </c>
      <c r="EE114" s="33" t="n">
        <f aca="false">-(In_Fixed_Opex*$F24+In_Admin)*EE109*EE15*EE$6</f>
        <v>-1125.59803262652</v>
      </c>
      <c r="EF114" s="33" t="n">
        <f aca="false">-(In_Fixed_Opex*$F24+In_Admin)*EF109*EF15*EF$6</f>
        <v>-1128.65672293257</v>
      </c>
      <c r="EG114" s="33" t="n">
        <f aca="false">-(In_Fixed_Opex*$F24+In_Admin)*EG109*EG15*EG$6</f>
        <v>-1141.19735318738</v>
      </c>
      <c r="EH114" s="33" t="n">
        <f aca="false">-(In_Fixed_Opex*$F24+In_Admin)*EH109*EH15*EH$6</f>
        <v>-1153.73798344218</v>
      </c>
      <c r="EI114" s="33" t="n">
        <f aca="false">-(In_Fixed_Opex*$F24+In_Admin)*EI109*EI15*EI$6</f>
        <v>-1153.73798344218</v>
      </c>
      <c r="EJ114" s="33" t="n">
        <f aca="false">-(In_Fixed_Opex*$F24+In_Admin)*EJ109*EJ15*EJ$6</f>
        <v>-1156.87314100589</v>
      </c>
      <c r="EK114" s="33" t="n">
        <f aca="false">-(In_Fixed_Opex*$F24+In_Admin)*EK109*EK15*EK$6</f>
        <v>-1169.72728701706</v>
      </c>
      <c r="EL114" s="33" t="n">
        <f aca="false">-(In_Fixed_Opex*$F24+In_Admin)*EL109*EL15*EL$6</f>
        <v>-1182.58143302824</v>
      </c>
      <c r="EM114" s="33" t="n">
        <f aca="false">-(In_Fixed_Opex*$F24+In_Admin)*EM109*EM15*EM$6</f>
        <v>-1182.58143302824</v>
      </c>
      <c r="EN114" s="33" t="n">
        <f aca="false">-(In_Fixed_Opex*$F24+In_Admin)*EN109*EN15*EN$6</f>
        <v>-1198.97046919249</v>
      </c>
      <c r="EO114" s="33" t="n">
        <f aca="false">-(In_Fixed_Opex*$F24+In_Admin)*EO109*EO15*EO$6</f>
        <v>-1198.97046919249</v>
      </c>
      <c r="EP114" s="33" t="n">
        <f aca="false">-(In_Fixed_Opex*$F24+In_Admin)*EP109*EP15*EP$6</f>
        <v>-1212.14596885395</v>
      </c>
      <c r="EQ114" s="33" t="n">
        <f aca="false">-(In_Fixed_Opex*$F24+In_Admin)*EQ109*EQ15*EQ$6</f>
        <v>-1212.14596885395</v>
      </c>
      <c r="ER114" s="33" t="n">
        <f aca="false">-(In_Fixed_Opex*$F24+In_Admin)*ER109*ER15*ER$6</f>
        <v>-1215.43984376931</v>
      </c>
      <c r="ES114" s="33" t="n">
        <f aca="false">-(In_Fixed_Opex*$F24+In_Admin)*ES109*ES15*ES$6</f>
        <v>-1228.9447309223</v>
      </c>
      <c r="ET114" s="33" t="n">
        <f aca="false">-(In_Fixed_Opex*$F24+In_Admin)*ET109*ET15*ET$6</f>
        <v>-1242.44961807529</v>
      </c>
    </row>
    <row r="115" customFormat="false" ht="15" hidden="false" customHeight="false" outlineLevel="0" collapsed="false">
      <c r="C115" s="0" t="s">
        <v>561</v>
      </c>
      <c r="D115" s="11" t="s">
        <v>247</v>
      </c>
      <c r="I115" s="33" t="n">
        <f aca="false">SUM(J115:ET115)</f>
        <v>-14015.8951421437</v>
      </c>
      <c r="J115" s="33" t="n">
        <f aca="false">-In_Lease*$F24*J109*J16*J$6</f>
        <v>-0</v>
      </c>
      <c r="K115" s="33" t="n">
        <f aca="false">-In_Lease*$F24*K109*K16*K$6</f>
        <v>-0</v>
      </c>
      <c r="L115" s="33" t="n">
        <f aca="false">-In_Lease*$F24*L109*L16*L$6</f>
        <v>-0</v>
      </c>
      <c r="M115" s="33" t="n">
        <f aca="false">-In_Lease*$F24*M109*M16*M$6</f>
        <v>-0</v>
      </c>
      <c r="N115" s="33" t="n">
        <f aca="false">-In_Lease*$F24*N109*N16*N$6</f>
        <v>-0</v>
      </c>
      <c r="O115" s="33" t="n">
        <f aca="false">-In_Lease*$F24*O109*O16*O$6</f>
        <v>-0</v>
      </c>
      <c r="P115" s="33" t="n">
        <f aca="false">-In_Lease*$F24*P109*P16*P$6</f>
        <v>-0</v>
      </c>
      <c r="Q115" s="33" t="n">
        <f aca="false">-In_Lease*$F24*Q109*Q16*Q$6</f>
        <v>-0</v>
      </c>
      <c r="R115" s="33" t="n">
        <f aca="false">-In_Lease*$F24*R109*R16*R$6</f>
        <v>-0</v>
      </c>
      <c r="S115" s="33" t="n">
        <f aca="false">-In_Lease*$F24*S109*S16*S$6</f>
        <v>-0</v>
      </c>
      <c r="T115" s="33" t="n">
        <f aca="false">-In_Lease*$F24*T109*T16*T$6</f>
        <v>-0</v>
      </c>
      <c r="U115" s="33" t="n">
        <f aca="false">-In_Lease*$F24*U109*U16*U$6</f>
        <v>-0</v>
      </c>
      <c r="V115" s="33" t="n">
        <f aca="false">-In_Lease*$F24*V109*V16*V$6</f>
        <v>-0</v>
      </c>
      <c r="W115" s="33" t="n">
        <f aca="false">-In_Lease*$F24*W109*W16*W$6</f>
        <v>-71.9728146162183</v>
      </c>
      <c r="X115" s="33" t="n">
        <f aca="false">-In_Lease*$F24*X109*X16*X$6</f>
        <v>-72.1683929168059</v>
      </c>
      <c r="Y115" s="33" t="n">
        <f aca="false">-In_Lease*$F24*Y109*Y16*Y$6</f>
        <v>-72.9702639492148</v>
      </c>
      <c r="Z115" s="33" t="n">
        <f aca="false">-In_Lease*$F24*Z109*Z16*Z$6</f>
        <v>-73.7721349816238</v>
      </c>
      <c r="AA115" s="33" t="n">
        <f aca="false">-In_Lease*$F24*AA109*AA16*AA$6</f>
        <v>-73.7721349816238</v>
      </c>
      <c r="AB115" s="33" t="n">
        <f aca="false">-In_Lease*$F24*AB109*AB16*AB$6</f>
        <v>-73.972602739726</v>
      </c>
      <c r="AC115" s="33" t="n">
        <f aca="false">-In_Lease*$F24*AC109*AC16*AC$6</f>
        <v>-74.7945205479452</v>
      </c>
      <c r="AD115" s="33" t="n">
        <f aca="false">-In_Lease*$F24*AD109*AD16*AD$6</f>
        <v>-75.6164383561644</v>
      </c>
      <c r="AE115" s="33" t="n">
        <f aca="false">-In_Lease*$F24*AE109*AE16*AE$6</f>
        <v>-75.6164383561644</v>
      </c>
      <c r="AF115" s="33" t="n">
        <f aca="false">-In_Lease*$F24*AF109*AF16*AF$6</f>
        <v>-76.6643835616438</v>
      </c>
      <c r="AG115" s="33" t="n">
        <f aca="false">-In_Lease*$F24*AG109*AG16*AG$6</f>
        <v>-76.6643835616438</v>
      </c>
      <c r="AH115" s="33" t="n">
        <f aca="false">-In_Lease*$F24*AH109*AH16*AH$6</f>
        <v>-77.5068493150685</v>
      </c>
      <c r="AI115" s="33" t="n">
        <f aca="false">-In_Lease*$F24*AI109*AI16*AI$6</f>
        <v>-77.5068493150685</v>
      </c>
      <c r="AJ115" s="33" t="n">
        <f aca="false">-In_Lease*$F24*AJ109*AJ16*AJ$6</f>
        <v>-77.7174657534247</v>
      </c>
      <c r="AK115" s="33" t="n">
        <f aca="false">-In_Lease*$F24*AK109*AK16*AK$6</f>
        <v>-78.5809931506849</v>
      </c>
      <c r="AL115" s="33" t="n">
        <f aca="false">-In_Lease*$F24*AL109*AL16*AL$6</f>
        <v>-79.4445205479452</v>
      </c>
      <c r="AM115" s="33" t="n">
        <f aca="false">-In_Lease*$F24*AM109*AM16*AM$6</f>
        <v>-79.4445205479452</v>
      </c>
      <c r="AN115" s="33" t="n">
        <f aca="false">-In_Lease*$F24*AN109*AN16*AN$6</f>
        <v>-79.6604023972602</v>
      </c>
      <c r="AO115" s="33" t="n">
        <f aca="false">-In_Lease*$F24*AO109*AO16*AO$6</f>
        <v>-80.545517979452</v>
      </c>
      <c r="AP115" s="33" t="n">
        <f aca="false">-In_Lease*$F24*AP109*AP16*AP$6</f>
        <v>-81.4306335616438</v>
      </c>
      <c r="AQ115" s="33" t="n">
        <f aca="false">-In_Lease*$F24*AQ109*AQ16*AQ$6</f>
        <v>-81.4306335616438</v>
      </c>
      <c r="AR115" s="33" t="n">
        <f aca="false">-In_Lease*$F24*AR109*AR16*AR$6</f>
        <v>-81.6519124571917</v>
      </c>
      <c r="AS115" s="33" t="n">
        <f aca="false">-In_Lease*$F24*AS109*AS16*AS$6</f>
        <v>-82.5591559289383</v>
      </c>
      <c r="AT115" s="33" t="n">
        <f aca="false">-In_Lease*$F24*AT109*AT16*AT$6</f>
        <v>-83.4663994006849</v>
      </c>
      <c r="AU115" s="33" t="n">
        <f aca="false">-In_Lease*$F24*AU109*AU16*AU$6</f>
        <v>-83.4663994006849</v>
      </c>
      <c r="AV115" s="33" t="n">
        <f aca="false">-In_Lease*$F24*AV109*AV16*AV$6</f>
        <v>-84.6231348271618</v>
      </c>
      <c r="AW115" s="33" t="n">
        <f aca="false">-In_Lease*$F24*AW109*AW16*AW$6</f>
        <v>-84.6231348271618</v>
      </c>
      <c r="AX115" s="33" t="n">
        <f aca="false">-In_Lease*$F24*AX109*AX16*AX$6</f>
        <v>-85.553059385702</v>
      </c>
      <c r="AY115" s="33" t="n">
        <f aca="false">-In_Lease*$F24*AY109*AY16*AY$6</f>
        <v>-85.553059385702</v>
      </c>
      <c r="AZ115" s="33" t="n">
        <f aca="false">-In_Lease*$F24*AZ109*AZ16*AZ$6</f>
        <v>-85.7855405253371</v>
      </c>
      <c r="BA115" s="33" t="n">
        <f aca="false">-In_Lease*$F24*BA109*BA16*BA$6</f>
        <v>-86.7387131978408</v>
      </c>
      <c r="BB115" s="33" t="n">
        <f aca="false">-In_Lease*$F24*BB109*BB16*BB$6</f>
        <v>-87.6918858703446</v>
      </c>
      <c r="BC115" s="33" t="n">
        <f aca="false">-In_Lease*$F24*BC109*BC16*BC$6</f>
        <v>-87.6918858703446</v>
      </c>
      <c r="BD115" s="33" t="n">
        <f aca="false">-In_Lease*$F24*BD109*BD16*BD$6</f>
        <v>-87.9301790384705</v>
      </c>
      <c r="BE115" s="33" t="n">
        <f aca="false">-In_Lease*$F24*BE109*BE16*BE$6</f>
        <v>-88.9071810277869</v>
      </c>
      <c r="BF115" s="33" t="n">
        <f aca="false">-In_Lease*$F24*BF109*BF16*BF$6</f>
        <v>-89.8841830171032</v>
      </c>
      <c r="BG115" s="33" t="n">
        <f aca="false">-In_Lease*$F24*BG109*BG16*BG$6</f>
        <v>-89.8841830171032</v>
      </c>
      <c r="BH115" s="33" t="n">
        <f aca="false">-In_Lease*$F24*BH109*BH16*BH$6</f>
        <v>-90.1284335144322</v>
      </c>
      <c r="BI115" s="33" t="n">
        <f aca="false">-In_Lease*$F24*BI109*BI16*BI$6</f>
        <v>-91.1298605534815</v>
      </c>
      <c r="BJ115" s="33" t="n">
        <f aca="false">-In_Lease*$F24*BJ109*BJ16*BJ$6</f>
        <v>-92.1312875925307</v>
      </c>
      <c r="BK115" s="33" t="n">
        <f aca="false">-In_Lease*$F24*BK109*BK16*BK$6</f>
        <v>-92.1312875925307</v>
      </c>
      <c r="BL115" s="33" t="n">
        <f aca="false">-In_Lease*$F24*BL109*BL16*BL$6</f>
        <v>-93.4081070673185</v>
      </c>
      <c r="BM115" s="33" t="n">
        <f aca="false">-In_Lease*$F24*BM109*BM16*BM$6</f>
        <v>-93.4081070673185</v>
      </c>
      <c r="BN115" s="33" t="n">
        <f aca="false">-In_Lease*$F24*BN109*BN16*BN$6</f>
        <v>-94.434569782344</v>
      </c>
      <c r="BO115" s="33" t="n">
        <f aca="false">-In_Lease*$F24*BO109*BO16*BO$6</f>
        <v>-94.434569782344</v>
      </c>
      <c r="BP115" s="33" t="n">
        <f aca="false">-In_Lease*$F24*BP109*BP16*BP$6</f>
        <v>-94.6911854611004</v>
      </c>
      <c r="BQ115" s="33" t="n">
        <f aca="false">-In_Lease*$F24*BQ109*BQ16*BQ$6</f>
        <v>-95.7433097440015</v>
      </c>
      <c r="BR115" s="33" t="n">
        <f aca="false">-In_Lease*$F24*BR109*BR16*BR$6</f>
        <v>-96.7954340269026</v>
      </c>
      <c r="BS115" s="33" t="n">
        <f aca="false">-In_Lease*$F24*BS109*BS16*BS$6</f>
        <v>-96.7954340269026</v>
      </c>
      <c r="BT115" s="33" t="n">
        <f aca="false">-In_Lease*$F24*BT109*BT16*BT$6</f>
        <v>-97.0584650976279</v>
      </c>
      <c r="BU115" s="33" t="n">
        <f aca="false">-In_Lease*$F24*BU109*BU16*BU$6</f>
        <v>-98.1368924876015</v>
      </c>
      <c r="BV115" s="33" t="n">
        <f aca="false">-In_Lease*$F24*BV109*BV16*BV$6</f>
        <v>-99.2153198775752</v>
      </c>
      <c r="BW115" s="33" t="n">
        <f aca="false">-In_Lease*$F24*BW109*BW16*BW$6</f>
        <v>-99.2153198775752</v>
      </c>
      <c r="BX115" s="33" t="n">
        <f aca="false">-In_Lease*$F24*BX109*BX16*BX$6</f>
        <v>-99.4849267250686</v>
      </c>
      <c r="BY115" s="33" t="n">
        <f aca="false">-In_Lease*$F24*BY109*BY16*BY$6</f>
        <v>-100.590314799792</v>
      </c>
      <c r="BZ115" s="33" t="n">
        <f aca="false">-In_Lease*$F24*BZ109*BZ16*BZ$6</f>
        <v>-101.695702874515</v>
      </c>
      <c r="CA115" s="33" t="n">
        <f aca="false">-In_Lease*$F24*CA109*CA16*CA$6</f>
        <v>-101.695702874515</v>
      </c>
      <c r="CB115" s="33" t="n">
        <f aca="false">-In_Lease*$F24*CB109*CB16*CB$6</f>
        <v>-103.105072669786</v>
      </c>
      <c r="CC115" s="33" t="n">
        <f aca="false">-In_Lease*$F24*CC109*CC16*CC$6</f>
        <v>-103.105072669786</v>
      </c>
      <c r="CD115" s="33" t="n">
        <f aca="false">-In_Lease*$F24*CD109*CD16*CD$6</f>
        <v>-104.238095446377</v>
      </c>
      <c r="CE115" s="33" t="n">
        <f aca="false">-In_Lease*$F24*CE109*CE16*CE$6</f>
        <v>-104.238095446377</v>
      </c>
      <c r="CF115" s="33" t="n">
        <f aca="false">-In_Lease*$F24*CF109*CF16*CF$6</f>
        <v>-104.521351140525</v>
      </c>
      <c r="CG115" s="33" t="n">
        <f aca="false">-In_Lease*$F24*CG109*CG16*CG$6</f>
        <v>-105.682699486531</v>
      </c>
      <c r="CH115" s="33" t="n">
        <f aca="false">-In_Lease*$F24*CH109*CH16*CH$6</f>
        <v>-106.844047832537</v>
      </c>
      <c r="CI115" s="33" t="n">
        <f aca="false">-In_Lease*$F24*CI109*CI16*CI$6</f>
        <v>-106.844047832537</v>
      </c>
      <c r="CJ115" s="33" t="n">
        <f aca="false">-In_Lease*$F24*CJ109*CJ16*CJ$6</f>
        <v>-107.134384919038</v>
      </c>
      <c r="CK115" s="33" t="n">
        <f aca="false">-In_Lease*$F24*CK109*CK16*CK$6</f>
        <v>-108.324766973694</v>
      </c>
      <c r="CL115" s="33" t="n">
        <f aca="false">-In_Lease*$F24*CL109*CL16*CL$6</f>
        <v>-109.51514902835</v>
      </c>
      <c r="CM115" s="33" t="n">
        <f aca="false">-In_Lease*$F24*CM109*CM16*CM$6</f>
        <v>-109.51514902835</v>
      </c>
      <c r="CN115" s="33" t="n">
        <f aca="false">-In_Lease*$F24*CN109*CN16*CN$6</f>
        <v>-109.812744542014</v>
      </c>
      <c r="CO115" s="33" t="n">
        <f aca="false">-In_Lease*$F24*CO109*CO16*CO$6</f>
        <v>-111.032886148037</v>
      </c>
      <c r="CP115" s="33" t="n">
        <f aca="false">-In_Lease*$F24*CP109*CP16*CP$6</f>
        <v>-112.253027754059</v>
      </c>
      <c r="CQ115" s="33" t="n">
        <f aca="false">-In_Lease*$F24*CQ109*CQ16*CQ$6</f>
        <v>-112.253027754059</v>
      </c>
      <c r="CR115" s="33" t="n">
        <f aca="false">-In_Lease*$F24*CR109*CR16*CR$6</f>
        <v>-113.808708301737</v>
      </c>
      <c r="CS115" s="33" t="n">
        <f aca="false">-In_Lease*$F24*CS109*CS16*CS$6</f>
        <v>-113.808708301737</v>
      </c>
      <c r="CT115" s="33" t="n">
        <f aca="false">-In_Lease*$F24*CT109*CT16*CT$6</f>
        <v>-115.05935344791</v>
      </c>
      <c r="CU115" s="33" t="n">
        <f aca="false">-In_Lease*$F24*CU109*CU16*CU$6</f>
        <v>-115.05935344791</v>
      </c>
      <c r="CV115" s="33" t="n">
        <f aca="false">-In_Lease*$F24*CV109*CV16*CV$6</f>
        <v>-115.372014734454</v>
      </c>
      <c r="CW115" s="33" t="n">
        <f aca="false">-In_Lease*$F24*CW109*CW16*CW$6</f>
        <v>-116.653926009281</v>
      </c>
      <c r="CX115" s="33" t="n">
        <f aca="false">-In_Lease*$F24*CX109*CX16*CX$6</f>
        <v>-117.935837284108</v>
      </c>
      <c r="CY115" s="33" t="n">
        <f aca="false">-In_Lease*$F24*CY109*CY16*CY$6</f>
        <v>-117.935837284108</v>
      </c>
      <c r="CZ115" s="33" t="n">
        <f aca="false">-In_Lease*$F24*CZ109*CZ16*CZ$6</f>
        <v>-118.256315102815</v>
      </c>
      <c r="DA115" s="33" t="n">
        <f aca="false">-In_Lease*$F24*DA109*DA16*DA$6</f>
        <v>-119.570274159513</v>
      </c>
      <c r="DB115" s="33" t="n">
        <f aca="false">-In_Lease*$F24*DB109*DB16*DB$6</f>
        <v>-120.884233216211</v>
      </c>
      <c r="DC115" s="33" t="n">
        <f aca="false">-In_Lease*$F24*DC109*DC16*DC$6</f>
        <v>-120.884233216211</v>
      </c>
      <c r="DD115" s="33" t="n">
        <f aca="false">-In_Lease*$F24*DD109*DD16*DD$6</f>
        <v>-121.212722980385</v>
      </c>
      <c r="DE115" s="33" t="n">
        <f aca="false">-In_Lease*$F24*DE109*DE16*DE$6</f>
        <v>-122.559531013501</v>
      </c>
      <c r="DF115" s="33" t="n">
        <f aca="false">-In_Lease*$F24*DF109*DF16*DF$6</f>
        <v>-123.906339046616</v>
      </c>
      <c r="DG115" s="33" t="n">
        <f aca="false">-In_Lease*$F24*DG109*DG16*DG$6</f>
        <v>-123.906339046616</v>
      </c>
      <c r="DH115" s="33" t="n">
        <f aca="false">-In_Lease*$F24*DH109*DH16*DH$6</f>
        <v>-125.623519288838</v>
      </c>
      <c r="DI115" s="33" t="n">
        <f aca="false">-In_Lease*$F24*DI109*DI16*DI$6</f>
        <v>-125.623519288838</v>
      </c>
      <c r="DJ115" s="33" t="n">
        <f aca="false">-In_Lease*$F24*DJ109*DJ16*DJ$6</f>
        <v>-127.003997522782</v>
      </c>
      <c r="DK115" s="33" t="n">
        <f aca="false">-In_Lease*$F24*DK109*DK16*DK$6</f>
        <v>-127.003997522782</v>
      </c>
      <c r="DL115" s="33" t="n">
        <f aca="false">-In_Lease*$F24*DL109*DL16*DL$6</f>
        <v>-127.349117081267</v>
      </c>
      <c r="DM115" s="33" t="n">
        <f aca="false">-In_Lease*$F24*DM109*DM16*DM$6</f>
        <v>-128.764107271059</v>
      </c>
      <c r="DN115" s="33" t="n">
        <f aca="false">-In_Lease*$F24*DN109*DN16*DN$6</f>
        <v>-130.179097460851</v>
      </c>
      <c r="DO115" s="33" t="n">
        <f aca="false">-In_Lease*$F24*DO109*DO16*DO$6</f>
        <v>-130.179097460851</v>
      </c>
      <c r="DP115" s="33" t="n">
        <f aca="false">-In_Lease*$F24*DP109*DP16*DP$6</f>
        <v>-130.532845008299</v>
      </c>
      <c r="DQ115" s="33" t="n">
        <f aca="false">-In_Lease*$F24*DQ109*DQ16*DQ$6</f>
        <v>-131.983209952836</v>
      </c>
      <c r="DR115" s="33" t="n">
        <f aca="false">-In_Lease*$F24*DR109*DR16*DR$6</f>
        <v>-133.433574897372</v>
      </c>
      <c r="DS115" s="33" t="n">
        <f aca="false">-In_Lease*$F24*DS109*DS16*DS$6</f>
        <v>-133.433574897372</v>
      </c>
      <c r="DT115" s="33" t="n">
        <f aca="false">-In_Lease*$F24*DT109*DT16*DT$6</f>
        <v>-133.796166133506</v>
      </c>
      <c r="DU115" s="33" t="n">
        <f aca="false">-In_Lease*$F24*DU109*DU16*DU$6</f>
        <v>-135.282790201657</v>
      </c>
      <c r="DV115" s="33" t="n">
        <f aca="false">-In_Lease*$F24*DV109*DV16*DV$6</f>
        <v>-136.769414269807</v>
      </c>
      <c r="DW115" s="33" t="n">
        <f aca="false">-In_Lease*$F24*DW109*DW16*DW$6</f>
        <v>-136.769414269807</v>
      </c>
      <c r="DX115" s="33" t="n">
        <f aca="false">-In_Lease*$F24*DX109*DX16*DX$6</f>
        <v>-138.664859956698</v>
      </c>
      <c r="DY115" s="33" t="n">
        <f aca="false">-In_Lease*$F24*DY109*DY16*DY$6</f>
        <v>-138.664859956698</v>
      </c>
      <c r="DZ115" s="33" t="n">
        <f aca="false">-In_Lease*$F24*DZ109*DZ16*DZ$6</f>
        <v>-140.188649626552</v>
      </c>
      <c r="EA115" s="33" t="n">
        <f aca="false">-In_Lease*$F24*EA109*EA16*EA$6</f>
        <v>-140.188649626552</v>
      </c>
      <c r="EB115" s="33" t="n">
        <f aca="false">-In_Lease*$F24*EB109*EB16*EB$6</f>
        <v>-140.569597044015</v>
      </c>
      <c r="EC115" s="33" t="n">
        <f aca="false">-In_Lease*$F24*EC109*EC16*EC$6</f>
        <v>-142.131481455615</v>
      </c>
      <c r="ED115" s="33" t="n">
        <f aca="false">-In_Lease*$F24*ED109*ED16*ED$6</f>
        <v>-143.693365867216</v>
      </c>
      <c r="EE115" s="33" t="n">
        <f aca="false">-In_Lease*$F24*EE109*EE16*EE$6</f>
        <v>-143.693365867216</v>
      </c>
      <c r="EF115" s="33" t="n">
        <f aca="false">-In_Lease*$F24*EF109*EF16*EF$6</f>
        <v>-144.083836970116</v>
      </c>
      <c r="EG115" s="33" t="n">
        <f aca="false">-In_Lease*$F24*EG109*EG16*EG$6</f>
        <v>-145.684768492006</v>
      </c>
      <c r="EH115" s="33" t="n">
        <f aca="false">-In_Lease*$F24*EH109*EH16*EH$6</f>
        <v>-147.285700013896</v>
      </c>
      <c r="EI115" s="33" t="n">
        <f aca="false">-In_Lease*$F24*EI109*EI16*EI$6</f>
        <v>-147.285700013896</v>
      </c>
      <c r="EJ115" s="33" t="n">
        <f aca="false">-In_Lease*$F24*EJ109*EJ16*EJ$6</f>
        <v>-147.685932894368</v>
      </c>
      <c r="EK115" s="33" t="n">
        <f aca="false">-In_Lease*$F24*EK109*EK16*EK$6</f>
        <v>-149.326887704306</v>
      </c>
      <c r="EL115" s="33" t="n">
        <f aca="false">-In_Lease*$F24*EL109*EL16*EL$6</f>
        <v>-150.967842514243</v>
      </c>
      <c r="EM115" s="33" t="n">
        <f aca="false">-In_Lease*$F24*EM109*EM16*EM$6</f>
        <v>-150.967842514243</v>
      </c>
      <c r="EN115" s="33" t="n">
        <f aca="false">-In_Lease*$F24*EN109*EN16*EN$6</f>
        <v>-153.060059896914</v>
      </c>
      <c r="EO115" s="33" t="n">
        <f aca="false">-In_Lease*$F24*EO109*EO16*EO$6</f>
        <v>-153.060059896914</v>
      </c>
      <c r="EP115" s="33" t="n">
        <f aca="false">-In_Lease*$F24*EP109*EP16*EP$6</f>
        <v>-154.742038577099</v>
      </c>
      <c r="EQ115" s="33" t="n">
        <f aca="false">-In_Lease*$F24*EQ109*EQ16*EQ$6</f>
        <v>-154.742038577099</v>
      </c>
      <c r="ER115" s="33" t="n">
        <f aca="false">-In_Lease*$F24*ER109*ER16*ER$6</f>
        <v>-155.162533247146</v>
      </c>
      <c r="ES115" s="33" t="n">
        <f aca="false">-In_Lease*$F24*ES109*ES16*ES$6</f>
        <v>-156.886561394336</v>
      </c>
      <c r="ET115" s="33" t="n">
        <f aca="false">-In_Lease*$F24*ET109*ET16*ET$6</f>
        <v>-158.610589541527</v>
      </c>
    </row>
    <row r="116" customFormat="false" ht="15" hidden="false" customHeight="false" outlineLevel="0" collapsed="false">
      <c r="C116" s="0" t="s">
        <v>562</v>
      </c>
      <c r="D116" s="11" t="s">
        <v>247</v>
      </c>
      <c r="I116" s="33" t="n">
        <f aca="false">SUM(J116:ET116)</f>
        <v>-15269.388528234</v>
      </c>
      <c r="J116" s="33" t="n">
        <f aca="false">-J112*(In_MEKH+In_HIPA)</f>
        <v>-0</v>
      </c>
      <c r="K116" s="33" t="n">
        <f aca="false">-K112*(In_MEKH+In_HIPA)</f>
        <v>-0</v>
      </c>
      <c r="L116" s="33" t="n">
        <f aca="false">-L112*(In_MEKH+In_HIPA)</f>
        <v>-0</v>
      </c>
      <c r="M116" s="33" t="n">
        <f aca="false">-M112*(In_MEKH+In_HIPA)</f>
        <v>-0</v>
      </c>
      <c r="N116" s="33" t="n">
        <f aca="false">-N112*(In_MEKH+In_HIPA)</f>
        <v>-0</v>
      </c>
      <c r="O116" s="33" t="n">
        <f aca="false">-O112*(In_MEKH+In_HIPA)</f>
        <v>-0</v>
      </c>
      <c r="P116" s="33" t="n">
        <f aca="false">-P112*(In_MEKH+In_HIPA)</f>
        <v>-0</v>
      </c>
      <c r="Q116" s="33" t="n">
        <f aca="false">-Q112*(In_MEKH+In_HIPA)</f>
        <v>-0</v>
      </c>
      <c r="R116" s="33" t="n">
        <f aca="false">-R112*(In_MEKH+In_HIPA)</f>
        <v>-0</v>
      </c>
      <c r="S116" s="33" t="n">
        <f aca="false">-S112*(In_MEKH+In_HIPA)</f>
        <v>-0</v>
      </c>
      <c r="T116" s="33" t="n">
        <f aca="false">-T112*(In_MEKH+In_HIPA)</f>
        <v>-0</v>
      </c>
      <c r="U116" s="33" t="n">
        <f aca="false">-U112*(In_MEKH+In_HIPA)</f>
        <v>-0</v>
      </c>
      <c r="V116" s="33" t="n">
        <f aca="false">-V112*(In_MEKH+In_HIPA)</f>
        <v>-0</v>
      </c>
      <c r="W116" s="33" t="n">
        <f aca="false">-W112*(In_MEKH+In_HIPA)</f>
        <v>-0</v>
      </c>
      <c r="X116" s="33" t="n">
        <f aca="false">-X112*(In_MEKH+In_HIPA)</f>
        <v>-0</v>
      </c>
      <c r="Y116" s="33" t="n">
        <f aca="false">-Y112*(In_MEKH+In_HIPA)</f>
        <v>-0</v>
      </c>
      <c r="Z116" s="33" t="n">
        <f aca="false">-Z112*(In_MEKH+In_HIPA)</f>
        <v>-0</v>
      </c>
      <c r="AA116" s="33" t="n">
        <f aca="false">-AA112*(In_MEKH+In_HIPA)</f>
        <v>-0</v>
      </c>
      <c r="AB116" s="33" t="n">
        <f aca="false">-AB112*(In_MEKH+In_HIPA)</f>
        <v>-0</v>
      </c>
      <c r="AC116" s="33" t="n">
        <f aca="false">-AC112*(In_MEKH+In_HIPA)</f>
        <v>-0</v>
      </c>
      <c r="AD116" s="33" t="n">
        <f aca="false">-AD112*(In_MEKH+In_HIPA)</f>
        <v>-0</v>
      </c>
      <c r="AE116" s="33" t="n">
        <f aca="false">-AE112*(In_MEKH+In_HIPA)</f>
        <v>-114.846549041096</v>
      </c>
      <c r="AF116" s="33" t="n">
        <f aca="false">-AF112*(In_MEKH+In_HIPA)</f>
        <v>-114.734199156164</v>
      </c>
      <c r="AG116" s="33" t="n">
        <f aca="false">-AG112*(In_MEKH+In_HIPA)</f>
        <v>-114.734199156164</v>
      </c>
      <c r="AH116" s="33" t="n">
        <f aca="false">-AH112*(In_MEKH+In_HIPA)</f>
        <v>-115.995014531507</v>
      </c>
      <c r="AI116" s="33" t="n">
        <f aca="false">-AI112*(In_MEKH+In_HIPA)</f>
        <v>-115.647029487912</v>
      </c>
      <c r="AJ116" s="33" t="n">
        <f aca="false">-AJ112*(In_MEKH+In_HIPA)</f>
        <v>-114.264293265774</v>
      </c>
      <c r="AK116" s="33" t="n">
        <f aca="false">-AK112*(In_MEKH+In_HIPA)</f>
        <v>-115.533896524283</v>
      </c>
      <c r="AL116" s="33" t="n">
        <f aca="false">-AL112*(In_MEKH+In_HIPA)</f>
        <v>-116.803499782791</v>
      </c>
      <c r="AM116" s="33" t="n">
        <f aca="false">-AM112*(In_MEKH+In_HIPA)</f>
        <v>-116.453089283443</v>
      </c>
      <c r="AN116" s="33" t="n">
        <f aca="false">-AN112*(In_MEKH+In_HIPA)</f>
        <v>-115.060715389837</v>
      </c>
      <c r="AO116" s="33" t="n">
        <f aca="false">-AO112*(In_MEKH+In_HIPA)</f>
        <v>-116.339167783057</v>
      </c>
      <c r="AP116" s="33" t="n">
        <f aca="false">-AP112*(In_MEKH+In_HIPA)</f>
        <v>-117.617620176278</v>
      </c>
      <c r="AQ116" s="33" t="n">
        <f aca="false">-AQ112*(In_MEKH+In_HIPA)</f>
        <v>-117.264767315749</v>
      </c>
      <c r="AR116" s="33" t="n">
        <f aca="false">-AR112*(In_MEKH+In_HIPA)</f>
        <v>-115.862688576104</v>
      </c>
      <c r="AS116" s="33" t="n">
        <f aca="false">-AS112*(In_MEKH+In_HIPA)</f>
        <v>-117.150051782505</v>
      </c>
      <c r="AT116" s="33" t="n">
        <f aca="false">-AT112*(In_MEKH+In_HIPA)</f>
        <v>-118.437414988906</v>
      </c>
      <c r="AU116" s="33" t="n">
        <f aca="false">-AU112*(In_MEKH+In_HIPA)</f>
        <v>-118.082102743939</v>
      </c>
      <c r="AV116" s="33" t="n">
        <f aca="false">-AV112*(In_MEKH+In_HIPA)</f>
        <v>-117.966587643429</v>
      </c>
      <c r="AW116" s="33" t="n">
        <f aca="false">-AW112*(In_MEKH+In_HIPA)</f>
        <v>-117.966587643429</v>
      </c>
      <c r="AX116" s="33" t="n">
        <f aca="false">-AX112*(In_MEKH+In_HIPA)</f>
        <v>-119.262923771379</v>
      </c>
      <c r="AY116" s="33" t="n">
        <f aca="false">-AY112*(In_MEKH+In_HIPA)</f>
        <v>-118.905135000065</v>
      </c>
      <c r="AZ116" s="33" t="n">
        <f aca="false">-AZ112*(In_MEKH+In_HIPA)</f>
        <v>-117.483443168542</v>
      </c>
      <c r="BA116" s="33" t="n">
        <f aca="false">-BA112*(In_MEKH+In_HIPA)</f>
        <v>-118.788814759304</v>
      </c>
      <c r="BB116" s="33" t="n">
        <f aca="false">-BB112*(In_MEKH+In_HIPA)</f>
        <v>-120.094186350065</v>
      </c>
      <c r="BC116" s="33" t="n">
        <f aca="false">-BC112*(In_MEKH+In_HIPA)</f>
        <v>-119.733903791015</v>
      </c>
      <c r="BD116" s="33" t="n">
        <f aca="false">-BD112*(In_MEKH+In_HIPA)</f>
        <v>-118.302302767427</v>
      </c>
      <c r="BE116" s="33" t="n">
        <f aca="false">-BE112*(In_MEKH+In_HIPA)</f>
        <v>-119.616772798176</v>
      </c>
      <c r="BF116" s="33" t="n">
        <f aca="false">-BF112*(In_MEKH+In_HIPA)</f>
        <v>-120.931242828925</v>
      </c>
      <c r="BG116" s="33" t="n">
        <f aca="false">-BG112*(In_MEKH+In_HIPA)</f>
        <v>-120.568449100439</v>
      </c>
      <c r="BH116" s="33" t="n">
        <f aca="false">-BH112*(In_MEKH+In_HIPA)</f>
        <v>-119.126869817716</v>
      </c>
      <c r="BI116" s="33" t="n">
        <f aca="false">-BI112*(In_MEKH+In_HIPA)</f>
        <v>-120.450501704579</v>
      </c>
      <c r="BJ116" s="33" t="n">
        <f aca="false">-BJ112*(In_MEKH+In_HIPA)</f>
        <v>-121.774133591443</v>
      </c>
      <c r="BK116" s="33" t="n">
        <f aca="false">-BK112*(In_MEKH+In_HIPA)</f>
        <v>-121.408811190669</v>
      </c>
      <c r="BL116" s="33" t="n">
        <f aca="false">-BL112*(In_MEKH+In_HIPA)</f>
        <v>-121.29004170146</v>
      </c>
      <c r="BM116" s="33" t="n">
        <f aca="false">-BM112*(In_MEKH+In_HIPA)</f>
        <v>-121.29004170146</v>
      </c>
      <c r="BN116" s="33" t="n">
        <f aca="false">-BN112*(In_MEKH+In_HIPA)</f>
        <v>-122.622899302575</v>
      </c>
      <c r="BO116" s="33" t="n">
        <f aca="false">-BO112*(In_MEKH+In_HIPA)</f>
        <v>-122.255030604668</v>
      </c>
      <c r="BP116" s="33" t="n">
        <f aca="false">-BP112*(In_MEKH+In_HIPA)</f>
        <v>-120.793285673525</v>
      </c>
      <c r="BQ116" s="33" t="n">
        <f aca="false">-BQ112*(In_MEKH+In_HIPA)</f>
        <v>-122.13543329212</v>
      </c>
      <c r="BR116" s="33" t="n">
        <f aca="false">-BR112*(In_MEKH+In_HIPA)</f>
        <v>-123.477580910714</v>
      </c>
      <c r="BS116" s="33" t="n">
        <f aca="false">-BS112*(In_MEKH+In_HIPA)</f>
        <v>-123.107148167982</v>
      </c>
      <c r="BT116" s="33" t="n">
        <f aca="false">-BT112*(In_MEKH+In_HIPA)</f>
        <v>-121.635214874669</v>
      </c>
      <c r="BU116" s="33" t="n">
        <f aca="false">-BU112*(In_MEKH+In_HIPA)</f>
        <v>-122.986717262166</v>
      </c>
      <c r="BV116" s="33" t="n">
        <f aca="false">-BV112*(In_MEKH+In_HIPA)</f>
        <v>-124.338219649662</v>
      </c>
      <c r="BW116" s="33" t="n">
        <f aca="false">-BW112*(In_MEKH+In_HIPA)</f>
        <v>-123.965204990713</v>
      </c>
      <c r="BX116" s="33" t="n">
        <f aca="false">-BX112*(In_MEKH+In_HIPA)</f>
        <v>-122.483012322346</v>
      </c>
      <c r="BY116" s="33" t="n">
        <f aca="false">-BY112*(In_MEKH+In_HIPA)</f>
        <v>-123.843934681483</v>
      </c>
      <c r="BZ116" s="33" t="n">
        <f aca="false">-BZ112*(In_MEKH+In_HIPA)</f>
        <v>-125.20485704062</v>
      </c>
      <c r="CA116" s="33" t="n">
        <f aca="false">-CA112*(In_MEKH+In_HIPA)</f>
        <v>-124.829242469498</v>
      </c>
      <c r="CB116" s="33" t="n">
        <f aca="false">-CB112*(In_MEKH+In_HIPA)</f>
        <v>-124.707126906213</v>
      </c>
      <c r="CC116" s="33" t="n">
        <f aca="false">-CC112*(In_MEKH+In_HIPA)</f>
        <v>-124.707126906213</v>
      </c>
      <c r="CD116" s="33" t="n">
        <f aca="false">-CD112*(In_MEKH+In_HIPA)</f>
        <v>-126.077534894193</v>
      </c>
      <c r="CE116" s="33" t="n">
        <f aca="false">-CE112*(In_MEKH+In_HIPA)</f>
        <v>-125.699302289511</v>
      </c>
      <c r="CF116" s="33" t="n">
        <f aca="false">-CF112*(In_MEKH+In_HIPA)</f>
        <v>-124.196375849093</v>
      </c>
      <c r="CG116" s="33" t="n">
        <f aca="false">-CG112*(In_MEKH+In_HIPA)</f>
        <v>-125.576335580749</v>
      </c>
      <c r="CH116" s="33" t="n">
        <f aca="false">-CH112*(In_MEKH+In_HIPA)</f>
        <v>-126.956295312406</v>
      </c>
      <c r="CI116" s="33" t="n">
        <f aca="false">-CI112*(In_MEKH+In_HIPA)</f>
        <v>-126.575426426469</v>
      </c>
      <c r="CJ116" s="33" t="n">
        <f aca="false">-CJ112*(In_MEKH+In_HIPA)</f>
        <v>-125.062024588761</v>
      </c>
      <c r="CK116" s="33" t="n">
        <f aca="false">-CK112*(In_MEKH+In_HIPA)</f>
        <v>-126.451602639747</v>
      </c>
      <c r="CL116" s="33" t="n">
        <f aca="false">-CL112*(In_MEKH+In_HIPA)</f>
        <v>-127.841180690733</v>
      </c>
      <c r="CM116" s="33" t="n">
        <f aca="false">-CM112*(In_MEKH+In_HIPA)</f>
        <v>-127.457657148661</v>
      </c>
      <c r="CN116" s="33" t="n">
        <f aca="false">-CN112*(In_MEKH+In_HIPA)</f>
        <v>-125.933706900144</v>
      </c>
      <c r="CO116" s="33" t="n">
        <f aca="false">-CO112*(In_MEKH+In_HIPA)</f>
        <v>-127.332970310146</v>
      </c>
      <c r="CP116" s="33" t="n">
        <f aca="false">-CP112*(In_MEKH+In_HIPA)</f>
        <v>-128.732233720148</v>
      </c>
      <c r="CQ116" s="33" t="n">
        <f aca="false">-CQ112*(In_MEKH+In_HIPA)</f>
        <v>-128.346037018987</v>
      </c>
      <c r="CR116" s="33" t="n">
        <f aca="false">-CR112*(In_MEKH+In_HIPA)</f>
        <v>-128.220481113208</v>
      </c>
      <c r="CS116" s="33" t="n">
        <f aca="false">-CS112*(In_MEKH+In_HIPA)</f>
        <v>-128.220481113208</v>
      </c>
      <c r="CT116" s="33" t="n">
        <f aca="false">-CT112*(In_MEKH+In_HIPA)</f>
        <v>-129.629497389177</v>
      </c>
      <c r="CU116" s="33" t="n">
        <f aca="false">-CU112*(In_MEKH+In_HIPA)</f>
        <v>-129.240608897009</v>
      </c>
      <c r="CV116" s="33" t="n">
        <f aca="false">-CV112*(In_MEKH+In_HIPA)</f>
        <v>-127.695340747154</v>
      </c>
      <c r="CW116" s="33" t="n">
        <f aca="false">-CW112*(In_MEKH+In_HIPA)</f>
        <v>-129.114177866567</v>
      </c>
      <c r="CX116" s="33" t="n">
        <f aca="false">-CX112*(In_MEKH+In_HIPA)</f>
        <v>-130.53301498598</v>
      </c>
      <c r="CY116" s="33" t="n">
        <f aca="false">-CY112*(In_MEKH+In_HIPA)</f>
        <v>-130.141415941022</v>
      </c>
      <c r="CZ116" s="33" t="n">
        <f aca="false">-CZ112*(In_MEKH+In_HIPA)</f>
        <v>-128.585377272162</v>
      </c>
      <c r="DA116" s="33" t="n">
        <f aca="false">-DA112*(In_MEKH+In_HIPA)</f>
        <v>-130.014103686297</v>
      </c>
      <c r="DB116" s="33" t="n">
        <f aca="false">-DB112*(In_MEKH+In_HIPA)</f>
        <v>-131.442830100432</v>
      </c>
      <c r="DC116" s="33" t="n">
        <f aca="false">-DC112*(In_MEKH+In_HIPA)</f>
        <v>-131.048501610131</v>
      </c>
      <c r="DD116" s="33" t="n">
        <f aca="false">-DD112*(In_MEKH+In_HIPA)</f>
        <v>-129.481617351749</v>
      </c>
      <c r="DE116" s="33" t="n">
        <f aca="false">-DE112*(In_MEKH+In_HIPA)</f>
        <v>-130.92030198899</v>
      </c>
      <c r="DF116" s="33" t="n">
        <f aca="false">-DF112*(In_MEKH+In_HIPA)</f>
        <v>-132.358986626232</v>
      </c>
      <c r="DG116" s="33" t="n">
        <f aca="false">-DG112*(In_MEKH+In_HIPA)</f>
        <v>-131.961909666353</v>
      </c>
      <c r="DH116" s="33" t="n">
        <f aca="false">-DH112*(In_MEKH+In_HIPA)</f>
        <v>-131.832816493854</v>
      </c>
      <c r="DI116" s="33" t="n">
        <f aca="false">-DI112*(In_MEKH+In_HIPA)</f>
        <v>-131.832816493854</v>
      </c>
      <c r="DJ116" s="33" t="n">
        <f aca="false">-DJ112*(In_MEKH+In_HIPA)</f>
        <v>-133.281528763017</v>
      </c>
      <c r="DK116" s="33" t="n">
        <f aca="false">-DK112*(In_MEKH+In_HIPA)</f>
        <v>-132.881684176728</v>
      </c>
      <c r="DL116" s="33" t="n">
        <f aca="false">-DL112*(In_MEKH+In_HIPA)</f>
        <v>-131.292881431136</v>
      </c>
      <c r="DM116" s="33" t="n">
        <f aca="false">-DM112*(In_MEKH+In_HIPA)</f>
        <v>-132.751691224816</v>
      </c>
      <c r="DN116" s="33" t="n">
        <f aca="false">-DN112*(In_MEKH+In_HIPA)</f>
        <v>-134.210501018495</v>
      </c>
      <c r="DO116" s="33" t="n">
        <f aca="false">-DO112*(In_MEKH+In_HIPA)</f>
        <v>-133.807869515439</v>
      </c>
      <c r="DP116" s="33" t="n">
        <f aca="false">-DP112*(In_MEKH+In_HIPA)</f>
        <v>-132.207992814711</v>
      </c>
      <c r="DQ116" s="33" t="n">
        <f aca="false">-DQ112*(In_MEKH+In_HIPA)</f>
        <v>-133.676970512653</v>
      </c>
      <c r="DR116" s="33" t="n">
        <f aca="false">-DR112*(In_MEKH+In_HIPA)</f>
        <v>-135.145948210594</v>
      </c>
      <c r="DS116" s="33" t="n">
        <f aca="false">-DS112*(In_MEKH+In_HIPA)</f>
        <v>-134.740510365962</v>
      </c>
      <c r="DT116" s="33" t="n">
        <f aca="false">-DT112*(In_MEKH+In_HIPA)</f>
        <v>-133.12948252463</v>
      </c>
      <c r="DU116" s="33" t="n">
        <f aca="false">-DU112*(In_MEKH+In_HIPA)</f>
        <v>-134.608698997126</v>
      </c>
      <c r="DV116" s="33" t="n">
        <f aca="false">-DV112*(In_MEKH+In_HIPA)</f>
        <v>-136.087915469622</v>
      </c>
      <c r="DW116" s="33" t="n">
        <f aca="false">-DW112*(In_MEKH+In_HIPA)</f>
        <v>-135.679651723213</v>
      </c>
      <c r="DX116" s="33" t="n">
        <f aca="false">-DX112*(In_MEKH+In_HIPA)</f>
        <v>-135.546921629136</v>
      </c>
      <c r="DY116" s="33" t="n">
        <f aca="false">-DY112*(In_MEKH+In_HIPA)</f>
        <v>-135.546921629136</v>
      </c>
      <c r="DZ116" s="33" t="n">
        <f aca="false">-DZ112*(In_MEKH+In_HIPA)</f>
        <v>-137.036448240445</v>
      </c>
      <c r="EA116" s="33" t="n">
        <f aca="false">-EA112*(In_MEKH+In_HIPA)</f>
        <v>-136.625338895724</v>
      </c>
      <c r="EB116" s="33" t="n">
        <f aca="false">-EB112*(In_MEKH+In_HIPA)</f>
        <v>-134.991775061101</v>
      </c>
      <c r="EC116" s="33" t="n">
        <f aca="false">-EC112*(In_MEKH+In_HIPA)</f>
        <v>-136.491683672891</v>
      </c>
      <c r="ED116" s="33" t="n">
        <f aca="false">-ED112*(In_MEKH+In_HIPA)</f>
        <v>-137.991592284681</v>
      </c>
      <c r="EE116" s="33" t="n">
        <f aca="false">-EE112*(In_MEKH+In_HIPA)</f>
        <v>-137.577617507827</v>
      </c>
      <c r="EF116" s="33" t="n">
        <f aca="false">-EF112*(In_MEKH+In_HIPA)</f>
        <v>-135.932667733277</v>
      </c>
      <c r="EG116" s="33" t="n">
        <f aca="false">-EG112*(In_MEKH+In_HIPA)</f>
        <v>-137.443030708091</v>
      </c>
      <c r="EH116" s="33" t="n">
        <f aca="false">-EH112*(In_MEKH+In_HIPA)</f>
        <v>-138.953393682905</v>
      </c>
      <c r="EI116" s="33" t="n">
        <f aca="false">-EI112*(In_MEKH+In_HIPA)</f>
        <v>-138.536533501856</v>
      </c>
      <c r="EJ116" s="33" t="n">
        <f aca="false">-EJ112*(In_MEKH+In_HIPA)</f>
        <v>-136.880118427378</v>
      </c>
      <c r="EK116" s="33" t="n">
        <f aca="false">-EK112*(In_MEKH+In_HIPA)</f>
        <v>-138.401008632126</v>
      </c>
      <c r="EL116" s="33" t="n">
        <f aca="false">-EL112*(In_MEKH+In_HIPA)</f>
        <v>-139.921898836875</v>
      </c>
      <c r="EM116" s="33" t="n">
        <f aca="false">-EM112*(In_MEKH+In_HIPA)</f>
        <v>-139.502133140364</v>
      </c>
      <c r="EN116" s="33" t="n">
        <f aca="false">-EN112*(In_MEKH+In_HIPA)</f>
        <v>-139.365663662292</v>
      </c>
      <c r="EO116" s="33" t="n">
        <f aca="false">-EO112*(In_MEKH+In_HIPA)</f>
        <v>-139.365663662292</v>
      </c>
      <c r="EP116" s="33" t="n">
        <f aca="false">-EP112*(In_MEKH+In_HIPA)</f>
        <v>-140.897154471768</v>
      </c>
      <c r="EQ116" s="33" t="n">
        <f aca="false">-EQ112*(In_MEKH+In_HIPA)</f>
        <v>-140.474463008353</v>
      </c>
      <c r="ER116" s="33" t="n">
        <f aca="false">-ER112*(In_MEKH+In_HIPA)</f>
        <v>-138.794877037601</v>
      </c>
      <c r="ES116" s="33" t="n">
        <f aca="false">-ES112*(In_MEKH+In_HIPA)</f>
        <v>-140.337042338018</v>
      </c>
      <c r="ET116" s="33" t="n">
        <f aca="false">-ET112*(In_MEKH+In_HIPA)</f>
        <v>-141.879207638436</v>
      </c>
    </row>
    <row r="117" customFormat="false" ht="15" hidden="false" customHeight="false" outlineLevel="0" collapsed="false">
      <c r="C117" s="0" t="s">
        <v>383</v>
      </c>
      <c r="D117" s="11" t="s">
        <v>247</v>
      </c>
      <c r="I117" s="33" t="n">
        <f aca="false">SUM(J117:ET117)</f>
        <v>-8565.12918101122</v>
      </c>
      <c r="J117" s="33" t="n">
        <f aca="false">In_Opex_Contingency*(J113+J114+J115-J112*In_MEKH)</f>
        <v>-0</v>
      </c>
      <c r="K117" s="33" t="n">
        <f aca="false">In_Opex_Contingency*(K113+K114+K115-K112*In_MEKH)</f>
        <v>-0</v>
      </c>
      <c r="L117" s="33" t="n">
        <f aca="false">In_Opex_Contingency*(L113+L114+L115-L112*In_MEKH)</f>
        <v>-0</v>
      </c>
      <c r="M117" s="33" t="n">
        <f aca="false">In_Opex_Contingency*(M113+M114+M115-M112*In_MEKH)</f>
        <v>-0</v>
      </c>
      <c r="N117" s="33" t="n">
        <f aca="false">In_Opex_Contingency*(N113+N114+N115-N112*In_MEKH)</f>
        <v>-0</v>
      </c>
      <c r="O117" s="33" t="n">
        <f aca="false">In_Opex_Contingency*(O113+O114+O115-O112*In_MEKH)</f>
        <v>-0</v>
      </c>
      <c r="P117" s="33" t="n">
        <f aca="false">In_Opex_Contingency*(P113+P114+P115-P112*In_MEKH)</f>
        <v>-0</v>
      </c>
      <c r="Q117" s="33" t="n">
        <f aca="false">In_Opex_Contingency*(Q113+Q114+Q115-Q112*In_MEKH)</f>
        <v>-0</v>
      </c>
      <c r="R117" s="33" t="n">
        <f aca="false">In_Opex_Contingency*(R113+R114+R115-R112*In_MEKH)</f>
        <v>-0</v>
      </c>
      <c r="S117" s="33" t="n">
        <f aca="false">In_Opex_Contingency*(S113+S114+S115-S112*In_MEKH)</f>
        <v>-0</v>
      </c>
      <c r="T117" s="33" t="n">
        <f aca="false">In_Opex_Contingency*(T113+T114+T115-T112*In_MEKH)</f>
        <v>-0</v>
      </c>
      <c r="U117" s="33" t="n">
        <f aca="false">In_Opex_Contingency*(U113+U114+U115-U112*In_MEKH)</f>
        <v>-0</v>
      </c>
      <c r="V117" s="33" t="n">
        <f aca="false">In_Opex_Contingency*(V113+V114+V115-V112*In_MEKH)</f>
        <v>-0</v>
      </c>
      <c r="W117" s="33" t="n">
        <f aca="false">In_Opex_Contingency*(W113+W114+W115-W112*In_MEKH)</f>
        <v>-3.59864073081092</v>
      </c>
      <c r="X117" s="33" t="n">
        <f aca="false">In_Opex_Contingency*(X113+X114+X115-X112*In_MEKH)</f>
        <v>-3.60841964584029</v>
      </c>
      <c r="Y117" s="33" t="n">
        <f aca="false">In_Opex_Contingency*(Y113+Y114+Y115-Y112*In_MEKH)</f>
        <v>-3.64851319746074</v>
      </c>
      <c r="Z117" s="33" t="n">
        <f aca="false">In_Opex_Contingency*(Z113+Z114+Z115-Z112*In_MEKH)</f>
        <v>-3.68860674908119</v>
      </c>
      <c r="AA117" s="33" t="n">
        <f aca="false">In_Opex_Contingency*(AA113+AA114+AA115-AA112*In_MEKH)</f>
        <v>-3.68860674908119</v>
      </c>
      <c r="AB117" s="33" t="n">
        <f aca="false">In_Opex_Contingency*(AB113+AB114+AB115-AB112*In_MEKH)</f>
        <v>-3.6986301369863</v>
      </c>
      <c r="AC117" s="33" t="n">
        <f aca="false">In_Opex_Contingency*(AC113+AC114+AC115-AC112*In_MEKH)</f>
        <v>-3.73972602739726</v>
      </c>
      <c r="AD117" s="33" t="n">
        <f aca="false">In_Opex_Contingency*(AD113+AD114+AD115-AD112*In_MEKH)</f>
        <v>-3.78082191780822</v>
      </c>
      <c r="AE117" s="33" t="n">
        <f aca="false">In_Opex_Contingency*(AE113+AE114+AE115-AE112*In_MEKH)</f>
        <v>-48.8620469041096</v>
      </c>
      <c r="AF117" s="33" t="n">
        <f aca="false">In_Opex_Contingency*(AF113+AF114+AF115-AF112*In_MEKH)</f>
        <v>-49.5351540619178</v>
      </c>
      <c r="AG117" s="33" t="n">
        <f aca="false">In_Opex_Contingency*(AG113+AG114+AG115-AG112*In_MEKH)</f>
        <v>-49.5351540619178</v>
      </c>
      <c r="AH117" s="33" t="n">
        <f aca="false">In_Opex_Contingency*(AH113+AH114+AH115-AH112*In_MEKH)</f>
        <v>-50.0794964142466</v>
      </c>
      <c r="AI117" s="33" t="n">
        <f aca="false">In_Opex_Contingency*(AI113+AI114+AI115-AI112*In_MEKH)</f>
        <v>-50.0319545003463</v>
      </c>
      <c r="AJ117" s="33" t="n">
        <f aca="false">In_Opex_Contingency*(AJ113+AJ114+AJ115-AJ112*In_MEKH)</f>
        <v>-50.1638704354583</v>
      </c>
      <c r="AK117" s="33" t="n">
        <f aca="false">In_Opex_Contingency*(AK113+AK114+AK115-AK112*In_MEKH)</f>
        <v>-50.7212467736301</v>
      </c>
      <c r="AL117" s="33" t="n">
        <f aca="false">In_Opex_Contingency*(AL113+AL114+AL115-AL112*In_MEKH)</f>
        <v>-51.2786231118018</v>
      </c>
      <c r="AM117" s="33" t="n">
        <f aca="false">In_Opex_Contingency*(AM113+AM114+AM115-AM112*In_MEKH)</f>
        <v>-51.2300512321924</v>
      </c>
      <c r="AN117" s="33" t="n">
        <f aca="false">In_Opex_Contingency*(AN113+AN114+AN115-AN112*In_MEKH)</f>
        <v>-51.3651947029183</v>
      </c>
      <c r="AO117" s="33" t="n">
        <f aca="false">In_Opex_Contingency*(AO113+AO114+AO115-AO112*In_MEKH)</f>
        <v>-51.9359190885063</v>
      </c>
      <c r="AP117" s="33" t="n">
        <f aca="false">In_Opex_Contingency*(AP113+AP114+AP115-AP112*In_MEKH)</f>
        <v>-52.5066434740943</v>
      </c>
      <c r="AQ117" s="33" t="n">
        <f aca="false">In_Opex_Contingency*(AQ113+AQ114+AQ115-AQ112*In_MEKH)</f>
        <v>-52.4570191331412</v>
      </c>
      <c r="AR117" s="33" t="n">
        <f aca="false">In_Opex_Contingency*(AR113+AR114+AR115-AR112*In_MEKH)</f>
        <v>-52.5954683974554</v>
      </c>
      <c r="AS117" s="33" t="n">
        <f aca="false">In_Opex_Contingency*(AS113+AS114+AS115-AS112*In_MEKH)</f>
        <v>-53.1798624907605</v>
      </c>
      <c r="AT117" s="33" t="n">
        <f aca="false">In_Opex_Contingency*(AT113+AT114+AT115-AT112*In_MEKH)</f>
        <v>-53.7642565840656</v>
      </c>
      <c r="AU117" s="33" t="n">
        <f aca="false">In_Opex_Contingency*(AU113+AU114+AU115-AU112*In_MEKH)</f>
        <v>-53.7135567935193</v>
      </c>
      <c r="AV117" s="33" t="n">
        <f aca="false">In_Opex_Contingency*(AV113+AV114+AV115-AV112*In_MEKH)</f>
        <v>-54.4537852508869</v>
      </c>
      <c r="AW117" s="33" t="n">
        <f aca="false">In_Opex_Contingency*(AW113+AW114+AW115-AW112*In_MEKH)</f>
        <v>-54.4537852508869</v>
      </c>
      <c r="AX117" s="33" t="n">
        <f aca="false">In_Opex_Contingency*(AX113+AX114+AX115-AX112*In_MEKH)</f>
        <v>-55.0521784954021</v>
      </c>
      <c r="AY117" s="33" t="n">
        <f aca="false">In_Opex_Contingency*(AY113+AY114+AY115-AY112*In_MEKH)</f>
        <v>-55.0003797636019</v>
      </c>
      <c r="AZ117" s="33" t="n">
        <f aca="false">In_Opex_Contingency*(AZ113+AZ114+AZ115-AZ112*In_MEKH)</f>
        <v>-55.1456830229945</v>
      </c>
      <c r="BA117" s="33" t="n">
        <f aca="false">In_Opex_Contingency*(BA113+BA114+BA115-BA112*In_MEKH)</f>
        <v>-55.7584128343611</v>
      </c>
      <c r="BB117" s="33" t="n">
        <f aca="false">In_Opex_Contingency*(BB113+BB114+BB115-BB112*In_MEKH)</f>
        <v>-56.3711426457277</v>
      </c>
      <c r="BC117" s="33" t="n">
        <f aca="false">In_Opex_Contingency*(BC113+BC114+BC115-BC112*In_MEKH)</f>
        <v>-56.3182209665687</v>
      </c>
      <c r="BD117" s="33" t="n">
        <f aca="false">In_Opex_Contingency*(BD113+BD114+BD115-BD112*In_MEKH)</f>
        <v>-56.4670763607554</v>
      </c>
      <c r="BE117" s="33" t="n">
        <f aca="false">In_Opex_Contingency*(BE113+BE114+BE115-BE112*In_MEKH)</f>
        <v>-57.0944883203193</v>
      </c>
      <c r="BF117" s="33" t="n">
        <f aca="false">In_Opex_Contingency*(BF113+BF114+BF115-BF112*In_MEKH)</f>
        <v>-57.7219002798833</v>
      </c>
      <c r="BG117" s="33" t="n">
        <f aca="false">In_Opex_Contingency*(BG113+BG114+BG115-BG112*In_MEKH)</f>
        <v>-57.6678311215413</v>
      </c>
      <c r="BH117" s="33" t="n">
        <f aca="false">In_Opex_Contingency*(BH113+BH114+BH115-BH112*In_MEKH)</f>
        <v>-57.8203247773766</v>
      </c>
      <c r="BI117" s="33" t="n">
        <f aca="false">In_Opex_Contingency*(BI113+BI114+BI115-BI112*In_MEKH)</f>
        <v>-58.4627728304585</v>
      </c>
      <c r="BJ117" s="33" t="n">
        <f aca="false">In_Opex_Contingency*(BJ113+BJ114+BJ115-BJ112*In_MEKH)</f>
        <v>-59.1052208835405</v>
      </c>
      <c r="BK117" s="33" t="n">
        <f aca="false">In_Opex_Contingency*(BK113+BK114+BK115-BK112*In_MEKH)</f>
        <v>-59.04997917695</v>
      </c>
      <c r="BL117" s="33" t="n">
        <f aca="false">In_Opex_Contingency*(BL113+BL114+BL115-BL112*In_MEKH)</f>
        <v>-59.8640459684091</v>
      </c>
      <c r="BM117" s="33" t="n">
        <f aca="false">In_Opex_Contingency*(BM113+BM114+BM115-BM112*In_MEKH)</f>
        <v>-59.8640459684091</v>
      </c>
      <c r="BN117" s="33" t="n">
        <f aca="false">In_Opex_Contingency*(BN113+BN114+BN115-BN112*In_MEKH)</f>
        <v>-60.5218926274026</v>
      </c>
      <c r="BO117" s="33" t="n">
        <f aca="false">In_Opex_Contingency*(BO113+BO114+BO115-BO112*In_MEKH)</f>
        <v>-60.465452754482</v>
      </c>
      <c r="BP117" s="33" t="n">
        <f aca="false">In_Opex_Contingency*(BP113+BP114+BP115-BP112*In_MEKH)</f>
        <v>-60.6254897174195</v>
      </c>
      <c r="BQ117" s="33" t="n">
        <f aca="false">In_Opex_Contingency*(BQ113+BQ114+BQ115-BQ112*In_MEKH)</f>
        <v>-61.2991062698353</v>
      </c>
      <c r="BR117" s="33" t="n">
        <f aca="false">In_Opex_Contingency*(BR113+BR114+BR115-BR112*In_MEKH)</f>
        <v>-61.972722822251</v>
      </c>
      <c r="BS117" s="33" t="n">
        <f aca="false">In_Opex_Contingency*(BS113+BS114+BS115-BS112*In_MEKH)</f>
        <v>-61.9150586038699</v>
      </c>
      <c r="BT117" s="33" t="n">
        <f aca="false">In_Opex_Contingency*(BT113+BT114+BT115-BT112*In_MEKH)</f>
        <v>-62.0790049419491</v>
      </c>
      <c r="BU117" s="33" t="n">
        <f aca="false">In_Opex_Contingency*(BU113+BU114+BU115-BU112*In_MEKH)</f>
        <v>-62.7687716635263</v>
      </c>
      <c r="BV117" s="33" t="n">
        <f aca="false">In_Opex_Contingency*(BV113+BV114+BV115-BV112*In_MEKH)</f>
        <v>-63.4585383851035</v>
      </c>
      <c r="BW117" s="33" t="n">
        <f aca="false">In_Opex_Contingency*(BW113+BW114+BW115-BW112*In_MEKH)</f>
        <v>-63.399623068786</v>
      </c>
      <c r="BX117" s="33" t="n">
        <f aca="false">In_Opex_Contingency*(BX113+BX114+BX115-BX112*In_MEKH)</f>
        <v>-63.5675735707396</v>
      </c>
      <c r="BY117" s="33" t="n">
        <f aca="false">In_Opex_Contingency*(BY113+BY114+BY115-BY112*In_MEKH)</f>
        <v>-64.2738799437478</v>
      </c>
      <c r="BZ117" s="33" t="n">
        <f aca="false">In_Opex_Contingency*(BZ113+BZ114+BZ115-BZ112*In_MEKH)</f>
        <v>-64.980186316756</v>
      </c>
      <c r="CA117" s="33" t="n">
        <f aca="false">In_Opex_Contingency*(CA113+CA114+CA115-CA112*In_MEKH)</f>
        <v>-64.9199925641145</v>
      </c>
      <c r="CB117" s="33" t="n">
        <f aca="false">In_Opex_Contingency*(CB113+CB114+CB115-CB112*In_MEKH)</f>
        <v>-65.8152892541277</v>
      </c>
      <c r="CC117" s="33" t="n">
        <f aca="false">In_Opex_Contingency*(CC113+CC114+CC115-CC112*In_MEKH)</f>
        <v>-65.8152892541277</v>
      </c>
      <c r="CD117" s="33" t="n">
        <f aca="false">In_Opex_Contingency*(CD113+CD114+CD115-CD112*In_MEKH)</f>
        <v>-66.5385341909863</v>
      </c>
      <c r="CE117" s="33" t="n">
        <f aca="false">In_Opex_Contingency*(CE113+CE114+CE115-CE112*In_MEKH)</f>
        <v>-66.4770340648798</v>
      </c>
      <c r="CF117" s="33" t="n">
        <f aca="false">In_Opex_Contingency*(CF113+CF114+CF115-CF112*In_MEKH)</f>
        <v>-66.6532865110164</v>
      </c>
      <c r="CG117" s="33" t="n">
        <f aca="false">In_Opex_Contingency*(CG113+CG114+CG115-CG112*In_MEKH)</f>
        <v>-67.3938785833611</v>
      </c>
      <c r="CH117" s="33" t="n">
        <f aca="false">In_Opex_Contingency*(CH113+CH114+CH115-CH112*In_MEKH)</f>
        <v>-68.1344706557057</v>
      </c>
      <c r="CI117" s="33" t="n">
        <f aca="false">In_Opex_Contingency*(CI113+CI114+CI115-CI112*In_MEKH)</f>
        <v>-68.0716356071167</v>
      </c>
      <c r="CJ117" s="33" t="n">
        <f aca="false">In_Opex_Contingency*(CJ113+CJ114+CJ115-CJ112*In_MEKH)</f>
        <v>-68.252190599691</v>
      </c>
      <c r="CK117" s="33" t="n">
        <f aca="false">In_Opex_Contingency*(CK113+CK114+CK115-CK112*In_MEKH)</f>
        <v>-69.0105482730209</v>
      </c>
      <c r="CL117" s="33" t="n">
        <f aca="false">In_Opex_Contingency*(CL113+CL114+CL115-CL112*In_MEKH)</f>
        <v>-69.7689059463508</v>
      </c>
      <c r="CM117" s="33" t="n">
        <f aca="false">In_Opex_Contingency*(CM113+CM114+CM115-CM112*In_MEKH)</f>
        <v>-69.7047068009743</v>
      </c>
      <c r="CN117" s="33" t="n">
        <f aca="false">In_Opex_Contingency*(CN113+CN114+CN115-CN112*In_MEKH)</f>
        <v>-69.8896686637318</v>
      </c>
      <c r="CO117" s="33" t="n">
        <f aca="false">In_Opex_Contingency*(CO113+CO114+CO115-CO112*In_MEKH)</f>
        <v>-70.6662205377733</v>
      </c>
      <c r="CP117" s="33" t="n">
        <f aca="false">In_Opex_Contingency*(CP113+CP114+CP115-CP112*In_MEKH)</f>
        <v>-71.4427724118148</v>
      </c>
      <c r="CQ117" s="33" t="n">
        <f aca="false">In_Opex_Contingency*(CQ113+CQ114+CQ115-CQ112*In_MEKH)</f>
        <v>-71.3771793563535</v>
      </c>
      <c r="CR117" s="33" t="n">
        <f aca="false">In_Opex_Contingency*(CR113+CR114+CR115-CR112*In_MEKH)</f>
        <v>-72.3618399982995</v>
      </c>
      <c r="CS117" s="33" t="n">
        <f aca="false">In_Opex_Contingency*(CS113+CS114+CS115-CS112*In_MEKH)</f>
        <v>-72.3618399982995</v>
      </c>
      <c r="CT117" s="33" t="n">
        <f aca="false">In_Opex_Contingency*(CT113+CT114+CT115-CT112*In_MEKH)</f>
        <v>-73.1570250532259</v>
      </c>
      <c r="CU117" s="33" t="n">
        <f aca="false">In_Opex_Contingency*(CU113+CU114+CU115-CU112*In_MEKH)</f>
        <v>-73.0900076213847</v>
      </c>
      <c r="CV117" s="33" t="n">
        <f aca="false">In_Opex_Contingency*(CV113+CV114+CV115-CV112*In_MEKH)</f>
        <v>-73.2841063785854</v>
      </c>
      <c r="CW117" s="33" t="n">
        <f aca="false">In_Opex_Contingency*(CW113+CW114+CW115-CW112*In_MEKH)</f>
        <v>-74.0983742272363</v>
      </c>
      <c r="CX117" s="33" t="n">
        <f aca="false">In_Opex_Contingency*(CX113+CX114+CX115-CX112*In_MEKH)</f>
        <v>-74.9126420758873</v>
      </c>
      <c r="CY117" s="33" t="n">
        <f aca="false">In_Opex_Contingency*(CY113+CY114+CY115-CY112*In_MEKH)</f>
        <v>-74.8441691340611</v>
      </c>
      <c r="CZ117" s="33" t="n">
        <f aca="false">In_Opex_Contingency*(CZ113+CZ114+CZ115-CZ112*In_MEKH)</f>
        <v>-75.0430031622069</v>
      </c>
      <c r="DA117" s="33" t="n">
        <f aca="false">In_Opex_Contingency*(DA113+DA114+DA115-DA112*In_MEKH)</f>
        <v>-75.8768143084537</v>
      </c>
      <c r="DB117" s="33" t="n">
        <f aca="false">In_Opex_Contingency*(DB113+DB114+DB115-DB112*In_MEKH)</f>
        <v>-76.7106254547004</v>
      </c>
      <c r="DC117" s="33" t="n">
        <f aca="false">In_Opex_Contingency*(DC113+DC114+DC115-DC112*In_MEKH)</f>
        <v>-76.6406651873478</v>
      </c>
      <c r="DD117" s="33" t="n">
        <f aca="false">In_Opex_Contingency*(DD113+DD114+DD115-DD112*In_MEKH)</f>
        <v>-76.8443493065894</v>
      </c>
      <c r="DE117" s="33" t="n">
        <f aca="false">In_Opex_Contingency*(DE113+DE114+DE115-DE112*In_MEKH)</f>
        <v>-77.698175409996</v>
      </c>
      <c r="DF117" s="33" t="n">
        <f aca="false">In_Opex_Contingency*(DF113+DF114+DF115-DF112*In_MEKH)</f>
        <v>-78.5520015134025</v>
      </c>
      <c r="DG117" s="33" t="n">
        <f aca="false">In_Opex_Contingency*(DG113+DG114+DG115-DG112*In_MEKH)</f>
        <v>-78.4805214080991</v>
      </c>
      <c r="DH117" s="33" t="n">
        <f aca="false">In_Opex_Contingency*(DH113+DH114+DH115-DH112*In_MEKH)</f>
        <v>-79.563497371022</v>
      </c>
      <c r="DI117" s="33" t="n">
        <f aca="false">In_Opex_Contingency*(DI113+DI114+DI115-DI112*In_MEKH)</f>
        <v>-79.563497371022</v>
      </c>
      <c r="DJ117" s="33" t="n">
        <f aca="false">In_Opex_Contingency*(DJ113+DJ114+DJ115-DJ112*In_MEKH)</f>
        <v>-80.4378215179563</v>
      </c>
      <c r="DK117" s="33" t="n">
        <f aca="false">In_Opex_Contingency*(DK113+DK114+DK115-DK112*In_MEKH)</f>
        <v>-80.3647883501201</v>
      </c>
      <c r="DL117" s="33" t="n">
        <f aca="false">In_Opex_Contingency*(DL113+DL114+DL115-DL112*In_MEKH)</f>
        <v>-80.5785283217331</v>
      </c>
      <c r="DM117" s="33" t="n">
        <f aca="false">In_Opex_Contingency*(DM113+DM114+DM115-DM112*In_MEKH)</f>
        <v>-81.4738453030857</v>
      </c>
      <c r="DN117" s="33" t="n">
        <f aca="false">In_Opex_Contingency*(DN113+DN114+DN115-DN112*In_MEKH)</f>
        <v>-82.3691622844383</v>
      </c>
      <c r="DO117" s="33" t="n">
        <f aca="false">In_Opex_Contingency*(DO113+DO114+DO115-DO112*In_MEKH)</f>
        <v>-82.2945421017206</v>
      </c>
      <c r="DP117" s="33" t="n">
        <f aca="false">In_Opex_Contingency*(DP113+DP114+DP115-DP112*In_MEKH)</f>
        <v>-82.5134936104378</v>
      </c>
      <c r="DQ117" s="33" t="n">
        <f aca="false">In_Opex_Contingency*(DQ113+DQ114+DQ115-DQ112*In_MEKH)</f>
        <v>-83.4303102061093</v>
      </c>
      <c r="DR117" s="33" t="n">
        <f aca="false">In_Opex_Contingency*(DR113+DR114+DR115-DR112*In_MEKH)</f>
        <v>-84.3471268017809</v>
      </c>
      <c r="DS117" s="33" t="n">
        <f aca="false">In_Opex_Contingency*(DS113+DS114+DS115-DS112*In_MEKH)</f>
        <v>-84.2708849081146</v>
      </c>
      <c r="DT117" s="33" t="n">
        <f aca="false">In_Opex_Contingency*(DT113+DT114+DT115-DT112*In_MEKH)</f>
        <v>-84.4951743290865</v>
      </c>
      <c r="DU117" s="33" t="n">
        <f aca="false">In_Opex_Contingency*(DU113+DU114+DU115-DU112*In_MEKH)</f>
        <v>-85.4340095994097</v>
      </c>
      <c r="DV117" s="33" t="n">
        <f aca="false">In_Opex_Contingency*(DV113+DV114+DV115-DV112*In_MEKH)</f>
        <v>-86.3728448697329</v>
      </c>
      <c r="DW117" s="33" t="n">
        <f aca="false">In_Opex_Contingency*(DW113+DW114+DW115-DW112*In_MEKH)</f>
        <v>-86.2949458090312</v>
      </c>
      <c r="DX117" s="33" t="n">
        <f aca="false">In_Opex_Contingency*(DX113+DX114+DX115-DX112*In_MEKH)</f>
        <v>-87.4860881681444</v>
      </c>
      <c r="DY117" s="33" t="n">
        <f aca="false">In_Opex_Contingency*(DY113+DY114+DY115-DY112*In_MEKH)</f>
        <v>-87.4860881681444</v>
      </c>
      <c r="DZ117" s="33" t="n">
        <f aca="false">In_Opex_Contingency*(DZ113+DZ114+DZ115-DZ112*In_MEKH)</f>
        <v>-88.4474737524097</v>
      </c>
      <c r="EA117" s="33" t="n">
        <f aca="false">In_Opex_Contingency*(EA113+EA114+EA115-EA112*In_MEKH)</f>
        <v>-88.3678812919077</v>
      </c>
      <c r="EB117" s="33" t="n">
        <f aca="false">In_Opex_Contingency*(EB113+EB114+EB115-EB112*In_MEKH)</f>
        <v>-88.6032380032985</v>
      </c>
      <c r="EC117" s="33" t="n">
        <f aca="false">In_Opex_Contingency*(EC113+EC114+EC115-EC112*In_MEKH)</f>
        <v>-89.5877184255573</v>
      </c>
      <c r="ED117" s="33" t="n">
        <f aca="false">In_Opex_Contingency*(ED113+ED114+ED115-ED112*In_MEKH)</f>
        <v>-90.5721988478162</v>
      </c>
      <c r="EE117" s="33" t="n">
        <f aca="false">In_Opex_Contingency*(EE113+EE114+EE115-EE112*In_MEKH)</f>
        <v>-90.4908759610468</v>
      </c>
      <c r="EF117" s="33" t="n">
        <f aca="false">In_Opex_Contingency*(EF113+EF114+EF115-EF112*In_MEKH)</f>
        <v>-90.731968409087</v>
      </c>
      <c r="EG117" s="33" t="n">
        <f aca="false">In_Opex_Contingency*(EG113+EG114+EG115-EG112*In_MEKH)</f>
        <v>-91.7401013914103</v>
      </c>
      <c r="EH117" s="33" t="n">
        <f aca="false">In_Opex_Contingency*(EH113+EH114+EH115-EH112*In_MEKH)</f>
        <v>-92.7482343737334</v>
      </c>
      <c r="EI117" s="33" t="n">
        <f aca="false">In_Opex_Contingency*(EI113+EI114+EI115-EI112*In_MEKH)</f>
        <v>-92.6651432231306</v>
      </c>
      <c r="EJ117" s="33" t="n">
        <f aca="false">In_Opex_Contingency*(EJ113+EJ114+EJ115-EJ112*In_MEKH)</f>
        <v>-92.9121105036224</v>
      </c>
      <c r="EK117" s="33" t="n">
        <f aca="false">In_Opex_Contingency*(EK113+EK114+EK115-EK112*In_MEKH)</f>
        <v>-93.944467286996</v>
      </c>
      <c r="EL117" s="33" t="n">
        <f aca="false">In_Opex_Contingency*(EL113+EL114+EL115-EL112*In_MEKH)</f>
        <v>-94.9768240703696</v>
      </c>
      <c r="EM117" s="33" t="n">
        <f aca="false">In_Opex_Contingency*(EM113+EM114+EM115-EM112*In_MEKH)</f>
        <v>-94.8919259894898</v>
      </c>
      <c r="EN117" s="33" t="n">
        <f aca="false">In_Opex_Contingency*(EN113+EN114+EN115-EN112*In_MEKH)</f>
        <v>-96.2020762471408</v>
      </c>
      <c r="EO117" s="33" t="n">
        <f aca="false">In_Opex_Contingency*(EO113+EO114+EO115-EO112*In_MEKH)</f>
        <v>-96.2020762471408</v>
      </c>
      <c r="EP117" s="33" t="n">
        <f aca="false">In_Opex_Contingency*(EP113+EP114+EP115-EP112*In_MEKH)</f>
        <v>-97.2592419201863</v>
      </c>
      <c r="EQ117" s="33" t="n">
        <f aca="false">In_Opex_Contingency*(EQ113+EQ114+EQ115-EQ112*In_MEKH)</f>
        <v>-97.1724973955404</v>
      </c>
      <c r="ER117" s="33" t="n">
        <f aca="false">In_Opex_Contingency*(ER113+ER114+ER115-ER112*In_MEKH)</f>
        <v>-97.4316452139015</v>
      </c>
      <c r="ES117" s="33" t="n">
        <f aca="false">In_Opex_Contingency*(ES113+ES114+ES115-ES112*In_MEKH)</f>
        <v>-98.5142190496114</v>
      </c>
      <c r="ET117" s="33" t="n">
        <f aca="false">In_Opex_Contingency*(ET113+ET114+ET115-ET112*In_MEKH)</f>
        <v>-99.5967928853215</v>
      </c>
    </row>
    <row r="118" customFormat="false" ht="15" hidden="false" customHeight="false" outlineLevel="0" collapsed="false">
      <c r="C118" s="0" t="s">
        <v>31</v>
      </c>
      <c r="D118" s="11" t="s">
        <v>247</v>
      </c>
      <c r="I118" s="33" t="n">
        <f aca="false">SUM(J118:ET118)</f>
        <v>-20794.4767338331</v>
      </c>
      <c r="J118" s="33" t="n">
        <f aca="false">-$E31*J111/Thousand</f>
        <v>-0</v>
      </c>
      <c r="K118" s="33" t="n">
        <f aca="false">-$E31*K111/Thousand</f>
        <v>-0</v>
      </c>
      <c r="L118" s="33" t="n">
        <f aca="false">-$E31*L111/Thousand</f>
        <v>-0</v>
      </c>
      <c r="M118" s="33" t="n">
        <f aca="false">-$E31*M111/Thousand</f>
        <v>-0</v>
      </c>
      <c r="N118" s="33" t="n">
        <f aca="false">-$E31*N111/Thousand</f>
        <v>-0</v>
      </c>
      <c r="O118" s="33" t="n">
        <f aca="false">-$E31*O111/Thousand</f>
        <v>-0</v>
      </c>
      <c r="P118" s="33" t="n">
        <f aca="false">-$E31*P111/Thousand</f>
        <v>-0</v>
      </c>
      <c r="Q118" s="33" t="n">
        <f aca="false">-$E31*Q111/Thousand</f>
        <v>-0</v>
      </c>
      <c r="R118" s="33" t="n">
        <f aca="false">-$E31*R111/Thousand</f>
        <v>-0</v>
      </c>
      <c r="S118" s="33" t="n">
        <f aca="false">-$E31*S111/Thousand</f>
        <v>-0</v>
      </c>
      <c r="T118" s="33" t="n">
        <f aca="false">-$E31*T111/Thousand</f>
        <v>-0</v>
      </c>
      <c r="U118" s="33" t="n">
        <f aca="false">-$E31*U111/Thousand</f>
        <v>-0</v>
      </c>
      <c r="V118" s="33" t="n">
        <f aca="false">-$E31*V111/Thousand</f>
        <v>-0</v>
      </c>
      <c r="W118" s="33" t="n">
        <f aca="false">-$E31*W111/Thousand</f>
        <v>-0</v>
      </c>
      <c r="X118" s="33" t="n">
        <f aca="false">-$E31*X111/Thousand</f>
        <v>-0</v>
      </c>
      <c r="Y118" s="33" t="n">
        <f aca="false">-$E31*Y111/Thousand</f>
        <v>-0</v>
      </c>
      <c r="Z118" s="33" t="n">
        <f aca="false">-$E31*Z111/Thousand</f>
        <v>-0</v>
      </c>
      <c r="AA118" s="33" t="n">
        <f aca="false">-$E31*AA111/Thousand</f>
        <v>-0</v>
      </c>
      <c r="AB118" s="33" t="n">
        <f aca="false">-$E31*AB111/Thousand</f>
        <v>-0</v>
      </c>
      <c r="AC118" s="33" t="n">
        <f aca="false">-$E31*AC111/Thousand</f>
        <v>-0</v>
      </c>
      <c r="AD118" s="33" t="n">
        <f aca="false">-$E31*AD111/Thousand</f>
        <v>-0</v>
      </c>
      <c r="AE118" s="33" t="n">
        <f aca="false">-$E31*AE111/Thousand</f>
        <v>-182.296109589041</v>
      </c>
      <c r="AF118" s="33" t="n">
        <f aca="false">-$E31*AF111/Thousand</f>
        <v>-180.314630136986</v>
      </c>
      <c r="AG118" s="33" t="n">
        <f aca="false">-$E31*AG111/Thousand</f>
        <v>-180.314630136986</v>
      </c>
      <c r="AH118" s="33" t="n">
        <f aca="false">-$E31*AH111/Thousand</f>
        <v>-182.296109589041</v>
      </c>
      <c r="AI118" s="33" t="n">
        <f aca="false">-$E31*AI111/Thousand</f>
        <v>-181.749221260274</v>
      </c>
      <c r="AJ118" s="33" t="n">
        <f aca="false">-$E31*AJ111/Thousand</f>
        <v>-177.798151232877</v>
      </c>
      <c r="AK118" s="33" t="n">
        <f aca="false">-$E31*AK111/Thousand</f>
        <v>-179.773686246575</v>
      </c>
      <c r="AL118" s="33" t="n">
        <f aca="false">-$E31*AL111/Thousand</f>
        <v>-181.749221260274</v>
      </c>
      <c r="AM118" s="33" t="n">
        <f aca="false">-$E31*AM111/Thousand</f>
        <v>-181.203973596493</v>
      </c>
      <c r="AN118" s="33" t="n">
        <f aca="false">-$E31*AN111/Thousand</f>
        <v>-177.264756779178</v>
      </c>
      <c r="AO118" s="33" t="n">
        <f aca="false">-$E31*AO111/Thousand</f>
        <v>-179.234365187836</v>
      </c>
      <c r="AP118" s="33" t="n">
        <f aca="false">-$E31*AP111/Thousand</f>
        <v>-181.203973596493</v>
      </c>
      <c r="AQ118" s="33" t="n">
        <f aca="false">-$E31*AQ111/Thousand</f>
        <v>-180.660361675704</v>
      </c>
      <c r="AR118" s="33" t="n">
        <f aca="false">-$E31*AR111/Thousand</f>
        <v>-176.732962508841</v>
      </c>
      <c r="AS118" s="33" t="n">
        <f aca="false">-$E31*AS111/Thousand</f>
        <v>-178.696662092272</v>
      </c>
      <c r="AT118" s="33" t="n">
        <f aca="false">-$E31*AT111/Thousand</f>
        <v>-180.660361675704</v>
      </c>
      <c r="AU118" s="33" t="n">
        <f aca="false">-$E31*AU111/Thousand</f>
        <v>-180.118380590677</v>
      </c>
      <c r="AV118" s="33" t="n">
        <f aca="false">-$E31*AV111/Thousand</f>
        <v>-178.160572105995</v>
      </c>
      <c r="AW118" s="33" t="n">
        <f aca="false">-$E31*AW111/Thousand</f>
        <v>-178.160572105995</v>
      </c>
      <c r="AX118" s="33" t="n">
        <f aca="false">-$E31*AX111/Thousand</f>
        <v>-180.118380590677</v>
      </c>
      <c r="AY118" s="33" t="n">
        <f aca="false">-$E31*AY111/Thousand</f>
        <v>-179.578025448905</v>
      </c>
      <c r="AZ118" s="33" t="n">
        <f aca="false">-$E31*AZ111/Thousand</f>
        <v>-175.67415533045</v>
      </c>
      <c r="BA118" s="33" t="n">
        <f aca="false">-$E31*BA111/Thousand</f>
        <v>-177.626090389677</v>
      </c>
      <c r="BB118" s="33" t="n">
        <f aca="false">-$E31*BB111/Thousand</f>
        <v>-179.578025448905</v>
      </c>
      <c r="BC118" s="33" t="n">
        <f aca="false">-$E31*BC111/Thousand</f>
        <v>-179.039291372558</v>
      </c>
      <c r="BD118" s="33" t="n">
        <f aca="false">-$E31*BD111/Thousand</f>
        <v>-175.147132864459</v>
      </c>
      <c r="BE118" s="33" t="n">
        <f aca="false">-$E31*BE111/Thousand</f>
        <v>-177.093212118508</v>
      </c>
      <c r="BF118" s="33" t="n">
        <f aca="false">-$E31*BF111/Thousand</f>
        <v>-179.039291372558</v>
      </c>
      <c r="BG118" s="33" t="n">
        <f aca="false">-$E31*BG111/Thousand</f>
        <v>-178.50217349844</v>
      </c>
      <c r="BH118" s="33" t="n">
        <f aca="false">-$E31*BH111/Thousand</f>
        <v>-174.621691465865</v>
      </c>
      <c r="BI118" s="33" t="n">
        <f aca="false">-$E31*BI111/Thousand</f>
        <v>-176.561932482153</v>
      </c>
      <c r="BJ118" s="33" t="n">
        <f aca="false">-$E31*BJ111/Thousand</f>
        <v>-178.50217349844</v>
      </c>
      <c r="BK118" s="33" t="n">
        <f aca="false">-$E31*BK111/Thousand</f>
        <v>-177.966666977945</v>
      </c>
      <c r="BL118" s="33" t="n">
        <f aca="false">-$E31*BL111/Thousand</f>
        <v>-176.032246684706</v>
      </c>
      <c r="BM118" s="33" t="n">
        <f aca="false">-$E31*BM111/Thousand</f>
        <v>-176.032246684706</v>
      </c>
      <c r="BN118" s="33" t="n">
        <f aca="false">-$E31*BN111/Thousand</f>
        <v>-177.966666977945</v>
      </c>
      <c r="BO118" s="33" t="n">
        <f aca="false">-$E31*BO111/Thousand</f>
        <v>-177.432766977011</v>
      </c>
      <c r="BP118" s="33" t="n">
        <f aca="false">-$E31*BP111/Thousand</f>
        <v>-173.575532912293</v>
      </c>
      <c r="BQ118" s="33" t="n">
        <f aca="false">-$E31*BQ111/Thousand</f>
        <v>-175.504149944652</v>
      </c>
      <c r="BR118" s="33" t="n">
        <f aca="false">-$E31*BR111/Thousand</f>
        <v>-177.432766977011</v>
      </c>
      <c r="BS118" s="33" t="n">
        <f aca="false">-$E31*BS111/Thousand</f>
        <v>-176.90046867608</v>
      </c>
      <c r="BT118" s="33" t="n">
        <f aca="false">-$E31*BT111/Thousand</f>
        <v>-173.054806313556</v>
      </c>
      <c r="BU118" s="33" t="n">
        <f aca="false">-$E31*BU111/Thousand</f>
        <v>-174.977637494818</v>
      </c>
      <c r="BV118" s="33" t="n">
        <f aca="false">-$E31*BV111/Thousand</f>
        <v>-176.90046867608</v>
      </c>
      <c r="BW118" s="33" t="n">
        <f aca="false">-$E31*BW111/Thousand</f>
        <v>-176.369767270052</v>
      </c>
      <c r="BX118" s="33" t="n">
        <f aca="false">-$E31*BX111/Thousand</f>
        <v>-172.535641894616</v>
      </c>
      <c r="BY118" s="33" t="n">
        <f aca="false">-$E31*BY111/Thousand</f>
        <v>-174.452704582334</v>
      </c>
      <c r="BZ118" s="33" t="n">
        <f aca="false">-$E31*BZ111/Thousand</f>
        <v>-176.369767270052</v>
      </c>
      <c r="CA118" s="33" t="n">
        <f aca="false">-$E31*CA111/Thousand</f>
        <v>-175.840657968242</v>
      </c>
      <c r="CB118" s="33" t="n">
        <f aca="false">-$E31*CB111/Thousand</f>
        <v>-173.929346468587</v>
      </c>
      <c r="CC118" s="33" t="n">
        <f aca="false">-$E31*CC111/Thousand</f>
        <v>-173.929346468587</v>
      </c>
      <c r="CD118" s="33" t="n">
        <f aca="false">-$E31*CD111/Thousand</f>
        <v>-175.840657968242</v>
      </c>
      <c r="CE118" s="33" t="n">
        <f aca="false">-$E31*CE111/Thousand</f>
        <v>-175.313135994337</v>
      </c>
      <c r="CF118" s="33" t="n">
        <f aca="false">-$E31*CF111/Thousand</f>
        <v>-171.501980864025</v>
      </c>
      <c r="CG118" s="33" t="n">
        <f aca="false">-$E31*CG111/Thousand</f>
        <v>-173.407558429181</v>
      </c>
      <c r="CH118" s="33" t="n">
        <f aca="false">-$E31*CH111/Thousand</f>
        <v>-175.313135994337</v>
      </c>
      <c r="CI118" s="33" t="n">
        <f aca="false">-$E31*CI111/Thousand</f>
        <v>-174.787196586354</v>
      </c>
      <c r="CJ118" s="33" t="n">
        <f aca="false">-$E31*CJ111/Thousand</f>
        <v>-170.987474921433</v>
      </c>
      <c r="CK118" s="33" t="n">
        <f aca="false">-$E31*CK111/Thousand</f>
        <v>-172.887335753893</v>
      </c>
      <c r="CL118" s="33" t="n">
        <f aca="false">-$E31*CL111/Thousand</f>
        <v>-174.787196586354</v>
      </c>
      <c r="CM118" s="33" t="n">
        <f aca="false">-$E31*CM111/Thousand</f>
        <v>-174.262834996595</v>
      </c>
      <c r="CN118" s="33" t="n">
        <f aca="false">-$E31*CN111/Thousand</f>
        <v>-170.474512496669</v>
      </c>
      <c r="CO118" s="33" t="n">
        <f aca="false">-$E31*CO111/Thousand</f>
        <v>-172.368673746632</v>
      </c>
      <c r="CP118" s="33" t="n">
        <f aca="false">-$E31*CP111/Thousand</f>
        <v>-174.262834996595</v>
      </c>
      <c r="CQ118" s="33" t="n">
        <f aca="false">-$E31*CQ111/Thousand</f>
        <v>-173.740046491605</v>
      </c>
      <c r="CR118" s="33" t="n">
        <f aca="false">-$E31*CR111/Thousand</f>
        <v>-171.851567725392</v>
      </c>
      <c r="CS118" s="33" t="n">
        <f aca="false">-$E31*CS111/Thousand</f>
        <v>-171.851567725392</v>
      </c>
      <c r="CT118" s="33" t="n">
        <f aca="false">-$E31*CT111/Thousand</f>
        <v>-173.740046491605</v>
      </c>
      <c r="CU118" s="33" t="n">
        <f aca="false">-$E31*CU111/Thousand</f>
        <v>-173.21882635213</v>
      </c>
      <c r="CV118" s="33" t="n">
        <f aca="false">-$E31*CV111/Thousand</f>
        <v>-169.453199692301</v>
      </c>
      <c r="CW118" s="33" t="n">
        <f aca="false">-$E31*CW111/Thousand</f>
        <v>-171.336013022216</v>
      </c>
      <c r="CX118" s="33" t="n">
        <f aca="false">-$E31*CX111/Thousand</f>
        <v>-173.21882635213</v>
      </c>
      <c r="CY118" s="33" t="n">
        <f aca="false">-$E31*CY111/Thousand</f>
        <v>-172.699169873074</v>
      </c>
      <c r="CZ118" s="33" t="n">
        <f aca="false">-$E31*CZ111/Thousand</f>
        <v>-168.944840093224</v>
      </c>
      <c r="DA118" s="33" t="n">
        <f aca="false">-$E31*DA111/Thousand</f>
        <v>-170.822004983149</v>
      </c>
      <c r="DB118" s="33" t="n">
        <f aca="false">-$E31*DB111/Thousand</f>
        <v>-172.699169873074</v>
      </c>
      <c r="DC118" s="33" t="n">
        <f aca="false">-$E31*DC111/Thousand</f>
        <v>-172.181072363455</v>
      </c>
      <c r="DD118" s="33" t="n">
        <f aca="false">-$E31*DD111/Thousand</f>
        <v>-168.438005572945</v>
      </c>
      <c r="DE118" s="33" t="n">
        <f aca="false">-$E31*DE111/Thousand</f>
        <v>-170.3095389682</v>
      </c>
      <c r="DF118" s="33" t="n">
        <f aca="false">-$E31*DF111/Thousand</f>
        <v>-172.181072363455</v>
      </c>
      <c r="DG118" s="33" t="n">
        <f aca="false">-$E31*DG111/Thousand</f>
        <v>-171.664529146364</v>
      </c>
      <c r="DH118" s="33" t="n">
        <f aca="false">-$E31*DH111/Thousand</f>
        <v>-169.798610351295</v>
      </c>
      <c r="DI118" s="33" t="n">
        <f aca="false">-$E31*DI111/Thousand</f>
        <v>-169.798610351295</v>
      </c>
      <c r="DJ118" s="33" t="n">
        <f aca="false">-$E31*DJ111/Thousand</f>
        <v>-171.664529146364</v>
      </c>
      <c r="DK118" s="33" t="n">
        <f aca="false">-$E31*DK111/Thousand</f>
        <v>-171.149535558925</v>
      </c>
      <c r="DL118" s="33" t="n">
        <f aca="false">-$E31*DL111/Thousand</f>
        <v>-167.428893481557</v>
      </c>
      <c r="DM118" s="33" t="n">
        <f aca="false">-$E31*DM111/Thousand</f>
        <v>-169.289214520241</v>
      </c>
      <c r="DN118" s="33" t="n">
        <f aca="false">-$E31*DN111/Thousand</f>
        <v>-171.149535558925</v>
      </c>
      <c r="DO118" s="33" t="n">
        <f aca="false">-$E31*DO111/Thousand</f>
        <v>-170.636086952248</v>
      </c>
      <c r="DP118" s="33" t="n">
        <f aca="false">-$E31*DP111/Thousand</f>
        <v>-166.926606801112</v>
      </c>
      <c r="DQ118" s="33" t="n">
        <f aca="false">-$E31*DQ111/Thousand</f>
        <v>-168.78134687668</v>
      </c>
      <c r="DR118" s="33" t="n">
        <f aca="false">-$E31*DR111/Thousand</f>
        <v>-170.636086952248</v>
      </c>
      <c r="DS118" s="33" t="n">
        <f aca="false">-$E31*DS111/Thousand</f>
        <v>-170.124178691392</v>
      </c>
      <c r="DT118" s="33" t="n">
        <f aca="false">-$E31*DT111/Thousand</f>
        <v>-166.425826980709</v>
      </c>
      <c r="DU118" s="33" t="n">
        <f aca="false">-$E31*DU111/Thousand</f>
        <v>-168.27500283605</v>
      </c>
      <c r="DV118" s="33" t="n">
        <f aca="false">-$E31*DV111/Thousand</f>
        <v>-170.124178691392</v>
      </c>
      <c r="DW118" s="33" t="n">
        <f aca="false">-$E31*DW111/Thousand</f>
        <v>-169.613806155317</v>
      </c>
      <c r="DX118" s="33" t="n">
        <f aca="false">-$E31*DX111/Thousand</f>
        <v>-167.770177827542</v>
      </c>
      <c r="DY118" s="33" t="n">
        <f aca="false">-$E31*DY111/Thousand</f>
        <v>-167.770177827542</v>
      </c>
      <c r="DZ118" s="33" t="n">
        <f aca="false">-$E31*DZ111/Thousand</f>
        <v>-169.613806155317</v>
      </c>
      <c r="EA118" s="33" t="n">
        <f aca="false">-$E31*EA111/Thousand</f>
        <v>-169.104964736851</v>
      </c>
      <c r="EB118" s="33" t="n">
        <f aca="false">-$E31*EB111/Thousand</f>
        <v>-165.428769851268</v>
      </c>
      <c r="EC118" s="33" t="n">
        <f aca="false">-$E31*EC111/Thousand</f>
        <v>-167.26686729406</v>
      </c>
      <c r="ED118" s="33" t="n">
        <f aca="false">-$E31*ED111/Thousand</f>
        <v>-169.104964736851</v>
      </c>
      <c r="EE118" s="33" t="n">
        <f aca="false">-$E31*EE111/Thousand</f>
        <v>-168.597649842641</v>
      </c>
      <c r="EF118" s="33" t="n">
        <f aca="false">-$E31*EF111/Thousand</f>
        <v>-164.932483541714</v>
      </c>
      <c r="EG118" s="33" t="n">
        <f aca="false">-$E31*EG111/Thousand</f>
        <v>-166.765066692177</v>
      </c>
      <c r="EH118" s="33" t="n">
        <f aca="false">-$E31*EH111/Thousand</f>
        <v>-168.597649842641</v>
      </c>
      <c r="EI118" s="33" t="n">
        <f aca="false">-$E31*EI111/Thousand</f>
        <v>-168.091856893113</v>
      </c>
      <c r="EJ118" s="33" t="n">
        <f aca="false">-$E31*EJ111/Thousand</f>
        <v>-164.437686091089</v>
      </c>
      <c r="EK118" s="33" t="n">
        <f aca="false">-$E31*EK111/Thousand</f>
        <v>-166.264771492101</v>
      </c>
      <c r="EL118" s="33" t="n">
        <f aca="false">-$E31*EL111/Thousand</f>
        <v>-168.091856893113</v>
      </c>
      <c r="EM118" s="33" t="n">
        <f aca="false">-$E31*EM111/Thousand</f>
        <v>-167.587581322434</v>
      </c>
      <c r="EN118" s="33" t="n">
        <f aca="false">-$E31*EN111/Thousand</f>
        <v>-165.765977177625</v>
      </c>
      <c r="EO118" s="33" t="n">
        <f aca="false">-$E31*EO111/Thousand</f>
        <v>-165.765977177625</v>
      </c>
      <c r="EP118" s="33" t="n">
        <f aca="false">-$E31*EP111/Thousand</f>
        <v>-167.587581322434</v>
      </c>
      <c r="EQ118" s="33" t="n">
        <f aca="false">-$E31*EQ111/Thousand</f>
        <v>-167.084818578466</v>
      </c>
      <c r="ER118" s="33" t="n">
        <f aca="false">-$E31*ER111/Thousand</f>
        <v>-163.452539913717</v>
      </c>
      <c r="ES118" s="33" t="n">
        <f aca="false">-$E31*ES111/Thousand</f>
        <v>-165.268679246092</v>
      </c>
      <c r="ET118" s="33" t="n">
        <f aca="false">-$E31*ET111/Thousand</f>
        <v>-167.084818578466</v>
      </c>
    </row>
    <row r="119" customFormat="false" ht="15" hidden="false" customHeight="false" outlineLevel="0" collapsed="false">
      <c r="C119" s="30" t="s">
        <v>563</v>
      </c>
      <c r="D119" s="11" t="s">
        <v>247</v>
      </c>
      <c r="I119" s="35" t="n">
        <f aca="false">SUM(J119:ET119)</f>
        <v>511909.275115853</v>
      </c>
      <c r="J119" s="35" t="n">
        <f aca="false">SUM(J112:J118)</f>
        <v>0</v>
      </c>
      <c r="K119" s="35" t="n">
        <f aca="false">SUM(K112:K118)</f>
        <v>0</v>
      </c>
      <c r="L119" s="35" t="n">
        <f aca="false">SUM(L112:L118)</f>
        <v>0</v>
      </c>
      <c r="M119" s="35" t="n">
        <f aca="false">SUM(M112:M118)</f>
        <v>0</v>
      </c>
      <c r="N119" s="35" t="n">
        <f aca="false">SUM(N112:N118)</f>
        <v>0</v>
      </c>
      <c r="O119" s="35" t="n">
        <f aca="false">SUM(O112:O118)</f>
        <v>0</v>
      </c>
      <c r="P119" s="35" t="n">
        <f aca="false">SUM(P112:P118)</f>
        <v>0</v>
      </c>
      <c r="Q119" s="35" t="n">
        <f aca="false">SUM(Q112:Q118)</f>
        <v>0</v>
      </c>
      <c r="R119" s="35" t="n">
        <f aca="false">SUM(R112:R118)</f>
        <v>0</v>
      </c>
      <c r="S119" s="35" t="n">
        <f aca="false">SUM(S112:S118)</f>
        <v>0</v>
      </c>
      <c r="T119" s="35" t="n">
        <f aca="false">SUM(T112:T118)</f>
        <v>0</v>
      </c>
      <c r="U119" s="35" t="n">
        <f aca="false">SUM(U112:U118)</f>
        <v>0</v>
      </c>
      <c r="V119" s="35" t="n">
        <f aca="false">SUM(V112:V118)</f>
        <v>0</v>
      </c>
      <c r="W119" s="35" t="n">
        <f aca="false">SUM(W112:W118)</f>
        <v>-75.5714553470293</v>
      </c>
      <c r="X119" s="35" t="n">
        <f aca="false">SUM(X112:X118)</f>
        <v>-75.7768125626462</v>
      </c>
      <c r="Y119" s="35" t="n">
        <f aca="false">SUM(Y112:Y118)</f>
        <v>-76.6187771466756</v>
      </c>
      <c r="Z119" s="35" t="n">
        <f aca="false">SUM(Z112:Z118)</f>
        <v>-77.460741730705</v>
      </c>
      <c r="AA119" s="35" t="n">
        <f aca="false">SUM(AA112:AA118)</f>
        <v>-77.460741730705</v>
      </c>
      <c r="AB119" s="35" t="n">
        <f aca="false">SUM(AB112:AB118)</f>
        <v>-77.6712328767123</v>
      </c>
      <c r="AC119" s="35" t="n">
        <f aca="false">SUM(AC112:AC118)</f>
        <v>-78.5342465753425</v>
      </c>
      <c r="AD119" s="35" t="n">
        <f aca="false">SUM(AD112:AD118)</f>
        <v>-79.3972602739726</v>
      </c>
      <c r="AE119" s="35" t="n">
        <f aca="false">SUM(AE112:AE118)</f>
        <v>4151.10652734247</v>
      </c>
      <c r="AF119" s="35" t="n">
        <f aca="false">SUM(AF112:AF118)</f>
        <v>4133.70976185041</v>
      </c>
      <c r="AG119" s="35" t="n">
        <f aca="false">SUM(AG112:AG118)</f>
        <v>4133.70976185041</v>
      </c>
      <c r="AH119" s="35" t="n">
        <f aca="false">SUM(AH112:AH118)</f>
        <v>4179.13514384877</v>
      </c>
      <c r="AI119" s="35" t="n">
        <f aca="false">SUM(AI112:AI118)</f>
        <v>4164.44111033503</v>
      </c>
      <c r="AJ119" s="35" t="n">
        <f aca="false">SUM(AJ112:AJ118)</f>
        <v>4101.09425535863</v>
      </c>
      <c r="AK119" s="35" t="n">
        <f aca="false">SUM(AK112:AK118)</f>
        <v>4146.66196930706</v>
      </c>
      <c r="AL119" s="35" t="n">
        <f aca="false">SUM(AL112:AL118)</f>
        <v>4192.22968325549</v>
      </c>
      <c r="AM119" s="35" t="n">
        <f aca="false">SUM(AM112:AM118)</f>
        <v>4177.44245042148</v>
      </c>
      <c r="AN119" s="35" t="n">
        <f aca="false">SUM(AN112:AN118)</f>
        <v>4113.56620598525</v>
      </c>
      <c r="AO119" s="35" t="n">
        <f aca="false">SUM(AO112:AO118)</f>
        <v>4159.27249716287</v>
      </c>
      <c r="AP119" s="35" t="n">
        <f aca="false">SUM(AP112:AP118)</f>
        <v>4204.97878834048</v>
      </c>
      <c r="AQ119" s="35" t="n">
        <f aca="false">SUM(AQ112:AQ118)</f>
        <v>4190.09804459661</v>
      </c>
      <c r="AR119" s="35" t="n">
        <f aca="false">SUM(AR112:AR118)</f>
        <v>4125.68766802944</v>
      </c>
      <c r="AS119" s="35" t="n">
        <f aca="false">SUM(AS112:AS118)</f>
        <v>4171.52864211866</v>
      </c>
      <c r="AT119" s="35" t="n">
        <f aca="false">SUM(AT112:AT118)</f>
        <v>4217.36961620788</v>
      </c>
      <c r="AU119" s="35" t="n">
        <f aca="false">SUM(AU112:AU118)</f>
        <v>4202.39505479593</v>
      </c>
      <c r="AV119" s="35" t="n">
        <f aca="false">SUM(AV112:AV118)</f>
        <v>4183.41736098541</v>
      </c>
      <c r="AW119" s="35" t="n">
        <f aca="false">SUM(AW112:AW118)</f>
        <v>4183.41736098541</v>
      </c>
      <c r="AX119" s="35" t="n">
        <f aca="false">SUM(AX112:AX118)</f>
        <v>4229.38898033689</v>
      </c>
      <c r="AY119" s="35" t="n">
        <f aca="false">SUM(AY112:AY118)</f>
        <v>4214.32029951848</v>
      </c>
      <c r="AZ119" s="35" t="n">
        <f aca="false">SUM(AZ112:AZ118)</f>
        <v>4148.8271823853</v>
      </c>
      <c r="BA119" s="35" t="n">
        <f aca="false">SUM(BA112:BA118)</f>
        <v>4194.92526218958</v>
      </c>
      <c r="BB119" s="35" t="n">
        <f aca="false">SUM(BB112:BB118)</f>
        <v>4241.02334199387</v>
      </c>
      <c r="BC119" s="35" t="n">
        <f aca="false">SUM(BC112:BC118)</f>
        <v>4225.86024524354</v>
      </c>
      <c r="BD119" s="35" t="n">
        <f aca="false">SUM(BD112:BD118)</f>
        <v>4159.81839270627</v>
      </c>
      <c r="BE119" s="35" t="n">
        <f aca="false">SUM(BE112:BE118)</f>
        <v>4206.03859706967</v>
      </c>
      <c r="BF119" s="35" t="n">
        <f aca="false">SUM(BF112:BF118)</f>
        <v>4252.25880143308</v>
      </c>
      <c r="BG119" s="35" t="n">
        <f aca="false">SUM(BG112:BG118)</f>
        <v>4237.00099763633</v>
      </c>
      <c r="BH119" s="35" t="n">
        <f aca="false">SUM(BH112:BH118)</f>
        <v>4170.40541303597</v>
      </c>
      <c r="BI119" s="35" t="n">
        <f aca="false">SUM(BI112:BI118)</f>
        <v>4216.74325095859</v>
      </c>
      <c r="BJ119" s="35" t="n">
        <f aca="false">SUM(BJ112:BJ118)</f>
        <v>4263.08108888121</v>
      </c>
      <c r="BK119" s="35" t="n">
        <f aca="false">SUM(BK112:BK118)</f>
        <v>4247.72829253731</v>
      </c>
      <c r="BL119" s="35" t="n">
        <f aca="false">SUM(BL112:BL118)</f>
        <v>4227.02473404685</v>
      </c>
      <c r="BM119" s="35" t="n">
        <f aca="false">SUM(BM112:BM118)</f>
        <v>4227.02473404685</v>
      </c>
      <c r="BN119" s="35" t="n">
        <f aca="false">SUM(BN112:BN118)</f>
        <v>4273.47555530011</v>
      </c>
      <c r="BO119" s="35" t="n">
        <f aca="false">SUM(BO112:BO118)</f>
        <v>4258.02748673002</v>
      </c>
      <c r="BP119" s="35" t="n">
        <f aca="false">SUM(BP112:BP118)</f>
        <v>4190.30918111972</v>
      </c>
      <c r="BQ119" s="35" t="n">
        <f aca="false">SUM(BQ112:BQ118)</f>
        <v>4236.86817202105</v>
      </c>
      <c r="BR119" s="35" t="n">
        <f aca="false">SUM(BR112:BR118)</f>
        <v>4283.42716292238</v>
      </c>
      <c r="BS119" s="35" t="n">
        <f aca="false">SUM(BS112:BS118)</f>
        <v>4267.88354848182</v>
      </c>
      <c r="BT119" s="35" t="n">
        <f aca="false">SUM(BT112:BT118)</f>
        <v>4199.59611739008</v>
      </c>
      <c r="BU119" s="35" t="n">
        <f aca="false">SUM(BU112:BU118)</f>
        <v>4246.25829647219</v>
      </c>
      <c r="BV119" s="35" t="n">
        <f aca="false">SUM(BV112:BV118)</f>
        <v>4292.9204755543</v>
      </c>
      <c r="BW119" s="35" t="n">
        <f aca="false">SUM(BW112:BW118)</f>
        <v>4277.28104785204</v>
      </c>
      <c r="BX119" s="35" t="n">
        <f aca="false">SUM(BX112:BX118)</f>
        <v>4208.41922149599</v>
      </c>
      <c r="BY119" s="35" t="n">
        <f aca="false">SUM(BY112:BY118)</f>
        <v>4255.17943506817</v>
      </c>
      <c r="BZ119" s="35" t="n">
        <f aca="false">SUM(BZ112:BZ118)</f>
        <v>4301.93964864034</v>
      </c>
      <c r="CA119" s="35" t="n">
        <f aca="false">SUM(CA112:CA118)</f>
        <v>4286.20414676194</v>
      </c>
      <c r="CB119" s="35" t="n">
        <f aca="false">SUM(CB112:CB118)</f>
        <v>4263.61550148466</v>
      </c>
      <c r="CC119" s="35" t="n">
        <f aca="false">SUM(CC112:CC118)</f>
        <v>4263.61550148466</v>
      </c>
      <c r="CD119" s="35" t="n">
        <f aca="false">SUM(CD112:CD118)</f>
        <v>4310.4684190834</v>
      </c>
      <c r="CE119" s="35" t="n">
        <f aca="false">SUM(CE112:CE118)</f>
        <v>4294.63658882035</v>
      </c>
      <c r="CF119" s="35" t="n">
        <f aca="false">SUM(CF112:CF118)</f>
        <v>4224.60987536228</v>
      </c>
      <c r="CG119" s="35" t="n">
        <f aca="false">SUM(CG112:CG118)</f>
        <v>4271.54998508853</v>
      </c>
      <c r="CH119" s="35" t="n">
        <f aca="false">SUM(CH112:CH118)</f>
        <v>4318.49009481478</v>
      </c>
      <c r="CI119" s="35" t="n">
        <f aca="false">SUM(CI112:CI118)</f>
        <v>4302.56168889939</v>
      </c>
      <c r="CJ119" s="35" t="n">
        <f aca="false">SUM(CJ112:CJ118)</f>
        <v>4231.94433662722</v>
      </c>
      <c r="CK119" s="35" t="n">
        <f aca="false">SUM(CK112:CK118)</f>
        <v>4278.96594036753</v>
      </c>
      <c r="CL119" s="35" t="n">
        <f aca="false">SUM(CL112:CL118)</f>
        <v>4325.98754410783</v>
      </c>
      <c r="CM119" s="35" t="n">
        <f aca="false">SUM(CM112:CM118)</f>
        <v>4309.96232245379</v>
      </c>
      <c r="CN119" s="35" t="n">
        <f aca="false">SUM(CN112:CN118)</f>
        <v>4238.7487675717</v>
      </c>
      <c r="CO119" s="35" t="n">
        <f aca="false">SUM(CO112:CO118)</f>
        <v>4285.84597610028</v>
      </c>
      <c r="CP119" s="35" t="n">
        <f aca="false">SUM(CP112:CP118)</f>
        <v>4332.94318462885</v>
      </c>
      <c r="CQ119" s="35" t="n">
        <f aca="false">SUM(CQ112:CQ118)</f>
        <v>4316.82091457771</v>
      </c>
      <c r="CR119" s="35" t="n">
        <f aca="false">SUM(CR112:CR118)</f>
        <v>4292.17224426001</v>
      </c>
      <c r="CS119" s="35" t="n">
        <f aca="false">SUM(CS112:CS118)</f>
        <v>4292.17224426001</v>
      </c>
      <c r="CT119" s="35" t="n">
        <f aca="false">SUM(CT112:CT118)</f>
        <v>4339.33897221891</v>
      </c>
      <c r="CU119" s="35" t="n">
        <f aca="false">SUM(CU112:CU118)</f>
        <v>4323.11942879257</v>
      </c>
      <c r="CV119" s="35" t="n">
        <f aca="false">SUM(CV112:CV118)</f>
        <v>4250.69646789126</v>
      </c>
      <c r="CW119" s="35" t="n">
        <f aca="false">SUM(CW112:CW118)</f>
        <v>4297.9264286456</v>
      </c>
      <c r="CX119" s="35" t="n">
        <f aca="false">SUM(CX112:CX118)</f>
        <v>4345.15638939995</v>
      </c>
      <c r="CY119" s="35" t="n">
        <f aca="false">SUM(CY112:CY118)</f>
        <v>4328.83935555932</v>
      </c>
      <c r="CZ119" s="35" t="n">
        <f aca="false">SUM(CZ112:CZ118)</f>
        <v>4255.80303286797</v>
      </c>
      <c r="DA119" s="35" t="n">
        <f aca="false">SUM(DA112:DA118)</f>
        <v>4303.08973323317</v>
      </c>
      <c r="DB119" s="35" t="n">
        <f aca="false">SUM(DB112:DB118)</f>
        <v>4350.37643359837</v>
      </c>
      <c r="DC119" s="35" t="n">
        <f aca="false">SUM(DC112:DC118)</f>
        <v>4333.96170050834</v>
      </c>
      <c r="DD119" s="35" t="n">
        <f aca="false">SUM(DD112:DD118)</f>
        <v>4260.30613540361</v>
      </c>
      <c r="DE119" s="35" t="n">
        <f aca="false">SUM(DE112:DE118)</f>
        <v>4307.64287024143</v>
      </c>
      <c r="DF119" s="35" t="n">
        <f aca="false">SUM(DF112:DF118)</f>
        <v>4354.97960507925</v>
      </c>
      <c r="DG119" s="35" t="n">
        <f aca="false">SUM(DG112:DG118)</f>
        <v>4338.46697238004</v>
      </c>
      <c r="DH119" s="35" t="n">
        <f aca="false">SUM(DH112:DH118)</f>
        <v>4311.56604790374</v>
      </c>
      <c r="DI119" s="35" t="n">
        <f aca="false">SUM(DI112:DI118)</f>
        <v>4311.56604790374</v>
      </c>
      <c r="DJ119" s="35" t="n">
        <f aca="false">SUM(DJ112:DJ118)</f>
        <v>4358.945894584</v>
      </c>
      <c r="DK119" s="35" t="n">
        <f aca="false">SUM(DK112:DK118)</f>
        <v>4342.33517066918</v>
      </c>
      <c r="DL119" s="35" t="n">
        <f aca="false">SUM(DL112:DL118)</f>
        <v>4267.42314521508</v>
      </c>
      <c r="DM119" s="35" t="n">
        <f aca="false">SUM(DM112:DM118)</f>
        <v>4314.83895793969</v>
      </c>
      <c r="DN119" s="35" t="n">
        <f aca="false">SUM(DN112:DN118)</f>
        <v>4362.2547706643</v>
      </c>
      <c r="DO119" s="35" t="n">
        <f aca="false">SUM(DO112:DO118)</f>
        <v>4345.54577296546</v>
      </c>
      <c r="DP119" s="35" t="n">
        <f aca="false">SUM(DP112:DP118)</f>
        <v>4269.99635873289</v>
      </c>
      <c r="DQ119" s="35" t="n">
        <f aca="false">SUM(DQ112:DQ118)</f>
        <v>4317.44076271881</v>
      </c>
      <c r="DR119" s="35" t="n">
        <f aca="false">SUM(DR112:DR118)</f>
        <v>4364.88516670473</v>
      </c>
      <c r="DS119" s="35" t="n">
        <f aca="false">SUM(DS112:DS118)</f>
        <v>4348.0777219831</v>
      </c>
      <c r="DT119" s="35" t="n">
        <f aca="false">SUM(DT112:DT118)</f>
        <v>4271.8846965912</v>
      </c>
      <c r="DU119" s="35" t="n">
        <f aca="false">SUM(DU112:DU118)</f>
        <v>4319.35008210888</v>
      </c>
      <c r="DV119" s="35" t="n">
        <f aca="false">SUM(DV112:DV118)</f>
        <v>4366.81546762656</v>
      </c>
      <c r="DW119" s="35" t="n">
        <f aca="false">SUM(DW112:DW118)</f>
        <v>4349.90941227163</v>
      </c>
      <c r="DX119" s="35" t="n">
        <f aca="false">SUM(DX112:DX118)</f>
        <v>4320.54498000109</v>
      </c>
      <c r="DY119" s="35" t="n">
        <f aca="false">SUM(DY112:DY118)</f>
        <v>4320.54498000109</v>
      </c>
      <c r="DZ119" s="35" t="n">
        <f aca="false">SUM(DZ112:DZ118)</f>
        <v>4368.02349626484</v>
      </c>
      <c r="EA119" s="35" t="n">
        <f aca="false">SUM(EA112:EA118)</f>
        <v>4351.01867660019</v>
      </c>
      <c r="EB119" s="35" t="n">
        <f aca="false">SUM(EB112:EB118)</f>
        <v>4273.5194015975</v>
      </c>
      <c r="EC119" s="35" t="n">
        <f aca="false">SUM(EC112:EC118)</f>
        <v>4321.00295050414</v>
      </c>
      <c r="ED119" s="35" t="n">
        <f aca="false">SUM(ED112:ED118)</f>
        <v>4368.48649941078</v>
      </c>
      <c r="EE119" s="35" t="n">
        <f aca="false">SUM(EE112:EE118)</f>
        <v>4351.38277200729</v>
      </c>
      <c r="EF119" s="35" t="n">
        <f aca="false">SUM(EF112:EF118)</f>
        <v>4273.22067408704</v>
      </c>
      <c r="EG119" s="35" t="n">
        <f aca="false">SUM(EG112:EG118)</f>
        <v>4320.70090379912</v>
      </c>
      <c r="EH119" s="35" t="n">
        <f aca="false">SUM(EH112:EH118)</f>
        <v>4368.1811335112</v>
      </c>
      <c r="EI119" s="35" t="n">
        <f aca="false">SUM(EI112:EI118)</f>
        <v>4350.97836550777</v>
      </c>
      <c r="EJ119" s="35" t="n">
        <f aca="false">SUM(EJ112:EJ118)</f>
        <v>4272.14685327713</v>
      </c>
      <c r="EK119" s="35" t="n">
        <f aca="false">SUM(EK112:EK118)</f>
        <v>4319.61515164688</v>
      </c>
      <c r="EL119" s="35" t="n">
        <f aca="false">SUM(EL112:EL118)</f>
        <v>4367.08345001662</v>
      </c>
      <c r="EM119" s="35" t="n">
        <f aca="false">SUM(EM112:EM118)</f>
        <v>4349.78151944861</v>
      </c>
      <c r="EN119" s="35" t="n">
        <f aca="false">SUM(EN112:EN118)</f>
        <v>4317.72139253939</v>
      </c>
      <c r="EO119" s="35" t="n">
        <f aca="false">SUM(EO112:EO118)</f>
        <v>4317.72139253939</v>
      </c>
      <c r="EP119" s="35" t="n">
        <f aca="false">SUM(EP112:EP118)</f>
        <v>4365.16888036949</v>
      </c>
      <c r="EQ119" s="35" t="n">
        <f aca="false">SUM(EQ112:EQ118)</f>
        <v>4347.76767650498</v>
      </c>
      <c r="ER119" s="35" t="n">
        <f aca="false">SUM(ER112:ER118)</f>
        <v>4267.57717234905</v>
      </c>
      <c r="ES119" s="35" t="n">
        <f aca="false">SUM(ES112:ES118)</f>
        <v>4314.99469648626</v>
      </c>
      <c r="ET119" s="35" t="n">
        <f aca="false">SUM(ET112:ET118)</f>
        <v>4362.41222062347</v>
      </c>
    </row>
    <row r="121" customFormat="false" ht="15" hidden="false" customHeight="false" outlineLevel="0" collapsed="false">
      <c r="A121" s="9" t="s">
        <v>13</v>
      </c>
      <c r="B121" s="9"/>
      <c r="C121" s="9" t="s">
        <v>564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</row>
    <row r="122" customFormat="false" ht="15" hidden="false" customHeight="false" outlineLevel="0" collapsed="false">
      <c r="C122" s="0" t="s">
        <v>565</v>
      </c>
      <c r="D122" s="11" t="s">
        <v>247</v>
      </c>
      <c r="E122" s="33" t="n">
        <f aca="false">$I99-($I94+$I53+$I95+$I50)</f>
        <v>163950.691310322</v>
      </c>
      <c r="I122" s="33" t="n">
        <f aca="false">SUM(J122:ET122)</f>
        <v>-163950.691310322</v>
      </c>
      <c r="J122" s="33" t="n">
        <f aca="false">-$E122*J18</f>
        <v>-0</v>
      </c>
      <c r="K122" s="33" t="n">
        <f aca="false">-$E122*K18</f>
        <v>-0</v>
      </c>
      <c r="L122" s="33" t="n">
        <f aca="false">-$E122*L18</f>
        <v>-0</v>
      </c>
      <c r="M122" s="33" t="n">
        <f aca="false">-$E122*M18</f>
        <v>-0</v>
      </c>
      <c r="N122" s="33" t="n">
        <f aca="false">-$E122*N18</f>
        <v>-0</v>
      </c>
      <c r="O122" s="33" t="n">
        <f aca="false">-$E122*O18</f>
        <v>-0</v>
      </c>
      <c r="P122" s="33" t="n">
        <f aca="false">-$E122*P18</f>
        <v>-0</v>
      </c>
      <c r="Q122" s="33" t="n">
        <f aca="false">-$E122*Q18</f>
        <v>-0</v>
      </c>
      <c r="R122" s="33" t="n">
        <f aca="false">-$E122*R18</f>
        <v>-0</v>
      </c>
      <c r="S122" s="33" t="n">
        <f aca="false">-$E122*S18</f>
        <v>-0</v>
      </c>
      <c r="T122" s="33" t="n">
        <f aca="false">-$E122*T18</f>
        <v>-0</v>
      </c>
      <c r="U122" s="33" t="n">
        <f aca="false">-$E122*U18</f>
        <v>-0</v>
      </c>
      <c r="V122" s="33" t="n">
        <f aca="false">-$E122*V18</f>
        <v>-0</v>
      </c>
      <c r="W122" s="33" t="n">
        <f aca="false">-$E122*W18</f>
        <v>-0</v>
      </c>
      <c r="X122" s="33" t="n">
        <f aca="false">-$E122*X18</f>
        <v>-0</v>
      </c>
      <c r="Y122" s="33" t="n">
        <f aca="false">-$E122*Y18</f>
        <v>-0</v>
      </c>
      <c r="Z122" s="33" t="n">
        <f aca="false">-$E122*Z18</f>
        <v>-0</v>
      </c>
      <c r="AA122" s="33" t="n">
        <f aca="false">-$E122*AA18</f>
        <v>-0</v>
      </c>
      <c r="AB122" s="33" t="n">
        <f aca="false">-$E122*AB18</f>
        <v>-0</v>
      </c>
      <c r="AC122" s="33" t="n">
        <f aca="false">-$E122*AC18</f>
        <v>-0</v>
      </c>
      <c r="AD122" s="33" t="n">
        <f aca="false">-$E122*AD18</f>
        <v>-0</v>
      </c>
      <c r="AE122" s="33" t="n">
        <f aca="false">-$E122*AE18</f>
        <v>-2064.81363457216</v>
      </c>
      <c r="AF122" s="33" t="n">
        <f aca="false">-$E122*AF18</f>
        <v>-2042.37000810942</v>
      </c>
      <c r="AG122" s="33" t="n">
        <f aca="false">-$E122*AG18</f>
        <v>-2042.37000810942</v>
      </c>
      <c r="AH122" s="33" t="n">
        <f aca="false">-$E122*AH18</f>
        <v>-2064.81363457216</v>
      </c>
      <c r="AI122" s="33" t="n">
        <f aca="false">-$E122*AI18</f>
        <v>-2064.81363457216</v>
      </c>
      <c r="AJ122" s="33" t="n">
        <f aca="false">-$E122*AJ18</f>
        <v>-2019.92638164668</v>
      </c>
      <c r="AK122" s="33" t="n">
        <f aca="false">-$E122*AK18</f>
        <v>-2042.37000810942</v>
      </c>
      <c r="AL122" s="33" t="n">
        <f aca="false">-$E122*AL18</f>
        <v>-2064.81363457216</v>
      </c>
      <c r="AM122" s="33" t="n">
        <f aca="false">-$E122*AM18</f>
        <v>-2064.81363457216</v>
      </c>
      <c r="AN122" s="33" t="n">
        <f aca="false">-$E122*AN18</f>
        <v>-2019.92638164668</v>
      </c>
      <c r="AO122" s="33" t="n">
        <f aca="false">-$E122*AO18</f>
        <v>-2042.37000810942</v>
      </c>
      <c r="AP122" s="33" t="n">
        <f aca="false">-$E122*AP18</f>
        <v>-2064.81363457216</v>
      </c>
      <c r="AQ122" s="33" t="n">
        <f aca="false">-$E122*AQ18</f>
        <v>-2064.81363457216</v>
      </c>
      <c r="AR122" s="33" t="n">
        <f aca="false">-$E122*AR18</f>
        <v>-2019.92638164668</v>
      </c>
      <c r="AS122" s="33" t="n">
        <f aca="false">-$E122*AS18</f>
        <v>-2042.37000810942</v>
      </c>
      <c r="AT122" s="33" t="n">
        <f aca="false">-$E122*AT18</f>
        <v>-2064.81363457216</v>
      </c>
      <c r="AU122" s="33" t="n">
        <f aca="false">-$E122*AU18</f>
        <v>-2064.81363457216</v>
      </c>
      <c r="AV122" s="33" t="n">
        <f aca="false">-$E122*AV18</f>
        <v>-2042.37000810942</v>
      </c>
      <c r="AW122" s="33" t="n">
        <f aca="false">-$E122*AW18</f>
        <v>-2042.37000810942</v>
      </c>
      <c r="AX122" s="33" t="n">
        <f aca="false">-$E122*AX18</f>
        <v>-2064.81363457216</v>
      </c>
      <c r="AY122" s="33" t="n">
        <f aca="false">-$E122*AY18</f>
        <v>-2064.81363457216</v>
      </c>
      <c r="AZ122" s="33" t="n">
        <f aca="false">-$E122*AZ18</f>
        <v>-2019.92638164668</v>
      </c>
      <c r="BA122" s="33" t="n">
        <f aca="false">-$E122*BA18</f>
        <v>-2042.37000810942</v>
      </c>
      <c r="BB122" s="33" t="n">
        <f aca="false">-$E122*BB18</f>
        <v>-2064.81363457216</v>
      </c>
      <c r="BC122" s="33" t="n">
        <f aca="false">-$E122*BC18</f>
        <v>-2064.81363457216</v>
      </c>
      <c r="BD122" s="33" t="n">
        <f aca="false">-$E122*BD18</f>
        <v>-2019.92638164668</v>
      </c>
      <c r="BE122" s="33" t="n">
        <f aca="false">-$E122*BE18</f>
        <v>-2042.37000810942</v>
      </c>
      <c r="BF122" s="33" t="n">
        <f aca="false">-$E122*BF18</f>
        <v>-2064.81363457216</v>
      </c>
      <c r="BG122" s="33" t="n">
        <f aca="false">-$E122*BG18</f>
        <v>-2064.81363457216</v>
      </c>
      <c r="BH122" s="33" t="n">
        <f aca="false">-$E122*BH18</f>
        <v>-2019.92638164668</v>
      </c>
      <c r="BI122" s="33" t="n">
        <f aca="false">-$E122*BI18</f>
        <v>-2042.37000810942</v>
      </c>
      <c r="BJ122" s="33" t="n">
        <f aca="false">-$E122*BJ18</f>
        <v>-2064.81363457216</v>
      </c>
      <c r="BK122" s="33" t="n">
        <f aca="false">-$E122*BK18</f>
        <v>-2064.81363457216</v>
      </c>
      <c r="BL122" s="33" t="n">
        <f aca="false">-$E122*BL18</f>
        <v>-2042.37000810942</v>
      </c>
      <c r="BM122" s="33" t="n">
        <f aca="false">-$E122*BM18</f>
        <v>-2042.37000810942</v>
      </c>
      <c r="BN122" s="33" t="n">
        <f aca="false">-$E122*BN18</f>
        <v>-2064.81363457216</v>
      </c>
      <c r="BO122" s="33" t="n">
        <f aca="false">-$E122*BO18</f>
        <v>-2064.81363457216</v>
      </c>
      <c r="BP122" s="33" t="n">
        <f aca="false">-$E122*BP18</f>
        <v>-2019.92638164668</v>
      </c>
      <c r="BQ122" s="33" t="n">
        <f aca="false">-$E122*BQ18</f>
        <v>-2042.37000810942</v>
      </c>
      <c r="BR122" s="33" t="n">
        <f aca="false">-$E122*BR18</f>
        <v>-2064.81363457216</v>
      </c>
      <c r="BS122" s="33" t="n">
        <f aca="false">-$E122*BS18</f>
        <v>-2064.81363457216</v>
      </c>
      <c r="BT122" s="33" t="n">
        <f aca="false">-$E122*BT18</f>
        <v>-2019.92638164668</v>
      </c>
      <c r="BU122" s="33" t="n">
        <f aca="false">-$E122*BU18</f>
        <v>-2042.37000810942</v>
      </c>
      <c r="BV122" s="33" t="n">
        <f aca="false">-$E122*BV18</f>
        <v>-2064.81363457216</v>
      </c>
      <c r="BW122" s="33" t="n">
        <f aca="false">-$E122*BW18</f>
        <v>-2064.81363457216</v>
      </c>
      <c r="BX122" s="33" t="n">
        <f aca="false">-$E122*BX18</f>
        <v>-2019.92638164668</v>
      </c>
      <c r="BY122" s="33" t="n">
        <f aca="false">-$E122*BY18</f>
        <v>-2042.37000810942</v>
      </c>
      <c r="BZ122" s="33" t="n">
        <f aca="false">-$E122*BZ18</f>
        <v>-2064.81363457216</v>
      </c>
      <c r="CA122" s="33" t="n">
        <f aca="false">-$E122*CA18</f>
        <v>-2064.81363457216</v>
      </c>
      <c r="CB122" s="33" t="n">
        <f aca="false">-$E122*CB18</f>
        <v>-2042.37000810942</v>
      </c>
      <c r="CC122" s="33" t="n">
        <f aca="false">-$E122*CC18</f>
        <v>-2042.37000810942</v>
      </c>
      <c r="CD122" s="33" t="n">
        <f aca="false">-$E122*CD18</f>
        <v>-2064.81363457216</v>
      </c>
      <c r="CE122" s="33" t="n">
        <f aca="false">-$E122*CE18</f>
        <v>-2064.81363457216</v>
      </c>
      <c r="CF122" s="33" t="n">
        <f aca="false">-$E122*CF18</f>
        <v>-2019.92638164668</v>
      </c>
      <c r="CG122" s="33" t="n">
        <f aca="false">-$E122*CG18</f>
        <v>-2042.37000810942</v>
      </c>
      <c r="CH122" s="33" t="n">
        <f aca="false">-$E122*CH18</f>
        <v>-2064.81363457216</v>
      </c>
      <c r="CI122" s="33" t="n">
        <f aca="false">-$E122*CI18</f>
        <v>-2064.81363457216</v>
      </c>
      <c r="CJ122" s="33" t="n">
        <f aca="false">-$E122*CJ18</f>
        <v>-2019.92638164668</v>
      </c>
      <c r="CK122" s="33" t="n">
        <f aca="false">-$E122*CK18</f>
        <v>-2042.37000810942</v>
      </c>
      <c r="CL122" s="33" t="n">
        <f aca="false">-$E122*CL18</f>
        <v>-2064.81363457216</v>
      </c>
      <c r="CM122" s="33" t="n">
        <f aca="false">-$E122*CM18</f>
        <v>-2064.81363457216</v>
      </c>
      <c r="CN122" s="33" t="n">
        <f aca="false">-$E122*CN18</f>
        <v>-2019.92638164668</v>
      </c>
      <c r="CO122" s="33" t="n">
        <f aca="false">-$E122*CO18</f>
        <v>-2042.37000810942</v>
      </c>
      <c r="CP122" s="33" t="n">
        <f aca="false">-$E122*CP18</f>
        <v>-2064.81363457216</v>
      </c>
      <c r="CQ122" s="33" t="n">
        <f aca="false">-$E122*CQ18</f>
        <v>-2064.81363457216</v>
      </c>
      <c r="CR122" s="33" t="n">
        <f aca="false">-$E122*CR18</f>
        <v>-2042.37000810942</v>
      </c>
      <c r="CS122" s="33" t="n">
        <f aca="false">-$E122*CS18</f>
        <v>-2042.37000810942</v>
      </c>
      <c r="CT122" s="33" t="n">
        <f aca="false">-$E122*CT18</f>
        <v>-2064.81363457216</v>
      </c>
      <c r="CU122" s="33" t="n">
        <f aca="false">-$E122*CU18</f>
        <v>-2064.81363457216</v>
      </c>
      <c r="CV122" s="33" t="n">
        <f aca="false">-$E122*CV18</f>
        <v>-2019.92638164668</v>
      </c>
      <c r="CW122" s="33" t="n">
        <f aca="false">-$E122*CW18</f>
        <v>-2042.37000810942</v>
      </c>
      <c r="CX122" s="33" t="n">
        <f aca="false">-$E122*CX18</f>
        <v>-2064.81363457216</v>
      </c>
      <c r="CY122" s="33" t="n">
        <f aca="false">-$E122*CY18</f>
        <v>-2064.81363457216</v>
      </c>
      <c r="CZ122" s="33" t="n">
        <f aca="false">-$E122*CZ18</f>
        <v>-2019.92638164668</v>
      </c>
      <c r="DA122" s="33" t="n">
        <f aca="false">-$E122*DA18</f>
        <v>-2042.37000810942</v>
      </c>
      <c r="DB122" s="33" t="n">
        <f aca="false">-$E122*DB18</f>
        <v>-2064.81363457216</v>
      </c>
      <c r="DC122" s="33" t="n">
        <f aca="false">-$E122*DC18</f>
        <v>-2064.81363457216</v>
      </c>
      <c r="DD122" s="33" t="n">
        <f aca="false">-$E122*DD18</f>
        <v>-2019.92638164668</v>
      </c>
      <c r="DE122" s="33" t="n">
        <f aca="false">-$E122*DE18</f>
        <v>-2042.37000810942</v>
      </c>
      <c r="DF122" s="33" t="n">
        <f aca="false">-$E122*DF18</f>
        <v>-2064.81363457216</v>
      </c>
      <c r="DG122" s="33" t="n">
        <f aca="false">-$E122*DG18</f>
        <v>-0</v>
      </c>
      <c r="DH122" s="33" t="n">
        <f aca="false">-$E122*DH18</f>
        <v>-0</v>
      </c>
      <c r="DI122" s="33" t="n">
        <f aca="false">-$E122*DI18</f>
        <v>-0</v>
      </c>
      <c r="DJ122" s="33" t="n">
        <f aca="false">-$E122*DJ18</f>
        <v>-0</v>
      </c>
      <c r="DK122" s="33" t="n">
        <f aca="false">-$E122*DK18</f>
        <v>-0</v>
      </c>
      <c r="DL122" s="33" t="n">
        <f aca="false">-$E122*DL18</f>
        <v>-0</v>
      </c>
      <c r="DM122" s="33" t="n">
        <f aca="false">-$E122*DM18</f>
        <v>-0</v>
      </c>
      <c r="DN122" s="33" t="n">
        <f aca="false">-$E122*DN18</f>
        <v>-0</v>
      </c>
      <c r="DO122" s="33" t="n">
        <f aca="false">-$E122*DO18</f>
        <v>-0</v>
      </c>
      <c r="DP122" s="33" t="n">
        <f aca="false">-$E122*DP18</f>
        <v>-0</v>
      </c>
      <c r="DQ122" s="33" t="n">
        <f aca="false">-$E122*DQ18</f>
        <v>-0</v>
      </c>
      <c r="DR122" s="33" t="n">
        <f aca="false">-$E122*DR18</f>
        <v>-0</v>
      </c>
      <c r="DS122" s="33" t="n">
        <f aca="false">-$E122*DS18</f>
        <v>-0</v>
      </c>
      <c r="DT122" s="33" t="n">
        <f aca="false">-$E122*DT18</f>
        <v>-0</v>
      </c>
      <c r="DU122" s="33" t="n">
        <f aca="false">-$E122*DU18</f>
        <v>-0</v>
      </c>
      <c r="DV122" s="33" t="n">
        <f aca="false">-$E122*DV18</f>
        <v>-0</v>
      </c>
      <c r="DW122" s="33" t="n">
        <f aca="false">-$E122*DW18</f>
        <v>-0</v>
      </c>
      <c r="DX122" s="33" t="n">
        <f aca="false">-$E122*DX18</f>
        <v>-0</v>
      </c>
      <c r="DY122" s="33" t="n">
        <f aca="false">-$E122*DY18</f>
        <v>-0</v>
      </c>
      <c r="DZ122" s="33" t="n">
        <f aca="false">-$E122*DZ18</f>
        <v>-0</v>
      </c>
      <c r="EA122" s="33" t="n">
        <f aca="false">-$E122*EA18</f>
        <v>-0</v>
      </c>
      <c r="EB122" s="33" t="n">
        <f aca="false">-$E122*EB18</f>
        <v>-0</v>
      </c>
      <c r="EC122" s="33" t="n">
        <f aca="false">-$E122*EC18</f>
        <v>-0</v>
      </c>
      <c r="ED122" s="33" t="n">
        <f aca="false">-$E122*ED18</f>
        <v>-0</v>
      </c>
      <c r="EE122" s="33" t="n">
        <f aca="false">-$E122*EE18</f>
        <v>-0</v>
      </c>
      <c r="EF122" s="33" t="n">
        <f aca="false">-$E122*EF18</f>
        <v>-0</v>
      </c>
      <c r="EG122" s="33" t="n">
        <f aca="false">-$E122*EG18</f>
        <v>-0</v>
      </c>
      <c r="EH122" s="33" t="n">
        <f aca="false">-$E122*EH18</f>
        <v>-0</v>
      </c>
      <c r="EI122" s="33" t="n">
        <f aca="false">-$E122*EI18</f>
        <v>-0</v>
      </c>
      <c r="EJ122" s="33" t="n">
        <f aca="false">-$E122*EJ18</f>
        <v>-0</v>
      </c>
      <c r="EK122" s="33" t="n">
        <f aca="false">-$E122*EK18</f>
        <v>-0</v>
      </c>
      <c r="EL122" s="33" t="n">
        <f aca="false">-$E122*EL18</f>
        <v>-0</v>
      </c>
      <c r="EM122" s="33" t="n">
        <f aca="false">-$E122*EM18</f>
        <v>-0</v>
      </c>
      <c r="EN122" s="33" t="n">
        <f aca="false">-$E122*EN18</f>
        <v>-0</v>
      </c>
      <c r="EO122" s="33" t="n">
        <f aca="false">-$E122*EO18</f>
        <v>-0</v>
      </c>
      <c r="EP122" s="33" t="n">
        <f aca="false">-$E122*EP18</f>
        <v>-0</v>
      </c>
      <c r="EQ122" s="33" t="n">
        <f aca="false">-$E122*EQ18</f>
        <v>-0</v>
      </c>
      <c r="ER122" s="33" t="n">
        <f aca="false">-$E122*ER18</f>
        <v>-0</v>
      </c>
      <c r="ES122" s="33" t="n">
        <f aca="false">-$E122*ES18</f>
        <v>-0</v>
      </c>
      <c r="ET122" s="33" t="n">
        <f aca="false">-$E122*ET18</f>
        <v>-0</v>
      </c>
    </row>
    <row r="123" customFormat="false" ht="15" hidden="false" customHeight="false" outlineLevel="0" collapsed="false">
      <c r="C123" s="0" t="s">
        <v>566</v>
      </c>
      <c r="D123" s="11" t="s">
        <v>247</v>
      </c>
      <c r="I123" s="33" t="n">
        <f aca="false">SUM(J123:ET123)</f>
        <v>314710.729599994</v>
      </c>
      <c r="J123" s="33" t="n">
        <f aca="false">J119+J122+J102+J103+J104+J57</f>
        <v>0</v>
      </c>
      <c r="K123" s="33" t="n">
        <f aca="false">K119+K122+K102+K103+K104+K57</f>
        <v>-178.520547945205</v>
      </c>
      <c r="L123" s="33" t="n">
        <f aca="false">L119+L122+L102+L103+L104+L57</f>
        <v>-588.444520547945</v>
      </c>
      <c r="M123" s="33" t="n">
        <f aca="false">M119+M122+M102+M103+M104+M57</f>
        <v>-43.8356164383562</v>
      </c>
      <c r="N123" s="33" t="n">
        <f aca="false">N119+N122+N102+N103+N104+N57</f>
        <v>-43.8356164383562</v>
      </c>
      <c r="O123" s="33" t="n">
        <f aca="false">O119+O122+O102+O103+O104+O57</f>
        <v>-184.361643835616</v>
      </c>
      <c r="P123" s="33" t="n">
        <f aca="false">P119+P122+P102+P103+P104+P57</f>
        <v>-1290.04179480011</v>
      </c>
      <c r="Q123" s="33" t="n">
        <f aca="false">Q119+Q122+Q102+Q103+Q104+Q57</f>
        <v>-4.60958904109589</v>
      </c>
      <c r="R123" s="33" t="n">
        <f aca="false">R119+R122+R102+R103+R104+R57</f>
        <v>-164.091509980431</v>
      </c>
      <c r="S123" s="33" t="n">
        <f aca="false">S119+S122+S102+S103+S104+S57</f>
        <v>-317.226138697232</v>
      </c>
      <c r="T123" s="33" t="n">
        <f aca="false">T119+T122+T102+T103+T104+T57</f>
        <v>-304.657534246575</v>
      </c>
      <c r="U123" s="33" t="n">
        <f aca="false">U119+U122+U102+U103+U104+U57</f>
        <v>0</v>
      </c>
      <c r="V123" s="33" t="n">
        <f aca="false">V119+V122+V102+V103+V104+V57</f>
        <v>0</v>
      </c>
      <c r="W123" s="33" t="n">
        <f aca="false">W119+W122+W102+W103+W104+W57</f>
        <v>-1955.01413865224</v>
      </c>
      <c r="X123" s="33" t="n">
        <f aca="false">X119+X122+X102+X103+X104+X57</f>
        <v>-260.170263472354</v>
      </c>
      <c r="Y123" s="33" t="n">
        <f aca="false">Y119+Y122+Y102+Y103+Y104+Y57</f>
        <v>-236.760410897378</v>
      </c>
      <c r="Z123" s="33" t="n">
        <f aca="false">Z119+Z122+Z102+Z103+Z104+Z57</f>
        <v>-212.477081856929</v>
      </c>
      <c r="AA123" s="33" t="n">
        <f aca="false">AA119+AA122+AA102+AA103+AA104+AA57</f>
        <v>-185.296549490162</v>
      </c>
      <c r="AB123" s="33" t="n">
        <f aca="false">AB119+AB122+AB102+AB103+AB104+AB57</f>
        <v>-156.573132717387</v>
      </c>
      <c r="AC123" s="33" t="n">
        <f aca="false">AC119+AC122+AC102+AC103+AC104+AC57</f>
        <v>-132.0122009118</v>
      </c>
      <c r="AD123" s="33" t="n">
        <f aca="false">AD119+AD122+AD102+AD103+AD104+AD57</f>
        <v>-106.57779264074</v>
      </c>
      <c r="AE123" s="33" t="n">
        <f aca="false">AE119+AE122+AE102+AE103+AE104+AE57</f>
        <v>844.592147336478</v>
      </c>
      <c r="AF123" s="33" t="n">
        <f aca="false">AF119+AF122+AF102+AF103+AF104+AF57</f>
        <v>873.754592434829</v>
      </c>
      <c r="AG123" s="33" t="n">
        <f aca="false">AG119+AG122+AG102+AG103+AG104+AG57</f>
        <v>898.171621364089</v>
      </c>
      <c r="AH123" s="33" t="n">
        <f aca="false">AH119+AH122+AH102+AH103+AH104+AH57</f>
        <v>945.875618690579</v>
      </c>
      <c r="AI123" s="33" t="n">
        <f aca="false">AI119+AI122+AI102+AI103+AI104+AI57</f>
        <v>956.212854990103</v>
      </c>
      <c r="AJ123" s="33" t="n">
        <f aca="false">AJ119+AJ122+AJ102+AJ103+AJ104+AJ57</f>
        <v>963.097413625111</v>
      </c>
      <c r="AK123" s="33" t="n">
        <f aca="false">AK119+AK122+AK102+AK103+AK104+AK57</f>
        <v>1011.8824638053</v>
      </c>
      <c r="AL123" s="33" t="n">
        <f aca="false">AL119+AL122+AL102+AL103+AL104+AL57</f>
        <v>1060.98827601917</v>
      </c>
      <c r="AM123" s="33" t="n">
        <f aca="false">AM119+AM122+AM102+AM103+AM104+AM57</f>
        <v>1072.50753947244</v>
      </c>
      <c r="AN123" s="33" t="n">
        <f aca="false">AN119+AN122+AN102+AN103+AN104+AN57</f>
        <v>1080.15387545258</v>
      </c>
      <c r="AO123" s="33" t="n">
        <f aca="false">AO119+AO122+AO102+AO103+AO104+AO57</f>
        <v>1130.38480925196</v>
      </c>
      <c r="AP123" s="33" t="n">
        <f aca="false">AP119+AP122+AP102+AP103+AP104+AP57</f>
        <v>1180.9528464149</v>
      </c>
      <c r="AQ123" s="33" t="n">
        <f aca="false">AQ119+AQ122+AQ102+AQ103+AQ104+AQ57</f>
        <v>1193.7187922747</v>
      </c>
      <c r="AR123" s="33" t="n">
        <f aca="false">AR119+AR122+AR102+AR103+AR104+AR57</f>
        <v>1202.18794185673</v>
      </c>
      <c r="AS123" s="33" t="n">
        <f aca="false">AS119+AS122+AS102+AS103+AS104+AS57</f>
        <v>1253.92746612221</v>
      </c>
      <c r="AT123" s="33" t="n">
        <f aca="false">AT119+AT122+AT102+AT103+AT104+AT57</f>
        <v>1306.02126759569</v>
      </c>
      <c r="AU123" s="33" t="n">
        <f aca="false">AU119+AU122+AU102+AU103+AU104+AU57</f>
        <v>1320.10186570383</v>
      </c>
      <c r="AV123" s="33" t="n">
        <f aca="false">AV119+AV122+AV102+AV103+AV104+AV57</f>
        <v>1352.98614737013</v>
      </c>
      <c r="AW123" s="33" t="n">
        <f aca="false">AW119+AW122+AW102+AW103+AW104+AW57</f>
        <v>1382.7722257469</v>
      </c>
      <c r="AX123" s="33" t="n">
        <f aca="false">AX119+AX122+AX102+AX103+AX104+AX57</f>
        <v>1436.45862299212</v>
      </c>
      <c r="AY123" s="33" t="n">
        <f aca="false">AY119+AY122+AY102+AY103+AY104+AY57</f>
        <v>1451.92532658463</v>
      </c>
      <c r="AZ123" s="33" t="n">
        <f aca="false">AZ119+AZ122+AZ102+AZ103+AZ104+AZ57</f>
        <v>1462.236539093</v>
      </c>
      <c r="BA123" s="33" t="n">
        <f aca="false">BA119+BA122+BA102+BA103+BA104+BA57</f>
        <v>1517.19453260956</v>
      </c>
      <c r="BB123" s="33" t="n">
        <f aca="false">BB119+BB122+BB102+BB103+BB104+BB57</f>
        <v>1572.5438203783</v>
      </c>
      <c r="BC123" s="33" t="n">
        <f aca="false">BC119+BC122+BC102+BC103+BC104+BC57</f>
        <v>1589.47174348552</v>
      </c>
      <c r="BD123" s="33" t="n">
        <f aca="false">BD119+BD122+BD102+BD103+BD104+BD57</f>
        <v>1600.8093014795</v>
      </c>
      <c r="BE123" s="33" t="n">
        <f aca="false">BE119+BE122+BE102+BE103+BE104+BE57</f>
        <v>1657.484188956</v>
      </c>
      <c r="BF123" s="33" t="n">
        <f aca="false">BF119+BF122+BF102+BF103+BF104+BF57</f>
        <v>1714.57030530219</v>
      </c>
      <c r="BG123" s="33" t="n">
        <f aca="false">BG119+BG122+BG102+BG103+BG104+BG57</f>
        <v>1733.03840918154</v>
      </c>
      <c r="BH123" s="33" t="n">
        <f aca="false">BH119+BH122+BH102+BH103+BH104+BH57</f>
        <v>1745.47755902872</v>
      </c>
      <c r="BI123" s="33" t="n">
        <f aca="false">BI119+BI122+BI102+BI103+BI104+BI57</f>
        <v>1803.94609552968</v>
      </c>
      <c r="BJ123" s="33" t="n">
        <f aca="false">BJ119+BJ122+BJ102+BJ103+BJ104+BJ57</f>
        <v>1862.84681109366</v>
      </c>
      <c r="BK123" s="33" t="n">
        <f aca="false">BK119+BK122+BK102+BK103+BK104+BK57</f>
        <v>1882.93810015514</v>
      </c>
      <c r="BL123" s="33" t="n">
        <f aca="false">BL119+BL122+BL102+BL103+BL104+BL57</f>
        <v>1920.56530460039</v>
      </c>
      <c r="BM123" s="33" t="n">
        <f aca="false">BM119+BM122+BM102+BM103+BM104+BM57</f>
        <v>1956.90103027926</v>
      </c>
      <c r="BN123" s="33" t="n">
        <f aca="false">BN119+BN122+BN102+BN103+BN104+BN57</f>
        <v>2017.69814731964</v>
      </c>
      <c r="BO123" s="33" t="n">
        <f aca="false">BO119+BO122+BO102+BO103+BO104+BO57</f>
        <v>2039.49987502753</v>
      </c>
      <c r="BP123" s="33" t="n">
        <f aca="false">BP119+BP122+BP102+BP103+BP104+BP57</f>
        <v>2054.38424107417</v>
      </c>
      <c r="BQ123" s="33" t="n">
        <f aca="false">BQ119+BQ122+BQ102+BQ103+BQ104+BQ57</f>
        <v>2116.68646697836</v>
      </c>
      <c r="BR123" s="33" t="n">
        <f aca="false">BR119+BR122+BR102+BR103+BR104+BR57</f>
        <v>2179.46602865087</v>
      </c>
      <c r="BS123" s="33" t="n">
        <f aca="false">BS119+BS122+BS102+BS103+BS104+BS57</f>
        <v>2203.06991390965</v>
      </c>
      <c r="BT123" s="33" t="n">
        <f aca="false">BT119+BT122+BT102+BT103+BT104+BT57</f>
        <v>2179.6697357434</v>
      </c>
      <c r="BU123" s="33" t="n">
        <f aca="false">BU119+BU122+BU102+BU103+BU104+BU57</f>
        <v>2203.88828836277</v>
      </c>
      <c r="BV123" s="33" t="n">
        <f aca="false">BV119+BV122+BV102+BV103+BV104+BV57</f>
        <v>2228.10684098214</v>
      </c>
      <c r="BW123" s="33" t="n">
        <f aca="false">BW119+BW122+BW102+BW103+BW104+BW57</f>
        <v>2212.46741327988</v>
      </c>
      <c r="BX123" s="33" t="n">
        <f aca="false">BX119+BX122+BX102+BX103+BX104+BX57</f>
        <v>2188.49283984931</v>
      </c>
      <c r="BY123" s="33" t="n">
        <f aca="false">BY119+BY122+BY102+BY103+BY104+BY57</f>
        <v>2212.80942695874</v>
      </c>
      <c r="BZ123" s="33" t="n">
        <f aca="false">BZ119+BZ122+BZ102+BZ103+BZ104+BZ57</f>
        <v>2237.12601406818</v>
      </c>
      <c r="CA123" s="33" t="n">
        <f aca="false">CA119+CA122+CA102+CA103+CA104+CA57</f>
        <v>2221.39051218978</v>
      </c>
      <c r="CB123" s="33" t="n">
        <f aca="false">CB119+CB122+CB102+CB103+CB104+CB57</f>
        <v>2221.24549337524</v>
      </c>
      <c r="CC123" s="33" t="n">
        <f aca="false">CC119+CC122+CC102+CC103+CC104+CC57</f>
        <v>2221.24549337524</v>
      </c>
      <c r="CD123" s="33" t="n">
        <f aca="false">CD119+CD122+CD102+CD103+CD104+CD57</f>
        <v>2245.65478451123</v>
      </c>
      <c r="CE123" s="33" t="n">
        <f aca="false">CE119+CE122+CE102+CE103+CE104+CE57</f>
        <v>2229.82295424819</v>
      </c>
      <c r="CF123" s="33" t="n">
        <f aca="false">CF119+CF122+CF102+CF103+CF104+CF57</f>
        <v>2204.6834937156</v>
      </c>
      <c r="CG123" s="33" t="n">
        <f aca="false">CG119+CG122+CG102+CG103+CG104+CG57</f>
        <v>2229.17997697911</v>
      </c>
      <c r="CH123" s="33" t="n">
        <f aca="false">CH119+CH122+CH102+CH103+CH104+CH57</f>
        <v>2253.67646024261</v>
      </c>
      <c r="CI123" s="33" t="n">
        <f aca="false">CI119+CI122+CI102+CI103+CI104+CI57</f>
        <v>2237.74805432723</v>
      </c>
      <c r="CJ123" s="33" t="n">
        <f aca="false">CJ119+CJ122+CJ102+CJ103+CJ104+CJ57</f>
        <v>2212.01795498054</v>
      </c>
      <c r="CK123" s="33" t="n">
        <f aca="false">CK119+CK122+CK102+CK103+CK104+CK57</f>
        <v>2236.5959322581</v>
      </c>
      <c r="CL123" s="33" t="n">
        <f aca="false">CL119+CL122+CL102+CL103+CL104+CL57</f>
        <v>2261.17390953566</v>
      </c>
      <c r="CM123" s="33" t="n">
        <f aca="false">CM119+CM122+CM102+CM103+CM104+CM57</f>
        <v>2245.14868788163</v>
      </c>
      <c r="CN123" s="33" t="n">
        <f aca="false">CN119+CN122+CN102+CN103+CN104+CN57</f>
        <v>2218.82238592502</v>
      </c>
      <c r="CO123" s="33" t="n">
        <f aca="false">CO119+CO122+CO102+CO103+CO104+CO57</f>
        <v>2243.47596799085</v>
      </c>
      <c r="CP123" s="33" t="n">
        <f aca="false">CP119+CP122+CP102+CP103+CP104+CP57</f>
        <v>2268.12955005669</v>
      </c>
      <c r="CQ123" s="33" t="n">
        <f aca="false">CQ119+CQ122+CQ102+CQ103+CQ104+CQ57</f>
        <v>2252.00728000554</v>
      </c>
      <c r="CR123" s="33" t="n">
        <f aca="false">CR119+CR122+CR102+CR103+CR104+CR57</f>
        <v>2249.80223615059</v>
      </c>
      <c r="CS123" s="33" t="n">
        <f aca="false">CS119+CS122+CS102+CS103+CS104+CS57</f>
        <v>2249.80223615059</v>
      </c>
      <c r="CT123" s="33" t="n">
        <f aca="false">CT119+CT122+CT102+CT103+CT104+CT57</f>
        <v>2274.52533764675</v>
      </c>
      <c r="CU123" s="33" t="n">
        <f aca="false">CU119+CU122+CU102+CU103+CU104+CU57</f>
        <v>2258.3057942204</v>
      </c>
      <c r="CV123" s="33" t="n">
        <f aca="false">CV119+CV122+CV102+CV103+CV104+CV57</f>
        <v>2230.77008624457</v>
      </c>
      <c r="CW123" s="33" t="n">
        <f aca="false">CW119+CW122+CW102+CW103+CW104+CW57</f>
        <v>2255.55642053618</v>
      </c>
      <c r="CX123" s="33" t="n">
        <f aca="false">CX119+CX122+CX102+CX103+CX104+CX57</f>
        <v>2280.34275482779</v>
      </c>
      <c r="CY123" s="33" t="n">
        <f aca="false">CY119+CY122+CY102+CY103+CY104+CY57</f>
        <v>2264.02572098716</v>
      </c>
      <c r="CZ123" s="33" t="n">
        <f aca="false">CZ119+CZ122+CZ102+CZ103+CZ104+CZ57</f>
        <v>2235.87665122129</v>
      </c>
      <c r="DA123" s="33" t="n">
        <f aca="false">DA119+DA122+DA102+DA103+DA104+DA57</f>
        <v>2260.71972512375</v>
      </c>
      <c r="DB123" s="33" t="n">
        <f aca="false">DB119+DB122+DB102+DB103+DB104+DB57</f>
        <v>2285.56279902621</v>
      </c>
      <c r="DC123" s="33" t="n">
        <f aca="false">DC119+DC122+DC102+DC103+DC104+DC57</f>
        <v>2269.14806593617</v>
      </c>
      <c r="DD123" s="33" t="n">
        <f aca="false">DD119+DD122+DD102+DD103+DD104+DD57</f>
        <v>2240.37975375693</v>
      </c>
      <c r="DE123" s="33" t="n">
        <f aca="false">DE119+DE122+DE102+DE103+DE104+DE57</f>
        <v>2265.27286213201</v>
      </c>
      <c r="DF123" s="33" t="n">
        <f aca="false">DF119+DF122+DF102+DF103+DF104+DF57</f>
        <v>2290.16597050708</v>
      </c>
      <c r="DG123" s="33" t="n">
        <f aca="false">DG119+DG122+DG102+DG103+DG104+DG57</f>
        <v>4338.46697238004</v>
      </c>
      <c r="DH123" s="33" t="n">
        <f aca="false">DH119+DH122+DH102+DH103+DH104+DH57</f>
        <v>4311.56604790374</v>
      </c>
      <c r="DI123" s="33" t="n">
        <f aca="false">DI119+DI122+DI102+DI103+DI104+DI57</f>
        <v>4311.56604790374</v>
      </c>
      <c r="DJ123" s="33" t="n">
        <f aca="false">DJ119+DJ122+DJ102+DJ103+DJ104+DJ57</f>
        <v>4358.945894584</v>
      </c>
      <c r="DK123" s="33" t="n">
        <f aca="false">DK119+DK122+DK102+DK103+DK104+DK57</f>
        <v>4342.33517066918</v>
      </c>
      <c r="DL123" s="33" t="n">
        <f aca="false">DL119+DL122+DL102+DL103+DL104+DL57</f>
        <v>4267.42314521508</v>
      </c>
      <c r="DM123" s="33" t="n">
        <f aca="false">DM119+DM122+DM102+DM103+DM104+DM57</f>
        <v>4314.83895793969</v>
      </c>
      <c r="DN123" s="33" t="n">
        <f aca="false">DN119+DN122+DN102+DN103+DN104+DN57</f>
        <v>4362.2547706643</v>
      </c>
      <c r="DO123" s="33" t="n">
        <f aca="false">DO119+DO122+DO102+DO103+DO104+DO57</f>
        <v>4345.54577296546</v>
      </c>
      <c r="DP123" s="33" t="n">
        <f aca="false">DP119+DP122+DP102+DP103+DP104+DP57</f>
        <v>4269.99635873289</v>
      </c>
      <c r="DQ123" s="33" t="n">
        <f aca="false">DQ119+DQ122+DQ102+DQ103+DQ104+DQ57</f>
        <v>4317.44076271881</v>
      </c>
      <c r="DR123" s="33" t="n">
        <f aca="false">DR119+DR122+DR102+DR103+DR104+DR57</f>
        <v>4364.88516670473</v>
      </c>
      <c r="DS123" s="33" t="n">
        <f aca="false">DS119+DS122+DS102+DS103+DS104+DS57</f>
        <v>4348.0777219831</v>
      </c>
      <c r="DT123" s="33" t="n">
        <f aca="false">DT119+DT122+DT102+DT103+DT104+DT57</f>
        <v>4271.8846965912</v>
      </c>
      <c r="DU123" s="33" t="n">
        <f aca="false">DU119+DU122+DU102+DU103+DU104+DU57</f>
        <v>4319.35008210888</v>
      </c>
      <c r="DV123" s="33" t="n">
        <f aca="false">DV119+DV122+DV102+DV103+DV104+DV57</f>
        <v>4366.81546762656</v>
      </c>
      <c r="DW123" s="33" t="n">
        <f aca="false">DW119+DW122+DW102+DW103+DW104+DW57</f>
        <v>4349.90941227163</v>
      </c>
      <c r="DX123" s="33" t="n">
        <f aca="false">DX119+DX122+DX102+DX103+DX104+DX57</f>
        <v>4320.54498000109</v>
      </c>
      <c r="DY123" s="33" t="n">
        <f aca="false">DY119+DY122+DY102+DY103+DY104+DY57</f>
        <v>4320.54498000109</v>
      </c>
      <c r="DZ123" s="33" t="n">
        <f aca="false">DZ119+DZ122+DZ102+DZ103+DZ104+DZ57</f>
        <v>4368.02349626484</v>
      </c>
      <c r="EA123" s="33" t="n">
        <f aca="false">EA119+EA122+EA102+EA103+EA104+EA57</f>
        <v>4351.01867660019</v>
      </c>
      <c r="EB123" s="33" t="n">
        <f aca="false">EB119+EB122+EB102+EB103+EB104+EB57</f>
        <v>4273.5194015975</v>
      </c>
      <c r="EC123" s="33" t="n">
        <f aca="false">EC119+EC122+EC102+EC103+EC104+EC57</f>
        <v>4321.00295050414</v>
      </c>
      <c r="ED123" s="33" t="n">
        <f aca="false">ED119+ED122+ED102+ED103+ED104+ED57</f>
        <v>4368.48649941078</v>
      </c>
      <c r="EE123" s="33" t="n">
        <f aca="false">EE119+EE122+EE102+EE103+EE104+EE57</f>
        <v>4351.38277200729</v>
      </c>
      <c r="EF123" s="33" t="n">
        <f aca="false">EF119+EF122+EF102+EF103+EF104+EF57</f>
        <v>4273.22067408704</v>
      </c>
      <c r="EG123" s="33" t="n">
        <f aca="false">EG119+EG122+EG102+EG103+EG104+EG57</f>
        <v>4320.70090379912</v>
      </c>
      <c r="EH123" s="33" t="n">
        <f aca="false">EH119+EH122+EH102+EH103+EH104+EH57</f>
        <v>4368.1811335112</v>
      </c>
      <c r="EI123" s="33" t="n">
        <f aca="false">EI119+EI122+EI102+EI103+EI104+EI57</f>
        <v>4350.97836550777</v>
      </c>
      <c r="EJ123" s="33" t="n">
        <f aca="false">EJ119+EJ122+EJ102+EJ103+EJ104+EJ57</f>
        <v>4272.14685327713</v>
      </c>
      <c r="EK123" s="33" t="n">
        <f aca="false">EK119+EK122+EK102+EK103+EK104+EK57</f>
        <v>4319.61515164688</v>
      </c>
      <c r="EL123" s="33" t="n">
        <f aca="false">EL119+EL122+EL102+EL103+EL104+EL57</f>
        <v>4367.08345001662</v>
      </c>
      <c r="EM123" s="33" t="n">
        <f aca="false">EM119+EM122+EM102+EM103+EM104+EM57</f>
        <v>4349.78151944861</v>
      </c>
      <c r="EN123" s="33" t="n">
        <f aca="false">EN119+EN122+EN102+EN103+EN104+EN57</f>
        <v>4317.72139253939</v>
      </c>
      <c r="EO123" s="33" t="n">
        <f aca="false">EO119+EO122+EO102+EO103+EO104+EO57</f>
        <v>4317.72139253939</v>
      </c>
      <c r="EP123" s="33" t="n">
        <f aca="false">EP119+EP122+EP102+EP103+EP104+EP57</f>
        <v>4365.16888036949</v>
      </c>
      <c r="EQ123" s="33" t="n">
        <f aca="false">EQ119+EQ122+EQ102+EQ103+EQ104+EQ57</f>
        <v>4347.76767650498</v>
      </c>
      <c r="ER123" s="33" t="n">
        <f aca="false">ER119+ER122+ER102+ER103+ER104+ER57</f>
        <v>4267.57717234905</v>
      </c>
      <c r="ES123" s="33" t="n">
        <f aca="false">ES119+ES122+ES102+ES103+ES104+ES57</f>
        <v>4314.99469648626</v>
      </c>
      <c r="ET123" s="33" t="n">
        <f aca="false">ET119+ET122+ET102+ET103+ET104+ET57</f>
        <v>4362.41222062347</v>
      </c>
    </row>
    <row r="124" customFormat="false" ht="15" hidden="false" customHeight="false" outlineLevel="0" collapsed="false">
      <c r="C124" s="0" t="s">
        <v>567</v>
      </c>
      <c r="D124" s="11" t="s">
        <v>247</v>
      </c>
      <c r="J124" s="22" t="n">
        <f aca="false">I127</f>
        <v>0</v>
      </c>
      <c r="K124" s="22" t="n">
        <f aca="false">J127</f>
        <v>0</v>
      </c>
      <c r="L124" s="22" t="n">
        <f aca="false">K127</f>
        <v>178.520547945205</v>
      </c>
      <c r="M124" s="22" t="n">
        <f aca="false">L127</f>
        <v>766.965068493151</v>
      </c>
      <c r="N124" s="22" t="n">
        <f aca="false">M127</f>
        <v>810.800684931507</v>
      </c>
      <c r="O124" s="22" t="n">
        <f aca="false">N127</f>
        <v>854.636301369863</v>
      </c>
      <c r="P124" s="22" t="n">
        <f aca="false">O127</f>
        <v>1038.99794520548</v>
      </c>
      <c r="Q124" s="22" t="n">
        <f aca="false">P127</f>
        <v>2329.03974000559</v>
      </c>
      <c r="R124" s="22" t="n">
        <f aca="false">Q127</f>
        <v>2333.64932904669</v>
      </c>
      <c r="S124" s="22" t="n">
        <f aca="false">R127</f>
        <v>2497.74083902712</v>
      </c>
      <c r="T124" s="22" t="n">
        <f aca="false">S127</f>
        <v>2814.96697772435</v>
      </c>
      <c r="U124" s="22" t="n">
        <f aca="false">T127</f>
        <v>3119.62451197093</v>
      </c>
      <c r="V124" s="22" t="n">
        <f aca="false">U127</f>
        <v>3119.62451197093</v>
      </c>
      <c r="W124" s="22" t="n">
        <f aca="false">V127</f>
        <v>3119.62451197093</v>
      </c>
      <c r="X124" s="22" t="n">
        <f aca="false">W127</f>
        <v>5074.63865062317</v>
      </c>
      <c r="Y124" s="22" t="n">
        <f aca="false">X127</f>
        <v>5334.80891409552</v>
      </c>
      <c r="Z124" s="22" t="n">
        <f aca="false">Y127</f>
        <v>5571.5693249929</v>
      </c>
      <c r="AA124" s="22" t="n">
        <f aca="false">Z127</f>
        <v>5784.04640684983</v>
      </c>
      <c r="AB124" s="22" t="n">
        <f aca="false">AA127</f>
        <v>5969.34295633999</v>
      </c>
      <c r="AC124" s="22" t="n">
        <f aca="false">AB127</f>
        <v>6125.91608905738</v>
      </c>
      <c r="AD124" s="22" t="n">
        <f aca="false">AC127</f>
        <v>6257.92828996918</v>
      </c>
      <c r="AE124" s="22" t="n">
        <f aca="false">AD127</f>
        <v>6364.50608260992</v>
      </c>
      <c r="AF124" s="22" t="n">
        <f aca="false">AE127</f>
        <v>5519.91393527344</v>
      </c>
      <c r="AG124" s="22" t="n">
        <f aca="false">AF127</f>
        <v>4646.15934283861</v>
      </c>
      <c r="AH124" s="22" t="n">
        <f aca="false">AG127</f>
        <v>3747.98772147452</v>
      </c>
      <c r="AI124" s="22" t="n">
        <f aca="false">AH127</f>
        <v>2802.11210278394</v>
      </c>
      <c r="AJ124" s="22" t="n">
        <f aca="false">AI127</f>
        <v>1845.89924779384</v>
      </c>
      <c r="AK124" s="22" t="n">
        <f aca="false">AJ127</f>
        <v>882.801834168731</v>
      </c>
      <c r="AL124" s="22" t="n">
        <f aca="false">AK127</f>
        <v>0</v>
      </c>
      <c r="AM124" s="22" t="n">
        <f aca="false">AL127</f>
        <v>0</v>
      </c>
      <c r="AN124" s="22" t="n">
        <f aca="false">AM127</f>
        <v>0</v>
      </c>
      <c r="AO124" s="22" t="n">
        <f aca="false">AN127</f>
        <v>0</v>
      </c>
      <c r="AP124" s="22" t="n">
        <f aca="false">AO127</f>
        <v>0</v>
      </c>
      <c r="AQ124" s="22" t="n">
        <f aca="false">AP127</f>
        <v>0</v>
      </c>
      <c r="AR124" s="22" t="n">
        <f aca="false">AQ127</f>
        <v>0</v>
      </c>
      <c r="AS124" s="22" t="n">
        <f aca="false">AR127</f>
        <v>0</v>
      </c>
      <c r="AT124" s="22" t="n">
        <f aca="false">AS127</f>
        <v>0</v>
      </c>
      <c r="AU124" s="22" t="n">
        <f aca="false">AT127</f>
        <v>0</v>
      </c>
      <c r="AV124" s="22" t="n">
        <f aca="false">AU127</f>
        <v>0</v>
      </c>
      <c r="AW124" s="22" t="n">
        <f aca="false">AV127</f>
        <v>0</v>
      </c>
      <c r="AX124" s="22" t="n">
        <f aca="false">AW127</f>
        <v>0</v>
      </c>
      <c r="AY124" s="22" t="n">
        <f aca="false">AX127</f>
        <v>0</v>
      </c>
      <c r="AZ124" s="22" t="n">
        <f aca="false">AY127</f>
        <v>0</v>
      </c>
      <c r="BA124" s="22" t="n">
        <f aca="false">AZ127</f>
        <v>0</v>
      </c>
      <c r="BB124" s="22" t="n">
        <f aca="false">BA127</f>
        <v>0</v>
      </c>
      <c r="BC124" s="22" t="n">
        <f aca="false">BB127</f>
        <v>0</v>
      </c>
      <c r="BD124" s="22" t="n">
        <f aca="false">BC127</f>
        <v>0</v>
      </c>
      <c r="BE124" s="22" t="n">
        <f aca="false">BD127</f>
        <v>0</v>
      </c>
      <c r="BF124" s="22" t="n">
        <f aca="false">BE127</f>
        <v>0</v>
      </c>
      <c r="BG124" s="22" t="n">
        <f aca="false">BF127</f>
        <v>0</v>
      </c>
      <c r="BH124" s="22" t="n">
        <f aca="false">BG127</f>
        <v>0</v>
      </c>
      <c r="BI124" s="22" t="n">
        <f aca="false">BH127</f>
        <v>0</v>
      </c>
      <c r="BJ124" s="22" t="n">
        <f aca="false">BI127</f>
        <v>0</v>
      </c>
      <c r="BK124" s="22" t="n">
        <f aca="false">BJ127</f>
        <v>0</v>
      </c>
      <c r="BL124" s="22" t="n">
        <f aca="false">BK127</f>
        <v>0</v>
      </c>
      <c r="BM124" s="22" t="n">
        <f aca="false">BL127</f>
        <v>0</v>
      </c>
      <c r="BN124" s="22" t="n">
        <f aca="false">BM127</f>
        <v>0</v>
      </c>
      <c r="BO124" s="22" t="n">
        <f aca="false">BN127</f>
        <v>0</v>
      </c>
      <c r="BP124" s="22" t="n">
        <f aca="false">BO127</f>
        <v>0</v>
      </c>
      <c r="BQ124" s="22" t="n">
        <f aca="false">BP127</f>
        <v>0</v>
      </c>
      <c r="BR124" s="22" t="n">
        <f aca="false">BQ127</f>
        <v>0</v>
      </c>
      <c r="BS124" s="22" t="n">
        <f aca="false">BR127</f>
        <v>0</v>
      </c>
      <c r="BT124" s="22" t="n">
        <f aca="false">BS127</f>
        <v>0</v>
      </c>
      <c r="BU124" s="22" t="n">
        <f aca="false">BT127</f>
        <v>0</v>
      </c>
      <c r="BV124" s="22" t="n">
        <f aca="false">BU127</f>
        <v>0</v>
      </c>
      <c r="BW124" s="22" t="n">
        <f aca="false">BV127</f>
        <v>0</v>
      </c>
      <c r="BX124" s="22" t="n">
        <f aca="false">BW127</f>
        <v>0</v>
      </c>
      <c r="BY124" s="22" t="n">
        <f aca="false">BX127</f>
        <v>0</v>
      </c>
      <c r="BZ124" s="22" t="n">
        <f aca="false">BY127</f>
        <v>0</v>
      </c>
      <c r="CA124" s="22" t="n">
        <f aca="false">BZ127</f>
        <v>0</v>
      </c>
      <c r="CB124" s="22" t="n">
        <f aca="false">CA127</f>
        <v>0</v>
      </c>
      <c r="CC124" s="22" t="n">
        <f aca="false">CB127</f>
        <v>0</v>
      </c>
      <c r="CD124" s="22" t="n">
        <f aca="false">CC127</f>
        <v>0</v>
      </c>
      <c r="CE124" s="22" t="n">
        <f aca="false">CD127</f>
        <v>0</v>
      </c>
      <c r="CF124" s="22" t="n">
        <f aca="false">CE127</f>
        <v>0</v>
      </c>
      <c r="CG124" s="22" t="n">
        <f aca="false">CF127</f>
        <v>0</v>
      </c>
      <c r="CH124" s="22" t="n">
        <f aca="false">CG127</f>
        <v>0</v>
      </c>
      <c r="CI124" s="22" t="n">
        <f aca="false">CH127</f>
        <v>0</v>
      </c>
      <c r="CJ124" s="22" t="n">
        <f aca="false">CI127</f>
        <v>0</v>
      </c>
      <c r="CK124" s="22" t="n">
        <f aca="false">CJ127</f>
        <v>0</v>
      </c>
      <c r="CL124" s="22" t="n">
        <f aca="false">CK127</f>
        <v>0</v>
      </c>
      <c r="CM124" s="22" t="n">
        <f aca="false">CL127</f>
        <v>0</v>
      </c>
      <c r="CN124" s="22" t="n">
        <f aca="false">CM127</f>
        <v>0</v>
      </c>
      <c r="CO124" s="22" t="n">
        <f aca="false">CN127</f>
        <v>0</v>
      </c>
      <c r="CP124" s="22" t="n">
        <f aca="false">CO127</f>
        <v>0</v>
      </c>
      <c r="CQ124" s="22" t="n">
        <f aca="false">CP127</f>
        <v>0</v>
      </c>
      <c r="CR124" s="22" t="n">
        <f aca="false">CQ127</f>
        <v>0</v>
      </c>
      <c r="CS124" s="22" t="n">
        <f aca="false">CR127</f>
        <v>0</v>
      </c>
      <c r="CT124" s="22" t="n">
        <f aca="false">CS127</f>
        <v>0</v>
      </c>
      <c r="CU124" s="22" t="n">
        <f aca="false">CT127</f>
        <v>0</v>
      </c>
      <c r="CV124" s="22" t="n">
        <f aca="false">CU127</f>
        <v>0</v>
      </c>
      <c r="CW124" s="22" t="n">
        <f aca="false">CV127</f>
        <v>0</v>
      </c>
      <c r="CX124" s="22" t="n">
        <f aca="false">CW127</f>
        <v>0</v>
      </c>
      <c r="CY124" s="22" t="n">
        <f aca="false">CX127</f>
        <v>0</v>
      </c>
      <c r="CZ124" s="22" t="n">
        <f aca="false">CY127</f>
        <v>0</v>
      </c>
      <c r="DA124" s="22" t="n">
        <f aca="false">CZ127</f>
        <v>0</v>
      </c>
      <c r="DB124" s="22" t="n">
        <f aca="false">DA127</f>
        <v>0</v>
      </c>
      <c r="DC124" s="22" t="n">
        <f aca="false">DB127</f>
        <v>0</v>
      </c>
      <c r="DD124" s="22" t="n">
        <f aca="false">DC127</f>
        <v>0</v>
      </c>
      <c r="DE124" s="22" t="n">
        <f aca="false">DD127</f>
        <v>0</v>
      </c>
      <c r="DF124" s="22" t="n">
        <f aca="false">DE127</f>
        <v>0</v>
      </c>
      <c r="DG124" s="22" t="n">
        <f aca="false">DF127</f>
        <v>0</v>
      </c>
      <c r="DH124" s="22" t="n">
        <f aca="false">DG127</f>
        <v>0</v>
      </c>
      <c r="DI124" s="22" t="n">
        <f aca="false">DH127</f>
        <v>0</v>
      </c>
      <c r="DJ124" s="22" t="n">
        <f aca="false">DI127</f>
        <v>0</v>
      </c>
      <c r="DK124" s="22" t="n">
        <f aca="false">DJ127</f>
        <v>0</v>
      </c>
      <c r="DL124" s="22" t="n">
        <f aca="false">DK127</f>
        <v>0</v>
      </c>
      <c r="DM124" s="22" t="n">
        <f aca="false">DL127</f>
        <v>0</v>
      </c>
      <c r="DN124" s="22" t="n">
        <f aca="false">DM127</f>
        <v>0</v>
      </c>
      <c r="DO124" s="22" t="n">
        <f aca="false">DN127</f>
        <v>0</v>
      </c>
      <c r="DP124" s="22" t="n">
        <f aca="false">DO127</f>
        <v>0</v>
      </c>
      <c r="DQ124" s="22" t="n">
        <f aca="false">DP127</f>
        <v>0</v>
      </c>
      <c r="DR124" s="22" t="n">
        <f aca="false">DQ127</f>
        <v>0</v>
      </c>
      <c r="DS124" s="22" t="n">
        <f aca="false">DR127</f>
        <v>0</v>
      </c>
      <c r="DT124" s="22" t="n">
        <f aca="false">DS127</f>
        <v>0</v>
      </c>
      <c r="DU124" s="22" t="n">
        <f aca="false">DT127</f>
        <v>0</v>
      </c>
      <c r="DV124" s="22" t="n">
        <f aca="false">DU127</f>
        <v>0</v>
      </c>
      <c r="DW124" s="22" t="n">
        <f aca="false">DV127</f>
        <v>0</v>
      </c>
      <c r="DX124" s="22" t="n">
        <f aca="false">DW127</f>
        <v>0</v>
      </c>
      <c r="DY124" s="22" t="n">
        <f aca="false">DX127</f>
        <v>0</v>
      </c>
      <c r="DZ124" s="22" t="n">
        <f aca="false">DY127</f>
        <v>0</v>
      </c>
      <c r="EA124" s="22" t="n">
        <f aca="false">DZ127</f>
        <v>0</v>
      </c>
      <c r="EB124" s="22" t="n">
        <f aca="false">EA127</f>
        <v>0</v>
      </c>
      <c r="EC124" s="22" t="n">
        <f aca="false">EB127</f>
        <v>0</v>
      </c>
      <c r="ED124" s="22" t="n">
        <f aca="false">EC127</f>
        <v>0</v>
      </c>
      <c r="EE124" s="22" t="n">
        <f aca="false">ED127</f>
        <v>0</v>
      </c>
      <c r="EF124" s="22" t="n">
        <f aca="false">EE127</f>
        <v>0</v>
      </c>
      <c r="EG124" s="22" t="n">
        <f aca="false">EF127</f>
        <v>0</v>
      </c>
      <c r="EH124" s="22" t="n">
        <f aca="false">EG127</f>
        <v>0</v>
      </c>
      <c r="EI124" s="22" t="n">
        <f aca="false">EH127</f>
        <v>0</v>
      </c>
      <c r="EJ124" s="22" t="n">
        <f aca="false">EI127</f>
        <v>0</v>
      </c>
      <c r="EK124" s="22" t="n">
        <f aca="false">EJ127</f>
        <v>0</v>
      </c>
      <c r="EL124" s="22" t="n">
        <f aca="false">EK127</f>
        <v>0</v>
      </c>
      <c r="EM124" s="22" t="n">
        <f aca="false">EL127</f>
        <v>0</v>
      </c>
      <c r="EN124" s="22" t="n">
        <f aca="false">EM127</f>
        <v>0</v>
      </c>
      <c r="EO124" s="22" t="n">
        <f aca="false">EN127</f>
        <v>0</v>
      </c>
      <c r="EP124" s="22" t="n">
        <f aca="false">EO127</f>
        <v>0</v>
      </c>
      <c r="EQ124" s="22" t="n">
        <f aca="false">EP127</f>
        <v>0</v>
      </c>
      <c r="ER124" s="22" t="n">
        <f aca="false">EQ127</f>
        <v>0</v>
      </c>
      <c r="ES124" s="22" t="n">
        <f aca="false">ER127</f>
        <v>0</v>
      </c>
      <c r="ET124" s="22" t="n">
        <f aca="false">ES127</f>
        <v>0</v>
      </c>
    </row>
    <row r="125" customFormat="false" ht="15" hidden="false" customHeight="false" outlineLevel="0" collapsed="false">
      <c r="C125" s="0" t="s">
        <v>568</v>
      </c>
      <c r="D125" s="11" t="s">
        <v>247</v>
      </c>
      <c r="I125" s="33" t="n">
        <f aca="false">SUM(J125:ET125)</f>
        <v>6364.50608260992</v>
      </c>
      <c r="J125" s="33" t="n">
        <f aca="false">MAX(0,-J123)</f>
        <v>-0</v>
      </c>
      <c r="K125" s="33" t="n">
        <f aca="false">MAX(0,-K123)</f>
        <v>178.520547945205</v>
      </c>
      <c r="L125" s="33" t="n">
        <f aca="false">MAX(0,-L123)</f>
        <v>588.444520547945</v>
      </c>
      <c r="M125" s="33" t="n">
        <f aca="false">MAX(0,-M123)</f>
        <v>43.8356164383562</v>
      </c>
      <c r="N125" s="33" t="n">
        <f aca="false">MAX(0,-N123)</f>
        <v>43.8356164383562</v>
      </c>
      <c r="O125" s="33" t="n">
        <f aca="false">MAX(0,-O123)</f>
        <v>184.361643835616</v>
      </c>
      <c r="P125" s="33" t="n">
        <f aca="false">MAX(0,-P123)</f>
        <v>1290.04179480011</v>
      </c>
      <c r="Q125" s="33" t="n">
        <f aca="false">MAX(0,-Q123)</f>
        <v>4.60958904109589</v>
      </c>
      <c r="R125" s="33" t="n">
        <f aca="false">MAX(0,-R123)</f>
        <v>164.091509980431</v>
      </c>
      <c r="S125" s="33" t="n">
        <f aca="false">MAX(0,-S123)</f>
        <v>317.226138697232</v>
      </c>
      <c r="T125" s="33" t="n">
        <f aca="false">MAX(0,-T123)</f>
        <v>304.657534246575</v>
      </c>
      <c r="U125" s="33" t="n">
        <f aca="false">MAX(0,-U123)</f>
        <v>-0</v>
      </c>
      <c r="V125" s="33" t="n">
        <f aca="false">MAX(0,-V123)</f>
        <v>-0</v>
      </c>
      <c r="W125" s="33" t="n">
        <f aca="false">MAX(0,-W123)</f>
        <v>1955.01413865224</v>
      </c>
      <c r="X125" s="33" t="n">
        <f aca="false">MAX(0,-X123)</f>
        <v>260.170263472354</v>
      </c>
      <c r="Y125" s="33" t="n">
        <f aca="false">MAX(0,-Y123)</f>
        <v>236.760410897378</v>
      </c>
      <c r="Z125" s="33" t="n">
        <f aca="false">MAX(0,-Z123)</f>
        <v>212.477081856929</v>
      </c>
      <c r="AA125" s="33" t="n">
        <f aca="false">MAX(0,-AA123)</f>
        <v>185.296549490162</v>
      </c>
      <c r="AB125" s="33" t="n">
        <f aca="false">MAX(0,-AB123)</f>
        <v>156.573132717387</v>
      </c>
      <c r="AC125" s="33" t="n">
        <f aca="false">MAX(0,-AC123)</f>
        <v>132.0122009118</v>
      </c>
      <c r="AD125" s="33" t="n">
        <f aca="false">MAX(0,-AD123)</f>
        <v>106.57779264074</v>
      </c>
      <c r="AE125" s="33" t="n">
        <f aca="false">MAX(0,-AE123)</f>
        <v>0</v>
      </c>
      <c r="AF125" s="33" t="n">
        <f aca="false">MAX(0,-AF123)</f>
        <v>0</v>
      </c>
      <c r="AG125" s="33" t="n">
        <f aca="false">MAX(0,-AG123)</f>
        <v>0</v>
      </c>
      <c r="AH125" s="33" t="n">
        <f aca="false">MAX(0,-AH123)</f>
        <v>0</v>
      </c>
      <c r="AI125" s="33" t="n">
        <f aca="false">MAX(0,-AI123)</f>
        <v>0</v>
      </c>
      <c r="AJ125" s="33" t="n">
        <f aca="false">MAX(0,-AJ123)</f>
        <v>0</v>
      </c>
      <c r="AK125" s="33" t="n">
        <f aca="false">MAX(0,-AK123)</f>
        <v>0</v>
      </c>
      <c r="AL125" s="33" t="n">
        <f aca="false">MAX(0,-AL123)</f>
        <v>0</v>
      </c>
      <c r="AM125" s="33" t="n">
        <f aca="false">MAX(0,-AM123)</f>
        <v>0</v>
      </c>
      <c r="AN125" s="33" t="n">
        <f aca="false">MAX(0,-AN123)</f>
        <v>0</v>
      </c>
      <c r="AO125" s="33" t="n">
        <f aca="false">MAX(0,-AO123)</f>
        <v>0</v>
      </c>
      <c r="AP125" s="33" t="n">
        <f aca="false">MAX(0,-AP123)</f>
        <v>0</v>
      </c>
      <c r="AQ125" s="33" t="n">
        <f aca="false">MAX(0,-AQ123)</f>
        <v>0</v>
      </c>
      <c r="AR125" s="33" t="n">
        <f aca="false">MAX(0,-AR123)</f>
        <v>0</v>
      </c>
      <c r="AS125" s="33" t="n">
        <f aca="false">MAX(0,-AS123)</f>
        <v>0</v>
      </c>
      <c r="AT125" s="33" t="n">
        <f aca="false">MAX(0,-AT123)</f>
        <v>0</v>
      </c>
      <c r="AU125" s="33" t="n">
        <f aca="false">MAX(0,-AU123)</f>
        <v>0</v>
      </c>
      <c r="AV125" s="33" t="n">
        <f aca="false">MAX(0,-AV123)</f>
        <v>0</v>
      </c>
      <c r="AW125" s="33" t="n">
        <f aca="false">MAX(0,-AW123)</f>
        <v>0</v>
      </c>
      <c r="AX125" s="33" t="n">
        <f aca="false">MAX(0,-AX123)</f>
        <v>0</v>
      </c>
      <c r="AY125" s="33" t="n">
        <f aca="false">MAX(0,-AY123)</f>
        <v>0</v>
      </c>
      <c r="AZ125" s="33" t="n">
        <f aca="false">MAX(0,-AZ123)</f>
        <v>0</v>
      </c>
      <c r="BA125" s="33" t="n">
        <f aca="false">MAX(0,-BA123)</f>
        <v>0</v>
      </c>
      <c r="BB125" s="33" t="n">
        <f aca="false">MAX(0,-BB123)</f>
        <v>0</v>
      </c>
      <c r="BC125" s="33" t="n">
        <f aca="false">MAX(0,-BC123)</f>
        <v>0</v>
      </c>
      <c r="BD125" s="33" t="n">
        <f aca="false">MAX(0,-BD123)</f>
        <v>0</v>
      </c>
      <c r="BE125" s="33" t="n">
        <f aca="false">MAX(0,-BE123)</f>
        <v>0</v>
      </c>
      <c r="BF125" s="33" t="n">
        <f aca="false">MAX(0,-BF123)</f>
        <v>0</v>
      </c>
      <c r="BG125" s="33" t="n">
        <f aca="false">MAX(0,-BG123)</f>
        <v>0</v>
      </c>
      <c r="BH125" s="33" t="n">
        <f aca="false">MAX(0,-BH123)</f>
        <v>0</v>
      </c>
      <c r="BI125" s="33" t="n">
        <f aca="false">MAX(0,-BI123)</f>
        <v>0</v>
      </c>
      <c r="BJ125" s="33" t="n">
        <f aca="false">MAX(0,-BJ123)</f>
        <v>0</v>
      </c>
      <c r="BK125" s="33" t="n">
        <f aca="false">MAX(0,-BK123)</f>
        <v>0</v>
      </c>
      <c r="BL125" s="33" t="n">
        <f aca="false">MAX(0,-BL123)</f>
        <v>0</v>
      </c>
      <c r="BM125" s="33" t="n">
        <f aca="false">MAX(0,-BM123)</f>
        <v>0</v>
      </c>
      <c r="BN125" s="33" t="n">
        <f aca="false">MAX(0,-BN123)</f>
        <v>0</v>
      </c>
      <c r="BO125" s="33" t="n">
        <f aca="false">MAX(0,-BO123)</f>
        <v>0</v>
      </c>
      <c r="BP125" s="33" t="n">
        <f aca="false">MAX(0,-BP123)</f>
        <v>0</v>
      </c>
      <c r="BQ125" s="33" t="n">
        <f aca="false">MAX(0,-BQ123)</f>
        <v>0</v>
      </c>
      <c r="BR125" s="33" t="n">
        <f aca="false">MAX(0,-BR123)</f>
        <v>0</v>
      </c>
      <c r="BS125" s="33" t="n">
        <f aca="false">MAX(0,-BS123)</f>
        <v>0</v>
      </c>
      <c r="BT125" s="33" t="n">
        <f aca="false">MAX(0,-BT123)</f>
        <v>0</v>
      </c>
      <c r="BU125" s="33" t="n">
        <f aca="false">MAX(0,-BU123)</f>
        <v>0</v>
      </c>
      <c r="BV125" s="33" t="n">
        <f aca="false">MAX(0,-BV123)</f>
        <v>0</v>
      </c>
      <c r="BW125" s="33" t="n">
        <f aca="false">MAX(0,-BW123)</f>
        <v>0</v>
      </c>
      <c r="BX125" s="33" t="n">
        <f aca="false">MAX(0,-BX123)</f>
        <v>0</v>
      </c>
      <c r="BY125" s="33" t="n">
        <f aca="false">MAX(0,-BY123)</f>
        <v>0</v>
      </c>
      <c r="BZ125" s="33" t="n">
        <f aca="false">MAX(0,-BZ123)</f>
        <v>0</v>
      </c>
      <c r="CA125" s="33" t="n">
        <f aca="false">MAX(0,-CA123)</f>
        <v>0</v>
      </c>
      <c r="CB125" s="33" t="n">
        <f aca="false">MAX(0,-CB123)</f>
        <v>0</v>
      </c>
      <c r="CC125" s="33" t="n">
        <f aca="false">MAX(0,-CC123)</f>
        <v>0</v>
      </c>
      <c r="CD125" s="33" t="n">
        <f aca="false">MAX(0,-CD123)</f>
        <v>0</v>
      </c>
      <c r="CE125" s="33" t="n">
        <f aca="false">MAX(0,-CE123)</f>
        <v>0</v>
      </c>
      <c r="CF125" s="33" t="n">
        <f aca="false">MAX(0,-CF123)</f>
        <v>0</v>
      </c>
      <c r="CG125" s="33" t="n">
        <f aca="false">MAX(0,-CG123)</f>
        <v>0</v>
      </c>
      <c r="CH125" s="33" t="n">
        <f aca="false">MAX(0,-CH123)</f>
        <v>0</v>
      </c>
      <c r="CI125" s="33" t="n">
        <f aca="false">MAX(0,-CI123)</f>
        <v>0</v>
      </c>
      <c r="CJ125" s="33" t="n">
        <f aca="false">MAX(0,-CJ123)</f>
        <v>0</v>
      </c>
      <c r="CK125" s="33" t="n">
        <f aca="false">MAX(0,-CK123)</f>
        <v>0</v>
      </c>
      <c r="CL125" s="33" t="n">
        <f aca="false">MAX(0,-CL123)</f>
        <v>0</v>
      </c>
      <c r="CM125" s="33" t="n">
        <f aca="false">MAX(0,-CM123)</f>
        <v>0</v>
      </c>
      <c r="CN125" s="33" t="n">
        <f aca="false">MAX(0,-CN123)</f>
        <v>0</v>
      </c>
      <c r="CO125" s="33" t="n">
        <f aca="false">MAX(0,-CO123)</f>
        <v>0</v>
      </c>
      <c r="CP125" s="33" t="n">
        <f aca="false">MAX(0,-CP123)</f>
        <v>0</v>
      </c>
      <c r="CQ125" s="33" t="n">
        <f aca="false">MAX(0,-CQ123)</f>
        <v>0</v>
      </c>
      <c r="CR125" s="33" t="n">
        <f aca="false">MAX(0,-CR123)</f>
        <v>0</v>
      </c>
      <c r="CS125" s="33" t="n">
        <f aca="false">MAX(0,-CS123)</f>
        <v>0</v>
      </c>
      <c r="CT125" s="33" t="n">
        <f aca="false">MAX(0,-CT123)</f>
        <v>0</v>
      </c>
      <c r="CU125" s="33" t="n">
        <f aca="false">MAX(0,-CU123)</f>
        <v>0</v>
      </c>
      <c r="CV125" s="33" t="n">
        <f aca="false">MAX(0,-CV123)</f>
        <v>0</v>
      </c>
      <c r="CW125" s="33" t="n">
        <f aca="false">MAX(0,-CW123)</f>
        <v>0</v>
      </c>
      <c r="CX125" s="33" t="n">
        <f aca="false">MAX(0,-CX123)</f>
        <v>0</v>
      </c>
      <c r="CY125" s="33" t="n">
        <f aca="false">MAX(0,-CY123)</f>
        <v>0</v>
      </c>
      <c r="CZ125" s="33" t="n">
        <f aca="false">MAX(0,-CZ123)</f>
        <v>0</v>
      </c>
      <c r="DA125" s="33" t="n">
        <f aca="false">MAX(0,-DA123)</f>
        <v>0</v>
      </c>
      <c r="DB125" s="33" t="n">
        <f aca="false">MAX(0,-DB123)</f>
        <v>0</v>
      </c>
      <c r="DC125" s="33" t="n">
        <f aca="false">MAX(0,-DC123)</f>
        <v>0</v>
      </c>
      <c r="DD125" s="33" t="n">
        <f aca="false">MAX(0,-DD123)</f>
        <v>0</v>
      </c>
      <c r="DE125" s="33" t="n">
        <f aca="false">MAX(0,-DE123)</f>
        <v>0</v>
      </c>
      <c r="DF125" s="33" t="n">
        <f aca="false">MAX(0,-DF123)</f>
        <v>0</v>
      </c>
      <c r="DG125" s="33" t="n">
        <f aca="false">MAX(0,-DG123)</f>
        <v>0</v>
      </c>
      <c r="DH125" s="33" t="n">
        <f aca="false">MAX(0,-DH123)</f>
        <v>0</v>
      </c>
      <c r="DI125" s="33" t="n">
        <f aca="false">MAX(0,-DI123)</f>
        <v>0</v>
      </c>
      <c r="DJ125" s="33" t="n">
        <f aca="false">MAX(0,-DJ123)</f>
        <v>0</v>
      </c>
      <c r="DK125" s="33" t="n">
        <f aca="false">MAX(0,-DK123)</f>
        <v>0</v>
      </c>
      <c r="DL125" s="33" t="n">
        <f aca="false">MAX(0,-DL123)</f>
        <v>0</v>
      </c>
      <c r="DM125" s="33" t="n">
        <f aca="false">MAX(0,-DM123)</f>
        <v>0</v>
      </c>
      <c r="DN125" s="33" t="n">
        <f aca="false">MAX(0,-DN123)</f>
        <v>0</v>
      </c>
      <c r="DO125" s="33" t="n">
        <f aca="false">MAX(0,-DO123)</f>
        <v>0</v>
      </c>
      <c r="DP125" s="33" t="n">
        <f aca="false">MAX(0,-DP123)</f>
        <v>0</v>
      </c>
      <c r="DQ125" s="33" t="n">
        <f aca="false">MAX(0,-DQ123)</f>
        <v>0</v>
      </c>
      <c r="DR125" s="33" t="n">
        <f aca="false">MAX(0,-DR123)</f>
        <v>0</v>
      </c>
      <c r="DS125" s="33" t="n">
        <f aca="false">MAX(0,-DS123)</f>
        <v>0</v>
      </c>
      <c r="DT125" s="33" t="n">
        <f aca="false">MAX(0,-DT123)</f>
        <v>0</v>
      </c>
      <c r="DU125" s="33" t="n">
        <f aca="false">MAX(0,-DU123)</f>
        <v>0</v>
      </c>
      <c r="DV125" s="33" t="n">
        <f aca="false">MAX(0,-DV123)</f>
        <v>0</v>
      </c>
      <c r="DW125" s="33" t="n">
        <f aca="false">MAX(0,-DW123)</f>
        <v>0</v>
      </c>
      <c r="DX125" s="33" t="n">
        <f aca="false">MAX(0,-DX123)</f>
        <v>0</v>
      </c>
      <c r="DY125" s="33" t="n">
        <f aca="false">MAX(0,-DY123)</f>
        <v>0</v>
      </c>
      <c r="DZ125" s="33" t="n">
        <f aca="false">MAX(0,-DZ123)</f>
        <v>0</v>
      </c>
      <c r="EA125" s="33" t="n">
        <f aca="false">MAX(0,-EA123)</f>
        <v>0</v>
      </c>
      <c r="EB125" s="33" t="n">
        <f aca="false">MAX(0,-EB123)</f>
        <v>0</v>
      </c>
      <c r="EC125" s="33" t="n">
        <f aca="false">MAX(0,-EC123)</f>
        <v>0</v>
      </c>
      <c r="ED125" s="33" t="n">
        <f aca="false">MAX(0,-ED123)</f>
        <v>0</v>
      </c>
      <c r="EE125" s="33" t="n">
        <f aca="false">MAX(0,-EE123)</f>
        <v>0</v>
      </c>
      <c r="EF125" s="33" t="n">
        <f aca="false">MAX(0,-EF123)</f>
        <v>0</v>
      </c>
      <c r="EG125" s="33" t="n">
        <f aca="false">MAX(0,-EG123)</f>
        <v>0</v>
      </c>
      <c r="EH125" s="33" t="n">
        <f aca="false">MAX(0,-EH123)</f>
        <v>0</v>
      </c>
      <c r="EI125" s="33" t="n">
        <f aca="false">MAX(0,-EI123)</f>
        <v>0</v>
      </c>
      <c r="EJ125" s="33" t="n">
        <f aca="false">MAX(0,-EJ123)</f>
        <v>0</v>
      </c>
      <c r="EK125" s="33" t="n">
        <f aca="false">MAX(0,-EK123)</f>
        <v>0</v>
      </c>
      <c r="EL125" s="33" t="n">
        <f aca="false">MAX(0,-EL123)</f>
        <v>0</v>
      </c>
      <c r="EM125" s="33" t="n">
        <f aca="false">MAX(0,-EM123)</f>
        <v>0</v>
      </c>
      <c r="EN125" s="33" t="n">
        <f aca="false">MAX(0,-EN123)</f>
        <v>0</v>
      </c>
      <c r="EO125" s="33" t="n">
        <f aca="false">MAX(0,-EO123)</f>
        <v>0</v>
      </c>
      <c r="EP125" s="33" t="n">
        <f aca="false">MAX(0,-EP123)</f>
        <v>0</v>
      </c>
      <c r="EQ125" s="33" t="n">
        <f aca="false">MAX(0,-EQ123)</f>
        <v>0</v>
      </c>
      <c r="ER125" s="33" t="n">
        <f aca="false">MAX(0,-ER123)</f>
        <v>0</v>
      </c>
      <c r="ES125" s="33" t="n">
        <f aca="false">MAX(0,-ES123)</f>
        <v>0</v>
      </c>
      <c r="ET125" s="33" t="n">
        <f aca="false">MAX(0,-ET123)</f>
        <v>0</v>
      </c>
    </row>
    <row r="126" customFormat="false" ht="15" hidden="false" customHeight="false" outlineLevel="0" collapsed="false">
      <c r="C126" s="0" t="s">
        <v>569</v>
      </c>
      <c r="D126" s="11" t="s">
        <v>247</v>
      </c>
      <c r="I126" s="33" t="n">
        <f aca="false">SUM(J126:ET126)</f>
        <v>-6364.50608260992</v>
      </c>
      <c r="J126" s="33" t="n">
        <f aca="false">-MIN(J124,MAX(0,J123))</f>
        <v>-0</v>
      </c>
      <c r="K126" s="33" t="n">
        <f aca="false">-MIN(K124,MAX(0,K123))</f>
        <v>-0</v>
      </c>
      <c r="L126" s="33" t="n">
        <f aca="false">-MIN(L124,MAX(0,L123))</f>
        <v>-0</v>
      </c>
      <c r="M126" s="33" t="n">
        <f aca="false">-MIN(M124,MAX(0,M123))</f>
        <v>-0</v>
      </c>
      <c r="N126" s="33" t="n">
        <f aca="false">-MIN(N124,MAX(0,N123))</f>
        <v>-0</v>
      </c>
      <c r="O126" s="33" t="n">
        <f aca="false">-MIN(O124,MAX(0,O123))</f>
        <v>-0</v>
      </c>
      <c r="P126" s="33" t="n">
        <f aca="false">-MIN(P124,MAX(0,P123))</f>
        <v>-0</v>
      </c>
      <c r="Q126" s="33" t="n">
        <f aca="false">-MIN(Q124,MAX(0,Q123))</f>
        <v>-0</v>
      </c>
      <c r="R126" s="33" t="n">
        <f aca="false">-MIN(R124,MAX(0,R123))</f>
        <v>-0</v>
      </c>
      <c r="S126" s="33" t="n">
        <f aca="false">-MIN(S124,MAX(0,S123))</f>
        <v>-0</v>
      </c>
      <c r="T126" s="33" t="n">
        <f aca="false">-MIN(T124,MAX(0,T123))</f>
        <v>-0</v>
      </c>
      <c r="U126" s="33" t="n">
        <f aca="false">-MIN(U124,MAX(0,U123))</f>
        <v>-0</v>
      </c>
      <c r="V126" s="33" t="n">
        <f aca="false">-MIN(V124,MAX(0,V123))</f>
        <v>-0</v>
      </c>
      <c r="W126" s="33" t="n">
        <f aca="false">-MIN(W124,MAX(0,W123))</f>
        <v>-0</v>
      </c>
      <c r="X126" s="33" t="n">
        <f aca="false">-MIN(X124,MAX(0,X123))</f>
        <v>-0</v>
      </c>
      <c r="Y126" s="33" t="n">
        <f aca="false">-MIN(Y124,MAX(0,Y123))</f>
        <v>-0</v>
      </c>
      <c r="Z126" s="33" t="n">
        <f aca="false">-MIN(Z124,MAX(0,Z123))</f>
        <v>-0</v>
      </c>
      <c r="AA126" s="33" t="n">
        <f aca="false">-MIN(AA124,MAX(0,AA123))</f>
        <v>-0</v>
      </c>
      <c r="AB126" s="33" t="n">
        <f aca="false">-MIN(AB124,MAX(0,AB123))</f>
        <v>-0</v>
      </c>
      <c r="AC126" s="33" t="n">
        <f aca="false">-MIN(AC124,MAX(0,AC123))</f>
        <v>-0</v>
      </c>
      <c r="AD126" s="33" t="n">
        <f aca="false">-MIN(AD124,MAX(0,AD123))</f>
        <v>-0</v>
      </c>
      <c r="AE126" s="33" t="n">
        <f aca="false">-MIN(AE124,MAX(0,AE123))</f>
        <v>-844.592147336478</v>
      </c>
      <c r="AF126" s="33" t="n">
        <f aca="false">-MIN(AF124,MAX(0,AF123))</f>
        <v>-873.754592434829</v>
      </c>
      <c r="AG126" s="33" t="n">
        <f aca="false">-MIN(AG124,MAX(0,AG123))</f>
        <v>-898.171621364089</v>
      </c>
      <c r="AH126" s="33" t="n">
        <f aca="false">-MIN(AH124,MAX(0,AH123))</f>
        <v>-945.875618690579</v>
      </c>
      <c r="AI126" s="33" t="n">
        <f aca="false">-MIN(AI124,MAX(0,AI123))</f>
        <v>-956.212854990103</v>
      </c>
      <c r="AJ126" s="33" t="n">
        <f aca="false">-MIN(AJ124,MAX(0,AJ123))</f>
        <v>-963.097413625111</v>
      </c>
      <c r="AK126" s="33" t="n">
        <f aca="false">-MIN(AK124,MAX(0,AK123))</f>
        <v>-882.801834168731</v>
      </c>
      <c r="AL126" s="33" t="n">
        <f aca="false">-MIN(AL124,MAX(0,AL123))</f>
        <v>-0</v>
      </c>
      <c r="AM126" s="33" t="n">
        <f aca="false">-MIN(AM124,MAX(0,AM123))</f>
        <v>-0</v>
      </c>
      <c r="AN126" s="33" t="n">
        <f aca="false">-MIN(AN124,MAX(0,AN123))</f>
        <v>-0</v>
      </c>
      <c r="AO126" s="33" t="n">
        <f aca="false">-MIN(AO124,MAX(0,AO123))</f>
        <v>-0</v>
      </c>
      <c r="AP126" s="33" t="n">
        <f aca="false">-MIN(AP124,MAX(0,AP123))</f>
        <v>-0</v>
      </c>
      <c r="AQ126" s="33" t="n">
        <f aca="false">-MIN(AQ124,MAX(0,AQ123))</f>
        <v>-0</v>
      </c>
      <c r="AR126" s="33" t="n">
        <f aca="false">-MIN(AR124,MAX(0,AR123))</f>
        <v>-0</v>
      </c>
      <c r="AS126" s="33" t="n">
        <f aca="false">-MIN(AS124,MAX(0,AS123))</f>
        <v>-0</v>
      </c>
      <c r="AT126" s="33" t="n">
        <f aca="false">-MIN(AT124,MAX(0,AT123))</f>
        <v>-0</v>
      </c>
      <c r="AU126" s="33" t="n">
        <f aca="false">-MIN(AU124,MAX(0,AU123))</f>
        <v>-0</v>
      </c>
      <c r="AV126" s="33" t="n">
        <f aca="false">-MIN(AV124,MAX(0,AV123))</f>
        <v>-0</v>
      </c>
      <c r="AW126" s="33" t="n">
        <f aca="false">-MIN(AW124,MAX(0,AW123))</f>
        <v>-0</v>
      </c>
      <c r="AX126" s="33" t="n">
        <f aca="false">-MIN(AX124,MAX(0,AX123))</f>
        <v>-0</v>
      </c>
      <c r="AY126" s="33" t="n">
        <f aca="false">-MIN(AY124,MAX(0,AY123))</f>
        <v>-0</v>
      </c>
      <c r="AZ126" s="33" t="n">
        <f aca="false">-MIN(AZ124,MAX(0,AZ123))</f>
        <v>-0</v>
      </c>
      <c r="BA126" s="33" t="n">
        <f aca="false">-MIN(BA124,MAX(0,BA123))</f>
        <v>-0</v>
      </c>
      <c r="BB126" s="33" t="n">
        <f aca="false">-MIN(BB124,MAX(0,BB123))</f>
        <v>-0</v>
      </c>
      <c r="BC126" s="33" t="n">
        <f aca="false">-MIN(BC124,MAX(0,BC123))</f>
        <v>-0</v>
      </c>
      <c r="BD126" s="33" t="n">
        <f aca="false">-MIN(BD124,MAX(0,BD123))</f>
        <v>-0</v>
      </c>
      <c r="BE126" s="33" t="n">
        <f aca="false">-MIN(BE124,MAX(0,BE123))</f>
        <v>-0</v>
      </c>
      <c r="BF126" s="33" t="n">
        <f aca="false">-MIN(BF124,MAX(0,BF123))</f>
        <v>-0</v>
      </c>
      <c r="BG126" s="33" t="n">
        <f aca="false">-MIN(BG124,MAX(0,BG123))</f>
        <v>-0</v>
      </c>
      <c r="BH126" s="33" t="n">
        <f aca="false">-MIN(BH124,MAX(0,BH123))</f>
        <v>-0</v>
      </c>
      <c r="BI126" s="33" t="n">
        <f aca="false">-MIN(BI124,MAX(0,BI123))</f>
        <v>-0</v>
      </c>
      <c r="BJ126" s="33" t="n">
        <f aca="false">-MIN(BJ124,MAX(0,BJ123))</f>
        <v>-0</v>
      </c>
      <c r="BK126" s="33" t="n">
        <f aca="false">-MIN(BK124,MAX(0,BK123))</f>
        <v>-0</v>
      </c>
      <c r="BL126" s="33" t="n">
        <f aca="false">-MIN(BL124,MAX(0,BL123))</f>
        <v>-0</v>
      </c>
      <c r="BM126" s="33" t="n">
        <f aca="false">-MIN(BM124,MAX(0,BM123))</f>
        <v>-0</v>
      </c>
      <c r="BN126" s="33" t="n">
        <f aca="false">-MIN(BN124,MAX(0,BN123))</f>
        <v>-0</v>
      </c>
      <c r="BO126" s="33" t="n">
        <f aca="false">-MIN(BO124,MAX(0,BO123))</f>
        <v>-0</v>
      </c>
      <c r="BP126" s="33" t="n">
        <f aca="false">-MIN(BP124,MAX(0,BP123))</f>
        <v>-0</v>
      </c>
      <c r="BQ126" s="33" t="n">
        <f aca="false">-MIN(BQ124,MAX(0,BQ123))</f>
        <v>-0</v>
      </c>
      <c r="BR126" s="33" t="n">
        <f aca="false">-MIN(BR124,MAX(0,BR123))</f>
        <v>-0</v>
      </c>
      <c r="BS126" s="33" t="n">
        <f aca="false">-MIN(BS124,MAX(0,BS123))</f>
        <v>-0</v>
      </c>
      <c r="BT126" s="33" t="n">
        <f aca="false">-MIN(BT124,MAX(0,BT123))</f>
        <v>-0</v>
      </c>
      <c r="BU126" s="33" t="n">
        <f aca="false">-MIN(BU124,MAX(0,BU123))</f>
        <v>-0</v>
      </c>
      <c r="BV126" s="33" t="n">
        <f aca="false">-MIN(BV124,MAX(0,BV123))</f>
        <v>-0</v>
      </c>
      <c r="BW126" s="33" t="n">
        <f aca="false">-MIN(BW124,MAX(0,BW123))</f>
        <v>-0</v>
      </c>
      <c r="BX126" s="33" t="n">
        <f aca="false">-MIN(BX124,MAX(0,BX123))</f>
        <v>-0</v>
      </c>
      <c r="BY126" s="33" t="n">
        <f aca="false">-MIN(BY124,MAX(0,BY123))</f>
        <v>-0</v>
      </c>
      <c r="BZ126" s="33" t="n">
        <f aca="false">-MIN(BZ124,MAX(0,BZ123))</f>
        <v>-0</v>
      </c>
      <c r="CA126" s="33" t="n">
        <f aca="false">-MIN(CA124,MAX(0,CA123))</f>
        <v>-0</v>
      </c>
      <c r="CB126" s="33" t="n">
        <f aca="false">-MIN(CB124,MAX(0,CB123))</f>
        <v>-0</v>
      </c>
      <c r="CC126" s="33" t="n">
        <f aca="false">-MIN(CC124,MAX(0,CC123))</f>
        <v>-0</v>
      </c>
      <c r="CD126" s="33" t="n">
        <f aca="false">-MIN(CD124,MAX(0,CD123))</f>
        <v>-0</v>
      </c>
      <c r="CE126" s="33" t="n">
        <f aca="false">-MIN(CE124,MAX(0,CE123))</f>
        <v>-0</v>
      </c>
      <c r="CF126" s="33" t="n">
        <f aca="false">-MIN(CF124,MAX(0,CF123))</f>
        <v>-0</v>
      </c>
      <c r="CG126" s="33" t="n">
        <f aca="false">-MIN(CG124,MAX(0,CG123))</f>
        <v>-0</v>
      </c>
      <c r="CH126" s="33" t="n">
        <f aca="false">-MIN(CH124,MAX(0,CH123))</f>
        <v>-0</v>
      </c>
      <c r="CI126" s="33" t="n">
        <f aca="false">-MIN(CI124,MAX(0,CI123))</f>
        <v>-0</v>
      </c>
      <c r="CJ126" s="33" t="n">
        <f aca="false">-MIN(CJ124,MAX(0,CJ123))</f>
        <v>-0</v>
      </c>
      <c r="CK126" s="33" t="n">
        <f aca="false">-MIN(CK124,MAX(0,CK123))</f>
        <v>-0</v>
      </c>
      <c r="CL126" s="33" t="n">
        <f aca="false">-MIN(CL124,MAX(0,CL123))</f>
        <v>-0</v>
      </c>
      <c r="CM126" s="33" t="n">
        <f aca="false">-MIN(CM124,MAX(0,CM123))</f>
        <v>-0</v>
      </c>
      <c r="CN126" s="33" t="n">
        <f aca="false">-MIN(CN124,MAX(0,CN123))</f>
        <v>-0</v>
      </c>
      <c r="CO126" s="33" t="n">
        <f aca="false">-MIN(CO124,MAX(0,CO123))</f>
        <v>-0</v>
      </c>
      <c r="CP126" s="33" t="n">
        <f aca="false">-MIN(CP124,MAX(0,CP123))</f>
        <v>-0</v>
      </c>
      <c r="CQ126" s="33" t="n">
        <f aca="false">-MIN(CQ124,MAX(0,CQ123))</f>
        <v>-0</v>
      </c>
      <c r="CR126" s="33" t="n">
        <f aca="false">-MIN(CR124,MAX(0,CR123))</f>
        <v>-0</v>
      </c>
      <c r="CS126" s="33" t="n">
        <f aca="false">-MIN(CS124,MAX(0,CS123))</f>
        <v>-0</v>
      </c>
      <c r="CT126" s="33" t="n">
        <f aca="false">-MIN(CT124,MAX(0,CT123))</f>
        <v>-0</v>
      </c>
      <c r="CU126" s="33" t="n">
        <f aca="false">-MIN(CU124,MAX(0,CU123))</f>
        <v>-0</v>
      </c>
      <c r="CV126" s="33" t="n">
        <f aca="false">-MIN(CV124,MAX(0,CV123))</f>
        <v>-0</v>
      </c>
      <c r="CW126" s="33" t="n">
        <f aca="false">-MIN(CW124,MAX(0,CW123))</f>
        <v>-0</v>
      </c>
      <c r="CX126" s="33" t="n">
        <f aca="false">-MIN(CX124,MAX(0,CX123))</f>
        <v>-0</v>
      </c>
      <c r="CY126" s="33" t="n">
        <f aca="false">-MIN(CY124,MAX(0,CY123))</f>
        <v>-0</v>
      </c>
      <c r="CZ126" s="33" t="n">
        <f aca="false">-MIN(CZ124,MAX(0,CZ123))</f>
        <v>-0</v>
      </c>
      <c r="DA126" s="33" t="n">
        <f aca="false">-MIN(DA124,MAX(0,DA123))</f>
        <v>-0</v>
      </c>
      <c r="DB126" s="33" t="n">
        <f aca="false">-MIN(DB124,MAX(0,DB123))</f>
        <v>-0</v>
      </c>
      <c r="DC126" s="33" t="n">
        <f aca="false">-MIN(DC124,MAX(0,DC123))</f>
        <v>-0</v>
      </c>
      <c r="DD126" s="33" t="n">
        <f aca="false">-MIN(DD124,MAX(0,DD123))</f>
        <v>-0</v>
      </c>
      <c r="DE126" s="33" t="n">
        <f aca="false">-MIN(DE124,MAX(0,DE123))</f>
        <v>-0</v>
      </c>
      <c r="DF126" s="33" t="n">
        <f aca="false">-MIN(DF124,MAX(0,DF123))</f>
        <v>-0</v>
      </c>
      <c r="DG126" s="33" t="n">
        <f aca="false">-MIN(DG124,MAX(0,DG123))</f>
        <v>-0</v>
      </c>
      <c r="DH126" s="33" t="n">
        <f aca="false">-MIN(DH124,MAX(0,DH123))</f>
        <v>-0</v>
      </c>
      <c r="DI126" s="33" t="n">
        <f aca="false">-MIN(DI124,MAX(0,DI123))</f>
        <v>-0</v>
      </c>
      <c r="DJ126" s="33" t="n">
        <f aca="false">-MIN(DJ124,MAX(0,DJ123))</f>
        <v>-0</v>
      </c>
      <c r="DK126" s="33" t="n">
        <f aca="false">-MIN(DK124,MAX(0,DK123))</f>
        <v>-0</v>
      </c>
      <c r="DL126" s="33" t="n">
        <f aca="false">-MIN(DL124,MAX(0,DL123))</f>
        <v>-0</v>
      </c>
      <c r="DM126" s="33" t="n">
        <f aca="false">-MIN(DM124,MAX(0,DM123))</f>
        <v>-0</v>
      </c>
      <c r="DN126" s="33" t="n">
        <f aca="false">-MIN(DN124,MAX(0,DN123))</f>
        <v>-0</v>
      </c>
      <c r="DO126" s="33" t="n">
        <f aca="false">-MIN(DO124,MAX(0,DO123))</f>
        <v>-0</v>
      </c>
      <c r="DP126" s="33" t="n">
        <f aca="false">-MIN(DP124,MAX(0,DP123))</f>
        <v>-0</v>
      </c>
      <c r="DQ126" s="33" t="n">
        <f aca="false">-MIN(DQ124,MAX(0,DQ123))</f>
        <v>-0</v>
      </c>
      <c r="DR126" s="33" t="n">
        <f aca="false">-MIN(DR124,MAX(0,DR123))</f>
        <v>-0</v>
      </c>
      <c r="DS126" s="33" t="n">
        <f aca="false">-MIN(DS124,MAX(0,DS123))</f>
        <v>-0</v>
      </c>
      <c r="DT126" s="33" t="n">
        <f aca="false">-MIN(DT124,MAX(0,DT123))</f>
        <v>-0</v>
      </c>
      <c r="DU126" s="33" t="n">
        <f aca="false">-MIN(DU124,MAX(0,DU123))</f>
        <v>-0</v>
      </c>
      <c r="DV126" s="33" t="n">
        <f aca="false">-MIN(DV124,MAX(0,DV123))</f>
        <v>-0</v>
      </c>
      <c r="DW126" s="33" t="n">
        <f aca="false">-MIN(DW124,MAX(0,DW123))</f>
        <v>-0</v>
      </c>
      <c r="DX126" s="33" t="n">
        <f aca="false">-MIN(DX124,MAX(0,DX123))</f>
        <v>-0</v>
      </c>
      <c r="DY126" s="33" t="n">
        <f aca="false">-MIN(DY124,MAX(0,DY123))</f>
        <v>-0</v>
      </c>
      <c r="DZ126" s="33" t="n">
        <f aca="false">-MIN(DZ124,MAX(0,DZ123))</f>
        <v>-0</v>
      </c>
      <c r="EA126" s="33" t="n">
        <f aca="false">-MIN(EA124,MAX(0,EA123))</f>
        <v>-0</v>
      </c>
      <c r="EB126" s="33" t="n">
        <f aca="false">-MIN(EB124,MAX(0,EB123))</f>
        <v>-0</v>
      </c>
      <c r="EC126" s="33" t="n">
        <f aca="false">-MIN(EC124,MAX(0,EC123))</f>
        <v>-0</v>
      </c>
      <c r="ED126" s="33" t="n">
        <f aca="false">-MIN(ED124,MAX(0,ED123))</f>
        <v>-0</v>
      </c>
      <c r="EE126" s="33" t="n">
        <f aca="false">-MIN(EE124,MAX(0,EE123))</f>
        <v>-0</v>
      </c>
      <c r="EF126" s="33" t="n">
        <f aca="false">-MIN(EF124,MAX(0,EF123))</f>
        <v>-0</v>
      </c>
      <c r="EG126" s="33" t="n">
        <f aca="false">-MIN(EG124,MAX(0,EG123))</f>
        <v>-0</v>
      </c>
      <c r="EH126" s="33" t="n">
        <f aca="false">-MIN(EH124,MAX(0,EH123))</f>
        <v>-0</v>
      </c>
      <c r="EI126" s="33" t="n">
        <f aca="false">-MIN(EI124,MAX(0,EI123))</f>
        <v>-0</v>
      </c>
      <c r="EJ126" s="33" t="n">
        <f aca="false">-MIN(EJ124,MAX(0,EJ123))</f>
        <v>-0</v>
      </c>
      <c r="EK126" s="33" t="n">
        <f aca="false">-MIN(EK124,MAX(0,EK123))</f>
        <v>-0</v>
      </c>
      <c r="EL126" s="33" t="n">
        <f aca="false">-MIN(EL124,MAX(0,EL123))</f>
        <v>-0</v>
      </c>
      <c r="EM126" s="33" t="n">
        <f aca="false">-MIN(EM124,MAX(0,EM123))</f>
        <v>-0</v>
      </c>
      <c r="EN126" s="33" t="n">
        <f aca="false">-MIN(EN124,MAX(0,EN123))</f>
        <v>-0</v>
      </c>
      <c r="EO126" s="33" t="n">
        <f aca="false">-MIN(EO124,MAX(0,EO123))</f>
        <v>-0</v>
      </c>
      <c r="EP126" s="33" t="n">
        <f aca="false">-MIN(EP124,MAX(0,EP123))</f>
        <v>-0</v>
      </c>
      <c r="EQ126" s="33" t="n">
        <f aca="false">-MIN(EQ124,MAX(0,EQ123))</f>
        <v>-0</v>
      </c>
      <c r="ER126" s="33" t="n">
        <f aca="false">-MIN(ER124,MAX(0,ER123))</f>
        <v>-0</v>
      </c>
      <c r="ES126" s="33" t="n">
        <f aca="false">-MIN(ES124,MAX(0,ES123))</f>
        <v>-0</v>
      </c>
      <c r="ET126" s="33" t="n">
        <f aca="false">-MIN(ET124,MAX(0,ET123))</f>
        <v>-0</v>
      </c>
    </row>
    <row r="127" customFormat="false" ht="15" hidden="false" customHeight="false" outlineLevel="0" collapsed="false">
      <c r="C127" s="0" t="s">
        <v>570</v>
      </c>
      <c r="D127" s="11" t="s">
        <v>247</v>
      </c>
      <c r="I127" s="54"/>
      <c r="J127" s="33" t="n">
        <f aca="false">SUM(J124:J126)</f>
        <v>0</v>
      </c>
      <c r="K127" s="33" t="n">
        <f aca="false">SUM(K124:K126)</f>
        <v>178.520547945205</v>
      </c>
      <c r="L127" s="33" t="n">
        <f aca="false">SUM(L124:L126)</f>
        <v>766.965068493151</v>
      </c>
      <c r="M127" s="33" t="n">
        <f aca="false">SUM(M124:M126)</f>
        <v>810.800684931507</v>
      </c>
      <c r="N127" s="33" t="n">
        <f aca="false">SUM(N124:N126)</f>
        <v>854.636301369863</v>
      </c>
      <c r="O127" s="33" t="n">
        <f aca="false">SUM(O124:O126)</f>
        <v>1038.99794520548</v>
      </c>
      <c r="P127" s="33" t="n">
        <f aca="false">SUM(P124:P126)</f>
        <v>2329.03974000559</v>
      </c>
      <c r="Q127" s="33" t="n">
        <f aca="false">SUM(Q124:Q126)</f>
        <v>2333.64932904669</v>
      </c>
      <c r="R127" s="33" t="n">
        <f aca="false">SUM(R124:R126)</f>
        <v>2497.74083902712</v>
      </c>
      <c r="S127" s="33" t="n">
        <f aca="false">SUM(S124:S126)</f>
        <v>2814.96697772435</v>
      </c>
      <c r="T127" s="33" t="n">
        <f aca="false">SUM(T124:T126)</f>
        <v>3119.62451197093</v>
      </c>
      <c r="U127" s="33" t="n">
        <f aca="false">SUM(U124:U126)</f>
        <v>3119.62451197093</v>
      </c>
      <c r="V127" s="33" t="n">
        <f aca="false">SUM(V124:V126)</f>
        <v>3119.62451197093</v>
      </c>
      <c r="W127" s="33" t="n">
        <f aca="false">SUM(W124:W126)</f>
        <v>5074.63865062317</v>
      </c>
      <c r="X127" s="33" t="n">
        <f aca="false">SUM(X124:X126)</f>
        <v>5334.80891409552</v>
      </c>
      <c r="Y127" s="33" t="n">
        <f aca="false">SUM(Y124:Y126)</f>
        <v>5571.5693249929</v>
      </c>
      <c r="Z127" s="33" t="n">
        <f aca="false">SUM(Z124:Z126)</f>
        <v>5784.04640684983</v>
      </c>
      <c r="AA127" s="33" t="n">
        <f aca="false">SUM(AA124:AA126)</f>
        <v>5969.34295633999</v>
      </c>
      <c r="AB127" s="33" t="n">
        <f aca="false">SUM(AB124:AB126)</f>
        <v>6125.91608905738</v>
      </c>
      <c r="AC127" s="33" t="n">
        <f aca="false">SUM(AC124:AC126)</f>
        <v>6257.92828996918</v>
      </c>
      <c r="AD127" s="33" t="n">
        <f aca="false">SUM(AD124:AD126)</f>
        <v>6364.50608260992</v>
      </c>
      <c r="AE127" s="33" t="n">
        <f aca="false">SUM(AE124:AE126)</f>
        <v>5519.91393527344</v>
      </c>
      <c r="AF127" s="33" t="n">
        <f aca="false">SUM(AF124:AF126)</f>
        <v>4646.15934283861</v>
      </c>
      <c r="AG127" s="33" t="n">
        <f aca="false">SUM(AG124:AG126)</f>
        <v>3747.98772147452</v>
      </c>
      <c r="AH127" s="33" t="n">
        <f aca="false">SUM(AH124:AH126)</f>
        <v>2802.11210278394</v>
      </c>
      <c r="AI127" s="33" t="n">
        <f aca="false">SUM(AI124:AI126)</f>
        <v>1845.89924779384</v>
      </c>
      <c r="AJ127" s="33" t="n">
        <f aca="false">SUM(AJ124:AJ126)</f>
        <v>882.801834168731</v>
      </c>
      <c r="AK127" s="33" t="n">
        <f aca="false">SUM(AK124:AK126)</f>
        <v>0</v>
      </c>
      <c r="AL127" s="33" t="n">
        <f aca="false">SUM(AL124:AL126)</f>
        <v>0</v>
      </c>
      <c r="AM127" s="33" t="n">
        <f aca="false">SUM(AM124:AM126)</f>
        <v>0</v>
      </c>
      <c r="AN127" s="33" t="n">
        <f aca="false">SUM(AN124:AN126)</f>
        <v>0</v>
      </c>
      <c r="AO127" s="33" t="n">
        <f aca="false">SUM(AO124:AO126)</f>
        <v>0</v>
      </c>
      <c r="AP127" s="33" t="n">
        <f aca="false">SUM(AP124:AP126)</f>
        <v>0</v>
      </c>
      <c r="AQ127" s="33" t="n">
        <f aca="false">SUM(AQ124:AQ126)</f>
        <v>0</v>
      </c>
      <c r="AR127" s="33" t="n">
        <f aca="false">SUM(AR124:AR126)</f>
        <v>0</v>
      </c>
      <c r="AS127" s="33" t="n">
        <f aca="false">SUM(AS124:AS126)</f>
        <v>0</v>
      </c>
      <c r="AT127" s="33" t="n">
        <f aca="false">SUM(AT124:AT126)</f>
        <v>0</v>
      </c>
      <c r="AU127" s="33" t="n">
        <f aca="false">SUM(AU124:AU126)</f>
        <v>0</v>
      </c>
      <c r="AV127" s="33" t="n">
        <f aca="false">SUM(AV124:AV126)</f>
        <v>0</v>
      </c>
      <c r="AW127" s="33" t="n">
        <f aca="false">SUM(AW124:AW126)</f>
        <v>0</v>
      </c>
      <c r="AX127" s="33" t="n">
        <f aca="false">SUM(AX124:AX126)</f>
        <v>0</v>
      </c>
      <c r="AY127" s="33" t="n">
        <f aca="false">SUM(AY124:AY126)</f>
        <v>0</v>
      </c>
      <c r="AZ127" s="33" t="n">
        <f aca="false">SUM(AZ124:AZ126)</f>
        <v>0</v>
      </c>
      <c r="BA127" s="33" t="n">
        <f aca="false">SUM(BA124:BA126)</f>
        <v>0</v>
      </c>
      <c r="BB127" s="33" t="n">
        <f aca="false">SUM(BB124:BB126)</f>
        <v>0</v>
      </c>
      <c r="BC127" s="33" t="n">
        <f aca="false">SUM(BC124:BC126)</f>
        <v>0</v>
      </c>
      <c r="BD127" s="33" t="n">
        <f aca="false">SUM(BD124:BD126)</f>
        <v>0</v>
      </c>
      <c r="BE127" s="33" t="n">
        <f aca="false">SUM(BE124:BE126)</f>
        <v>0</v>
      </c>
      <c r="BF127" s="33" t="n">
        <f aca="false">SUM(BF124:BF126)</f>
        <v>0</v>
      </c>
      <c r="BG127" s="33" t="n">
        <f aca="false">SUM(BG124:BG126)</f>
        <v>0</v>
      </c>
      <c r="BH127" s="33" t="n">
        <f aca="false">SUM(BH124:BH126)</f>
        <v>0</v>
      </c>
      <c r="BI127" s="33" t="n">
        <f aca="false">SUM(BI124:BI126)</f>
        <v>0</v>
      </c>
      <c r="BJ127" s="33" t="n">
        <f aca="false">SUM(BJ124:BJ126)</f>
        <v>0</v>
      </c>
      <c r="BK127" s="33" t="n">
        <f aca="false">SUM(BK124:BK126)</f>
        <v>0</v>
      </c>
      <c r="BL127" s="33" t="n">
        <f aca="false">SUM(BL124:BL126)</f>
        <v>0</v>
      </c>
      <c r="BM127" s="33" t="n">
        <f aca="false">SUM(BM124:BM126)</f>
        <v>0</v>
      </c>
      <c r="BN127" s="33" t="n">
        <f aca="false">SUM(BN124:BN126)</f>
        <v>0</v>
      </c>
      <c r="BO127" s="33" t="n">
        <f aca="false">SUM(BO124:BO126)</f>
        <v>0</v>
      </c>
      <c r="BP127" s="33" t="n">
        <f aca="false">SUM(BP124:BP126)</f>
        <v>0</v>
      </c>
      <c r="BQ127" s="33" t="n">
        <f aca="false">SUM(BQ124:BQ126)</f>
        <v>0</v>
      </c>
      <c r="BR127" s="33" t="n">
        <f aca="false">SUM(BR124:BR126)</f>
        <v>0</v>
      </c>
      <c r="BS127" s="33" t="n">
        <f aca="false">SUM(BS124:BS126)</f>
        <v>0</v>
      </c>
      <c r="BT127" s="33" t="n">
        <f aca="false">SUM(BT124:BT126)</f>
        <v>0</v>
      </c>
      <c r="BU127" s="33" t="n">
        <f aca="false">SUM(BU124:BU126)</f>
        <v>0</v>
      </c>
      <c r="BV127" s="33" t="n">
        <f aca="false">SUM(BV124:BV126)</f>
        <v>0</v>
      </c>
      <c r="BW127" s="33" t="n">
        <f aca="false">SUM(BW124:BW126)</f>
        <v>0</v>
      </c>
      <c r="BX127" s="33" t="n">
        <f aca="false">SUM(BX124:BX126)</f>
        <v>0</v>
      </c>
      <c r="BY127" s="33" t="n">
        <f aca="false">SUM(BY124:BY126)</f>
        <v>0</v>
      </c>
      <c r="BZ127" s="33" t="n">
        <f aca="false">SUM(BZ124:BZ126)</f>
        <v>0</v>
      </c>
      <c r="CA127" s="33" t="n">
        <f aca="false">SUM(CA124:CA126)</f>
        <v>0</v>
      </c>
      <c r="CB127" s="33" t="n">
        <f aca="false">SUM(CB124:CB126)</f>
        <v>0</v>
      </c>
      <c r="CC127" s="33" t="n">
        <f aca="false">SUM(CC124:CC126)</f>
        <v>0</v>
      </c>
      <c r="CD127" s="33" t="n">
        <f aca="false">SUM(CD124:CD126)</f>
        <v>0</v>
      </c>
      <c r="CE127" s="33" t="n">
        <f aca="false">SUM(CE124:CE126)</f>
        <v>0</v>
      </c>
      <c r="CF127" s="33" t="n">
        <f aca="false">SUM(CF124:CF126)</f>
        <v>0</v>
      </c>
      <c r="CG127" s="33" t="n">
        <f aca="false">SUM(CG124:CG126)</f>
        <v>0</v>
      </c>
      <c r="CH127" s="33" t="n">
        <f aca="false">SUM(CH124:CH126)</f>
        <v>0</v>
      </c>
      <c r="CI127" s="33" t="n">
        <f aca="false">SUM(CI124:CI126)</f>
        <v>0</v>
      </c>
      <c r="CJ127" s="33" t="n">
        <f aca="false">SUM(CJ124:CJ126)</f>
        <v>0</v>
      </c>
      <c r="CK127" s="33" t="n">
        <f aca="false">SUM(CK124:CK126)</f>
        <v>0</v>
      </c>
      <c r="CL127" s="33" t="n">
        <f aca="false">SUM(CL124:CL126)</f>
        <v>0</v>
      </c>
      <c r="CM127" s="33" t="n">
        <f aca="false">SUM(CM124:CM126)</f>
        <v>0</v>
      </c>
      <c r="CN127" s="33" t="n">
        <f aca="false">SUM(CN124:CN126)</f>
        <v>0</v>
      </c>
      <c r="CO127" s="33" t="n">
        <f aca="false">SUM(CO124:CO126)</f>
        <v>0</v>
      </c>
      <c r="CP127" s="33" t="n">
        <f aca="false">SUM(CP124:CP126)</f>
        <v>0</v>
      </c>
      <c r="CQ127" s="33" t="n">
        <f aca="false">SUM(CQ124:CQ126)</f>
        <v>0</v>
      </c>
      <c r="CR127" s="33" t="n">
        <f aca="false">SUM(CR124:CR126)</f>
        <v>0</v>
      </c>
      <c r="CS127" s="33" t="n">
        <f aca="false">SUM(CS124:CS126)</f>
        <v>0</v>
      </c>
      <c r="CT127" s="33" t="n">
        <f aca="false">SUM(CT124:CT126)</f>
        <v>0</v>
      </c>
      <c r="CU127" s="33" t="n">
        <f aca="false">SUM(CU124:CU126)</f>
        <v>0</v>
      </c>
      <c r="CV127" s="33" t="n">
        <f aca="false">SUM(CV124:CV126)</f>
        <v>0</v>
      </c>
      <c r="CW127" s="33" t="n">
        <f aca="false">SUM(CW124:CW126)</f>
        <v>0</v>
      </c>
      <c r="CX127" s="33" t="n">
        <f aca="false">SUM(CX124:CX126)</f>
        <v>0</v>
      </c>
      <c r="CY127" s="33" t="n">
        <f aca="false">SUM(CY124:CY126)</f>
        <v>0</v>
      </c>
      <c r="CZ127" s="33" t="n">
        <f aca="false">SUM(CZ124:CZ126)</f>
        <v>0</v>
      </c>
      <c r="DA127" s="33" t="n">
        <f aca="false">SUM(DA124:DA126)</f>
        <v>0</v>
      </c>
      <c r="DB127" s="33" t="n">
        <f aca="false">SUM(DB124:DB126)</f>
        <v>0</v>
      </c>
      <c r="DC127" s="33" t="n">
        <f aca="false">SUM(DC124:DC126)</f>
        <v>0</v>
      </c>
      <c r="DD127" s="33" t="n">
        <f aca="false">SUM(DD124:DD126)</f>
        <v>0</v>
      </c>
      <c r="DE127" s="33" t="n">
        <f aca="false">SUM(DE124:DE126)</f>
        <v>0</v>
      </c>
      <c r="DF127" s="33" t="n">
        <f aca="false">SUM(DF124:DF126)</f>
        <v>0</v>
      </c>
      <c r="DG127" s="33" t="n">
        <f aca="false">SUM(DG124:DG126)</f>
        <v>0</v>
      </c>
      <c r="DH127" s="33" t="n">
        <f aca="false">SUM(DH124:DH126)</f>
        <v>0</v>
      </c>
      <c r="DI127" s="33" t="n">
        <f aca="false">SUM(DI124:DI126)</f>
        <v>0</v>
      </c>
      <c r="DJ127" s="33" t="n">
        <f aca="false">SUM(DJ124:DJ126)</f>
        <v>0</v>
      </c>
      <c r="DK127" s="33" t="n">
        <f aca="false">SUM(DK124:DK126)</f>
        <v>0</v>
      </c>
      <c r="DL127" s="33" t="n">
        <f aca="false">SUM(DL124:DL126)</f>
        <v>0</v>
      </c>
      <c r="DM127" s="33" t="n">
        <f aca="false">SUM(DM124:DM126)</f>
        <v>0</v>
      </c>
      <c r="DN127" s="33" t="n">
        <f aca="false">SUM(DN124:DN126)</f>
        <v>0</v>
      </c>
      <c r="DO127" s="33" t="n">
        <f aca="false">SUM(DO124:DO126)</f>
        <v>0</v>
      </c>
      <c r="DP127" s="33" t="n">
        <f aca="false">SUM(DP124:DP126)</f>
        <v>0</v>
      </c>
      <c r="DQ127" s="33" t="n">
        <f aca="false">SUM(DQ124:DQ126)</f>
        <v>0</v>
      </c>
      <c r="DR127" s="33" t="n">
        <f aca="false">SUM(DR124:DR126)</f>
        <v>0</v>
      </c>
      <c r="DS127" s="33" t="n">
        <f aca="false">SUM(DS124:DS126)</f>
        <v>0</v>
      </c>
      <c r="DT127" s="33" t="n">
        <f aca="false">SUM(DT124:DT126)</f>
        <v>0</v>
      </c>
      <c r="DU127" s="33" t="n">
        <f aca="false">SUM(DU124:DU126)</f>
        <v>0</v>
      </c>
      <c r="DV127" s="33" t="n">
        <f aca="false">SUM(DV124:DV126)</f>
        <v>0</v>
      </c>
      <c r="DW127" s="33" t="n">
        <f aca="false">SUM(DW124:DW126)</f>
        <v>0</v>
      </c>
      <c r="DX127" s="33" t="n">
        <f aca="false">SUM(DX124:DX126)</f>
        <v>0</v>
      </c>
      <c r="DY127" s="33" t="n">
        <f aca="false">SUM(DY124:DY126)</f>
        <v>0</v>
      </c>
      <c r="DZ127" s="33" t="n">
        <f aca="false">SUM(DZ124:DZ126)</f>
        <v>0</v>
      </c>
      <c r="EA127" s="33" t="n">
        <f aca="false">SUM(EA124:EA126)</f>
        <v>0</v>
      </c>
      <c r="EB127" s="33" t="n">
        <f aca="false">SUM(EB124:EB126)</f>
        <v>0</v>
      </c>
      <c r="EC127" s="33" t="n">
        <f aca="false">SUM(EC124:EC126)</f>
        <v>0</v>
      </c>
      <c r="ED127" s="33" t="n">
        <f aca="false">SUM(ED124:ED126)</f>
        <v>0</v>
      </c>
      <c r="EE127" s="33" t="n">
        <f aca="false">SUM(EE124:EE126)</f>
        <v>0</v>
      </c>
      <c r="EF127" s="33" t="n">
        <f aca="false">SUM(EF124:EF126)</f>
        <v>0</v>
      </c>
      <c r="EG127" s="33" t="n">
        <f aca="false">SUM(EG124:EG126)</f>
        <v>0</v>
      </c>
      <c r="EH127" s="33" t="n">
        <f aca="false">SUM(EH124:EH126)</f>
        <v>0</v>
      </c>
      <c r="EI127" s="33" t="n">
        <f aca="false">SUM(EI124:EI126)</f>
        <v>0</v>
      </c>
      <c r="EJ127" s="33" t="n">
        <f aca="false">SUM(EJ124:EJ126)</f>
        <v>0</v>
      </c>
      <c r="EK127" s="33" t="n">
        <f aca="false">SUM(EK124:EK126)</f>
        <v>0</v>
      </c>
      <c r="EL127" s="33" t="n">
        <f aca="false">SUM(EL124:EL126)</f>
        <v>0</v>
      </c>
      <c r="EM127" s="33" t="n">
        <f aca="false">SUM(EM124:EM126)</f>
        <v>0</v>
      </c>
      <c r="EN127" s="33" t="n">
        <f aca="false">SUM(EN124:EN126)</f>
        <v>0</v>
      </c>
      <c r="EO127" s="33" t="n">
        <f aca="false">SUM(EO124:EO126)</f>
        <v>0</v>
      </c>
      <c r="EP127" s="33" t="n">
        <f aca="false">SUM(EP124:EP126)</f>
        <v>0</v>
      </c>
      <c r="EQ127" s="33" t="n">
        <f aca="false">SUM(EQ124:EQ126)</f>
        <v>0</v>
      </c>
      <c r="ER127" s="33" t="n">
        <f aca="false">SUM(ER124:ER126)</f>
        <v>0</v>
      </c>
      <c r="ES127" s="33" t="n">
        <f aca="false">SUM(ES124:ES126)</f>
        <v>0</v>
      </c>
      <c r="ET127" s="33" t="n">
        <f aca="false">SUM(ET124:ET126)</f>
        <v>0</v>
      </c>
    </row>
    <row r="128" customFormat="false" ht="15" hidden="false" customHeight="false" outlineLevel="0" collapsed="false">
      <c r="C128" s="30" t="s">
        <v>244</v>
      </c>
      <c r="D128" s="11" t="s">
        <v>247</v>
      </c>
      <c r="I128" s="35" t="n">
        <f aca="false">SUM(J128:ET128)</f>
        <v>-28323.9656639994</v>
      </c>
      <c r="J128" s="35" t="n">
        <f aca="false">-In_CIT*(MAX(0,J123)+J126)</f>
        <v>-0</v>
      </c>
      <c r="K128" s="35" t="n">
        <f aca="false">-In_CIT*(MAX(0,K123)+K126)</f>
        <v>-0</v>
      </c>
      <c r="L128" s="35" t="n">
        <f aca="false">-In_CIT*(MAX(0,L123)+L126)</f>
        <v>-0</v>
      </c>
      <c r="M128" s="35" t="n">
        <f aca="false">-In_CIT*(MAX(0,M123)+M126)</f>
        <v>-0</v>
      </c>
      <c r="N128" s="35" t="n">
        <f aca="false">-In_CIT*(MAX(0,N123)+N126)</f>
        <v>-0</v>
      </c>
      <c r="O128" s="35" t="n">
        <f aca="false">-In_CIT*(MAX(0,O123)+O126)</f>
        <v>-0</v>
      </c>
      <c r="P128" s="35" t="n">
        <f aca="false">-In_CIT*(MAX(0,P123)+P126)</f>
        <v>-0</v>
      </c>
      <c r="Q128" s="35" t="n">
        <f aca="false">-In_CIT*(MAX(0,Q123)+Q126)</f>
        <v>-0</v>
      </c>
      <c r="R128" s="35" t="n">
        <f aca="false">-In_CIT*(MAX(0,R123)+R126)</f>
        <v>-0</v>
      </c>
      <c r="S128" s="35" t="n">
        <f aca="false">-In_CIT*(MAX(0,S123)+S126)</f>
        <v>-0</v>
      </c>
      <c r="T128" s="35" t="n">
        <f aca="false">-In_CIT*(MAX(0,T123)+T126)</f>
        <v>-0</v>
      </c>
      <c r="U128" s="35" t="n">
        <f aca="false">-In_CIT*(MAX(0,U123)+U126)</f>
        <v>-0</v>
      </c>
      <c r="V128" s="35" t="n">
        <f aca="false">-In_CIT*(MAX(0,V123)+V126)</f>
        <v>-0</v>
      </c>
      <c r="W128" s="35" t="n">
        <f aca="false">-In_CIT*(MAX(0,W123)+W126)</f>
        <v>-0</v>
      </c>
      <c r="X128" s="35" t="n">
        <f aca="false">-In_CIT*(MAX(0,X123)+X126)</f>
        <v>-0</v>
      </c>
      <c r="Y128" s="35" t="n">
        <f aca="false">-In_CIT*(MAX(0,Y123)+Y126)</f>
        <v>-0</v>
      </c>
      <c r="Z128" s="35" t="n">
        <f aca="false">-In_CIT*(MAX(0,Z123)+Z126)</f>
        <v>-0</v>
      </c>
      <c r="AA128" s="35" t="n">
        <f aca="false">-In_CIT*(MAX(0,AA123)+AA126)</f>
        <v>-0</v>
      </c>
      <c r="AB128" s="35" t="n">
        <f aca="false">-In_CIT*(MAX(0,AB123)+AB126)</f>
        <v>-0</v>
      </c>
      <c r="AC128" s="35" t="n">
        <f aca="false">-In_CIT*(MAX(0,AC123)+AC126)</f>
        <v>-0</v>
      </c>
      <c r="AD128" s="35" t="n">
        <f aca="false">-In_CIT*(MAX(0,AD123)+AD126)</f>
        <v>-0</v>
      </c>
      <c r="AE128" s="35" t="n">
        <f aca="false">-In_CIT*(MAX(0,AE123)+AE126)</f>
        <v>-0</v>
      </c>
      <c r="AF128" s="35" t="n">
        <f aca="false">-In_CIT*(MAX(0,AF123)+AF126)</f>
        <v>-0</v>
      </c>
      <c r="AG128" s="35" t="n">
        <f aca="false">-In_CIT*(MAX(0,AG123)+AG126)</f>
        <v>-0</v>
      </c>
      <c r="AH128" s="35" t="n">
        <f aca="false">-In_CIT*(MAX(0,AH123)+AH126)</f>
        <v>-0</v>
      </c>
      <c r="AI128" s="35" t="n">
        <f aca="false">-In_CIT*(MAX(0,AI123)+AI126)</f>
        <v>-0</v>
      </c>
      <c r="AJ128" s="35" t="n">
        <f aca="false">-In_CIT*(MAX(0,AJ123)+AJ126)</f>
        <v>-0</v>
      </c>
      <c r="AK128" s="35" t="n">
        <f aca="false">-In_CIT*(MAX(0,AK123)+AK126)</f>
        <v>-11.6172566672914</v>
      </c>
      <c r="AL128" s="35" t="n">
        <f aca="false">-In_CIT*(MAX(0,AL123)+AL126)</f>
        <v>-95.4889448417256</v>
      </c>
      <c r="AM128" s="35" t="n">
        <f aca="false">-In_CIT*(MAX(0,AM123)+AM126)</f>
        <v>-96.5256785525198</v>
      </c>
      <c r="AN128" s="35" t="n">
        <f aca="false">-In_CIT*(MAX(0,AN123)+AN126)</f>
        <v>-97.2138487907318</v>
      </c>
      <c r="AO128" s="35" t="n">
        <f aca="false">-In_CIT*(MAX(0,AO123)+AO126)</f>
        <v>-101.734632832676</v>
      </c>
      <c r="AP128" s="35" t="n">
        <f aca="false">-In_CIT*(MAX(0,AP123)+AP126)</f>
        <v>-106.285756177341</v>
      </c>
      <c r="AQ128" s="35" t="n">
        <f aca="false">-In_CIT*(MAX(0,AQ123)+AQ126)</f>
        <v>-107.434691304723</v>
      </c>
      <c r="AR128" s="35" t="n">
        <f aca="false">-In_CIT*(MAX(0,AR123)+AR126)</f>
        <v>-108.196914767106</v>
      </c>
      <c r="AS128" s="35" t="n">
        <f aca="false">-In_CIT*(MAX(0,AS123)+AS126)</f>
        <v>-112.853471950999</v>
      </c>
      <c r="AT128" s="35" t="n">
        <f aca="false">-In_CIT*(MAX(0,AT123)+AT126)</f>
        <v>-117.541914083612</v>
      </c>
      <c r="AU128" s="35" t="n">
        <f aca="false">-In_CIT*(MAX(0,AU123)+AU126)</f>
        <v>-118.809167913345</v>
      </c>
      <c r="AV128" s="35" t="n">
        <f aca="false">-In_CIT*(MAX(0,AV123)+AV126)</f>
        <v>-121.768753263312</v>
      </c>
      <c r="AW128" s="35" t="n">
        <f aca="false">-In_CIT*(MAX(0,AW123)+AW126)</f>
        <v>-124.449500317221</v>
      </c>
      <c r="AX128" s="35" t="n">
        <f aca="false">-In_CIT*(MAX(0,AX123)+AX126)</f>
        <v>-129.281276069291</v>
      </c>
      <c r="AY128" s="35" t="n">
        <f aca="false">-In_CIT*(MAX(0,AY123)+AY126)</f>
        <v>-130.673279392617</v>
      </c>
      <c r="AZ128" s="35" t="n">
        <f aca="false">-In_CIT*(MAX(0,AZ123)+AZ126)</f>
        <v>-131.60128851837</v>
      </c>
      <c r="BA128" s="35" t="n">
        <f aca="false">-In_CIT*(MAX(0,BA123)+BA126)</f>
        <v>-136.54750793486</v>
      </c>
      <c r="BB128" s="35" t="n">
        <f aca="false">-In_CIT*(MAX(0,BB123)+BB126)</f>
        <v>-141.528943834047</v>
      </c>
      <c r="BC128" s="35" t="n">
        <f aca="false">-In_CIT*(MAX(0,BC123)+BC126)</f>
        <v>-143.052456913697</v>
      </c>
      <c r="BD128" s="35" t="n">
        <f aca="false">-In_CIT*(MAX(0,BD123)+BD126)</f>
        <v>-144.072837133155</v>
      </c>
      <c r="BE128" s="35" t="n">
        <f aca="false">-In_CIT*(MAX(0,BE123)+BE126)</f>
        <v>-149.17357700604</v>
      </c>
      <c r="BF128" s="35" t="n">
        <f aca="false">-In_CIT*(MAX(0,BF123)+BF126)</f>
        <v>-154.311327477197</v>
      </c>
      <c r="BG128" s="35" t="n">
        <f aca="false">-In_CIT*(MAX(0,BG123)+BG126)</f>
        <v>-155.973456826339</v>
      </c>
      <c r="BH128" s="35" t="n">
        <f aca="false">-In_CIT*(MAX(0,BH123)+BH126)</f>
        <v>-157.092980312585</v>
      </c>
      <c r="BI128" s="35" t="n">
        <f aca="false">-In_CIT*(MAX(0,BI123)+BI126)</f>
        <v>-162.355148597671</v>
      </c>
      <c r="BJ128" s="35" t="n">
        <f aca="false">-In_CIT*(MAX(0,BJ123)+BJ126)</f>
        <v>-167.656212998429</v>
      </c>
      <c r="BK128" s="35" t="n">
        <f aca="false">-In_CIT*(MAX(0,BK123)+BK126)</f>
        <v>-169.464429013963</v>
      </c>
      <c r="BL128" s="35" t="n">
        <f aca="false">-In_CIT*(MAX(0,BL123)+BL126)</f>
        <v>-172.850877414035</v>
      </c>
      <c r="BM128" s="35" t="n">
        <f aca="false">-In_CIT*(MAX(0,BM123)+BM126)</f>
        <v>-176.121092725134</v>
      </c>
      <c r="BN128" s="35" t="n">
        <f aca="false">-In_CIT*(MAX(0,BN123)+BN126)</f>
        <v>-181.592833258768</v>
      </c>
      <c r="BO128" s="35" t="n">
        <f aca="false">-In_CIT*(MAX(0,BO123)+BO126)</f>
        <v>-183.554988752478</v>
      </c>
      <c r="BP128" s="35" t="n">
        <f aca="false">-In_CIT*(MAX(0,BP123)+BP126)</f>
        <v>-184.894581696676</v>
      </c>
      <c r="BQ128" s="35" t="n">
        <f aca="false">-In_CIT*(MAX(0,BQ123)+BQ126)</f>
        <v>-190.501782028053</v>
      </c>
      <c r="BR128" s="35" t="n">
        <f aca="false">-In_CIT*(MAX(0,BR123)+BR126)</f>
        <v>-196.151942578579</v>
      </c>
      <c r="BS128" s="35" t="n">
        <f aca="false">-In_CIT*(MAX(0,BS123)+BS126)</f>
        <v>-198.276292251869</v>
      </c>
      <c r="BT128" s="35" t="n">
        <f aca="false">-In_CIT*(MAX(0,BT123)+BT126)</f>
        <v>-196.170276216906</v>
      </c>
      <c r="BU128" s="35" t="n">
        <f aca="false">-In_CIT*(MAX(0,BU123)+BU126)</f>
        <v>-198.349945952649</v>
      </c>
      <c r="BV128" s="35" t="n">
        <f aca="false">-In_CIT*(MAX(0,BV123)+BV126)</f>
        <v>-200.529615688392</v>
      </c>
      <c r="BW128" s="35" t="n">
        <f aca="false">-In_CIT*(MAX(0,BW123)+BW126)</f>
        <v>-199.122067195189</v>
      </c>
      <c r="BX128" s="35" t="n">
        <f aca="false">-In_CIT*(MAX(0,BX123)+BX126)</f>
        <v>-196.964355586438</v>
      </c>
      <c r="BY128" s="35" t="n">
        <f aca="false">-In_CIT*(MAX(0,BY123)+BY126)</f>
        <v>-199.152848426287</v>
      </c>
      <c r="BZ128" s="35" t="n">
        <f aca="false">-In_CIT*(MAX(0,BZ123)+BZ126)</f>
        <v>-201.341341266136</v>
      </c>
      <c r="CA128" s="35" t="n">
        <f aca="false">-In_CIT*(MAX(0,CA123)+CA126)</f>
        <v>-199.92514609708</v>
      </c>
      <c r="CB128" s="35" t="n">
        <f aca="false">-In_CIT*(MAX(0,CB123)+CB126)</f>
        <v>-199.912094403772</v>
      </c>
      <c r="CC128" s="35" t="n">
        <f aca="false">-In_CIT*(MAX(0,CC123)+CC126)</f>
        <v>-199.912094403772</v>
      </c>
      <c r="CD128" s="35" t="n">
        <f aca="false">-In_CIT*(MAX(0,CD123)+CD126)</f>
        <v>-202.108930606011</v>
      </c>
      <c r="CE128" s="35" t="n">
        <f aca="false">-In_CIT*(MAX(0,CE123)+CE126)</f>
        <v>-200.684065882337</v>
      </c>
      <c r="CF128" s="35" t="n">
        <f aca="false">-In_CIT*(MAX(0,CF123)+CF126)</f>
        <v>-198.421514434404</v>
      </c>
      <c r="CG128" s="35" t="n">
        <f aca="false">-In_CIT*(MAX(0,CG123)+CG126)</f>
        <v>-200.62619792812</v>
      </c>
      <c r="CH128" s="35" t="n">
        <f aca="false">-In_CIT*(MAX(0,CH123)+CH126)</f>
        <v>-202.830881421835</v>
      </c>
      <c r="CI128" s="35" t="n">
        <f aca="false">-In_CIT*(MAX(0,CI123)+CI126)</f>
        <v>-201.397324889451</v>
      </c>
      <c r="CJ128" s="35" t="n">
        <f aca="false">-In_CIT*(MAX(0,CJ123)+CJ126)</f>
        <v>-199.081615948249</v>
      </c>
      <c r="CK128" s="35" t="n">
        <f aca="false">-In_CIT*(MAX(0,CK123)+CK126)</f>
        <v>-201.293633903229</v>
      </c>
      <c r="CL128" s="35" t="n">
        <f aca="false">-In_CIT*(MAX(0,CL123)+CL126)</f>
        <v>-203.50565185821</v>
      </c>
      <c r="CM128" s="35" t="n">
        <f aca="false">-In_CIT*(MAX(0,CM123)+CM126)</f>
        <v>-202.063381909346</v>
      </c>
      <c r="CN128" s="35" t="n">
        <f aca="false">-In_CIT*(MAX(0,CN123)+CN126)</f>
        <v>-199.694014733252</v>
      </c>
      <c r="CO128" s="35" t="n">
        <f aca="false">-In_CIT*(MAX(0,CO123)+CO126)</f>
        <v>-201.912837119177</v>
      </c>
      <c r="CP128" s="35" t="n">
        <f aca="false">-In_CIT*(MAX(0,CP123)+CP126)</f>
        <v>-204.131659505102</v>
      </c>
      <c r="CQ128" s="35" t="n">
        <f aca="false">-In_CIT*(MAX(0,CQ123)+CQ126)</f>
        <v>-202.680655200499</v>
      </c>
      <c r="CR128" s="35" t="n">
        <f aca="false">-In_CIT*(MAX(0,CR123)+CR126)</f>
        <v>-202.482201253553</v>
      </c>
      <c r="CS128" s="35" t="n">
        <f aca="false">-In_CIT*(MAX(0,CS123)+CS126)</f>
        <v>-202.482201253553</v>
      </c>
      <c r="CT128" s="35" t="n">
        <f aca="false">-In_CIT*(MAX(0,CT123)+CT126)</f>
        <v>-204.707280388207</v>
      </c>
      <c r="CU128" s="35" t="n">
        <f aca="false">-In_CIT*(MAX(0,CU123)+CU126)</f>
        <v>-203.247521479836</v>
      </c>
      <c r="CV128" s="35" t="n">
        <f aca="false">-In_CIT*(MAX(0,CV123)+CV126)</f>
        <v>-200.769307762012</v>
      </c>
      <c r="CW128" s="35" t="n">
        <f aca="false">-In_CIT*(MAX(0,CW123)+CW126)</f>
        <v>-203.000077848256</v>
      </c>
      <c r="CX128" s="35" t="n">
        <f aca="false">-In_CIT*(MAX(0,CX123)+CX126)</f>
        <v>-205.230847934501</v>
      </c>
      <c r="CY128" s="35" t="n">
        <f aca="false">-In_CIT*(MAX(0,CY123)+CY126)</f>
        <v>-203.762314888844</v>
      </c>
      <c r="CZ128" s="35" t="n">
        <f aca="false">-In_CIT*(MAX(0,CZ123)+CZ126)</f>
        <v>-201.228898609916</v>
      </c>
      <c r="DA128" s="35" t="n">
        <f aca="false">-In_CIT*(MAX(0,DA123)+DA126)</f>
        <v>-203.464775261138</v>
      </c>
      <c r="DB128" s="35" t="n">
        <f aca="false">-In_CIT*(MAX(0,DB123)+DB126)</f>
        <v>-205.700651912359</v>
      </c>
      <c r="DC128" s="35" t="n">
        <f aca="false">-In_CIT*(MAX(0,DC123)+DC126)</f>
        <v>-204.223325934256</v>
      </c>
      <c r="DD128" s="35" t="n">
        <f aca="false">-In_CIT*(MAX(0,DD123)+DD126)</f>
        <v>-201.634177838124</v>
      </c>
      <c r="DE128" s="35" t="n">
        <f aca="false">-In_CIT*(MAX(0,DE123)+DE126)</f>
        <v>-203.874557591881</v>
      </c>
      <c r="DF128" s="35" t="n">
        <f aca="false">-In_CIT*(MAX(0,DF123)+DF126)</f>
        <v>-206.114937345638</v>
      </c>
      <c r="DG128" s="35" t="n">
        <f aca="false">-In_CIT*(MAX(0,DG123)+DG126)</f>
        <v>-390.462027514203</v>
      </c>
      <c r="DH128" s="35" t="n">
        <f aca="false">-In_CIT*(MAX(0,DH123)+DH126)</f>
        <v>-388.040944311337</v>
      </c>
      <c r="DI128" s="35" t="n">
        <f aca="false">-In_CIT*(MAX(0,DI123)+DI126)</f>
        <v>-388.040944311337</v>
      </c>
      <c r="DJ128" s="35" t="n">
        <f aca="false">-In_CIT*(MAX(0,DJ123)+DJ126)</f>
        <v>-392.30513051256</v>
      </c>
      <c r="DK128" s="35" t="n">
        <f aca="false">-In_CIT*(MAX(0,DK123)+DK126)</f>
        <v>-390.810165360226</v>
      </c>
      <c r="DL128" s="35" t="n">
        <f aca="false">-In_CIT*(MAX(0,DL123)+DL126)</f>
        <v>-384.068083069357</v>
      </c>
      <c r="DM128" s="35" t="n">
        <f aca="false">-In_CIT*(MAX(0,DM123)+DM126)</f>
        <v>-388.335506214572</v>
      </c>
      <c r="DN128" s="35" t="n">
        <f aca="false">-In_CIT*(MAX(0,DN123)+DN126)</f>
        <v>-392.602929359787</v>
      </c>
      <c r="DO128" s="35" t="n">
        <f aca="false">-In_CIT*(MAX(0,DO123)+DO126)</f>
        <v>-391.099119566891</v>
      </c>
      <c r="DP128" s="35" t="n">
        <f aca="false">-In_CIT*(MAX(0,DP123)+DP126)</f>
        <v>-384.29967228596</v>
      </c>
      <c r="DQ128" s="35" t="n">
        <f aca="false">-In_CIT*(MAX(0,DQ123)+DQ126)</f>
        <v>-388.569668644693</v>
      </c>
      <c r="DR128" s="35" t="n">
        <f aca="false">-In_CIT*(MAX(0,DR123)+DR126)</f>
        <v>-392.839665003426</v>
      </c>
      <c r="DS128" s="35" t="n">
        <f aca="false">-In_CIT*(MAX(0,DS123)+DS126)</f>
        <v>-391.326994978479</v>
      </c>
      <c r="DT128" s="35" t="n">
        <f aca="false">-In_CIT*(MAX(0,DT123)+DT126)</f>
        <v>-384.469622693208</v>
      </c>
      <c r="DU128" s="35" t="n">
        <f aca="false">-In_CIT*(MAX(0,DU123)+DU126)</f>
        <v>-388.741507389799</v>
      </c>
      <c r="DV128" s="35" t="n">
        <f aca="false">-In_CIT*(MAX(0,DV123)+DV126)</f>
        <v>-393.013392086391</v>
      </c>
      <c r="DW128" s="35" t="n">
        <f aca="false">-In_CIT*(MAX(0,DW123)+DW126)</f>
        <v>-391.491847104446</v>
      </c>
      <c r="DX128" s="35" t="n">
        <f aca="false">-In_CIT*(MAX(0,DX123)+DX126)</f>
        <v>-388.849048200098</v>
      </c>
      <c r="DY128" s="35" t="n">
        <f aca="false">-In_CIT*(MAX(0,DY123)+DY126)</f>
        <v>-388.849048200098</v>
      </c>
      <c r="DZ128" s="35" t="n">
        <f aca="false">-In_CIT*(MAX(0,DZ123)+DZ126)</f>
        <v>-393.122114663836</v>
      </c>
      <c r="EA128" s="35" t="n">
        <f aca="false">-In_CIT*(MAX(0,EA123)+EA126)</f>
        <v>-391.591680894017</v>
      </c>
      <c r="EB128" s="35" t="n">
        <f aca="false">-In_CIT*(MAX(0,EB123)+EB126)</f>
        <v>-384.616746143775</v>
      </c>
      <c r="EC128" s="35" t="n">
        <f aca="false">-In_CIT*(MAX(0,EC123)+EC126)</f>
        <v>-388.890265545373</v>
      </c>
      <c r="ED128" s="35" t="n">
        <f aca="false">-In_CIT*(MAX(0,ED123)+ED126)</f>
        <v>-393.16378494697</v>
      </c>
      <c r="EE128" s="35" t="n">
        <f aca="false">-In_CIT*(MAX(0,EE123)+EE126)</f>
        <v>-391.624449480656</v>
      </c>
      <c r="EF128" s="35" t="n">
        <f aca="false">-In_CIT*(MAX(0,EF123)+EF126)</f>
        <v>-384.589860667834</v>
      </c>
      <c r="EG128" s="35" t="n">
        <f aca="false">-In_CIT*(MAX(0,EG123)+EG126)</f>
        <v>-388.86308134192</v>
      </c>
      <c r="EH128" s="35" t="n">
        <f aca="false">-In_CIT*(MAX(0,EH123)+EH126)</f>
        <v>-393.136302016008</v>
      </c>
      <c r="EI128" s="35" t="n">
        <f aca="false">-In_CIT*(MAX(0,EI123)+EI126)</f>
        <v>-391.5880528957</v>
      </c>
      <c r="EJ128" s="35" t="n">
        <f aca="false">-In_CIT*(MAX(0,EJ123)+EJ126)</f>
        <v>-384.493216794942</v>
      </c>
      <c r="EK128" s="35" t="n">
        <f aca="false">-In_CIT*(MAX(0,EK123)+EK126)</f>
        <v>-388.765363648219</v>
      </c>
      <c r="EL128" s="35" t="n">
        <f aca="false">-In_CIT*(MAX(0,EL123)+EL126)</f>
        <v>-393.037510501496</v>
      </c>
      <c r="EM128" s="35" t="n">
        <f aca="false">-In_CIT*(MAX(0,EM123)+EM126)</f>
        <v>-391.480336750375</v>
      </c>
      <c r="EN128" s="35" t="n">
        <f aca="false">-In_CIT*(MAX(0,EN123)+EN126)</f>
        <v>-388.594925328545</v>
      </c>
      <c r="EO128" s="35" t="n">
        <f aca="false">-In_CIT*(MAX(0,EO123)+EO126)</f>
        <v>-388.594925328545</v>
      </c>
      <c r="EP128" s="35" t="n">
        <f aca="false">-In_CIT*(MAX(0,EP123)+EP126)</f>
        <v>-392.865199233254</v>
      </c>
      <c r="EQ128" s="35" t="n">
        <f aca="false">-In_CIT*(MAX(0,EQ123)+EQ126)</f>
        <v>-391.299090885448</v>
      </c>
      <c r="ER128" s="35" t="n">
        <f aca="false">-In_CIT*(MAX(0,ER123)+ER126)</f>
        <v>-384.081945511414</v>
      </c>
      <c r="ES128" s="35" t="n">
        <f aca="false">-In_CIT*(MAX(0,ES123)+ES126)</f>
        <v>-388.349522683763</v>
      </c>
      <c r="ET128" s="35" t="n">
        <f aca="false">-In_CIT*(MAX(0,ET123)+ET126)</f>
        <v>-392.617099856112</v>
      </c>
    </row>
    <row r="130" customFormat="false" ht="15" hidden="false" customHeight="false" outlineLevel="0" collapsed="false">
      <c r="A130" s="9" t="s">
        <v>13</v>
      </c>
      <c r="B130" s="9"/>
      <c r="C130" s="9" t="s">
        <v>480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</row>
    <row r="131" customFormat="false" ht="15" hidden="false" customHeight="false" outlineLevel="0" collapsed="false">
      <c r="C131" s="30" t="s">
        <v>45</v>
      </c>
      <c r="D131" s="11" t="s">
        <v>247</v>
      </c>
      <c r="E131" s="35" t="n">
        <f aca="false">In_RtB_Premium*In_MVA</f>
        <v>15000</v>
      </c>
    </row>
    <row r="132" customFormat="false" ht="15" hidden="false" customHeight="false" outlineLevel="0" collapsed="false">
      <c r="A132" s="55"/>
      <c r="B132" s="55"/>
      <c r="C132" s="55" t="s">
        <v>571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55"/>
      <c r="EB132" s="55"/>
      <c r="EC132" s="55"/>
      <c r="ED132" s="55"/>
      <c r="EE132" s="55"/>
      <c r="EF132" s="55"/>
      <c r="EG132" s="55"/>
      <c r="EH132" s="55"/>
      <c r="EI132" s="55"/>
      <c r="EJ132" s="55"/>
      <c r="EK132" s="55"/>
      <c r="EL132" s="55"/>
      <c r="EM132" s="55"/>
      <c r="EN132" s="55"/>
      <c r="EO132" s="55"/>
      <c r="EP132" s="55"/>
      <c r="EQ132" s="55"/>
      <c r="ER132" s="55"/>
      <c r="ES132" s="55"/>
      <c r="ET132" s="55"/>
    </row>
    <row r="133" customFormat="false" ht="15" hidden="false" customHeight="false" outlineLevel="0" collapsed="false">
      <c r="C133" s="0" t="s">
        <v>572</v>
      </c>
      <c r="D133" s="11" t="s">
        <v>247</v>
      </c>
      <c r="E133" s="33" t="n">
        <f aca="false">$E65+$E55</f>
        <v>21842.7086410959</v>
      </c>
      <c r="F133" s="33" t="n">
        <f aca="false">MAX(0,$E131+$E133)</f>
        <v>36842.7086410959</v>
      </c>
    </row>
    <row r="134" customFormat="false" ht="15" hidden="false" customHeight="false" outlineLevel="0" collapsed="false">
      <c r="C134" s="0" t="s">
        <v>573</v>
      </c>
      <c r="D134" s="11" t="s">
        <v>247</v>
      </c>
      <c r="E134" s="22" t="n">
        <f aca="false">In_Sale_Costs</f>
        <v>500</v>
      </c>
      <c r="F134" s="33" t="n">
        <f aca="false">MIN($E134,$F133)</f>
        <v>500</v>
      </c>
    </row>
    <row r="135" customFormat="false" ht="15" hidden="false" customHeight="false" outlineLevel="0" collapsed="false">
      <c r="C135" s="0" t="s">
        <v>574</v>
      </c>
      <c r="D135" s="11" t="s">
        <v>247</v>
      </c>
      <c r="E135" s="33" t="n">
        <f aca="false">$E65</f>
        <v>21412.2641205479</v>
      </c>
      <c r="F135" s="33" t="n">
        <f aca="false">MIN($E135,$F133-SUM($F134:$F134))</f>
        <v>21412.2641205479</v>
      </c>
    </row>
    <row r="136" customFormat="false" ht="15" hidden="false" customHeight="false" outlineLevel="0" collapsed="false">
      <c r="C136" s="0" t="s">
        <v>575</v>
      </c>
      <c r="D136" s="11" t="s">
        <v>247</v>
      </c>
      <c r="E136" s="33" t="n">
        <f aca="false">$E68</f>
        <v>1564.53664418093</v>
      </c>
      <c r="F136" s="33" t="n">
        <f aca="false">MIN($E136,$F133-SUM($F134:$F135))</f>
        <v>1564.53664418093</v>
      </c>
    </row>
    <row r="137" customFormat="false" ht="15" hidden="false" customHeight="false" outlineLevel="0" collapsed="false">
      <c r="C137" s="0" t="s">
        <v>576</v>
      </c>
      <c r="D137" s="11" t="s">
        <v>247</v>
      </c>
      <c r="E137" s="33" t="n">
        <f aca="false">$E55</f>
        <v>430.444520547945</v>
      </c>
      <c r="F137" s="33" t="n">
        <f aca="false">MIN($E137,$F133-SUM($F134:$F136))</f>
        <v>430.444520547945</v>
      </c>
    </row>
    <row r="138" customFormat="false" ht="15" hidden="false" customHeight="false" outlineLevel="0" collapsed="false">
      <c r="C138" s="0" t="s">
        <v>577</v>
      </c>
      <c r="D138" s="11" t="s">
        <v>247</v>
      </c>
      <c r="E138" s="33" t="n">
        <f aca="false">$E79</f>
        <v>3119.62451197093</v>
      </c>
      <c r="F138" s="33" t="n">
        <f aca="false">MIN($E138,$F133-SUM($F134:$F137))</f>
        <v>3119.62451197093</v>
      </c>
    </row>
    <row r="139" customFormat="false" ht="15" hidden="false" customHeight="false" outlineLevel="0" collapsed="false">
      <c r="C139" s="0" t="s">
        <v>578</v>
      </c>
      <c r="D139" s="11" t="s">
        <v>247</v>
      </c>
      <c r="E139" s="33" t="n">
        <f aca="false">$E73</f>
        <v>1120.48016110676</v>
      </c>
      <c r="F139" s="33" t="n">
        <f aca="false">MIN($E139,$F133-SUM($F134:$F138))</f>
        <v>1120.48016110676</v>
      </c>
    </row>
    <row r="140" customFormat="false" ht="15" hidden="false" customHeight="false" outlineLevel="0" collapsed="false">
      <c r="C140" s="0" t="s">
        <v>579</v>
      </c>
      <c r="D140" s="11" t="s">
        <v>247</v>
      </c>
      <c r="E140" s="33" t="n">
        <f aca="false">MIN(In_DSA_Cap,In_DSA_Rate*YEARFRAC(In_Signing_Date,$E12,0))*$E24</f>
        <v>1200.65972222222</v>
      </c>
      <c r="F140" s="33" t="n">
        <f aca="false">MIN($E140,$F133-SUM($F134:$F139))</f>
        <v>1200.65972222222</v>
      </c>
    </row>
    <row r="141" customFormat="false" ht="15" hidden="false" customHeight="false" outlineLevel="0" collapsed="false">
      <c r="C141" s="30" t="s">
        <v>161</v>
      </c>
      <c r="D141" s="11" t="s">
        <v>247</v>
      </c>
      <c r="F141" s="35" t="n">
        <f aca="false">MAX(0,$F133-SUM($E134:$E140))</f>
        <v>7494.69896051916</v>
      </c>
    </row>
    <row r="142" customFormat="false" ht="15" hidden="false" customHeight="false" outlineLevel="0" collapsed="false">
      <c r="C142" s="30" t="s">
        <v>580</v>
      </c>
      <c r="D142" s="11" t="s">
        <v>247</v>
      </c>
      <c r="F142" s="35" t="n">
        <f aca="false">SUM($F135:$F139)+In_FEP_Share*$F141</f>
        <v>32893.6392307179</v>
      </c>
    </row>
    <row r="143" customFormat="false" ht="15" hidden="false" customHeight="false" outlineLevel="0" collapsed="false">
      <c r="C143" s="0" t="s">
        <v>581</v>
      </c>
      <c r="D143" s="11" t="s">
        <v>247</v>
      </c>
      <c r="F143" s="33" t="n">
        <f aca="false">$F140+(1-In_FEP_Share)*$F141</f>
        <v>3449.06941037797</v>
      </c>
    </row>
    <row r="144" customFormat="false" ht="15" hidden="false" customHeight="false" outlineLevel="0" collapsed="false">
      <c r="A144" s="55"/>
      <c r="B144" s="55"/>
      <c r="C144" s="55" t="s">
        <v>582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55"/>
      <c r="EB144" s="55"/>
      <c r="EC144" s="55"/>
      <c r="ED144" s="55"/>
      <c r="EE144" s="55"/>
      <c r="EF144" s="55"/>
      <c r="EG144" s="55"/>
      <c r="EH144" s="55"/>
      <c r="EI144" s="55"/>
      <c r="EJ144" s="55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</row>
    <row r="145" customFormat="false" ht="15" hidden="false" customHeight="false" outlineLevel="0" collapsed="false">
      <c r="C145" s="0" t="s">
        <v>583</v>
      </c>
      <c r="D145" s="11" t="s">
        <v>247</v>
      </c>
      <c r="E145" s="33" t="n">
        <f aca="false">$F135+$F137</f>
        <v>21842.7086410959</v>
      </c>
      <c r="F145" s="33" t="n">
        <f aca="false">In_FEP_Share*$F141</f>
        <v>5246.28927236341</v>
      </c>
    </row>
    <row r="146" customFormat="false" ht="15" hidden="false" customHeight="false" outlineLevel="0" collapsed="false">
      <c r="C146" s="0" t="s">
        <v>584</v>
      </c>
      <c r="D146" s="11" t="s">
        <v>247</v>
      </c>
      <c r="E146" s="33" t="n">
        <f aca="false">$E55-$E57-$E47</f>
        <v>-2697.39916950517</v>
      </c>
    </row>
    <row r="147" customFormat="false" ht="15" hidden="false" customHeight="false" outlineLevel="0" collapsed="false">
      <c r="C147" s="30" t="s">
        <v>585</v>
      </c>
      <c r="D147" s="11" t="s">
        <v>247</v>
      </c>
      <c r="E147" s="35" t="n">
        <f aca="false">$F136+$F138+$F139</f>
        <v>5804.64131725861</v>
      </c>
      <c r="F147" s="35" t="n">
        <f aca="false">$E147+$F145+$E146</f>
        <v>8353.53142011685</v>
      </c>
    </row>
    <row r="148" customFormat="false" ht="15" hidden="false" customHeight="false" outlineLevel="0" collapsed="false">
      <c r="C148" s="0" t="s">
        <v>586</v>
      </c>
      <c r="D148" s="11" t="s">
        <v>247</v>
      </c>
      <c r="E148" s="33" t="n">
        <f aca="false">(1-In_FEP_Share)*$F141</f>
        <v>2248.40968815575</v>
      </c>
    </row>
    <row r="149" customFormat="false" ht="15" hidden="false" customHeight="false" outlineLevel="0" collapsed="false">
      <c r="C149" s="0" t="s">
        <v>587</v>
      </c>
      <c r="D149" s="11" t="s">
        <v>27</v>
      </c>
      <c r="E149" s="32" t="n">
        <f aca="false">$F147/$E24</f>
        <v>55.3214001332242</v>
      </c>
      <c r="F149" s="32" t="n">
        <f aca="false">$F143/$E24</f>
        <v>22.8415192740263</v>
      </c>
    </row>
    <row r="150" customFormat="false" ht="15" hidden="false" customHeight="false" outlineLevel="0" collapsed="false">
      <c r="A150" s="55"/>
      <c r="B150" s="55"/>
      <c r="C150" s="55" t="s">
        <v>588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</row>
    <row r="151" customFormat="false" ht="15" hidden="false" customHeight="false" outlineLevel="0" collapsed="false">
      <c r="C151" s="0" t="s">
        <v>589</v>
      </c>
      <c r="D151" s="11" t="s">
        <v>247</v>
      </c>
      <c r="E151" s="33" t="n">
        <f aca="false">-In_CIT*MAX(0,$I151-In_FEP_Share*$F141)</f>
        <v>-128.61785929143</v>
      </c>
      <c r="I151" s="33" t="n">
        <f aca="false">SUM(J151:ET151)</f>
        <v>6675.37659782375</v>
      </c>
      <c r="J151" s="33" t="n">
        <f aca="false">(J60+J53)*(J$4&lt;=$E12)+$F142*J12</f>
        <v>-400</v>
      </c>
      <c r="K151" s="33" t="n">
        <f aca="false">(K60+K53)*(K$4&lt;=$E12)+$F142*K12</f>
        <v>-1437.78053818728</v>
      </c>
      <c r="L151" s="33" t="n">
        <f aca="false">(L60+L53)*(L$4&lt;=$E12)+$F142*L12</f>
        <v>-691.910911990993</v>
      </c>
      <c r="M151" s="33" t="n">
        <f aca="false">(M60+M53)*(M$4&lt;=$E12)+$F142*M12</f>
        <v>-148.451634452993</v>
      </c>
      <c r="N151" s="33" t="n">
        <f aca="false">(N60+N53)*(N$4&lt;=$E12)+$F142*N12</f>
        <v>-149.601261024582</v>
      </c>
      <c r="O151" s="33" t="n">
        <f aca="false">(O60+O53)*(O$4&lt;=$E12)+$F142*O12</f>
        <v>-290.127288421843</v>
      </c>
      <c r="P151" s="33" t="n">
        <f aca="false">(P60+P53)*(P$4&lt;=$E12)+$F142*P12</f>
        <v>-1394.65781281475</v>
      </c>
      <c r="Q151" s="33" t="n">
        <f aca="false">(Q60+Q53)*(Q$4&lt;=$E12)+$F142*Q12</f>
        <v>-109.225607055733</v>
      </c>
      <c r="R151" s="33" t="n">
        <f aca="false">(R60+R53)*(R$4&lt;=$E12)+$F142*R12</f>
        <v>-269.857154566657</v>
      </c>
      <c r="S151" s="33" t="n">
        <f aca="false">(S60+S53)*(S$4&lt;=$E12)+$F142*S12</f>
        <v>-422.991783283459</v>
      </c>
      <c r="T151" s="33" t="n">
        <f aca="false">(T60+T53)*(T$4&lt;=$E12)+$F142*T12</f>
        <v>-20587.5113339088</v>
      </c>
      <c r="U151" s="33" t="n">
        <f aca="false">(U60+U53)*(U$4&lt;=$E12)+$F142*U12</f>
        <v>-104.616018014637</v>
      </c>
      <c r="V151" s="33" t="n">
        <f aca="false">(V60+V53)*(V$4&lt;=$E12)+$F142*V12</f>
        <v>-105.765644586226</v>
      </c>
      <c r="W151" s="33" t="n">
        <f aca="false">(W60+W53)*(W$4&lt;=$E12)+$F142*W12</f>
        <v>32787.8735861317</v>
      </c>
      <c r="X151" s="33" t="n">
        <f aca="false">(X60+X53)*(X$4&lt;=$E12)+$F142*X12</f>
        <v>0</v>
      </c>
      <c r="Y151" s="33" t="n">
        <f aca="false">(Y60+Y53)*(Y$4&lt;=$E12)+$F142*Y12</f>
        <v>0</v>
      </c>
      <c r="Z151" s="33" t="n">
        <f aca="false">(Z60+Z53)*(Z$4&lt;=$E12)+$F142*Z12</f>
        <v>0</v>
      </c>
      <c r="AA151" s="33" t="n">
        <f aca="false">(AA60+AA53)*(AA$4&lt;=$E12)+$F142*AA12</f>
        <v>0</v>
      </c>
      <c r="AB151" s="33" t="n">
        <f aca="false">(AB60+AB53)*(AB$4&lt;=$E12)+$F142*AB12</f>
        <v>0</v>
      </c>
      <c r="AC151" s="33" t="n">
        <f aca="false">(AC60+AC53)*(AC$4&lt;=$E12)+$F142*AC12</f>
        <v>0</v>
      </c>
      <c r="AD151" s="33" t="n">
        <f aca="false">(AD60+AD53)*(AD$4&lt;=$E12)+$F142*AD12</f>
        <v>0</v>
      </c>
      <c r="AE151" s="33" t="n">
        <f aca="false">(AE60+AE53)*(AE$4&lt;=$E12)+$F142*AE12</f>
        <v>0</v>
      </c>
      <c r="AF151" s="33" t="n">
        <f aca="false">(AF60+AF53)*(AF$4&lt;=$E12)+$F142*AF12</f>
        <v>0</v>
      </c>
      <c r="AG151" s="33" t="n">
        <f aca="false">(AG60+AG53)*(AG$4&lt;=$E12)+$F142*AG12</f>
        <v>0</v>
      </c>
      <c r="AH151" s="33" t="n">
        <f aca="false">(AH60+AH53)*(AH$4&lt;=$E12)+$F142*AH12</f>
        <v>0</v>
      </c>
      <c r="AI151" s="33" t="n">
        <f aca="false">(AI60+AI53)*(AI$4&lt;=$E12)+$F142*AI12</f>
        <v>0</v>
      </c>
      <c r="AJ151" s="33" t="n">
        <f aca="false">(AJ60+AJ53)*(AJ$4&lt;=$E12)+$F142*AJ12</f>
        <v>0</v>
      </c>
      <c r="AK151" s="33" t="n">
        <f aca="false">(AK60+AK53)*(AK$4&lt;=$E12)+$F142*AK12</f>
        <v>0</v>
      </c>
      <c r="AL151" s="33" t="n">
        <f aca="false">(AL60+AL53)*(AL$4&lt;=$E12)+$F142*AL12</f>
        <v>0</v>
      </c>
      <c r="AM151" s="33" t="n">
        <f aca="false">(AM60+AM53)*(AM$4&lt;=$E12)+$F142*AM12</f>
        <v>0</v>
      </c>
      <c r="AN151" s="33" t="n">
        <f aca="false">(AN60+AN53)*(AN$4&lt;=$E12)+$F142*AN12</f>
        <v>0</v>
      </c>
      <c r="AO151" s="33" t="n">
        <f aca="false">(AO60+AO53)*(AO$4&lt;=$E12)+$F142*AO12</f>
        <v>0</v>
      </c>
      <c r="AP151" s="33" t="n">
        <f aca="false">(AP60+AP53)*(AP$4&lt;=$E12)+$F142*AP12</f>
        <v>0</v>
      </c>
      <c r="AQ151" s="33" t="n">
        <f aca="false">(AQ60+AQ53)*(AQ$4&lt;=$E12)+$F142*AQ12</f>
        <v>0</v>
      </c>
      <c r="AR151" s="33" t="n">
        <f aca="false">(AR60+AR53)*(AR$4&lt;=$E12)+$F142*AR12</f>
        <v>0</v>
      </c>
      <c r="AS151" s="33" t="n">
        <f aca="false">(AS60+AS53)*(AS$4&lt;=$E12)+$F142*AS12</f>
        <v>0</v>
      </c>
      <c r="AT151" s="33" t="n">
        <f aca="false">(AT60+AT53)*(AT$4&lt;=$E12)+$F142*AT12</f>
        <v>0</v>
      </c>
      <c r="AU151" s="33" t="n">
        <f aca="false">(AU60+AU53)*(AU$4&lt;=$E12)+$F142*AU12</f>
        <v>0</v>
      </c>
      <c r="AV151" s="33" t="n">
        <f aca="false">(AV60+AV53)*(AV$4&lt;=$E12)+$F142*AV12</f>
        <v>0</v>
      </c>
      <c r="AW151" s="33" t="n">
        <f aca="false">(AW60+AW53)*(AW$4&lt;=$E12)+$F142*AW12</f>
        <v>0</v>
      </c>
      <c r="AX151" s="33" t="n">
        <f aca="false">(AX60+AX53)*(AX$4&lt;=$E12)+$F142*AX12</f>
        <v>0</v>
      </c>
      <c r="AY151" s="33" t="n">
        <f aca="false">(AY60+AY53)*(AY$4&lt;=$E12)+$F142*AY12</f>
        <v>0</v>
      </c>
      <c r="AZ151" s="33" t="n">
        <f aca="false">(AZ60+AZ53)*(AZ$4&lt;=$E12)+$F142*AZ12</f>
        <v>0</v>
      </c>
      <c r="BA151" s="33" t="n">
        <f aca="false">(BA60+BA53)*(BA$4&lt;=$E12)+$F142*BA12</f>
        <v>0</v>
      </c>
      <c r="BB151" s="33" t="n">
        <f aca="false">(BB60+BB53)*(BB$4&lt;=$E12)+$F142*BB12</f>
        <v>0</v>
      </c>
      <c r="BC151" s="33" t="n">
        <f aca="false">(BC60+BC53)*(BC$4&lt;=$E12)+$F142*BC12</f>
        <v>0</v>
      </c>
      <c r="BD151" s="33" t="n">
        <f aca="false">(BD60+BD53)*(BD$4&lt;=$E12)+$F142*BD12</f>
        <v>0</v>
      </c>
      <c r="BE151" s="33" t="n">
        <f aca="false">(BE60+BE53)*(BE$4&lt;=$E12)+$F142*BE12</f>
        <v>0</v>
      </c>
      <c r="BF151" s="33" t="n">
        <f aca="false">(BF60+BF53)*(BF$4&lt;=$E12)+$F142*BF12</f>
        <v>0</v>
      </c>
      <c r="BG151" s="33" t="n">
        <f aca="false">(BG60+BG53)*(BG$4&lt;=$E12)+$F142*BG12</f>
        <v>0</v>
      </c>
      <c r="BH151" s="33" t="n">
        <f aca="false">(BH60+BH53)*(BH$4&lt;=$E12)+$F142*BH12</f>
        <v>0</v>
      </c>
      <c r="BI151" s="33" t="n">
        <f aca="false">(BI60+BI53)*(BI$4&lt;=$E12)+$F142*BI12</f>
        <v>0</v>
      </c>
      <c r="BJ151" s="33" t="n">
        <f aca="false">(BJ60+BJ53)*(BJ$4&lt;=$E12)+$F142*BJ12</f>
        <v>0</v>
      </c>
      <c r="BK151" s="33" t="n">
        <f aca="false">(BK60+BK53)*(BK$4&lt;=$E12)+$F142*BK12</f>
        <v>0</v>
      </c>
      <c r="BL151" s="33" t="n">
        <f aca="false">(BL60+BL53)*(BL$4&lt;=$E12)+$F142*BL12</f>
        <v>0</v>
      </c>
      <c r="BM151" s="33" t="n">
        <f aca="false">(BM60+BM53)*(BM$4&lt;=$E12)+$F142*BM12</f>
        <v>0</v>
      </c>
      <c r="BN151" s="33" t="n">
        <f aca="false">(BN60+BN53)*(BN$4&lt;=$E12)+$F142*BN12</f>
        <v>0</v>
      </c>
      <c r="BO151" s="33" t="n">
        <f aca="false">(BO60+BO53)*(BO$4&lt;=$E12)+$F142*BO12</f>
        <v>0</v>
      </c>
      <c r="BP151" s="33" t="n">
        <f aca="false">(BP60+BP53)*(BP$4&lt;=$E12)+$F142*BP12</f>
        <v>0</v>
      </c>
      <c r="BQ151" s="33" t="n">
        <f aca="false">(BQ60+BQ53)*(BQ$4&lt;=$E12)+$F142*BQ12</f>
        <v>0</v>
      </c>
      <c r="BR151" s="33" t="n">
        <f aca="false">(BR60+BR53)*(BR$4&lt;=$E12)+$F142*BR12</f>
        <v>0</v>
      </c>
      <c r="BS151" s="33" t="n">
        <f aca="false">(BS60+BS53)*(BS$4&lt;=$E12)+$F142*BS12</f>
        <v>0</v>
      </c>
      <c r="BT151" s="33" t="n">
        <f aca="false">(BT60+BT53)*(BT$4&lt;=$E12)+$F142*BT12</f>
        <v>0</v>
      </c>
      <c r="BU151" s="33" t="n">
        <f aca="false">(BU60+BU53)*(BU$4&lt;=$E12)+$F142*BU12</f>
        <v>0</v>
      </c>
      <c r="BV151" s="33" t="n">
        <f aca="false">(BV60+BV53)*(BV$4&lt;=$E12)+$F142*BV12</f>
        <v>0</v>
      </c>
      <c r="BW151" s="33" t="n">
        <f aca="false">(BW60+BW53)*(BW$4&lt;=$E12)+$F142*BW12</f>
        <v>0</v>
      </c>
      <c r="BX151" s="33" t="n">
        <f aca="false">(BX60+BX53)*(BX$4&lt;=$E12)+$F142*BX12</f>
        <v>0</v>
      </c>
      <c r="BY151" s="33" t="n">
        <f aca="false">(BY60+BY53)*(BY$4&lt;=$E12)+$F142*BY12</f>
        <v>0</v>
      </c>
      <c r="BZ151" s="33" t="n">
        <f aca="false">(BZ60+BZ53)*(BZ$4&lt;=$E12)+$F142*BZ12</f>
        <v>0</v>
      </c>
      <c r="CA151" s="33" t="n">
        <f aca="false">(CA60+CA53)*(CA$4&lt;=$E12)+$F142*CA12</f>
        <v>0</v>
      </c>
      <c r="CB151" s="33" t="n">
        <f aca="false">(CB60+CB53)*(CB$4&lt;=$E12)+$F142*CB12</f>
        <v>0</v>
      </c>
      <c r="CC151" s="33" t="n">
        <f aca="false">(CC60+CC53)*(CC$4&lt;=$E12)+$F142*CC12</f>
        <v>0</v>
      </c>
      <c r="CD151" s="33" t="n">
        <f aca="false">(CD60+CD53)*(CD$4&lt;=$E12)+$F142*CD12</f>
        <v>0</v>
      </c>
      <c r="CE151" s="33" t="n">
        <f aca="false">(CE60+CE53)*(CE$4&lt;=$E12)+$F142*CE12</f>
        <v>0</v>
      </c>
      <c r="CF151" s="33" t="n">
        <f aca="false">(CF60+CF53)*(CF$4&lt;=$E12)+$F142*CF12</f>
        <v>0</v>
      </c>
      <c r="CG151" s="33" t="n">
        <f aca="false">(CG60+CG53)*(CG$4&lt;=$E12)+$F142*CG12</f>
        <v>0</v>
      </c>
      <c r="CH151" s="33" t="n">
        <f aca="false">(CH60+CH53)*(CH$4&lt;=$E12)+$F142*CH12</f>
        <v>0</v>
      </c>
      <c r="CI151" s="33" t="n">
        <f aca="false">(CI60+CI53)*(CI$4&lt;=$E12)+$F142*CI12</f>
        <v>0</v>
      </c>
      <c r="CJ151" s="33" t="n">
        <f aca="false">(CJ60+CJ53)*(CJ$4&lt;=$E12)+$F142*CJ12</f>
        <v>0</v>
      </c>
      <c r="CK151" s="33" t="n">
        <f aca="false">(CK60+CK53)*(CK$4&lt;=$E12)+$F142*CK12</f>
        <v>0</v>
      </c>
      <c r="CL151" s="33" t="n">
        <f aca="false">(CL60+CL53)*(CL$4&lt;=$E12)+$F142*CL12</f>
        <v>0</v>
      </c>
      <c r="CM151" s="33" t="n">
        <f aca="false">(CM60+CM53)*(CM$4&lt;=$E12)+$F142*CM12</f>
        <v>0</v>
      </c>
      <c r="CN151" s="33" t="n">
        <f aca="false">(CN60+CN53)*(CN$4&lt;=$E12)+$F142*CN12</f>
        <v>0</v>
      </c>
      <c r="CO151" s="33" t="n">
        <f aca="false">(CO60+CO53)*(CO$4&lt;=$E12)+$F142*CO12</f>
        <v>0</v>
      </c>
      <c r="CP151" s="33" t="n">
        <f aca="false">(CP60+CP53)*(CP$4&lt;=$E12)+$F142*CP12</f>
        <v>0</v>
      </c>
      <c r="CQ151" s="33" t="n">
        <f aca="false">(CQ60+CQ53)*(CQ$4&lt;=$E12)+$F142*CQ12</f>
        <v>0</v>
      </c>
      <c r="CR151" s="33" t="n">
        <f aca="false">(CR60+CR53)*(CR$4&lt;=$E12)+$F142*CR12</f>
        <v>0</v>
      </c>
      <c r="CS151" s="33" t="n">
        <f aca="false">(CS60+CS53)*(CS$4&lt;=$E12)+$F142*CS12</f>
        <v>0</v>
      </c>
      <c r="CT151" s="33" t="n">
        <f aca="false">(CT60+CT53)*(CT$4&lt;=$E12)+$F142*CT12</f>
        <v>0</v>
      </c>
      <c r="CU151" s="33" t="n">
        <f aca="false">(CU60+CU53)*(CU$4&lt;=$E12)+$F142*CU12</f>
        <v>0</v>
      </c>
      <c r="CV151" s="33" t="n">
        <f aca="false">(CV60+CV53)*(CV$4&lt;=$E12)+$F142*CV12</f>
        <v>0</v>
      </c>
      <c r="CW151" s="33" t="n">
        <f aca="false">(CW60+CW53)*(CW$4&lt;=$E12)+$F142*CW12</f>
        <v>0</v>
      </c>
      <c r="CX151" s="33" t="n">
        <f aca="false">(CX60+CX53)*(CX$4&lt;=$E12)+$F142*CX12</f>
        <v>0</v>
      </c>
      <c r="CY151" s="33" t="n">
        <f aca="false">(CY60+CY53)*(CY$4&lt;=$E12)+$F142*CY12</f>
        <v>0</v>
      </c>
      <c r="CZ151" s="33" t="n">
        <f aca="false">(CZ60+CZ53)*(CZ$4&lt;=$E12)+$F142*CZ12</f>
        <v>0</v>
      </c>
      <c r="DA151" s="33" t="n">
        <f aca="false">(DA60+DA53)*(DA$4&lt;=$E12)+$F142*DA12</f>
        <v>0</v>
      </c>
      <c r="DB151" s="33" t="n">
        <f aca="false">(DB60+DB53)*(DB$4&lt;=$E12)+$F142*DB12</f>
        <v>0</v>
      </c>
      <c r="DC151" s="33" t="n">
        <f aca="false">(DC60+DC53)*(DC$4&lt;=$E12)+$F142*DC12</f>
        <v>0</v>
      </c>
      <c r="DD151" s="33" t="n">
        <f aca="false">(DD60+DD53)*(DD$4&lt;=$E12)+$F142*DD12</f>
        <v>0</v>
      </c>
      <c r="DE151" s="33" t="n">
        <f aca="false">(DE60+DE53)*(DE$4&lt;=$E12)+$F142*DE12</f>
        <v>0</v>
      </c>
      <c r="DF151" s="33" t="n">
        <f aca="false">(DF60+DF53)*(DF$4&lt;=$E12)+$F142*DF12</f>
        <v>0</v>
      </c>
      <c r="DG151" s="33" t="n">
        <f aca="false">(DG60+DG53)*(DG$4&lt;=$E12)+$F142*DG12</f>
        <v>0</v>
      </c>
      <c r="DH151" s="33" t="n">
        <f aca="false">(DH60+DH53)*(DH$4&lt;=$E12)+$F142*DH12</f>
        <v>0</v>
      </c>
      <c r="DI151" s="33" t="n">
        <f aca="false">(DI60+DI53)*(DI$4&lt;=$E12)+$F142*DI12</f>
        <v>0</v>
      </c>
      <c r="DJ151" s="33" t="n">
        <f aca="false">(DJ60+DJ53)*(DJ$4&lt;=$E12)+$F142*DJ12</f>
        <v>0</v>
      </c>
      <c r="DK151" s="33" t="n">
        <f aca="false">(DK60+DK53)*(DK$4&lt;=$E12)+$F142*DK12</f>
        <v>0</v>
      </c>
      <c r="DL151" s="33" t="n">
        <f aca="false">(DL60+DL53)*(DL$4&lt;=$E12)+$F142*DL12</f>
        <v>0</v>
      </c>
      <c r="DM151" s="33" t="n">
        <f aca="false">(DM60+DM53)*(DM$4&lt;=$E12)+$F142*DM12</f>
        <v>0</v>
      </c>
      <c r="DN151" s="33" t="n">
        <f aca="false">(DN60+DN53)*(DN$4&lt;=$E12)+$F142*DN12</f>
        <v>0</v>
      </c>
      <c r="DO151" s="33" t="n">
        <f aca="false">(DO60+DO53)*(DO$4&lt;=$E12)+$F142*DO12</f>
        <v>0</v>
      </c>
      <c r="DP151" s="33" t="n">
        <f aca="false">(DP60+DP53)*(DP$4&lt;=$E12)+$F142*DP12</f>
        <v>0</v>
      </c>
      <c r="DQ151" s="33" t="n">
        <f aca="false">(DQ60+DQ53)*(DQ$4&lt;=$E12)+$F142*DQ12</f>
        <v>0</v>
      </c>
      <c r="DR151" s="33" t="n">
        <f aca="false">(DR60+DR53)*(DR$4&lt;=$E12)+$F142*DR12</f>
        <v>0</v>
      </c>
      <c r="DS151" s="33" t="n">
        <f aca="false">(DS60+DS53)*(DS$4&lt;=$E12)+$F142*DS12</f>
        <v>0</v>
      </c>
      <c r="DT151" s="33" t="n">
        <f aca="false">(DT60+DT53)*(DT$4&lt;=$E12)+$F142*DT12</f>
        <v>0</v>
      </c>
      <c r="DU151" s="33" t="n">
        <f aca="false">(DU60+DU53)*(DU$4&lt;=$E12)+$F142*DU12</f>
        <v>0</v>
      </c>
      <c r="DV151" s="33" t="n">
        <f aca="false">(DV60+DV53)*(DV$4&lt;=$E12)+$F142*DV12</f>
        <v>0</v>
      </c>
      <c r="DW151" s="33" t="n">
        <f aca="false">(DW60+DW53)*(DW$4&lt;=$E12)+$F142*DW12</f>
        <v>0</v>
      </c>
      <c r="DX151" s="33" t="n">
        <f aca="false">(DX60+DX53)*(DX$4&lt;=$E12)+$F142*DX12</f>
        <v>0</v>
      </c>
      <c r="DY151" s="33" t="n">
        <f aca="false">(DY60+DY53)*(DY$4&lt;=$E12)+$F142*DY12</f>
        <v>0</v>
      </c>
      <c r="DZ151" s="33" t="n">
        <f aca="false">(DZ60+DZ53)*(DZ$4&lt;=$E12)+$F142*DZ12</f>
        <v>0</v>
      </c>
      <c r="EA151" s="33" t="n">
        <f aca="false">(EA60+EA53)*(EA$4&lt;=$E12)+$F142*EA12</f>
        <v>0</v>
      </c>
      <c r="EB151" s="33" t="n">
        <f aca="false">(EB60+EB53)*(EB$4&lt;=$E12)+$F142*EB12</f>
        <v>0</v>
      </c>
      <c r="EC151" s="33" t="n">
        <f aca="false">(EC60+EC53)*(EC$4&lt;=$E12)+$F142*EC12</f>
        <v>0</v>
      </c>
      <c r="ED151" s="33" t="n">
        <f aca="false">(ED60+ED53)*(ED$4&lt;=$E12)+$F142*ED12</f>
        <v>0</v>
      </c>
      <c r="EE151" s="33" t="n">
        <f aca="false">(EE60+EE53)*(EE$4&lt;=$E12)+$F142*EE12</f>
        <v>0</v>
      </c>
      <c r="EF151" s="33" t="n">
        <f aca="false">(EF60+EF53)*(EF$4&lt;=$E12)+$F142*EF12</f>
        <v>0</v>
      </c>
      <c r="EG151" s="33" t="n">
        <f aca="false">(EG60+EG53)*(EG$4&lt;=$E12)+$F142*EG12</f>
        <v>0</v>
      </c>
      <c r="EH151" s="33" t="n">
        <f aca="false">(EH60+EH53)*(EH$4&lt;=$E12)+$F142*EH12</f>
        <v>0</v>
      </c>
      <c r="EI151" s="33" t="n">
        <f aca="false">(EI60+EI53)*(EI$4&lt;=$E12)+$F142*EI12</f>
        <v>0</v>
      </c>
      <c r="EJ151" s="33" t="n">
        <f aca="false">(EJ60+EJ53)*(EJ$4&lt;=$E12)+$F142*EJ12</f>
        <v>0</v>
      </c>
      <c r="EK151" s="33" t="n">
        <f aca="false">(EK60+EK53)*(EK$4&lt;=$E12)+$F142*EK12</f>
        <v>0</v>
      </c>
      <c r="EL151" s="33" t="n">
        <f aca="false">(EL60+EL53)*(EL$4&lt;=$E12)+$F142*EL12</f>
        <v>0</v>
      </c>
      <c r="EM151" s="33" t="n">
        <f aca="false">(EM60+EM53)*(EM$4&lt;=$E12)+$F142*EM12</f>
        <v>0</v>
      </c>
      <c r="EN151" s="33" t="n">
        <f aca="false">(EN60+EN53)*(EN$4&lt;=$E12)+$F142*EN12</f>
        <v>0</v>
      </c>
      <c r="EO151" s="33" t="n">
        <f aca="false">(EO60+EO53)*(EO$4&lt;=$E12)+$F142*EO12</f>
        <v>0</v>
      </c>
      <c r="EP151" s="33" t="n">
        <f aca="false">(EP60+EP53)*(EP$4&lt;=$E12)+$F142*EP12</f>
        <v>0</v>
      </c>
      <c r="EQ151" s="33" t="n">
        <f aca="false">(EQ60+EQ53)*(EQ$4&lt;=$E12)+$F142*EQ12</f>
        <v>0</v>
      </c>
      <c r="ER151" s="33" t="n">
        <f aca="false">(ER60+ER53)*(ER$4&lt;=$E12)+$F142*ER12</f>
        <v>0</v>
      </c>
      <c r="ES151" s="33" t="n">
        <f aca="false">(ES60+ES53)*(ES$4&lt;=$E12)+$F142*ES12</f>
        <v>0</v>
      </c>
      <c r="ET151" s="33" t="n">
        <f aca="false">(ET60+ET53)*(ET$4&lt;=$E12)+$F142*ET12</f>
        <v>0</v>
      </c>
    </row>
    <row r="152" customFormat="false" ht="15" hidden="false" customHeight="false" outlineLevel="0" collapsed="false">
      <c r="C152" s="30" t="s">
        <v>590</v>
      </c>
      <c r="D152" s="11" t="s">
        <v>247</v>
      </c>
      <c r="I152" s="35" t="n">
        <f aca="false">SUM(J152:ET152)</f>
        <v>6546.75873853232</v>
      </c>
      <c r="J152" s="35" t="n">
        <f aca="false">J151+$E151*J12</f>
        <v>-400</v>
      </c>
      <c r="K152" s="35" t="n">
        <f aca="false">K151+$E151*K12</f>
        <v>-1437.78053818728</v>
      </c>
      <c r="L152" s="35" t="n">
        <f aca="false">L151+$E151*L12</f>
        <v>-691.910911990993</v>
      </c>
      <c r="M152" s="35" t="n">
        <f aca="false">M151+$E151*M12</f>
        <v>-148.451634452993</v>
      </c>
      <c r="N152" s="35" t="n">
        <f aca="false">N151+$E151*N12</f>
        <v>-149.601261024582</v>
      </c>
      <c r="O152" s="35" t="n">
        <f aca="false">O151+$E151*O12</f>
        <v>-290.127288421843</v>
      </c>
      <c r="P152" s="35" t="n">
        <f aca="false">P151+$E151*P12</f>
        <v>-1394.65781281475</v>
      </c>
      <c r="Q152" s="35" t="n">
        <f aca="false">Q151+$E151*Q12</f>
        <v>-109.225607055733</v>
      </c>
      <c r="R152" s="35" t="n">
        <f aca="false">R151+$E151*R12</f>
        <v>-269.857154566657</v>
      </c>
      <c r="S152" s="35" t="n">
        <f aca="false">S151+$E151*S12</f>
        <v>-422.991783283459</v>
      </c>
      <c r="T152" s="35" t="n">
        <f aca="false">T151+$E151*T12</f>
        <v>-20587.5113339088</v>
      </c>
      <c r="U152" s="35" t="n">
        <f aca="false">U151+$E151*U12</f>
        <v>-104.616018014637</v>
      </c>
      <c r="V152" s="35" t="n">
        <f aca="false">V151+$E151*V12</f>
        <v>-105.765644586226</v>
      </c>
      <c r="W152" s="35" t="n">
        <f aca="false">W151+$E151*W12</f>
        <v>32659.2557268403</v>
      </c>
      <c r="X152" s="35" t="n">
        <f aca="false">X151+$E151*X12</f>
        <v>0</v>
      </c>
      <c r="Y152" s="35" t="n">
        <f aca="false">Y151+$E151*Y12</f>
        <v>0</v>
      </c>
      <c r="Z152" s="35" t="n">
        <f aca="false">Z151+$E151*Z12</f>
        <v>0</v>
      </c>
      <c r="AA152" s="35" t="n">
        <f aca="false">AA151+$E151*AA12</f>
        <v>0</v>
      </c>
      <c r="AB152" s="35" t="n">
        <f aca="false">AB151+$E151*AB12</f>
        <v>0</v>
      </c>
      <c r="AC152" s="35" t="n">
        <f aca="false">AC151+$E151*AC12</f>
        <v>0</v>
      </c>
      <c r="AD152" s="35" t="n">
        <f aca="false">AD151+$E151*AD12</f>
        <v>0</v>
      </c>
      <c r="AE152" s="35" t="n">
        <f aca="false">AE151+$E151*AE12</f>
        <v>0</v>
      </c>
      <c r="AF152" s="35" t="n">
        <f aca="false">AF151+$E151*AF12</f>
        <v>0</v>
      </c>
      <c r="AG152" s="35" t="n">
        <f aca="false">AG151+$E151*AG12</f>
        <v>0</v>
      </c>
      <c r="AH152" s="35" t="n">
        <f aca="false">AH151+$E151*AH12</f>
        <v>0</v>
      </c>
      <c r="AI152" s="35" t="n">
        <f aca="false">AI151+$E151*AI12</f>
        <v>0</v>
      </c>
      <c r="AJ152" s="35" t="n">
        <f aca="false">AJ151+$E151*AJ12</f>
        <v>0</v>
      </c>
      <c r="AK152" s="35" t="n">
        <f aca="false">AK151+$E151*AK12</f>
        <v>0</v>
      </c>
      <c r="AL152" s="35" t="n">
        <f aca="false">AL151+$E151*AL12</f>
        <v>0</v>
      </c>
      <c r="AM152" s="35" t="n">
        <f aca="false">AM151+$E151*AM12</f>
        <v>0</v>
      </c>
      <c r="AN152" s="35" t="n">
        <f aca="false">AN151+$E151*AN12</f>
        <v>0</v>
      </c>
      <c r="AO152" s="35" t="n">
        <f aca="false">AO151+$E151*AO12</f>
        <v>0</v>
      </c>
      <c r="AP152" s="35" t="n">
        <f aca="false">AP151+$E151*AP12</f>
        <v>0</v>
      </c>
      <c r="AQ152" s="35" t="n">
        <f aca="false">AQ151+$E151*AQ12</f>
        <v>0</v>
      </c>
      <c r="AR152" s="35" t="n">
        <f aca="false">AR151+$E151*AR12</f>
        <v>0</v>
      </c>
      <c r="AS152" s="35" t="n">
        <f aca="false">AS151+$E151*AS12</f>
        <v>0</v>
      </c>
      <c r="AT152" s="35" t="n">
        <f aca="false">AT151+$E151*AT12</f>
        <v>0</v>
      </c>
      <c r="AU152" s="35" t="n">
        <f aca="false">AU151+$E151*AU12</f>
        <v>0</v>
      </c>
      <c r="AV152" s="35" t="n">
        <f aca="false">AV151+$E151*AV12</f>
        <v>0</v>
      </c>
      <c r="AW152" s="35" t="n">
        <f aca="false">AW151+$E151*AW12</f>
        <v>0</v>
      </c>
      <c r="AX152" s="35" t="n">
        <f aca="false">AX151+$E151*AX12</f>
        <v>0</v>
      </c>
      <c r="AY152" s="35" t="n">
        <f aca="false">AY151+$E151*AY12</f>
        <v>0</v>
      </c>
      <c r="AZ152" s="35" t="n">
        <f aca="false">AZ151+$E151*AZ12</f>
        <v>0</v>
      </c>
      <c r="BA152" s="35" t="n">
        <f aca="false">BA151+$E151*BA12</f>
        <v>0</v>
      </c>
      <c r="BB152" s="35" t="n">
        <f aca="false">BB151+$E151*BB12</f>
        <v>0</v>
      </c>
      <c r="BC152" s="35" t="n">
        <f aca="false">BC151+$E151*BC12</f>
        <v>0</v>
      </c>
      <c r="BD152" s="35" t="n">
        <f aca="false">BD151+$E151*BD12</f>
        <v>0</v>
      </c>
      <c r="BE152" s="35" t="n">
        <f aca="false">BE151+$E151*BE12</f>
        <v>0</v>
      </c>
      <c r="BF152" s="35" t="n">
        <f aca="false">BF151+$E151*BF12</f>
        <v>0</v>
      </c>
      <c r="BG152" s="35" t="n">
        <f aca="false">BG151+$E151*BG12</f>
        <v>0</v>
      </c>
      <c r="BH152" s="35" t="n">
        <f aca="false">BH151+$E151*BH12</f>
        <v>0</v>
      </c>
      <c r="BI152" s="35" t="n">
        <f aca="false">BI151+$E151*BI12</f>
        <v>0</v>
      </c>
      <c r="BJ152" s="35" t="n">
        <f aca="false">BJ151+$E151*BJ12</f>
        <v>0</v>
      </c>
      <c r="BK152" s="35" t="n">
        <f aca="false">BK151+$E151*BK12</f>
        <v>0</v>
      </c>
      <c r="BL152" s="35" t="n">
        <f aca="false">BL151+$E151*BL12</f>
        <v>0</v>
      </c>
      <c r="BM152" s="35" t="n">
        <f aca="false">BM151+$E151*BM12</f>
        <v>0</v>
      </c>
      <c r="BN152" s="35" t="n">
        <f aca="false">BN151+$E151*BN12</f>
        <v>0</v>
      </c>
      <c r="BO152" s="35" t="n">
        <f aca="false">BO151+$E151*BO12</f>
        <v>0</v>
      </c>
      <c r="BP152" s="35" t="n">
        <f aca="false">BP151+$E151*BP12</f>
        <v>0</v>
      </c>
      <c r="BQ152" s="35" t="n">
        <f aca="false">BQ151+$E151*BQ12</f>
        <v>0</v>
      </c>
      <c r="BR152" s="35" t="n">
        <f aca="false">BR151+$E151*BR12</f>
        <v>0</v>
      </c>
      <c r="BS152" s="35" t="n">
        <f aca="false">BS151+$E151*BS12</f>
        <v>0</v>
      </c>
      <c r="BT152" s="35" t="n">
        <f aca="false">BT151+$E151*BT12</f>
        <v>0</v>
      </c>
      <c r="BU152" s="35" t="n">
        <f aca="false">BU151+$E151*BU12</f>
        <v>0</v>
      </c>
      <c r="BV152" s="35" t="n">
        <f aca="false">BV151+$E151*BV12</f>
        <v>0</v>
      </c>
      <c r="BW152" s="35" t="n">
        <f aca="false">BW151+$E151*BW12</f>
        <v>0</v>
      </c>
      <c r="BX152" s="35" t="n">
        <f aca="false">BX151+$E151*BX12</f>
        <v>0</v>
      </c>
      <c r="BY152" s="35" t="n">
        <f aca="false">BY151+$E151*BY12</f>
        <v>0</v>
      </c>
      <c r="BZ152" s="35" t="n">
        <f aca="false">BZ151+$E151*BZ12</f>
        <v>0</v>
      </c>
      <c r="CA152" s="35" t="n">
        <f aca="false">CA151+$E151*CA12</f>
        <v>0</v>
      </c>
      <c r="CB152" s="35" t="n">
        <f aca="false">CB151+$E151*CB12</f>
        <v>0</v>
      </c>
      <c r="CC152" s="35" t="n">
        <f aca="false">CC151+$E151*CC12</f>
        <v>0</v>
      </c>
      <c r="CD152" s="35" t="n">
        <f aca="false">CD151+$E151*CD12</f>
        <v>0</v>
      </c>
      <c r="CE152" s="35" t="n">
        <f aca="false">CE151+$E151*CE12</f>
        <v>0</v>
      </c>
      <c r="CF152" s="35" t="n">
        <f aca="false">CF151+$E151*CF12</f>
        <v>0</v>
      </c>
      <c r="CG152" s="35" t="n">
        <f aca="false">CG151+$E151*CG12</f>
        <v>0</v>
      </c>
      <c r="CH152" s="35" t="n">
        <f aca="false">CH151+$E151*CH12</f>
        <v>0</v>
      </c>
      <c r="CI152" s="35" t="n">
        <f aca="false">CI151+$E151*CI12</f>
        <v>0</v>
      </c>
      <c r="CJ152" s="35" t="n">
        <f aca="false">CJ151+$E151*CJ12</f>
        <v>0</v>
      </c>
      <c r="CK152" s="35" t="n">
        <f aca="false">CK151+$E151*CK12</f>
        <v>0</v>
      </c>
      <c r="CL152" s="35" t="n">
        <f aca="false">CL151+$E151*CL12</f>
        <v>0</v>
      </c>
      <c r="CM152" s="35" t="n">
        <f aca="false">CM151+$E151*CM12</f>
        <v>0</v>
      </c>
      <c r="CN152" s="35" t="n">
        <f aca="false">CN151+$E151*CN12</f>
        <v>0</v>
      </c>
      <c r="CO152" s="35" t="n">
        <f aca="false">CO151+$E151*CO12</f>
        <v>0</v>
      </c>
      <c r="CP152" s="35" t="n">
        <f aca="false">CP151+$E151*CP12</f>
        <v>0</v>
      </c>
      <c r="CQ152" s="35" t="n">
        <f aca="false">CQ151+$E151*CQ12</f>
        <v>0</v>
      </c>
      <c r="CR152" s="35" t="n">
        <f aca="false">CR151+$E151*CR12</f>
        <v>0</v>
      </c>
      <c r="CS152" s="35" t="n">
        <f aca="false">CS151+$E151*CS12</f>
        <v>0</v>
      </c>
      <c r="CT152" s="35" t="n">
        <f aca="false">CT151+$E151*CT12</f>
        <v>0</v>
      </c>
      <c r="CU152" s="35" t="n">
        <f aca="false">CU151+$E151*CU12</f>
        <v>0</v>
      </c>
      <c r="CV152" s="35" t="n">
        <f aca="false">CV151+$E151*CV12</f>
        <v>0</v>
      </c>
      <c r="CW152" s="35" t="n">
        <f aca="false">CW151+$E151*CW12</f>
        <v>0</v>
      </c>
      <c r="CX152" s="35" t="n">
        <f aca="false">CX151+$E151*CX12</f>
        <v>0</v>
      </c>
      <c r="CY152" s="35" t="n">
        <f aca="false">CY151+$E151*CY12</f>
        <v>0</v>
      </c>
      <c r="CZ152" s="35" t="n">
        <f aca="false">CZ151+$E151*CZ12</f>
        <v>0</v>
      </c>
      <c r="DA152" s="35" t="n">
        <f aca="false">DA151+$E151*DA12</f>
        <v>0</v>
      </c>
      <c r="DB152" s="35" t="n">
        <f aca="false">DB151+$E151*DB12</f>
        <v>0</v>
      </c>
      <c r="DC152" s="35" t="n">
        <f aca="false">DC151+$E151*DC12</f>
        <v>0</v>
      </c>
      <c r="DD152" s="35" t="n">
        <f aca="false">DD151+$E151*DD12</f>
        <v>0</v>
      </c>
      <c r="DE152" s="35" t="n">
        <f aca="false">DE151+$E151*DE12</f>
        <v>0</v>
      </c>
      <c r="DF152" s="35" t="n">
        <f aca="false">DF151+$E151*DF12</f>
        <v>0</v>
      </c>
      <c r="DG152" s="35" t="n">
        <f aca="false">DG151+$E151*DG12</f>
        <v>0</v>
      </c>
      <c r="DH152" s="35" t="n">
        <f aca="false">DH151+$E151*DH12</f>
        <v>0</v>
      </c>
      <c r="DI152" s="35" t="n">
        <f aca="false">DI151+$E151*DI12</f>
        <v>0</v>
      </c>
      <c r="DJ152" s="35" t="n">
        <f aca="false">DJ151+$E151*DJ12</f>
        <v>0</v>
      </c>
      <c r="DK152" s="35" t="n">
        <f aca="false">DK151+$E151*DK12</f>
        <v>0</v>
      </c>
      <c r="DL152" s="35" t="n">
        <f aca="false">DL151+$E151*DL12</f>
        <v>0</v>
      </c>
      <c r="DM152" s="35" t="n">
        <f aca="false">DM151+$E151*DM12</f>
        <v>0</v>
      </c>
      <c r="DN152" s="35" t="n">
        <f aca="false">DN151+$E151*DN12</f>
        <v>0</v>
      </c>
      <c r="DO152" s="35" t="n">
        <f aca="false">DO151+$E151*DO12</f>
        <v>0</v>
      </c>
      <c r="DP152" s="35" t="n">
        <f aca="false">DP151+$E151*DP12</f>
        <v>0</v>
      </c>
      <c r="DQ152" s="35" t="n">
        <f aca="false">DQ151+$E151*DQ12</f>
        <v>0</v>
      </c>
      <c r="DR152" s="35" t="n">
        <f aca="false">DR151+$E151*DR12</f>
        <v>0</v>
      </c>
      <c r="DS152" s="35" t="n">
        <f aca="false">DS151+$E151*DS12</f>
        <v>0</v>
      </c>
      <c r="DT152" s="35" t="n">
        <f aca="false">DT151+$E151*DT12</f>
        <v>0</v>
      </c>
      <c r="DU152" s="35" t="n">
        <f aca="false">DU151+$E151*DU12</f>
        <v>0</v>
      </c>
      <c r="DV152" s="35" t="n">
        <f aca="false">DV151+$E151*DV12</f>
        <v>0</v>
      </c>
      <c r="DW152" s="35" t="n">
        <f aca="false">DW151+$E151*DW12</f>
        <v>0</v>
      </c>
      <c r="DX152" s="35" t="n">
        <f aca="false">DX151+$E151*DX12</f>
        <v>0</v>
      </c>
      <c r="DY152" s="35" t="n">
        <f aca="false">DY151+$E151*DY12</f>
        <v>0</v>
      </c>
      <c r="DZ152" s="35" t="n">
        <f aca="false">DZ151+$E151*DZ12</f>
        <v>0</v>
      </c>
      <c r="EA152" s="35" t="n">
        <f aca="false">EA151+$E151*EA12</f>
        <v>0</v>
      </c>
      <c r="EB152" s="35" t="n">
        <f aca="false">EB151+$E151*EB12</f>
        <v>0</v>
      </c>
      <c r="EC152" s="35" t="n">
        <f aca="false">EC151+$E151*EC12</f>
        <v>0</v>
      </c>
      <c r="ED152" s="35" t="n">
        <f aca="false">ED151+$E151*ED12</f>
        <v>0</v>
      </c>
      <c r="EE152" s="35" t="n">
        <f aca="false">EE151+$E151*EE12</f>
        <v>0</v>
      </c>
      <c r="EF152" s="35" t="n">
        <f aca="false">EF151+$E151*EF12</f>
        <v>0</v>
      </c>
      <c r="EG152" s="35" t="n">
        <f aca="false">EG151+$E151*EG12</f>
        <v>0</v>
      </c>
      <c r="EH152" s="35" t="n">
        <f aca="false">EH151+$E151*EH12</f>
        <v>0</v>
      </c>
      <c r="EI152" s="35" t="n">
        <f aca="false">EI151+$E151*EI12</f>
        <v>0</v>
      </c>
      <c r="EJ152" s="35" t="n">
        <f aca="false">EJ151+$E151*EJ12</f>
        <v>0</v>
      </c>
      <c r="EK152" s="35" t="n">
        <f aca="false">EK151+$E151*EK12</f>
        <v>0</v>
      </c>
      <c r="EL152" s="35" t="n">
        <f aca="false">EL151+$E151*EL12</f>
        <v>0</v>
      </c>
      <c r="EM152" s="35" t="n">
        <f aca="false">EM151+$E151*EM12</f>
        <v>0</v>
      </c>
      <c r="EN152" s="35" t="n">
        <f aca="false">EN151+$E151*EN12</f>
        <v>0</v>
      </c>
      <c r="EO152" s="35" t="n">
        <f aca="false">EO151+$E151*EO12</f>
        <v>0</v>
      </c>
      <c r="EP152" s="35" t="n">
        <f aca="false">EP151+$E151*EP12</f>
        <v>0</v>
      </c>
      <c r="EQ152" s="35" t="n">
        <f aca="false">EQ151+$E151*EQ12</f>
        <v>0</v>
      </c>
      <c r="ER152" s="35" t="n">
        <f aca="false">ER151+$E151*ER12</f>
        <v>0</v>
      </c>
      <c r="ES152" s="35" t="n">
        <f aca="false">ES151+$E151*ES12</f>
        <v>0</v>
      </c>
      <c r="ET152" s="35" t="n">
        <f aca="false">ET151+$E151*ET12</f>
        <v>0</v>
      </c>
    </row>
    <row r="153" customFormat="false" ht="15" hidden="false" customHeight="false" outlineLevel="0" collapsed="false">
      <c r="C153" s="0" t="s">
        <v>167</v>
      </c>
      <c r="D153" s="11" t="s">
        <v>247</v>
      </c>
      <c r="E153" s="33" t="n">
        <f aca="false">$E59+$I46+$E151</f>
        <v>-1806.77268158454</v>
      </c>
    </row>
    <row r="154" customFormat="false" ht="15" hidden="false" customHeight="false" outlineLevel="0" collapsed="false">
      <c r="C154" s="30" t="s">
        <v>75</v>
      </c>
      <c r="D154" s="11" t="s">
        <v>35</v>
      </c>
      <c r="E154" s="57" t="n">
        <f aca="false">IFERROR(XIRR($J152:$ET152,$J$4:$ET$4),"n/a")</f>
        <v>0.221510760619134</v>
      </c>
    </row>
    <row r="155" customFormat="false" ht="15" hidden="false" customHeight="false" outlineLevel="0" collapsed="false">
      <c r="C155" s="30" t="s">
        <v>591</v>
      </c>
      <c r="D155" s="11" t="s">
        <v>13</v>
      </c>
      <c r="E155" s="58" t="n">
        <f aca="false">($F142+$E151)/($F142-$I151)</f>
        <v>1.24970223352323</v>
      </c>
    </row>
    <row r="156" customFormat="false" ht="15" hidden="false" customHeight="false" outlineLevel="0" collapsed="false">
      <c r="C156" s="30" t="s">
        <v>169</v>
      </c>
      <c r="D156" s="11" t="s">
        <v>247</v>
      </c>
      <c r="E156" s="35" t="n">
        <f aca="false">XNPV(In_Discount_Rate,$J152:$ET152,$J$4:$ET$4)</f>
        <v>3328.54248477583</v>
      </c>
    </row>
    <row r="158" customFormat="false" ht="15" hidden="false" customHeight="false" outlineLevel="0" collapsed="false">
      <c r="A158" s="9" t="s">
        <v>13</v>
      </c>
      <c r="B158" s="9"/>
      <c r="C158" s="9" t="s">
        <v>170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</row>
    <row r="159" customFormat="false" ht="15" hidden="false" customHeight="false" outlineLevel="0" collapsed="false">
      <c r="C159" s="0" t="s">
        <v>592</v>
      </c>
      <c r="D159" s="11" t="s">
        <v>247</v>
      </c>
      <c r="I159" s="33" t="n">
        <f aca="false">SUM(J159:ET159)</f>
        <v>-73398.9735112757</v>
      </c>
      <c r="J159" s="33" t="n">
        <f aca="false">(J60+J105+J98+J119)*(J$4&lt;=In_COD)</f>
        <v>-400</v>
      </c>
      <c r="K159" s="33" t="n">
        <f aca="false">(K60+K105+K98+K119)*(K$4&lt;=In_COD)</f>
        <v>-1437.78053818728</v>
      </c>
      <c r="L159" s="33" t="n">
        <f aca="false">(L60+L105+L98+L119)*(L$4&lt;=In_COD)</f>
        <v>-691.910911990993</v>
      </c>
      <c r="M159" s="33" t="n">
        <f aca="false">(M60+M105+M98+M119)*(M$4&lt;=In_COD)</f>
        <v>-148.451634452993</v>
      </c>
      <c r="N159" s="33" t="n">
        <f aca="false">(N60+N105+N98+N119)*(N$4&lt;=In_COD)</f>
        <v>-149.601261024582</v>
      </c>
      <c r="O159" s="33" t="n">
        <f aca="false">(O60+O105+O98+O119)*(O$4&lt;=In_COD)</f>
        <v>-290.127288421843</v>
      </c>
      <c r="P159" s="33" t="n">
        <f aca="false">(P60+P105+P98+P119)*(P$4&lt;=In_COD)</f>
        <v>-1394.65781281475</v>
      </c>
      <c r="Q159" s="33" t="n">
        <f aca="false">(Q60+Q105+Q98+Q119)*(Q$4&lt;=In_COD)</f>
        <v>-109.225607055733</v>
      </c>
      <c r="R159" s="33" t="n">
        <f aca="false">(R60+R105+R98+R119)*(R$4&lt;=In_COD)</f>
        <v>-269.857154566657</v>
      </c>
      <c r="S159" s="33" t="n">
        <f aca="false">(S60+S105+S98+S119)*(S$4&lt;=In_COD)</f>
        <v>-422.991783283459</v>
      </c>
      <c r="T159" s="33" t="n">
        <f aca="false">(T60+T105+T98+T119)*(T$4&lt;=In_COD)</f>
        <v>-20587.5113339088</v>
      </c>
      <c r="U159" s="33" t="n">
        <f aca="false">(U60+U105+U98+U119)*(U$4&lt;=In_COD)</f>
        <v>-104.616018014637</v>
      </c>
      <c r="V159" s="33" t="n">
        <f aca="false">(V60+V105+V98+V119)*(V$4&lt;=In_COD)</f>
        <v>-105.765644586226</v>
      </c>
      <c r="W159" s="33" t="n">
        <f aca="false">(W60+W105+W98+W119)*(W$4&lt;=In_COD)</f>
        <v>-6875.32473538409</v>
      </c>
      <c r="X159" s="33" t="n">
        <f aca="false">(X60+X105+X98+X119)*(X$4&lt;=In_COD)</f>
        <v>-5073.5175863622</v>
      </c>
      <c r="Y159" s="33" t="n">
        <f aca="false">(Y60+Y105+Y98+Y119)*(Y$4&lt;=In_COD)</f>
        <v>-5103.58937070822</v>
      </c>
      <c r="Z159" s="33" t="n">
        <f aca="false">(Z60+Z105+Z98+Z119)*(Z$4&lt;=In_COD)</f>
        <v>-5132.78767858878</v>
      </c>
      <c r="AA159" s="33" t="n">
        <f aca="false">(AA60+AA105+AA98+AA119)*(AA$4&lt;=In_COD)</f>
        <v>-5105.60714622201</v>
      </c>
      <c r="AB159" s="33" t="n">
        <f aca="false">(AB60+AB105+AB98+AB119)*(AB$4&lt;=In_COD)</f>
        <v>-4969.92045560723</v>
      </c>
      <c r="AC159" s="33" t="n">
        <f aca="false">(AC60+AC105+AC98+AC119)*(AC$4&lt;=In_COD)</f>
        <v>-4998.84116072264</v>
      </c>
      <c r="AD159" s="33" t="n">
        <f aca="false">(AD60+AD105+AD98+AD119)*(AD$4&lt;=In_COD)</f>
        <v>-10026.8883893726</v>
      </c>
      <c r="AE159" s="33" t="n">
        <f aca="false">(AE60+AE105+AE98+AE119)*(AE$4&lt;=In_COD)</f>
        <v>0</v>
      </c>
      <c r="AF159" s="33" t="n">
        <f aca="false">(AF60+AF105+AF98+AF119)*(AF$4&lt;=In_COD)</f>
        <v>0</v>
      </c>
      <c r="AG159" s="33" t="n">
        <f aca="false">(AG60+AG105+AG98+AG119)*(AG$4&lt;=In_COD)</f>
        <v>0</v>
      </c>
      <c r="AH159" s="33" t="n">
        <f aca="false">(AH60+AH105+AH98+AH119)*(AH$4&lt;=In_COD)</f>
        <v>0</v>
      </c>
      <c r="AI159" s="33" t="n">
        <f aca="false">(AI60+AI105+AI98+AI119)*(AI$4&lt;=In_COD)</f>
        <v>0</v>
      </c>
      <c r="AJ159" s="33" t="n">
        <f aca="false">(AJ60+AJ105+AJ98+AJ119)*(AJ$4&lt;=In_COD)</f>
        <v>0</v>
      </c>
      <c r="AK159" s="33" t="n">
        <f aca="false">(AK60+AK105+AK98+AK119)*(AK$4&lt;=In_COD)</f>
        <v>0</v>
      </c>
      <c r="AL159" s="33" t="n">
        <f aca="false">(AL60+AL105+AL98+AL119)*(AL$4&lt;=In_COD)</f>
        <v>0</v>
      </c>
      <c r="AM159" s="33" t="n">
        <f aca="false">(AM60+AM105+AM98+AM119)*(AM$4&lt;=In_COD)</f>
        <v>0</v>
      </c>
      <c r="AN159" s="33" t="n">
        <f aca="false">(AN60+AN105+AN98+AN119)*(AN$4&lt;=In_COD)</f>
        <v>0</v>
      </c>
      <c r="AO159" s="33" t="n">
        <f aca="false">(AO60+AO105+AO98+AO119)*(AO$4&lt;=In_COD)</f>
        <v>0</v>
      </c>
      <c r="AP159" s="33" t="n">
        <f aca="false">(AP60+AP105+AP98+AP119)*(AP$4&lt;=In_COD)</f>
        <v>0</v>
      </c>
      <c r="AQ159" s="33" t="n">
        <f aca="false">(AQ60+AQ105+AQ98+AQ119)*(AQ$4&lt;=In_COD)</f>
        <v>0</v>
      </c>
      <c r="AR159" s="33" t="n">
        <f aca="false">(AR60+AR105+AR98+AR119)*(AR$4&lt;=In_COD)</f>
        <v>0</v>
      </c>
      <c r="AS159" s="33" t="n">
        <f aca="false">(AS60+AS105+AS98+AS119)*(AS$4&lt;=In_COD)</f>
        <v>0</v>
      </c>
      <c r="AT159" s="33" t="n">
        <f aca="false">(AT60+AT105+AT98+AT119)*(AT$4&lt;=In_COD)</f>
        <v>0</v>
      </c>
      <c r="AU159" s="33" t="n">
        <f aca="false">(AU60+AU105+AU98+AU119)*(AU$4&lt;=In_COD)</f>
        <v>0</v>
      </c>
      <c r="AV159" s="33" t="n">
        <f aca="false">(AV60+AV105+AV98+AV119)*(AV$4&lt;=In_COD)</f>
        <v>0</v>
      </c>
      <c r="AW159" s="33" t="n">
        <f aca="false">(AW60+AW105+AW98+AW119)*(AW$4&lt;=In_COD)</f>
        <v>0</v>
      </c>
      <c r="AX159" s="33" t="n">
        <f aca="false">(AX60+AX105+AX98+AX119)*(AX$4&lt;=In_COD)</f>
        <v>0</v>
      </c>
      <c r="AY159" s="33" t="n">
        <f aca="false">(AY60+AY105+AY98+AY119)*(AY$4&lt;=In_COD)</f>
        <v>0</v>
      </c>
      <c r="AZ159" s="33" t="n">
        <f aca="false">(AZ60+AZ105+AZ98+AZ119)*(AZ$4&lt;=In_COD)</f>
        <v>0</v>
      </c>
      <c r="BA159" s="33" t="n">
        <f aca="false">(BA60+BA105+BA98+BA119)*(BA$4&lt;=In_COD)</f>
        <v>0</v>
      </c>
      <c r="BB159" s="33" t="n">
        <f aca="false">(BB60+BB105+BB98+BB119)*(BB$4&lt;=In_COD)</f>
        <v>0</v>
      </c>
      <c r="BC159" s="33" t="n">
        <f aca="false">(BC60+BC105+BC98+BC119)*(BC$4&lt;=In_COD)</f>
        <v>0</v>
      </c>
      <c r="BD159" s="33" t="n">
        <f aca="false">(BD60+BD105+BD98+BD119)*(BD$4&lt;=In_COD)</f>
        <v>0</v>
      </c>
      <c r="BE159" s="33" t="n">
        <f aca="false">(BE60+BE105+BE98+BE119)*(BE$4&lt;=In_COD)</f>
        <v>0</v>
      </c>
      <c r="BF159" s="33" t="n">
        <f aca="false">(BF60+BF105+BF98+BF119)*(BF$4&lt;=In_COD)</f>
        <v>0</v>
      </c>
      <c r="BG159" s="33" t="n">
        <f aca="false">(BG60+BG105+BG98+BG119)*(BG$4&lt;=In_COD)</f>
        <v>0</v>
      </c>
      <c r="BH159" s="33" t="n">
        <f aca="false">(BH60+BH105+BH98+BH119)*(BH$4&lt;=In_COD)</f>
        <v>0</v>
      </c>
      <c r="BI159" s="33" t="n">
        <f aca="false">(BI60+BI105+BI98+BI119)*(BI$4&lt;=In_COD)</f>
        <v>0</v>
      </c>
      <c r="BJ159" s="33" t="n">
        <f aca="false">(BJ60+BJ105+BJ98+BJ119)*(BJ$4&lt;=In_COD)</f>
        <v>0</v>
      </c>
      <c r="BK159" s="33" t="n">
        <f aca="false">(BK60+BK105+BK98+BK119)*(BK$4&lt;=In_COD)</f>
        <v>0</v>
      </c>
      <c r="BL159" s="33" t="n">
        <f aca="false">(BL60+BL105+BL98+BL119)*(BL$4&lt;=In_COD)</f>
        <v>0</v>
      </c>
      <c r="BM159" s="33" t="n">
        <f aca="false">(BM60+BM105+BM98+BM119)*(BM$4&lt;=In_COD)</f>
        <v>0</v>
      </c>
      <c r="BN159" s="33" t="n">
        <f aca="false">(BN60+BN105+BN98+BN119)*(BN$4&lt;=In_COD)</f>
        <v>0</v>
      </c>
      <c r="BO159" s="33" t="n">
        <f aca="false">(BO60+BO105+BO98+BO119)*(BO$4&lt;=In_COD)</f>
        <v>0</v>
      </c>
      <c r="BP159" s="33" t="n">
        <f aca="false">(BP60+BP105+BP98+BP119)*(BP$4&lt;=In_COD)</f>
        <v>0</v>
      </c>
      <c r="BQ159" s="33" t="n">
        <f aca="false">(BQ60+BQ105+BQ98+BQ119)*(BQ$4&lt;=In_COD)</f>
        <v>0</v>
      </c>
      <c r="BR159" s="33" t="n">
        <f aca="false">(BR60+BR105+BR98+BR119)*(BR$4&lt;=In_COD)</f>
        <v>0</v>
      </c>
      <c r="BS159" s="33" t="n">
        <f aca="false">(BS60+BS105+BS98+BS119)*(BS$4&lt;=In_COD)</f>
        <v>0</v>
      </c>
      <c r="BT159" s="33" t="n">
        <f aca="false">(BT60+BT105+BT98+BT119)*(BT$4&lt;=In_COD)</f>
        <v>0</v>
      </c>
      <c r="BU159" s="33" t="n">
        <f aca="false">(BU60+BU105+BU98+BU119)*(BU$4&lt;=In_COD)</f>
        <v>0</v>
      </c>
      <c r="BV159" s="33" t="n">
        <f aca="false">(BV60+BV105+BV98+BV119)*(BV$4&lt;=In_COD)</f>
        <v>0</v>
      </c>
      <c r="BW159" s="33" t="n">
        <f aca="false">(BW60+BW105+BW98+BW119)*(BW$4&lt;=In_COD)</f>
        <v>0</v>
      </c>
      <c r="BX159" s="33" t="n">
        <f aca="false">(BX60+BX105+BX98+BX119)*(BX$4&lt;=In_COD)</f>
        <v>0</v>
      </c>
      <c r="BY159" s="33" t="n">
        <f aca="false">(BY60+BY105+BY98+BY119)*(BY$4&lt;=In_COD)</f>
        <v>0</v>
      </c>
      <c r="BZ159" s="33" t="n">
        <f aca="false">(BZ60+BZ105+BZ98+BZ119)*(BZ$4&lt;=In_COD)</f>
        <v>0</v>
      </c>
      <c r="CA159" s="33" t="n">
        <f aca="false">(CA60+CA105+CA98+CA119)*(CA$4&lt;=In_COD)</f>
        <v>0</v>
      </c>
      <c r="CB159" s="33" t="n">
        <f aca="false">(CB60+CB105+CB98+CB119)*(CB$4&lt;=In_COD)</f>
        <v>0</v>
      </c>
      <c r="CC159" s="33" t="n">
        <f aca="false">(CC60+CC105+CC98+CC119)*(CC$4&lt;=In_COD)</f>
        <v>0</v>
      </c>
      <c r="CD159" s="33" t="n">
        <f aca="false">(CD60+CD105+CD98+CD119)*(CD$4&lt;=In_COD)</f>
        <v>0</v>
      </c>
      <c r="CE159" s="33" t="n">
        <f aca="false">(CE60+CE105+CE98+CE119)*(CE$4&lt;=In_COD)</f>
        <v>0</v>
      </c>
      <c r="CF159" s="33" t="n">
        <f aca="false">(CF60+CF105+CF98+CF119)*(CF$4&lt;=In_COD)</f>
        <v>0</v>
      </c>
      <c r="CG159" s="33" t="n">
        <f aca="false">(CG60+CG105+CG98+CG119)*(CG$4&lt;=In_COD)</f>
        <v>0</v>
      </c>
      <c r="CH159" s="33" t="n">
        <f aca="false">(CH60+CH105+CH98+CH119)*(CH$4&lt;=In_COD)</f>
        <v>0</v>
      </c>
      <c r="CI159" s="33" t="n">
        <f aca="false">(CI60+CI105+CI98+CI119)*(CI$4&lt;=In_COD)</f>
        <v>0</v>
      </c>
      <c r="CJ159" s="33" t="n">
        <f aca="false">(CJ60+CJ105+CJ98+CJ119)*(CJ$4&lt;=In_COD)</f>
        <v>0</v>
      </c>
      <c r="CK159" s="33" t="n">
        <f aca="false">(CK60+CK105+CK98+CK119)*(CK$4&lt;=In_COD)</f>
        <v>0</v>
      </c>
      <c r="CL159" s="33" t="n">
        <f aca="false">(CL60+CL105+CL98+CL119)*(CL$4&lt;=In_COD)</f>
        <v>0</v>
      </c>
      <c r="CM159" s="33" t="n">
        <f aca="false">(CM60+CM105+CM98+CM119)*(CM$4&lt;=In_COD)</f>
        <v>0</v>
      </c>
      <c r="CN159" s="33" t="n">
        <f aca="false">(CN60+CN105+CN98+CN119)*(CN$4&lt;=In_COD)</f>
        <v>0</v>
      </c>
      <c r="CO159" s="33" t="n">
        <f aca="false">(CO60+CO105+CO98+CO119)*(CO$4&lt;=In_COD)</f>
        <v>0</v>
      </c>
      <c r="CP159" s="33" t="n">
        <f aca="false">(CP60+CP105+CP98+CP119)*(CP$4&lt;=In_COD)</f>
        <v>0</v>
      </c>
      <c r="CQ159" s="33" t="n">
        <f aca="false">(CQ60+CQ105+CQ98+CQ119)*(CQ$4&lt;=In_COD)</f>
        <v>0</v>
      </c>
      <c r="CR159" s="33" t="n">
        <f aca="false">(CR60+CR105+CR98+CR119)*(CR$4&lt;=In_COD)</f>
        <v>0</v>
      </c>
      <c r="CS159" s="33" t="n">
        <f aca="false">(CS60+CS105+CS98+CS119)*(CS$4&lt;=In_COD)</f>
        <v>0</v>
      </c>
      <c r="CT159" s="33" t="n">
        <f aca="false">(CT60+CT105+CT98+CT119)*(CT$4&lt;=In_COD)</f>
        <v>0</v>
      </c>
      <c r="CU159" s="33" t="n">
        <f aca="false">(CU60+CU105+CU98+CU119)*(CU$4&lt;=In_COD)</f>
        <v>0</v>
      </c>
      <c r="CV159" s="33" t="n">
        <f aca="false">(CV60+CV105+CV98+CV119)*(CV$4&lt;=In_COD)</f>
        <v>0</v>
      </c>
      <c r="CW159" s="33" t="n">
        <f aca="false">(CW60+CW105+CW98+CW119)*(CW$4&lt;=In_COD)</f>
        <v>0</v>
      </c>
      <c r="CX159" s="33" t="n">
        <f aca="false">(CX60+CX105+CX98+CX119)*(CX$4&lt;=In_COD)</f>
        <v>0</v>
      </c>
      <c r="CY159" s="33" t="n">
        <f aca="false">(CY60+CY105+CY98+CY119)*(CY$4&lt;=In_COD)</f>
        <v>0</v>
      </c>
      <c r="CZ159" s="33" t="n">
        <f aca="false">(CZ60+CZ105+CZ98+CZ119)*(CZ$4&lt;=In_COD)</f>
        <v>0</v>
      </c>
      <c r="DA159" s="33" t="n">
        <f aca="false">(DA60+DA105+DA98+DA119)*(DA$4&lt;=In_COD)</f>
        <v>0</v>
      </c>
      <c r="DB159" s="33" t="n">
        <f aca="false">(DB60+DB105+DB98+DB119)*(DB$4&lt;=In_COD)</f>
        <v>0</v>
      </c>
      <c r="DC159" s="33" t="n">
        <f aca="false">(DC60+DC105+DC98+DC119)*(DC$4&lt;=In_COD)</f>
        <v>0</v>
      </c>
      <c r="DD159" s="33" t="n">
        <f aca="false">(DD60+DD105+DD98+DD119)*(DD$4&lt;=In_COD)</f>
        <v>0</v>
      </c>
      <c r="DE159" s="33" t="n">
        <f aca="false">(DE60+DE105+DE98+DE119)*(DE$4&lt;=In_COD)</f>
        <v>0</v>
      </c>
      <c r="DF159" s="33" t="n">
        <f aca="false">(DF60+DF105+DF98+DF119)*(DF$4&lt;=In_COD)</f>
        <v>0</v>
      </c>
      <c r="DG159" s="33" t="n">
        <f aca="false">(DG60+DG105+DG98+DG119)*(DG$4&lt;=In_COD)</f>
        <v>0</v>
      </c>
      <c r="DH159" s="33" t="n">
        <f aca="false">(DH60+DH105+DH98+DH119)*(DH$4&lt;=In_COD)</f>
        <v>0</v>
      </c>
      <c r="DI159" s="33" t="n">
        <f aca="false">(DI60+DI105+DI98+DI119)*(DI$4&lt;=In_COD)</f>
        <v>0</v>
      </c>
      <c r="DJ159" s="33" t="n">
        <f aca="false">(DJ60+DJ105+DJ98+DJ119)*(DJ$4&lt;=In_COD)</f>
        <v>0</v>
      </c>
      <c r="DK159" s="33" t="n">
        <f aca="false">(DK60+DK105+DK98+DK119)*(DK$4&lt;=In_COD)</f>
        <v>0</v>
      </c>
      <c r="DL159" s="33" t="n">
        <f aca="false">(DL60+DL105+DL98+DL119)*(DL$4&lt;=In_COD)</f>
        <v>0</v>
      </c>
      <c r="DM159" s="33" t="n">
        <f aca="false">(DM60+DM105+DM98+DM119)*(DM$4&lt;=In_COD)</f>
        <v>0</v>
      </c>
      <c r="DN159" s="33" t="n">
        <f aca="false">(DN60+DN105+DN98+DN119)*(DN$4&lt;=In_COD)</f>
        <v>0</v>
      </c>
      <c r="DO159" s="33" t="n">
        <f aca="false">(DO60+DO105+DO98+DO119)*(DO$4&lt;=In_COD)</f>
        <v>0</v>
      </c>
      <c r="DP159" s="33" t="n">
        <f aca="false">(DP60+DP105+DP98+DP119)*(DP$4&lt;=In_COD)</f>
        <v>0</v>
      </c>
      <c r="DQ159" s="33" t="n">
        <f aca="false">(DQ60+DQ105+DQ98+DQ119)*(DQ$4&lt;=In_COD)</f>
        <v>0</v>
      </c>
      <c r="DR159" s="33" t="n">
        <f aca="false">(DR60+DR105+DR98+DR119)*(DR$4&lt;=In_COD)</f>
        <v>0</v>
      </c>
      <c r="DS159" s="33" t="n">
        <f aca="false">(DS60+DS105+DS98+DS119)*(DS$4&lt;=In_COD)</f>
        <v>0</v>
      </c>
      <c r="DT159" s="33" t="n">
        <f aca="false">(DT60+DT105+DT98+DT119)*(DT$4&lt;=In_COD)</f>
        <v>0</v>
      </c>
      <c r="DU159" s="33" t="n">
        <f aca="false">(DU60+DU105+DU98+DU119)*(DU$4&lt;=In_COD)</f>
        <v>0</v>
      </c>
      <c r="DV159" s="33" t="n">
        <f aca="false">(DV60+DV105+DV98+DV119)*(DV$4&lt;=In_COD)</f>
        <v>0</v>
      </c>
      <c r="DW159" s="33" t="n">
        <f aca="false">(DW60+DW105+DW98+DW119)*(DW$4&lt;=In_COD)</f>
        <v>0</v>
      </c>
      <c r="DX159" s="33" t="n">
        <f aca="false">(DX60+DX105+DX98+DX119)*(DX$4&lt;=In_COD)</f>
        <v>0</v>
      </c>
      <c r="DY159" s="33" t="n">
        <f aca="false">(DY60+DY105+DY98+DY119)*(DY$4&lt;=In_COD)</f>
        <v>0</v>
      </c>
      <c r="DZ159" s="33" t="n">
        <f aca="false">(DZ60+DZ105+DZ98+DZ119)*(DZ$4&lt;=In_COD)</f>
        <v>0</v>
      </c>
      <c r="EA159" s="33" t="n">
        <f aca="false">(EA60+EA105+EA98+EA119)*(EA$4&lt;=In_COD)</f>
        <v>0</v>
      </c>
      <c r="EB159" s="33" t="n">
        <f aca="false">(EB60+EB105+EB98+EB119)*(EB$4&lt;=In_COD)</f>
        <v>0</v>
      </c>
      <c r="EC159" s="33" t="n">
        <f aca="false">(EC60+EC105+EC98+EC119)*(EC$4&lt;=In_COD)</f>
        <v>0</v>
      </c>
      <c r="ED159" s="33" t="n">
        <f aca="false">(ED60+ED105+ED98+ED119)*(ED$4&lt;=In_COD)</f>
        <v>0</v>
      </c>
      <c r="EE159" s="33" t="n">
        <f aca="false">(EE60+EE105+EE98+EE119)*(EE$4&lt;=In_COD)</f>
        <v>0</v>
      </c>
      <c r="EF159" s="33" t="n">
        <f aca="false">(EF60+EF105+EF98+EF119)*(EF$4&lt;=In_COD)</f>
        <v>0</v>
      </c>
      <c r="EG159" s="33" t="n">
        <f aca="false">(EG60+EG105+EG98+EG119)*(EG$4&lt;=In_COD)</f>
        <v>0</v>
      </c>
      <c r="EH159" s="33" t="n">
        <f aca="false">(EH60+EH105+EH98+EH119)*(EH$4&lt;=In_COD)</f>
        <v>0</v>
      </c>
      <c r="EI159" s="33" t="n">
        <f aca="false">(EI60+EI105+EI98+EI119)*(EI$4&lt;=In_COD)</f>
        <v>0</v>
      </c>
      <c r="EJ159" s="33" t="n">
        <f aca="false">(EJ60+EJ105+EJ98+EJ119)*(EJ$4&lt;=In_COD)</f>
        <v>0</v>
      </c>
      <c r="EK159" s="33" t="n">
        <f aca="false">(EK60+EK105+EK98+EK119)*(EK$4&lt;=In_COD)</f>
        <v>0</v>
      </c>
      <c r="EL159" s="33" t="n">
        <f aca="false">(EL60+EL105+EL98+EL119)*(EL$4&lt;=In_COD)</f>
        <v>0</v>
      </c>
      <c r="EM159" s="33" t="n">
        <f aca="false">(EM60+EM105+EM98+EM119)*(EM$4&lt;=In_COD)</f>
        <v>0</v>
      </c>
      <c r="EN159" s="33" t="n">
        <f aca="false">(EN60+EN105+EN98+EN119)*(EN$4&lt;=In_COD)</f>
        <v>0</v>
      </c>
      <c r="EO159" s="33" t="n">
        <f aca="false">(EO60+EO105+EO98+EO119)*(EO$4&lt;=In_COD)</f>
        <v>0</v>
      </c>
      <c r="EP159" s="33" t="n">
        <f aca="false">(EP60+EP105+EP98+EP119)*(EP$4&lt;=In_COD)</f>
        <v>0</v>
      </c>
      <c r="EQ159" s="33" t="n">
        <f aca="false">(EQ60+EQ105+EQ98+EQ119)*(EQ$4&lt;=In_COD)</f>
        <v>0</v>
      </c>
      <c r="ER159" s="33" t="n">
        <f aca="false">(ER60+ER105+ER98+ER119)*(ER$4&lt;=In_COD)</f>
        <v>0</v>
      </c>
      <c r="ES159" s="33" t="n">
        <f aca="false">(ES60+ES105+ES98+ES119)*(ES$4&lt;=In_COD)</f>
        <v>0</v>
      </c>
      <c r="ET159" s="33" t="n">
        <f aca="false">(ET60+ET105+ET98+ET119)*(ET$4&lt;=In_COD)</f>
        <v>0</v>
      </c>
    </row>
    <row r="160" customFormat="false" ht="15" hidden="false" customHeight="false" outlineLevel="0" collapsed="false">
      <c r="C160" s="0" t="s">
        <v>593</v>
      </c>
      <c r="D160" s="11" t="s">
        <v>247</v>
      </c>
      <c r="E160" s="33" t="n">
        <f aca="false">SUMPRODUCT($J160:$ET160,$J21:$ET21)</f>
        <v>-2474.54304721128</v>
      </c>
      <c r="I160" s="33" t="n">
        <f aca="false">SUM(J160:ET160)</f>
        <v>-6307.65794259604</v>
      </c>
      <c r="J160" s="33" t="n">
        <f aca="false">-($E31-In_Ref_Community)*J111*(1-In_CIT)/Thousand</f>
        <v>-0</v>
      </c>
      <c r="K160" s="33" t="n">
        <f aca="false">-($E31-In_Ref_Community)*K111*(1-In_CIT)/Thousand</f>
        <v>-0</v>
      </c>
      <c r="L160" s="33" t="n">
        <f aca="false">-($E31-In_Ref_Community)*L111*(1-In_CIT)/Thousand</f>
        <v>-0</v>
      </c>
      <c r="M160" s="33" t="n">
        <f aca="false">-($E31-In_Ref_Community)*M111*(1-In_CIT)/Thousand</f>
        <v>-0</v>
      </c>
      <c r="N160" s="33" t="n">
        <f aca="false">-($E31-In_Ref_Community)*N111*(1-In_CIT)/Thousand</f>
        <v>-0</v>
      </c>
      <c r="O160" s="33" t="n">
        <f aca="false">-($E31-In_Ref_Community)*O111*(1-In_CIT)/Thousand</f>
        <v>-0</v>
      </c>
      <c r="P160" s="33" t="n">
        <f aca="false">-($E31-In_Ref_Community)*P111*(1-In_CIT)/Thousand</f>
        <v>-0</v>
      </c>
      <c r="Q160" s="33" t="n">
        <f aca="false">-($E31-In_Ref_Community)*Q111*(1-In_CIT)/Thousand</f>
        <v>-0</v>
      </c>
      <c r="R160" s="33" t="n">
        <f aca="false">-($E31-In_Ref_Community)*R111*(1-In_CIT)/Thousand</f>
        <v>-0</v>
      </c>
      <c r="S160" s="33" t="n">
        <f aca="false">-($E31-In_Ref_Community)*S111*(1-In_CIT)/Thousand</f>
        <v>-0</v>
      </c>
      <c r="T160" s="33" t="n">
        <f aca="false">-($E31-In_Ref_Community)*T111*(1-In_CIT)/Thousand</f>
        <v>-0</v>
      </c>
      <c r="U160" s="33" t="n">
        <f aca="false">-($E31-In_Ref_Community)*U111*(1-In_CIT)/Thousand</f>
        <v>-0</v>
      </c>
      <c r="V160" s="33" t="n">
        <f aca="false">-($E31-In_Ref_Community)*V111*(1-In_CIT)/Thousand</f>
        <v>-0</v>
      </c>
      <c r="W160" s="33" t="n">
        <f aca="false">-($E31-In_Ref_Community)*W111*(1-In_CIT)/Thousand</f>
        <v>-0</v>
      </c>
      <c r="X160" s="33" t="n">
        <f aca="false">-($E31-In_Ref_Community)*X111*(1-In_CIT)/Thousand</f>
        <v>-0</v>
      </c>
      <c r="Y160" s="33" t="n">
        <f aca="false">-($E31-In_Ref_Community)*Y111*(1-In_CIT)/Thousand</f>
        <v>-0</v>
      </c>
      <c r="Z160" s="33" t="n">
        <f aca="false">-($E31-In_Ref_Community)*Z111*(1-In_CIT)/Thousand</f>
        <v>-0</v>
      </c>
      <c r="AA160" s="33" t="n">
        <f aca="false">-($E31-In_Ref_Community)*AA111*(1-In_CIT)/Thousand</f>
        <v>-0</v>
      </c>
      <c r="AB160" s="33" t="n">
        <f aca="false">-($E31-In_Ref_Community)*AB111*(1-In_CIT)/Thousand</f>
        <v>-0</v>
      </c>
      <c r="AC160" s="33" t="n">
        <f aca="false">-($E31-In_Ref_Community)*AC111*(1-In_CIT)/Thousand</f>
        <v>-0</v>
      </c>
      <c r="AD160" s="33" t="n">
        <f aca="false">-($E31-In_Ref_Community)*AD111*(1-In_CIT)/Thousand</f>
        <v>-0</v>
      </c>
      <c r="AE160" s="33" t="n">
        <f aca="false">-($E31-In_Ref_Community)*AE111*(1-In_CIT)/Thousand</f>
        <v>-55.2964865753425</v>
      </c>
      <c r="AF160" s="33" t="n">
        <f aca="false">-($E31-In_Ref_Community)*AF111*(1-In_CIT)/Thousand</f>
        <v>-54.6954378082192</v>
      </c>
      <c r="AG160" s="33" t="n">
        <f aca="false">-($E31-In_Ref_Community)*AG111*(1-In_CIT)/Thousand</f>
        <v>-54.6954378082192</v>
      </c>
      <c r="AH160" s="33" t="n">
        <f aca="false">-($E31-In_Ref_Community)*AH111*(1-In_CIT)/Thousand</f>
        <v>-55.2964865753425</v>
      </c>
      <c r="AI160" s="33" t="n">
        <f aca="false">-($E31-In_Ref_Community)*AI111*(1-In_CIT)/Thousand</f>
        <v>-55.1305971156164</v>
      </c>
      <c r="AJ160" s="33" t="n">
        <f aca="false">-($E31-In_Ref_Community)*AJ111*(1-In_CIT)/Thousand</f>
        <v>-53.9321058739726</v>
      </c>
      <c r="AK160" s="33" t="n">
        <f aca="false">-($E31-In_Ref_Community)*AK111*(1-In_CIT)/Thousand</f>
        <v>-54.5313514947945</v>
      </c>
      <c r="AL160" s="33" t="n">
        <f aca="false">-($E31-In_Ref_Community)*AL111*(1-In_CIT)/Thousand</f>
        <v>-55.1305971156164</v>
      </c>
      <c r="AM160" s="33" t="n">
        <f aca="false">-($E31-In_Ref_Community)*AM111*(1-In_CIT)/Thousand</f>
        <v>-54.9652053242696</v>
      </c>
      <c r="AN160" s="33" t="n">
        <f aca="false">-($E31-In_Ref_Community)*AN111*(1-In_CIT)/Thousand</f>
        <v>-53.7703095563507</v>
      </c>
      <c r="AO160" s="33" t="n">
        <f aca="false">-($E31-In_Ref_Community)*AO111*(1-In_CIT)/Thousand</f>
        <v>-54.3677574403101</v>
      </c>
      <c r="AP160" s="33" t="n">
        <f aca="false">-($E31-In_Ref_Community)*AP111*(1-In_CIT)/Thousand</f>
        <v>-54.9652053242696</v>
      </c>
      <c r="AQ160" s="33" t="n">
        <f aca="false">-($E31-In_Ref_Community)*AQ111*(1-In_CIT)/Thousand</f>
        <v>-54.8003097082968</v>
      </c>
      <c r="AR160" s="33" t="n">
        <f aca="false">-($E31-In_Ref_Community)*AR111*(1-In_CIT)/Thousand</f>
        <v>-53.6089986276816</v>
      </c>
      <c r="AS160" s="33" t="n">
        <f aca="false">-($E31-In_Ref_Community)*AS111*(1-In_CIT)/Thousand</f>
        <v>-54.2046541679892</v>
      </c>
      <c r="AT160" s="33" t="n">
        <f aca="false">-($E31-In_Ref_Community)*AT111*(1-In_CIT)/Thousand</f>
        <v>-54.8003097082968</v>
      </c>
      <c r="AU160" s="33" t="n">
        <f aca="false">-($E31-In_Ref_Community)*AU111*(1-In_CIT)/Thousand</f>
        <v>-54.6359087791719</v>
      </c>
      <c r="AV160" s="33" t="n">
        <f aca="false">-($E31-In_Ref_Community)*AV111*(1-In_CIT)/Thousand</f>
        <v>-54.0420402054852</v>
      </c>
      <c r="AW160" s="33" t="n">
        <f aca="false">-($E31-In_Ref_Community)*AW111*(1-In_CIT)/Thousand</f>
        <v>-54.0420402054852</v>
      </c>
      <c r="AX160" s="33" t="n">
        <f aca="false">-($E31-In_Ref_Community)*AX111*(1-In_CIT)/Thousand</f>
        <v>-54.6359087791719</v>
      </c>
      <c r="AY160" s="33" t="n">
        <f aca="false">-($E31-In_Ref_Community)*AY111*(1-In_CIT)/Thousand</f>
        <v>-54.4720010528344</v>
      </c>
      <c r="AZ160" s="33" t="n">
        <f aca="false">-($E31-In_Ref_Community)*AZ111*(1-In_CIT)/Thousand</f>
        <v>-53.2878271169032</v>
      </c>
      <c r="BA160" s="33" t="n">
        <f aca="false">-($E31-In_Ref_Community)*BA111*(1-In_CIT)/Thousand</f>
        <v>-53.8799140848688</v>
      </c>
      <c r="BB160" s="33" t="n">
        <f aca="false">-($E31-In_Ref_Community)*BB111*(1-In_CIT)/Thousand</f>
        <v>-54.4720010528344</v>
      </c>
      <c r="BC160" s="33" t="n">
        <f aca="false">-($E31-In_Ref_Community)*BC111*(1-In_CIT)/Thousand</f>
        <v>-54.3085850496759</v>
      </c>
      <c r="BD160" s="33" t="n">
        <f aca="false">-($E31-In_Ref_Community)*BD111*(1-In_CIT)/Thousand</f>
        <v>-53.1279636355525</v>
      </c>
      <c r="BE160" s="33" t="n">
        <f aca="false">-($E31-In_Ref_Community)*BE111*(1-In_CIT)/Thousand</f>
        <v>-53.7182743426142</v>
      </c>
      <c r="BF160" s="33" t="n">
        <f aca="false">-($E31-In_Ref_Community)*BF111*(1-In_CIT)/Thousand</f>
        <v>-54.3085850496759</v>
      </c>
      <c r="BG160" s="33" t="n">
        <f aca="false">-($E31-In_Ref_Community)*BG111*(1-In_CIT)/Thousand</f>
        <v>-54.1456592945269</v>
      </c>
      <c r="BH160" s="33" t="n">
        <f aca="false">-($E31-In_Ref_Community)*BH111*(1-In_CIT)/Thousand</f>
        <v>-52.9685797446458</v>
      </c>
      <c r="BI160" s="33" t="n">
        <f aca="false">-($E31-In_Ref_Community)*BI111*(1-In_CIT)/Thousand</f>
        <v>-53.5571195195863</v>
      </c>
      <c r="BJ160" s="33" t="n">
        <f aca="false">-($E31-In_Ref_Community)*BJ111*(1-In_CIT)/Thousand</f>
        <v>-54.1456592945269</v>
      </c>
      <c r="BK160" s="33" t="n">
        <f aca="false">-($E31-In_Ref_Community)*BK111*(1-In_CIT)/Thousand</f>
        <v>-53.9832223166433</v>
      </c>
      <c r="BL160" s="33" t="n">
        <f aca="false">-($E31-In_Ref_Community)*BL111*(1-In_CIT)/Thousand</f>
        <v>-53.3964481610276</v>
      </c>
      <c r="BM160" s="33" t="n">
        <f aca="false">-($E31-In_Ref_Community)*BM111*(1-In_CIT)/Thousand</f>
        <v>-53.3964481610276</v>
      </c>
      <c r="BN160" s="33" t="n">
        <f aca="false">-($E31-In_Ref_Community)*BN111*(1-In_CIT)/Thousand</f>
        <v>-53.9832223166433</v>
      </c>
      <c r="BO160" s="33" t="n">
        <f aca="false">-($E31-In_Ref_Community)*BO111*(1-In_CIT)/Thousand</f>
        <v>-53.8212726496933</v>
      </c>
      <c r="BP160" s="33" t="n">
        <f aca="false">-($E31-In_Ref_Community)*BP111*(1-In_CIT)/Thousand</f>
        <v>-52.6512449833957</v>
      </c>
      <c r="BQ160" s="33" t="n">
        <f aca="false">-($E31-In_Ref_Community)*BQ111*(1-In_CIT)/Thousand</f>
        <v>-53.2362588165445</v>
      </c>
      <c r="BR160" s="33" t="n">
        <f aca="false">-($E31-In_Ref_Community)*BR111*(1-In_CIT)/Thousand</f>
        <v>-53.8212726496933</v>
      </c>
      <c r="BS160" s="33" t="n">
        <f aca="false">-($E31-In_Ref_Community)*BS111*(1-In_CIT)/Thousand</f>
        <v>-53.6598088317443</v>
      </c>
      <c r="BT160" s="33" t="n">
        <f aca="false">-($E31-In_Ref_Community)*BT111*(1-In_CIT)/Thousand</f>
        <v>-52.4932912484455</v>
      </c>
      <c r="BU160" s="33" t="n">
        <f aca="false">-($E31-In_Ref_Community)*BU111*(1-In_CIT)/Thousand</f>
        <v>-53.0765500400949</v>
      </c>
      <c r="BV160" s="33" t="n">
        <f aca="false">-($E31-In_Ref_Community)*BV111*(1-In_CIT)/Thousand</f>
        <v>-53.6598088317443</v>
      </c>
      <c r="BW160" s="33" t="n">
        <f aca="false">-($E31-In_Ref_Community)*BW111*(1-In_CIT)/Thousand</f>
        <v>-53.498829405249</v>
      </c>
      <c r="BX160" s="33" t="n">
        <f aca="false">-($E31-In_Ref_Community)*BX111*(1-In_CIT)/Thousand</f>
        <v>-52.3358113747001</v>
      </c>
      <c r="BY160" s="33" t="n">
        <f aca="false">-($E31-In_Ref_Community)*BY111*(1-In_CIT)/Thousand</f>
        <v>-52.9173203899746</v>
      </c>
      <c r="BZ160" s="33" t="n">
        <f aca="false">-($E31-In_Ref_Community)*BZ111*(1-In_CIT)/Thousand</f>
        <v>-53.498829405249</v>
      </c>
      <c r="CA160" s="33" t="n">
        <f aca="false">-($E31-In_Ref_Community)*CA111*(1-In_CIT)/Thousand</f>
        <v>-53.3383329170333</v>
      </c>
      <c r="CB160" s="33" t="n">
        <f aca="false">-($E31-In_Ref_Community)*CB111*(1-In_CIT)/Thousand</f>
        <v>-52.7585684288047</v>
      </c>
      <c r="CC160" s="33" t="n">
        <f aca="false">-($E31-In_Ref_Community)*CC111*(1-In_CIT)/Thousand</f>
        <v>-52.7585684288047</v>
      </c>
      <c r="CD160" s="33" t="n">
        <f aca="false">-($E31-In_Ref_Community)*CD111*(1-In_CIT)/Thousand</f>
        <v>-53.3383329170333</v>
      </c>
      <c r="CE160" s="33" t="n">
        <f aca="false">-($E31-In_Ref_Community)*CE111*(1-In_CIT)/Thousand</f>
        <v>-53.1783179182822</v>
      </c>
      <c r="CF160" s="33" t="n">
        <f aca="false">-($E31-In_Ref_Community)*CF111*(1-In_CIT)/Thousand</f>
        <v>-52.0222675287543</v>
      </c>
      <c r="CG160" s="33" t="n">
        <f aca="false">-($E31-In_Ref_Community)*CG111*(1-In_CIT)/Thousand</f>
        <v>-52.6002927235182</v>
      </c>
      <c r="CH160" s="33" t="n">
        <f aca="false">-($E31-In_Ref_Community)*CH111*(1-In_CIT)/Thousand</f>
        <v>-53.1783179182822</v>
      </c>
      <c r="CI160" s="33" t="n">
        <f aca="false">-($E31-In_Ref_Community)*CI111*(1-In_CIT)/Thousand</f>
        <v>-53.0187829645273</v>
      </c>
      <c r="CJ160" s="33" t="n">
        <f aca="false">-($E31-In_Ref_Community)*CJ111*(1-In_CIT)/Thousand</f>
        <v>-51.866200726168</v>
      </c>
      <c r="CK160" s="33" t="n">
        <f aca="false">-($E31-In_Ref_Community)*CK111*(1-In_CIT)/Thousand</f>
        <v>-52.4424918453477</v>
      </c>
      <c r="CL160" s="33" t="n">
        <f aca="false">-($E31-In_Ref_Community)*CL111*(1-In_CIT)/Thousand</f>
        <v>-53.0187829645273</v>
      </c>
      <c r="CM160" s="33" t="n">
        <f aca="false">-($E31-In_Ref_Community)*CM111*(1-In_CIT)/Thousand</f>
        <v>-52.8597266156338</v>
      </c>
      <c r="CN160" s="33" t="n">
        <f aca="false">-($E31-In_Ref_Community)*CN111*(1-In_CIT)/Thousand</f>
        <v>-51.7106021239895</v>
      </c>
      <c r="CO160" s="33" t="n">
        <f aca="false">-($E31-In_Ref_Community)*CO111*(1-In_CIT)/Thousand</f>
        <v>-52.2851643698116</v>
      </c>
      <c r="CP160" s="33" t="n">
        <f aca="false">-($E31-In_Ref_Community)*CP111*(1-In_CIT)/Thousand</f>
        <v>-52.8597266156338</v>
      </c>
      <c r="CQ160" s="33" t="n">
        <f aca="false">-($E31-In_Ref_Community)*CQ111*(1-In_CIT)/Thousand</f>
        <v>-52.7011474357869</v>
      </c>
      <c r="CR160" s="33" t="n">
        <f aca="false">-($E31-In_Ref_Community)*CR111*(1-In_CIT)/Thousand</f>
        <v>-52.1283088767022</v>
      </c>
      <c r="CS160" s="33" t="n">
        <f aca="false">-($E31-In_Ref_Community)*CS111*(1-In_CIT)/Thousand</f>
        <v>-52.1283088767022</v>
      </c>
      <c r="CT160" s="33" t="n">
        <f aca="false">-($E31-In_Ref_Community)*CT111*(1-In_CIT)/Thousand</f>
        <v>-52.7011474357869</v>
      </c>
      <c r="CU160" s="33" t="n">
        <f aca="false">-($E31-In_Ref_Community)*CU111*(1-In_CIT)/Thousand</f>
        <v>-52.5430439934795</v>
      </c>
      <c r="CV160" s="33" t="n">
        <f aca="false">-($E31-In_Ref_Community)*CV111*(1-In_CIT)/Thousand</f>
        <v>-51.4008039066647</v>
      </c>
      <c r="CW160" s="33" t="n">
        <f aca="false">-($E31-In_Ref_Community)*CW111*(1-In_CIT)/Thousand</f>
        <v>-51.9719239500721</v>
      </c>
      <c r="CX160" s="33" t="n">
        <f aca="false">-($E31-In_Ref_Community)*CX111*(1-In_CIT)/Thousand</f>
        <v>-52.5430439934795</v>
      </c>
      <c r="CY160" s="33" t="n">
        <f aca="false">-($E31-In_Ref_Community)*CY111*(1-In_CIT)/Thousand</f>
        <v>-52.3854148614991</v>
      </c>
      <c r="CZ160" s="33" t="n">
        <f aca="false">-($E31-In_Ref_Community)*CZ111*(1-In_CIT)/Thousand</f>
        <v>-51.2466014949447</v>
      </c>
      <c r="DA160" s="33" t="n">
        <f aca="false">-($E31-In_Ref_Community)*DA111*(1-In_CIT)/Thousand</f>
        <v>-51.8160081782219</v>
      </c>
      <c r="DB160" s="33" t="n">
        <f aca="false">-($E31-In_Ref_Community)*DB111*(1-In_CIT)/Thousand</f>
        <v>-52.3854148614991</v>
      </c>
      <c r="DC160" s="33" t="n">
        <f aca="false">-($E31-In_Ref_Community)*DC111*(1-In_CIT)/Thousand</f>
        <v>-52.2282586169146</v>
      </c>
      <c r="DD160" s="33" t="n">
        <f aca="false">-($E31-In_Ref_Community)*DD111*(1-In_CIT)/Thousand</f>
        <v>-51.0928616904599</v>
      </c>
      <c r="DE160" s="33" t="n">
        <f aca="false">-($E31-In_Ref_Community)*DE111*(1-In_CIT)/Thousand</f>
        <v>-51.6605601536872</v>
      </c>
      <c r="DF160" s="33" t="n">
        <f aca="false">-($E31-In_Ref_Community)*DF111*(1-In_CIT)/Thousand</f>
        <v>-52.2282586169146</v>
      </c>
      <c r="DG160" s="33" t="n">
        <f aca="false">-($E31-In_Ref_Community)*DG111*(1-In_CIT)/Thousand</f>
        <v>-52.0715738410638</v>
      </c>
      <c r="DH160" s="33" t="n">
        <f aca="false">-($E31-In_Ref_Community)*DH111*(1-In_CIT)/Thousand</f>
        <v>-51.5055784732262</v>
      </c>
      <c r="DI160" s="33" t="n">
        <f aca="false">-($E31-In_Ref_Community)*DI111*(1-In_CIT)/Thousand</f>
        <v>-51.5055784732262</v>
      </c>
      <c r="DJ160" s="33" t="n">
        <f aca="false">-($E31-In_Ref_Community)*DJ111*(1-In_CIT)/Thousand</f>
        <v>-52.0715738410638</v>
      </c>
      <c r="DK160" s="33" t="n">
        <f aca="false">-($E31-In_Ref_Community)*DK111*(1-In_CIT)/Thousand</f>
        <v>-51.9153591195406</v>
      </c>
      <c r="DL160" s="33" t="n">
        <f aca="false">-($E31-In_Ref_Community)*DL111*(1-In_CIT)/Thousand</f>
        <v>-50.7867643560723</v>
      </c>
      <c r="DM160" s="33" t="n">
        <f aca="false">-($E31-In_Ref_Community)*DM111*(1-In_CIT)/Thousand</f>
        <v>-51.3510617378065</v>
      </c>
      <c r="DN160" s="33" t="n">
        <f aca="false">-($E31-In_Ref_Community)*DN111*(1-In_CIT)/Thousand</f>
        <v>-51.9153591195406</v>
      </c>
      <c r="DO160" s="33" t="n">
        <f aca="false">-($E31-In_Ref_Community)*DO111*(1-In_CIT)/Thousand</f>
        <v>-51.759613042182</v>
      </c>
      <c r="DP160" s="33" t="n">
        <f aca="false">-($E31-In_Ref_Community)*DP111*(1-In_CIT)/Thousand</f>
        <v>-50.6344040630041</v>
      </c>
      <c r="DQ160" s="33" t="n">
        <f aca="false">-($E31-In_Ref_Community)*DQ111*(1-In_CIT)/Thousand</f>
        <v>-51.1970085525931</v>
      </c>
      <c r="DR160" s="33" t="n">
        <f aca="false">-($E31-In_Ref_Community)*DR111*(1-In_CIT)/Thousand</f>
        <v>-51.759613042182</v>
      </c>
      <c r="DS160" s="33" t="n">
        <f aca="false">-($E31-In_Ref_Community)*DS111*(1-In_CIT)/Thousand</f>
        <v>-51.6043342030555</v>
      </c>
      <c r="DT160" s="33" t="n">
        <f aca="false">-($E31-In_Ref_Community)*DT111*(1-In_CIT)/Thousand</f>
        <v>-50.4825008508151</v>
      </c>
      <c r="DU160" s="33" t="n">
        <f aca="false">-($E31-In_Ref_Community)*DU111*(1-In_CIT)/Thousand</f>
        <v>-51.0434175269353</v>
      </c>
      <c r="DV160" s="33" t="n">
        <f aca="false">-($E31-In_Ref_Community)*DV111*(1-In_CIT)/Thousand</f>
        <v>-51.6043342030555</v>
      </c>
      <c r="DW160" s="33" t="n">
        <f aca="false">-($E31-In_Ref_Community)*DW111*(1-In_CIT)/Thousand</f>
        <v>-51.4495212004463</v>
      </c>
      <c r="DX160" s="33" t="n">
        <f aca="false">-($E31-In_Ref_Community)*DX111*(1-In_CIT)/Thousand</f>
        <v>-50.8902872743545</v>
      </c>
      <c r="DY160" s="33" t="n">
        <f aca="false">-($E31-In_Ref_Community)*DY111*(1-In_CIT)/Thousand</f>
        <v>-50.8902872743545</v>
      </c>
      <c r="DZ160" s="33" t="n">
        <f aca="false">-($E31-In_Ref_Community)*DZ111*(1-In_CIT)/Thousand</f>
        <v>-51.4495212004463</v>
      </c>
      <c r="EA160" s="33" t="n">
        <f aca="false">-($E31-In_Ref_Community)*EA111*(1-In_CIT)/Thousand</f>
        <v>-51.2951726368449</v>
      </c>
      <c r="EB160" s="33" t="n">
        <f aca="false">-($E31-In_Ref_Community)*EB111*(1-In_CIT)/Thousand</f>
        <v>-50.1800601882179</v>
      </c>
      <c r="EC160" s="33" t="n">
        <f aca="false">-($E31-In_Ref_Community)*EC111*(1-In_CIT)/Thousand</f>
        <v>-50.7376164125314</v>
      </c>
      <c r="ED160" s="33" t="n">
        <f aca="false">-($E31-In_Ref_Community)*ED111*(1-In_CIT)/Thousand</f>
        <v>-51.2951726368449</v>
      </c>
      <c r="EE160" s="33" t="n">
        <f aca="false">-($E31-In_Ref_Community)*EE111*(1-In_CIT)/Thousand</f>
        <v>-51.1412871189344</v>
      </c>
      <c r="EF160" s="33" t="n">
        <f aca="false">-($E31-In_Ref_Community)*EF111*(1-In_CIT)/Thousand</f>
        <v>-50.0295200076532</v>
      </c>
      <c r="EG160" s="33" t="n">
        <f aca="false">-($E31-In_Ref_Community)*EG111*(1-In_CIT)/Thousand</f>
        <v>-50.5854035632938</v>
      </c>
      <c r="EH160" s="33" t="n">
        <f aca="false">-($E31-In_Ref_Community)*EH111*(1-In_CIT)/Thousand</f>
        <v>-51.1412871189344</v>
      </c>
      <c r="EI160" s="33" t="n">
        <f aca="false">-($E31-In_Ref_Community)*EI111*(1-In_CIT)/Thousand</f>
        <v>-50.9878632575776</v>
      </c>
      <c r="EJ160" s="33" t="n">
        <f aca="false">-($E31-In_Ref_Community)*EJ111*(1-In_CIT)/Thousand</f>
        <v>-49.8794314476303</v>
      </c>
      <c r="EK160" s="33" t="n">
        <f aca="false">-($E31-In_Ref_Community)*EK111*(1-In_CIT)/Thousand</f>
        <v>-50.4336473526039</v>
      </c>
      <c r="EL160" s="33" t="n">
        <f aca="false">-($E31-In_Ref_Community)*EL111*(1-In_CIT)/Thousand</f>
        <v>-50.9878632575776</v>
      </c>
      <c r="EM160" s="33" t="n">
        <f aca="false">-($E31-In_Ref_Community)*EM111*(1-In_CIT)/Thousand</f>
        <v>-50.8348996678049</v>
      </c>
      <c r="EN160" s="33" t="n">
        <f aca="false">-($E31-In_Ref_Community)*EN111*(1-In_CIT)/Thousand</f>
        <v>-50.2823464105461</v>
      </c>
      <c r="EO160" s="33" t="n">
        <f aca="false">-($E31-In_Ref_Community)*EO111*(1-In_CIT)/Thousand</f>
        <v>-50.2823464105461</v>
      </c>
      <c r="EP160" s="33" t="n">
        <f aca="false">-($E31-In_Ref_Community)*EP111*(1-In_CIT)/Thousand</f>
        <v>-50.8348996678049</v>
      </c>
      <c r="EQ160" s="33" t="n">
        <f aca="false">-($E31-In_Ref_Community)*EQ111*(1-In_CIT)/Thousand</f>
        <v>-50.6823949688015</v>
      </c>
      <c r="ER160" s="33" t="n">
        <f aca="false">-($E31-In_Ref_Community)*ER111*(1-In_CIT)/Thousand</f>
        <v>-49.5806037738275</v>
      </c>
      <c r="ES160" s="33" t="n">
        <f aca="false">-($E31-In_Ref_Community)*ES111*(1-In_CIT)/Thousand</f>
        <v>-50.1314993713145</v>
      </c>
      <c r="ET160" s="33" t="n">
        <f aca="false">-($E31-In_Ref_Community)*ET111*(1-In_CIT)/Thousand</f>
        <v>-50.6823949688015</v>
      </c>
    </row>
    <row r="161" customFormat="false" ht="15" hidden="false" customHeight="false" outlineLevel="0" collapsed="false">
      <c r="C161" s="0" t="s">
        <v>594</v>
      </c>
      <c r="D161" s="11" t="s">
        <v>247</v>
      </c>
      <c r="E161" s="33" t="n">
        <f aca="false">IF(In_CN_Turbine=1,In_COD_Price_CN,In_COD_Price)*$F24*(1-$E27)</f>
        <v>245000</v>
      </c>
      <c r="F161" s="33" t="n">
        <f aca="false">In_Pass_Through*($E160+SUMPRODUCT($J87:$ET87,$J21:$ET21))</f>
        <v>-3839.08122210466</v>
      </c>
    </row>
    <row r="162" customFormat="false" ht="15" hidden="false" customHeight="false" outlineLevel="0" collapsed="false">
      <c r="A162" s="55"/>
      <c r="B162" s="55"/>
      <c r="C162" s="55" t="s">
        <v>595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</row>
    <row r="163" customFormat="false" ht="15" hidden="false" customHeight="false" outlineLevel="0" collapsed="false">
      <c r="C163" s="0" t="s">
        <v>596</v>
      </c>
      <c r="D163" s="11" t="s">
        <v>247</v>
      </c>
      <c r="E163" s="33" t="n">
        <f aca="false">$I98+$I99</f>
        <v>99336.0596347059</v>
      </c>
      <c r="F163" s="33" t="n">
        <f aca="false">MAX(0,$E161+$F161-$E163)</f>
        <v>141824.859143189</v>
      </c>
    </row>
    <row r="164" customFormat="false" ht="15" hidden="false" customHeight="false" outlineLevel="0" collapsed="false">
      <c r="C164" s="0" t="s">
        <v>573</v>
      </c>
      <c r="D164" s="11" t="s">
        <v>247</v>
      </c>
      <c r="E164" s="22" t="n">
        <f aca="false">In_Sale_Costs</f>
        <v>500</v>
      </c>
      <c r="F164" s="33" t="n">
        <f aca="false">MIN($E164,$F163)</f>
        <v>500</v>
      </c>
    </row>
    <row r="165" customFormat="false" ht="15" hidden="false" customHeight="false" outlineLevel="0" collapsed="false">
      <c r="C165" s="0" t="s">
        <v>597</v>
      </c>
      <c r="D165" s="11" t="s">
        <v>247</v>
      </c>
      <c r="E165" s="33" t="n">
        <f aca="false">-$I159+$I46+$I54+$I56+$I47+$F59</f>
        <v>68289.9577668034</v>
      </c>
      <c r="F165" s="33" t="n">
        <f aca="false">MIN($E165,$F163-SUM($F164:$F164))</f>
        <v>68289.9577668034</v>
      </c>
    </row>
    <row r="166" customFormat="false" ht="15" hidden="false" customHeight="false" outlineLevel="0" collapsed="false">
      <c r="C166" s="0" t="s">
        <v>598</v>
      </c>
      <c r="D166" s="11" t="s">
        <v>247</v>
      </c>
      <c r="E166" s="33" t="n">
        <f aca="false">$F68+$F73+$F79</f>
        <v>11746.2079961624</v>
      </c>
      <c r="F166" s="33" t="n">
        <f aca="false">MIN($E166,$F163-SUM($F164:$F165))</f>
        <v>11746.2079961624</v>
      </c>
    </row>
    <row r="167" customFormat="false" ht="15" hidden="false" customHeight="false" outlineLevel="0" collapsed="false">
      <c r="C167" s="0" t="s">
        <v>579</v>
      </c>
      <c r="D167" s="11" t="s">
        <v>247</v>
      </c>
      <c r="E167" s="33" t="n">
        <f aca="false">MIN(In_DSA_Cap,In_DSA_Rate*YEARFRAC(In_Signing_Date,In_COD,0))*$E24</f>
        <v>1510</v>
      </c>
      <c r="F167" s="33" t="n">
        <f aca="false">MIN($E167,$F163-SUM($F164:$F166))</f>
        <v>1510</v>
      </c>
    </row>
    <row r="168" customFormat="false" ht="15" hidden="false" customHeight="false" outlineLevel="0" collapsed="false">
      <c r="C168" s="30" t="s">
        <v>161</v>
      </c>
      <c r="D168" s="11" t="s">
        <v>247</v>
      </c>
      <c r="F168" s="35" t="n">
        <f aca="false">MAX(0,$F163-SUM($E164:$E167))</f>
        <v>59778.6933802236</v>
      </c>
    </row>
    <row r="169" customFormat="false" ht="15" hidden="false" customHeight="false" outlineLevel="0" collapsed="false">
      <c r="C169" s="30" t="s">
        <v>174</v>
      </c>
      <c r="D169" s="11" t="s">
        <v>247</v>
      </c>
      <c r="F169" s="35" t="n">
        <f aca="false">$F165+$F166+In_FEP_Share*$F168</f>
        <v>121881.251129122</v>
      </c>
    </row>
    <row r="170" customFormat="false" ht="15" hidden="false" customHeight="false" outlineLevel="0" collapsed="false">
      <c r="C170" s="30" t="s">
        <v>599</v>
      </c>
      <c r="D170" s="11" t="s">
        <v>247</v>
      </c>
      <c r="I170" s="35" t="n">
        <f aca="false">SUM(J170:ET170)</f>
        <v>48482.2776178466</v>
      </c>
      <c r="J170" s="35" t="n">
        <f aca="false">J159+$F169*J14</f>
        <v>-400</v>
      </c>
      <c r="K170" s="35" t="n">
        <f aca="false">K159+$F169*K14</f>
        <v>-1437.78053818728</v>
      </c>
      <c r="L170" s="35" t="n">
        <f aca="false">L159+$F169*L14</f>
        <v>-691.910911990993</v>
      </c>
      <c r="M170" s="35" t="n">
        <f aca="false">M159+$F169*M14</f>
        <v>-148.451634452993</v>
      </c>
      <c r="N170" s="35" t="n">
        <f aca="false">N159+$F169*N14</f>
        <v>-149.601261024582</v>
      </c>
      <c r="O170" s="35" t="n">
        <f aca="false">O159+$F169*O14</f>
        <v>-290.127288421843</v>
      </c>
      <c r="P170" s="35" t="n">
        <f aca="false">P159+$F169*P14</f>
        <v>-1394.65781281475</v>
      </c>
      <c r="Q170" s="35" t="n">
        <f aca="false">Q159+$F169*Q14</f>
        <v>-109.225607055733</v>
      </c>
      <c r="R170" s="35" t="n">
        <f aca="false">R159+$F169*R14</f>
        <v>-269.857154566657</v>
      </c>
      <c r="S170" s="35" t="n">
        <f aca="false">S159+$F169*S14</f>
        <v>-422.991783283459</v>
      </c>
      <c r="T170" s="35" t="n">
        <f aca="false">T159+$F169*T14</f>
        <v>-20587.5113339088</v>
      </c>
      <c r="U170" s="35" t="n">
        <f aca="false">U159+$F169*U14</f>
        <v>-104.616018014637</v>
      </c>
      <c r="V170" s="35" t="n">
        <f aca="false">V159+$F169*V14</f>
        <v>-105.765644586226</v>
      </c>
      <c r="W170" s="35" t="n">
        <f aca="false">W159+$F169*W14</f>
        <v>-6875.32473538409</v>
      </c>
      <c r="X170" s="35" t="n">
        <f aca="false">X159+$F169*X14</f>
        <v>-5073.5175863622</v>
      </c>
      <c r="Y170" s="35" t="n">
        <f aca="false">Y159+$F169*Y14</f>
        <v>-5103.58937070822</v>
      </c>
      <c r="Z170" s="35" t="n">
        <f aca="false">Z159+$F169*Z14</f>
        <v>-5132.78767858878</v>
      </c>
      <c r="AA170" s="35" t="n">
        <f aca="false">AA159+$F169*AA14</f>
        <v>-5105.60714622201</v>
      </c>
      <c r="AB170" s="35" t="n">
        <f aca="false">AB159+$F169*AB14</f>
        <v>-4969.92045560723</v>
      </c>
      <c r="AC170" s="35" t="n">
        <f aca="false">AC159+$F169*AC14</f>
        <v>-4998.84116072264</v>
      </c>
      <c r="AD170" s="35" t="n">
        <f aca="false">AD159+$F169*AD14</f>
        <v>111854.36273975</v>
      </c>
      <c r="AE170" s="35" t="n">
        <f aca="false">AE159+$F169*AE14</f>
        <v>0</v>
      </c>
      <c r="AF170" s="35" t="n">
        <f aca="false">AF159+$F169*AF14</f>
        <v>0</v>
      </c>
      <c r="AG170" s="35" t="n">
        <f aca="false">AG159+$F169*AG14</f>
        <v>0</v>
      </c>
      <c r="AH170" s="35" t="n">
        <f aca="false">AH159+$F169*AH14</f>
        <v>0</v>
      </c>
      <c r="AI170" s="35" t="n">
        <f aca="false">AI159+$F169*AI14</f>
        <v>0</v>
      </c>
      <c r="AJ170" s="35" t="n">
        <f aca="false">AJ159+$F169*AJ14</f>
        <v>0</v>
      </c>
      <c r="AK170" s="35" t="n">
        <f aca="false">AK159+$F169*AK14</f>
        <v>0</v>
      </c>
      <c r="AL170" s="35" t="n">
        <f aca="false">AL159+$F169*AL14</f>
        <v>0</v>
      </c>
      <c r="AM170" s="35" t="n">
        <f aca="false">AM159+$F169*AM14</f>
        <v>0</v>
      </c>
      <c r="AN170" s="35" t="n">
        <f aca="false">AN159+$F169*AN14</f>
        <v>0</v>
      </c>
      <c r="AO170" s="35" t="n">
        <f aca="false">AO159+$F169*AO14</f>
        <v>0</v>
      </c>
      <c r="AP170" s="35" t="n">
        <f aca="false">AP159+$F169*AP14</f>
        <v>0</v>
      </c>
      <c r="AQ170" s="35" t="n">
        <f aca="false">AQ159+$F169*AQ14</f>
        <v>0</v>
      </c>
      <c r="AR170" s="35" t="n">
        <f aca="false">AR159+$F169*AR14</f>
        <v>0</v>
      </c>
      <c r="AS170" s="35" t="n">
        <f aca="false">AS159+$F169*AS14</f>
        <v>0</v>
      </c>
      <c r="AT170" s="35" t="n">
        <f aca="false">AT159+$F169*AT14</f>
        <v>0</v>
      </c>
      <c r="AU170" s="35" t="n">
        <f aca="false">AU159+$F169*AU14</f>
        <v>0</v>
      </c>
      <c r="AV170" s="35" t="n">
        <f aca="false">AV159+$F169*AV14</f>
        <v>0</v>
      </c>
      <c r="AW170" s="35" t="n">
        <f aca="false">AW159+$F169*AW14</f>
        <v>0</v>
      </c>
      <c r="AX170" s="35" t="n">
        <f aca="false">AX159+$F169*AX14</f>
        <v>0</v>
      </c>
      <c r="AY170" s="35" t="n">
        <f aca="false">AY159+$F169*AY14</f>
        <v>0</v>
      </c>
      <c r="AZ170" s="35" t="n">
        <f aca="false">AZ159+$F169*AZ14</f>
        <v>0</v>
      </c>
      <c r="BA170" s="35" t="n">
        <f aca="false">BA159+$F169*BA14</f>
        <v>0</v>
      </c>
      <c r="BB170" s="35" t="n">
        <f aca="false">BB159+$F169*BB14</f>
        <v>0</v>
      </c>
      <c r="BC170" s="35" t="n">
        <f aca="false">BC159+$F169*BC14</f>
        <v>0</v>
      </c>
      <c r="BD170" s="35" t="n">
        <f aca="false">BD159+$F169*BD14</f>
        <v>0</v>
      </c>
      <c r="BE170" s="35" t="n">
        <f aca="false">BE159+$F169*BE14</f>
        <v>0</v>
      </c>
      <c r="BF170" s="35" t="n">
        <f aca="false">BF159+$F169*BF14</f>
        <v>0</v>
      </c>
      <c r="BG170" s="35" t="n">
        <f aca="false">BG159+$F169*BG14</f>
        <v>0</v>
      </c>
      <c r="BH170" s="35" t="n">
        <f aca="false">BH159+$F169*BH14</f>
        <v>0</v>
      </c>
      <c r="BI170" s="35" t="n">
        <f aca="false">BI159+$F169*BI14</f>
        <v>0</v>
      </c>
      <c r="BJ170" s="35" t="n">
        <f aca="false">BJ159+$F169*BJ14</f>
        <v>0</v>
      </c>
      <c r="BK170" s="35" t="n">
        <f aca="false">BK159+$F169*BK14</f>
        <v>0</v>
      </c>
      <c r="BL170" s="35" t="n">
        <f aca="false">BL159+$F169*BL14</f>
        <v>0</v>
      </c>
      <c r="BM170" s="35" t="n">
        <f aca="false">BM159+$F169*BM14</f>
        <v>0</v>
      </c>
      <c r="BN170" s="35" t="n">
        <f aca="false">BN159+$F169*BN14</f>
        <v>0</v>
      </c>
      <c r="BO170" s="35" t="n">
        <f aca="false">BO159+$F169*BO14</f>
        <v>0</v>
      </c>
      <c r="BP170" s="35" t="n">
        <f aca="false">BP159+$F169*BP14</f>
        <v>0</v>
      </c>
      <c r="BQ170" s="35" t="n">
        <f aca="false">BQ159+$F169*BQ14</f>
        <v>0</v>
      </c>
      <c r="BR170" s="35" t="n">
        <f aca="false">BR159+$F169*BR14</f>
        <v>0</v>
      </c>
      <c r="BS170" s="35" t="n">
        <f aca="false">BS159+$F169*BS14</f>
        <v>0</v>
      </c>
      <c r="BT170" s="35" t="n">
        <f aca="false">BT159+$F169*BT14</f>
        <v>0</v>
      </c>
      <c r="BU170" s="35" t="n">
        <f aca="false">BU159+$F169*BU14</f>
        <v>0</v>
      </c>
      <c r="BV170" s="35" t="n">
        <f aca="false">BV159+$F169*BV14</f>
        <v>0</v>
      </c>
      <c r="BW170" s="35" t="n">
        <f aca="false">BW159+$F169*BW14</f>
        <v>0</v>
      </c>
      <c r="BX170" s="35" t="n">
        <f aca="false">BX159+$F169*BX14</f>
        <v>0</v>
      </c>
      <c r="BY170" s="35" t="n">
        <f aca="false">BY159+$F169*BY14</f>
        <v>0</v>
      </c>
      <c r="BZ170" s="35" t="n">
        <f aca="false">BZ159+$F169*BZ14</f>
        <v>0</v>
      </c>
      <c r="CA170" s="35" t="n">
        <f aca="false">CA159+$F169*CA14</f>
        <v>0</v>
      </c>
      <c r="CB170" s="35" t="n">
        <f aca="false">CB159+$F169*CB14</f>
        <v>0</v>
      </c>
      <c r="CC170" s="35" t="n">
        <f aca="false">CC159+$F169*CC14</f>
        <v>0</v>
      </c>
      <c r="CD170" s="35" t="n">
        <f aca="false">CD159+$F169*CD14</f>
        <v>0</v>
      </c>
      <c r="CE170" s="35" t="n">
        <f aca="false">CE159+$F169*CE14</f>
        <v>0</v>
      </c>
      <c r="CF170" s="35" t="n">
        <f aca="false">CF159+$F169*CF14</f>
        <v>0</v>
      </c>
      <c r="CG170" s="35" t="n">
        <f aca="false">CG159+$F169*CG14</f>
        <v>0</v>
      </c>
      <c r="CH170" s="35" t="n">
        <f aca="false">CH159+$F169*CH14</f>
        <v>0</v>
      </c>
      <c r="CI170" s="35" t="n">
        <f aca="false">CI159+$F169*CI14</f>
        <v>0</v>
      </c>
      <c r="CJ170" s="35" t="n">
        <f aca="false">CJ159+$F169*CJ14</f>
        <v>0</v>
      </c>
      <c r="CK170" s="35" t="n">
        <f aca="false">CK159+$F169*CK14</f>
        <v>0</v>
      </c>
      <c r="CL170" s="35" t="n">
        <f aca="false">CL159+$F169*CL14</f>
        <v>0</v>
      </c>
      <c r="CM170" s="35" t="n">
        <f aca="false">CM159+$F169*CM14</f>
        <v>0</v>
      </c>
      <c r="CN170" s="35" t="n">
        <f aca="false">CN159+$F169*CN14</f>
        <v>0</v>
      </c>
      <c r="CO170" s="35" t="n">
        <f aca="false">CO159+$F169*CO14</f>
        <v>0</v>
      </c>
      <c r="CP170" s="35" t="n">
        <f aca="false">CP159+$F169*CP14</f>
        <v>0</v>
      </c>
      <c r="CQ170" s="35" t="n">
        <f aca="false">CQ159+$F169*CQ14</f>
        <v>0</v>
      </c>
      <c r="CR170" s="35" t="n">
        <f aca="false">CR159+$F169*CR14</f>
        <v>0</v>
      </c>
      <c r="CS170" s="35" t="n">
        <f aca="false">CS159+$F169*CS14</f>
        <v>0</v>
      </c>
      <c r="CT170" s="35" t="n">
        <f aca="false">CT159+$F169*CT14</f>
        <v>0</v>
      </c>
      <c r="CU170" s="35" t="n">
        <f aca="false">CU159+$F169*CU14</f>
        <v>0</v>
      </c>
      <c r="CV170" s="35" t="n">
        <f aca="false">CV159+$F169*CV14</f>
        <v>0</v>
      </c>
      <c r="CW170" s="35" t="n">
        <f aca="false">CW159+$F169*CW14</f>
        <v>0</v>
      </c>
      <c r="CX170" s="35" t="n">
        <f aca="false">CX159+$F169*CX14</f>
        <v>0</v>
      </c>
      <c r="CY170" s="35" t="n">
        <f aca="false">CY159+$F169*CY14</f>
        <v>0</v>
      </c>
      <c r="CZ170" s="35" t="n">
        <f aca="false">CZ159+$F169*CZ14</f>
        <v>0</v>
      </c>
      <c r="DA170" s="35" t="n">
        <f aca="false">DA159+$F169*DA14</f>
        <v>0</v>
      </c>
      <c r="DB170" s="35" t="n">
        <f aca="false">DB159+$F169*DB14</f>
        <v>0</v>
      </c>
      <c r="DC170" s="35" t="n">
        <f aca="false">DC159+$F169*DC14</f>
        <v>0</v>
      </c>
      <c r="DD170" s="35" t="n">
        <f aca="false">DD159+$F169*DD14</f>
        <v>0</v>
      </c>
      <c r="DE170" s="35" t="n">
        <f aca="false">DE159+$F169*DE14</f>
        <v>0</v>
      </c>
      <c r="DF170" s="35" t="n">
        <f aca="false">DF159+$F169*DF14</f>
        <v>0</v>
      </c>
      <c r="DG170" s="35" t="n">
        <f aca="false">DG159+$F169*DG14</f>
        <v>0</v>
      </c>
      <c r="DH170" s="35" t="n">
        <f aca="false">DH159+$F169*DH14</f>
        <v>0</v>
      </c>
      <c r="DI170" s="35" t="n">
        <f aca="false">DI159+$F169*DI14</f>
        <v>0</v>
      </c>
      <c r="DJ170" s="35" t="n">
        <f aca="false">DJ159+$F169*DJ14</f>
        <v>0</v>
      </c>
      <c r="DK170" s="35" t="n">
        <f aca="false">DK159+$F169*DK14</f>
        <v>0</v>
      </c>
      <c r="DL170" s="35" t="n">
        <f aca="false">DL159+$F169*DL14</f>
        <v>0</v>
      </c>
      <c r="DM170" s="35" t="n">
        <f aca="false">DM159+$F169*DM14</f>
        <v>0</v>
      </c>
      <c r="DN170" s="35" t="n">
        <f aca="false">DN159+$F169*DN14</f>
        <v>0</v>
      </c>
      <c r="DO170" s="35" t="n">
        <f aca="false">DO159+$F169*DO14</f>
        <v>0</v>
      </c>
      <c r="DP170" s="35" t="n">
        <f aca="false">DP159+$F169*DP14</f>
        <v>0</v>
      </c>
      <c r="DQ170" s="35" t="n">
        <f aca="false">DQ159+$F169*DQ14</f>
        <v>0</v>
      </c>
      <c r="DR170" s="35" t="n">
        <f aca="false">DR159+$F169*DR14</f>
        <v>0</v>
      </c>
      <c r="DS170" s="35" t="n">
        <f aca="false">DS159+$F169*DS14</f>
        <v>0</v>
      </c>
      <c r="DT170" s="35" t="n">
        <f aca="false">DT159+$F169*DT14</f>
        <v>0</v>
      </c>
      <c r="DU170" s="35" t="n">
        <f aca="false">DU159+$F169*DU14</f>
        <v>0</v>
      </c>
      <c r="DV170" s="35" t="n">
        <f aca="false">DV159+$F169*DV14</f>
        <v>0</v>
      </c>
      <c r="DW170" s="35" t="n">
        <f aca="false">DW159+$F169*DW14</f>
        <v>0</v>
      </c>
      <c r="DX170" s="35" t="n">
        <f aca="false">DX159+$F169*DX14</f>
        <v>0</v>
      </c>
      <c r="DY170" s="35" t="n">
        <f aca="false">DY159+$F169*DY14</f>
        <v>0</v>
      </c>
      <c r="DZ170" s="35" t="n">
        <f aca="false">DZ159+$F169*DZ14</f>
        <v>0</v>
      </c>
      <c r="EA170" s="35" t="n">
        <f aca="false">EA159+$F169*EA14</f>
        <v>0</v>
      </c>
      <c r="EB170" s="35" t="n">
        <f aca="false">EB159+$F169*EB14</f>
        <v>0</v>
      </c>
      <c r="EC170" s="35" t="n">
        <f aca="false">EC159+$F169*EC14</f>
        <v>0</v>
      </c>
      <c r="ED170" s="35" t="n">
        <f aca="false">ED159+$F169*ED14</f>
        <v>0</v>
      </c>
      <c r="EE170" s="35" t="n">
        <f aca="false">EE159+$F169*EE14</f>
        <v>0</v>
      </c>
      <c r="EF170" s="35" t="n">
        <f aca="false">EF159+$F169*EF14</f>
        <v>0</v>
      </c>
      <c r="EG170" s="35" t="n">
        <f aca="false">EG159+$F169*EG14</f>
        <v>0</v>
      </c>
      <c r="EH170" s="35" t="n">
        <f aca="false">EH159+$F169*EH14</f>
        <v>0</v>
      </c>
      <c r="EI170" s="35" t="n">
        <f aca="false">EI159+$F169*EI14</f>
        <v>0</v>
      </c>
      <c r="EJ170" s="35" t="n">
        <f aca="false">EJ159+$F169*EJ14</f>
        <v>0</v>
      </c>
      <c r="EK170" s="35" t="n">
        <f aca="false">EK159+$F169*EK14</f>
        <v>0</v>
      </c>
      <c r="EL170" s="35" t="n">
        <f aca="false">EL159+$F169*EL14</f>
        <v>0</v>
      </c>
      <c r="EM170" s="35" t="n">
        <f aca="false">EM159+$F169*EM14</f>
        <v>0</v>
      </c>
      <c r="EN170" s="35" t="n">
        <f aca="false">EN159+$F169*EN14</f>
        <v>0</v>
      </c>
      <c r="EO170" s="35" t="n">
        <f aca="false">EO159+$F169*EO14</f>
        <v>0</v>
      </c>
      <c r="EP170" s="35" t="n">
        <f aca="false">EP159+$F169*EP14</f>
        <v>0</v>
      </c>
      <c r="EQ170" s="35" t="n">
        <f aca="false">EQ159+$F169*EQ14</f>
        <v>0</v>
      </c>
      <c r="ER170" s="35" t="n">
        <f aca="false">ER159+$F169*ER14</f>
        <v>0</v>
      </c>
      <c r="ES170" s="35" t="n">
        <f aca="false">ES159+$F169*ES14</f>
        <v>0</v>
      </c>
      <c r="ET170" s="35" t="n">
        <f aca="false">ET159+$F169*ET14</f>
        <v>0</v>
      </c>
    </row>
    <row r="171" customFormat="false" ht="15" hidden="false" customHeight="false" outlineLevel="0" collapsed="false">
      <c r="C171" s="30" t="s">
        <v>77</v>
      </c>
      <c r="D171" s="11" t="s">
        <v>35</v>
      </c>
      <c r="E171" s="57" t="n">
        <f aca="false">XIRR($J170:$ET170,$J$4:$ET$4)</f>
        <v>0.339207407992561</v>
      </c>
    </row>
    <row r="172" customFormat="false" ht="15" hidden="false" customHeight="false" outlineLevel="0" collapsed="false">
      <c r="C172" s="30" t="s">
        <v>600</v>
      </c>
      <c r="D172" s="11" t="s">
        <v>13</v>
      </c>
      <c r="E172" s="58" t="n">
        <f aca="false">$F169/-$I159</f>
        <v>1.66053073086095</v>
      </c>
    </row>
    <row r="173" customFormat="false" ht="15" hidden="false" customHeight="false" outlineLevel="0" collapsed="false">
      <c r="C173" s="30" t="s">
        <v>79</v>
      </c>
      <c r="D173" s="11" t="s">
        <v>247</v>
      </c>
      <c r="E173" s="35" t="n">
        <f aca="false">XNPV(In_Discount_Rate,$J170:$ET170,$J$4:$ET$4)</f>
        <v>26530.583975982</v>
      </c>
    </row>
    <row r="174" customFormat="false" ht="15" hidden="false" customHeight="false" outlineLevel="0" collapsed="false">
      <c r="A174" s="55"/>
      <c r="B174" s="55"/>
      <c r="C174" s="55" t="s">
        <v>601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  <c r="DX174" s="55"/>
      <c r="DY174" s="55"/>
      <c r="DZ174" s="55"/>
      <c r="EA174" s="55"/>
      <c r="EB174" s="55"/>
      <c r="EC174" s="55"/>
      <c r="ED174" s="55"/>
      <c r="EE174" s="55"/>
      <c r="EF174" s="55"/>
      <c r="EG174" s="55"/>
      <c r="EH174" s="55"/>
      <c r="EI174" s="55"/>
      <c r="EJ174" s="55"/>
      <c r="EK174" s="55"/>
      <c r="EL174" s="55"/>
      <c r="EM174" s="55"/>
      <c r="EN174" s="55"/>
      <c r="EO174" s="55"/>
      <c r="EP174" s="55"/>
      <c r="EQ174" s="55"/>
      <c r="ER174" s="55"/>
      <c r="ES174" s="55"/>
      <c r="ET174" s="55"/>
    </row>
    <row r="175" customFormat="false" ht="15" hidden="false" customHeight="false" outlineLevel="0" collapsed="false">
      <c r="C175" s="0" t="s">
        <v>602</v>
      </c>
      <c r="D175" s="11" t="s">
        <v>247</v>
      </c>
      <c r="E175" s="33" t="n">
        <f aca="false">$E92*$F24</f>
        <v>60000</v>
      </c>
      <c r="F175" s="33" t="n">
        <f aca="false">In_Installation*$F24</f>
        <v>8000</v>
      </c>
    </row>
    <row r="176" customFormat="false" ht="15" hidden="false" customHeight="false" outlineLevel="0" collapsed="false">
      <c r="C176" s="0" t="s">
        <v>603</v>
      </c>
      <c r="D176" s="11" t="s">
        <v>247</v>
      </c>
      <c r="E176" s="33" t="n">
        <f aca="false">In_Foundations*$F24</f>
        <v>9000</v>
      </c>
      <c r="F176" s="33" t="n">
        <f aca="false">In_BoP*$F24</f>
        <v>13000</v>
      </c>
    </row>
    <row r="177" customFormat="false" ht="15" hidden="false" customHeight="false" outlineLevel="0" collapsed="false">
      <c r="C177" s="0" t="s">
        <v>604</v>
      </c>
      <c r="D177" s="11" t="s">
        <v>247</v>
      </c>
      <c r="E177" s="33" t="n">
        <f aca="false">In_Owner*$F24</f>
        <v>4000</v>
      </c>
      <c r="F177" s="33" t="n">
        <f aca="false">In_Easements*$F24-SUMIF($J$4:$ET$4,"&lt;="&amp;In_COD,$J119:$ET119)</f>
        <v>2118.49126824379</v>
      </c>
    </row>
    <row r="178" customFormat="false" ht="15" hidden="false" customHeight="false" outlineLevel="0" collapsed="false">
      <c r="C178" s="0" t="s">
        <v>605</v>
      </c>
      <c r="D178" s="11" t="s">
        <v>247</v>
      </c>
      <c r="E178" s="33" t="n">
        <f aca="false">In_Capex_Contingency*(($E92+$F92)*$F24+$E93)</f>
        <v>5375</v>
      </c>
      <c r="F178" s="33" t="n">
        <f aca="false">$E93</f>
        <v>12000</v>
      </c>
    </row>
    <row r="179" customFormat="false" ht="15" hidden="false" customHeight="false" outlineLevel="0" collapsed="false">
      <c r="C179" s="0" t="s">
        <v>606</v>
      </c>
      <c r="D179" s="11" t="s">
        <v>247</v>
      </c>
      <c r="E179" s="33" t="n">
        <f aca="false">In_BESS_Capex*$F26</f>
        <v>20400</v>
      </c>
      <c r="F179" s="33" t="n">
        <f aca="false">-$I53</f>
        <v>20179.3874082192</v>
      </c>
    </row>
    <row r="180" customFormat="false" ht="15" hidden="false" customHeight="false" outlineLevel="0" collapsed="false">
      <c r="C180" s="0" t="s">
        <v>607</v>
      </c>
      <c r="D180" s="11" t="s">
        <v>247</v>
      </c>
      <c r="E180" s="33" t="n">
        <f aca="false">-$I95</f>
        <v>5000</v>
      </c>
      <c r="F180" s="33" t="n">
        <f aca="false">-($I57+$I46+$I47+$I50)</f>
        <v>4760.72040238188</v>
      </c>
    </row>
    <row r="181" customFormat="false" ht="15" hidden="false" customHeight="false" outlineLevel="0" collapsed="false">
      <c r="C181" s="0" t="s">
        <v>118</v>
      </c>
      <c r="D181" s="11" t="s">
        <v>247</v>
      </c>
      <c r="E181" s="33" t="n">
        <f aca="false">$I99-$I103-$I104-$F59</f>
        <v>8901.43406713672</v>
      </c>
    </row>
    <row r="182" customFormat="false" ht="15" hidden="false" customHeight="false" outlineLevel="0" collapsed="false">
      <c r="C182" s="30" t="s">
        <v>608</v>
      </c>
      <c r="D182" s="11" t="s">
        <v>247</v>
      </c>
      <c r="E182" s="35" t="n">
        <f aca="false">SUM($E175:$F181)</f>
        <v>172735.033145982</v>
      </c>
      <c r="F182" s="35" t="n">
        <f aca="false">$I98+$I99-$I159</f>
        <v>172735.033145982</v>
      </c>
    </row>
    <row r="183" customFormat="false" ht="15" hidden="false" customHeight="false" outlineLevel="0" collapsed="false">
      <c r="C183" s="0" t="s">
        <v>609</v>
      </c>
      <c r="D183" s="11" t="s">
        <v>247</v>
      </c>
      <c r="E183" s="33" t="n">
        <f aca="false">-($I94+$I98)-SUMIF($J$4:$ET$4,"&lt;="&amp;In_COD,$J119:$ET119)</f>
        <v>38820.8588233123</v>
      </c>
      <c r="F183" s="33" t="n">
        <f aca="false">-($I103+$I104)</f>
        <v>2626.3903023952</v>
      </c>
    </row>
    <row r="184" customFormat="false" ht="15" hidden="false" customHeight="false" outlineLevel="0" collapsed="false">
      <c r="A184" s="55"/>
      <c r="B184" s="55"/>
      <c r="C184" s="55" t="s">
        <v>610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  <c r="DX184" s="55"/>
      <c r="DY184" s="55"/>
      <c r="DZ184" s="55"/>
      <c r="EA184" s="55"/>
      <c r="EB184" s="55"/>
      <c r="EC184" s="55"/>
      <c r="ED184" s="55"/>
      <c r="EE184" s="55"/>
      <c r="EF184" s="55"/>
      <c r="EG184" s="55"/>
      <c r="EH184" s="55"/>
      <c r="EI184" s="55"/>
      <c r="EJ184" s="55"/>
      <c r="EK184" s="55"/>
      <c r="EL184" s="55"/>
      <c r="EM184" s="55"/>
      <c r="EN184" s="55"/>
      <c r="EO184" s="55"/>
      <c r="EP184" s="55"/>
      <c r="EQ184" s="55"/>
      <c r="ER184" s="55"/>
      <c r="ES184" s="55"/>
      <c r="ET184" s="55"/>
    </row>
    <row r="185" customFormat="false" ht="15" hidden="false" customHeight="false" outlineLevel="0" collapsed="false">
      <c r="C185" s="0" t="s">
        <v>142</v>
      </c>
      <c r="D185" s="11" t="s">
        <v>247</v>
      </c>
      <c r="E185" s="33" t="n">
        <f aca="false">$E49-$I47-$I50</f>
        <v>8234.65753424658</v>
      </c>
    </row>
    <row r="186" customFormat="false" ht="15" hidden="false" customHeight="false" outlineLevel="0" collapsed="false">
      <c r="C186" s="30" t="s">
        <v>611</v>
      </c>
      <c r="D186" s="11" t="s">
        <v>247</v>
      </c>
      <c r="E186" s="35" t="n">
        <f aca="false">$E182+$E49</f>
        <v>179728.594789817</v>
      </c>
    </row>
    <row r="187" customFormat="false" ht="15" hidden="false" customHeight="false" outlineLevel="0" collapsed="false">
      <c r="C187" s="0" t="s">
        <v>612</v>
      </c>
      <c r="D187" s="11" t="s">
        <v>247</v>
      </c>
      <c r="E187" s="33" t="n">
        <f aca="false">-$I87</f>
        <v>1418.21917808219</v>
      </c>
      <c r="F187" s="33" t="n">
        <f aca="false">$F86</f>
        <v>6993.56164383562</v>
      </c>
    </row>
    <row r="189" customFormat="false" ht="15" hidden="false" customHeight="false" outlineLevel="0" collapsed="false">
      <c r="A189" s="9" t="s">
        <v>13</v>
      </c>
      <c r="B189" s="9"/>
      <c r="C189" s="9" t="s">
        <v>177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</row>
    <row r="190" customFormat="false" ht="15" hidden="false" customHeight="false" outlineLevel="0" collapsed="false">
      <c r="C190" s="30" t="s">
        <v>613</v>
      </c>
      <c r="D190" s="11" t="s">
        <v>247</v>
      </c>
      <c r="I190" s="35" t="n">
        <f aca="false">SUM(J190:ET190)</f>
        <v>278469.644233254</v>
      </c>
      <c r="J190" s="35" t="n">
        <f aca="false">J60+J105+J98+J119+J102+J100+J128+J87-$F143*J12</f>
        <v>-400</v>
      </c>
      <c r="K190" s="35" t="n">
        <f aca="false">K60+K105+K98+K119+K102+K100+K128+K87-$F143*K12</f>
        <v>-1437.78053818728</v>
      </c>
      <c r="L190" s="35" t="n">
        <f aca="false">L60+L105+L98+L119+L102+L100+L128+L87-$F143*L12</f>
        <v>-691.910911990993</v>
      </c>
      <c r="M190" s="35" t="n">
        <f aca="false">M60+M105+M98+M119+M102+M100+M128+M87-$F143*M12</f>
        <v>-148.451634452993</v>
      </c>
      <c r="N190" s="35" t="n">
        <f aca="false">N60+N105+N98+N119+N102+N100+N128+N87-$F143*N12</f>
        <v>-149.601261024582</v>
      </c>
      <c r="O190" s="35" t="n">
        <f aca="false">O60+O105+O98+O119+O102+O100+O128+O87-$F143*O12</f>
        <v>-290.127288421843</v>
      </c>
      <c r="P190" s="35" t="n">
        <f aca="false">P60+P105+P98+P119+P102+P100+P128+P87-$F143*P12</f>
        <v>-1394.65781281475</v>
      </c>
      <c r="Q190" s="35" t="n">
        <f aca="false">Q60+Q105+Q98+Q119+Q102+Q100+Q128+Q87-$F143*Q12</f>
        <v>-109.225607055733</v>
      </c>
      <c r="R190" s="35" t="n">
        <f aca="false">R60+R105+R98+R119+R102+R100+R128+R87-$F143*R12</f>
        <v>-269.857154566657</v>
      </c>
      <c r="S190" s="35" t="n">
        <f aca="false">S60+S105+S98+S119+S102+S100+S128+S87-$F143*S12</f>
        <v>-422.991783283459</v>
      </c>
      <c r="T190" s="35" t="n">
        <f aca="false">T60+T105+T98+T119+T102+T100+T128+T87-$F143*T12</f>
        <v>-20587.5113339088</v>
      </c>
      <c r="U190" s="35" t="n">
        <f aca="false">U60+U105+U98+U119+U102+U100+U128+U87-$F143*U12</f>
        <v>-104.616018014637</v>
      </c>
      <c r="V190" s="35" t="n">
        <f aca="false">V60+V105+V98+V119+V102+V100+V128+V87-$F143*V12</f>
        <v>-105.765644586226</v>
      </c>
      <c r="W190" s="35" t="n">
        <f aca="false">W60+W105+W98+W119+W102+W100+W128+W87-$F143*W12</f>
        <v>-10324.3941457621</v>
      </c>
      <c r="X190" s="35" t="n">
        <f aca="false">X60+X105+X98+X119+X102+X100+X128+X87-$F143*X12</f>
        <v>-5073.5175863622</v>
      </c>
      <c r="Y190" s="35" t="n">
        <f aca="false">Y60+Y105+Y98+Y119+Y102+Y100+Y128+Y87-$F143*Y12</f>
        <v>-5103.58937070822</v>
      </c>
      <c r="Z190" s="35" t="n">
        <f aca="false">Z60+Z105+Z98+Z119+Z102+Z100+Z128+Z87-$F143*Z12</f>
        <v>-5132.78767858878</v>
      </c>
      <c r="AA190" s="35" t="n">
        <f aca="false">AA60+AA105+AA98+AA119+AA102+AA100+AA128+AA87-$F143*AA12</f>
        <v>-5105.60714622201</v>
      </c>
      <c r="AB190" s="35" t="n">
        <f aca="false">AB60+AB105+AB98+AB119+AB102+AB100+AB128+AB87-$F143*AB12</f>
        <v>-4969.92045560723</v>
      </c>
      <c r="AC190" s="35" t="n">
        <f aca="false">AC60+AC105+AC98+AC119+AC102+AC100+AC128+AC87-$F143*AC12</f>
        <v>-4998.84116072264</v>
      </c>
      <c r="AD190" s="35" t="n">
        <f aca="false">AD60+AD105+AD98+AD119+AD102+AD100+AD128+AD87-$F143*AD12</f>
        <v>-10026.8883893726</v>
      </c>
      <c r="AE190" s="35" t="n">
        <f aca="false">AE60+AE105+AE98+AE119+AE102+AE100+AE128+AE87-$F143*AE12</f>
        <v>874.393407109325</v>
      </c>
      <c r="AF190" s="35" t="n">
        <f aca="false">AF60+AF105+AF98+AF119+AF102+AF100+AF128+AF87-$F143*AF12</f>
        <v>-560.072909893331</v>
      </c>
      <c r="AG190" s="35" t="n">
        <f aca="false">AG60+AG105+AG98+AG119+AG102+AG100+AG128+AG87-$F143*AG12</f>
        <v>858.146268188861</v>
      </c>
      <c r="AH190" s="35" t="n">
        <f aca="false">AH60+AH105+AH98+AH119+AH102+AH100+AH128+AH87-$F143*AH12</f>
        <v>902.422023615627</v>
      </c>
      <c r="AI190" s="35" t="n">
        <f aca="false">AI60+AI105+AI98+AI119+AI102+AI100+AI128+AI87-$F143*AI12</f>
        <v>887.727990101891</v>
      </c>
      <c r="AJ190" s="35" t="n">
        <f aca="false">AJ60+AJ105+AJ98+AJ119+AJ102+AJ100+AJ128+AJ87-$F143*AJ12</f>
        <v>826.680388268668</v>
      </c>
      <c r="AK190" s="35" t="n">
        <f aca="false">AK60+AK105+AK98+AK119+AK102+AK100+AK128+AK87-$F143*AK12</f>
        <v>964.097236992855</v>
      </c>
      <c r="AL190" s="35" t="n">
        <f aca="false">AL60+AL105+AL98+AL119+AL102+AL100+AL128+AL87-$F143*AL12</f>
        <v>925.793262766851</v>
      </c>
      <c r="AM190" s="35" t="n">
        <f aca="false">AM60+AM105+AM98+AM119+AM102+AM100+AM128+AM87-$F143*AM12</f>
        <v>909.969296222041</v>
      </c>
      <c r="AN190" s="35" t="n">
        <f aca="false">AN60+AN105+AN98+AN119+AN102+AN100+AN128+AN87-$F143*AN12</f>
        <v>845.404881547606</v>
      </c>
      <c r="AO190" s="35" t="n">
        <f aca="false">AO60+AO105+AO98+AO119+AO102+AO100+AO128+AO87-$F143*AO12</f>
        <v>886.590388683276</v>
      </c>
      <c r="AP190" s="35" t="n">
        <f aca="false">AP60+AP105+AP98+AP119+AP102+AP100+AP128+AP87-$F143*AP12</f>
        <v>927.745556516224</v>
      </c>
      <c r="AQ190" s="35" t="n">
        <f aca="false">AQ60+AQ105+AQ98+AQ119+AQ102+AQ100+AQ128+AQ87-$F143*AQ12</f>
        <v>911.715877644968</v>
      </c>
      <c r="AR190" s="35" t="n">
        <f aca="false">AR60+AR105+AR98+AR119+AR102+AR100+AR128+AR87-$F143*AR12</f>
        <v>846.543277615423</v>
      </c>
      <c r="AS190" s="35" t="n">
        <f aca="false">AS60+AS105+AS98+AS119+AS102+AS100+AS128+AS87-$F143*AS12</f>
        <v>887.727694520745</v>
      </c>
      <c r="AT190" s="35" t="n">
        <f aca="false">AT60+AT105+AT98+AT119+AT102+AT100+AT128+AT87-$F143*AT12</f>
        <v>928.88022647735</v>
      </c>
      <c r="AU190" s="35" t="n">
        <f aca="false">AU60+AU105+AU98+AU119+AU102+AU100+AU128+AU87-$F143*AU12</f>
        <v>912.638411235669</v>
      </c>
      <c r="AV190" s="35" t="n">
        <f aca="false">AV60+AV105+AV98+AV119+AV102+AV100+AV128+AV87-$F143*AV12</f>
        <v>890.70113207518</v>
      </c>
      <c r="AW190" s="35" t="n">
        <f aca="false">AW60+AW105+AW98+AW119+AW102+AW100+AW128+AW87-$F143*AW12</f>
        <v>888.020385021271</v>
      </c>
      <c r="AX190" s="35" t="n">
        <f aca="false">AX60+AX105+AX98+AX119+AX102+AX100+AX128+AX87-$F143*AX12</f>
        <v>929.16022862069</v>
      </c>
      <c r="AY190" s="35" t="n">
        <f aca="false">AY60+AY105+AY98+AY119+AY102+AY100+AY128+AY87-$F143*AY12</f>
        <v>912.699544478946</v>
      </c>
      <c r="AZ190" s="35" t="n">
        <f aca="false">AZ60+AZ105+AZ98+AZ119+AZ102+AZ100+AZ128+AZ87-$F143*AZ12</f>
        <v>846.278418220016</v>
      </c>
      <c r="BA190" s="35" t="n">
        <f aca="false">BA60+BA105+BA98+BA119+BA102+BA100+BA128+BA87-$F143*BA12</f>
        <v>887.43027860781</v>
      </c>
      <c r="BB190" s="35" t="n">
        <f aca="false">BB60+BB105+BB98+BB119+BB102+BB100+BB128+BB87-$F143*BB12</f>
        <v>928.546922512905</v>
      </c>
      <c r="BC190" s="35" t="n">
        <f aca="false">BC60+BC105+BC98+BC119+BC102+BC100+BC128+BC87-$F143*BC12</f>
        <v>911.86031268293</v>
      </c>
      <c r="BD190" s="35" t="n">
        <f aca="false">BD60+BD105+BD98+BD119+BD102+BD100+BD128+BD87-$F143*BD12</f>
        <v>844.798079926203</v>
      </c>
      <c r="BE190" s="35" t="n">
        <f aca="false">BE60+BE105+BE98+BE119+BE102+BE100+BE128+BE87-$F143*BE12</f>
        <v>885.917544416721</v>
      </c>
      <c r="BF190" s="35" t="n">
        <f aca="false">BF60+BF105+BF98+BF119+BF102+BF100+BF128+BF87-$F143*BF12</f>
        <v>926.999998308965</v>
      </c>
      <c r="BG190" s="35" t="n">
        <f aca="false">BG60+BG105+BG98+BG119+BG102+BG100+BG128+BG87-$F143*BG12</f>
        <v>910.080065163074</v>
      </c>
      <c r="BH190" s="35" t="n">
        <f aca="false">BH60+BH105+BH98+BH119+BH102+BH100+BH128+BH87-$F143*BH12</f>
        <v>842.36495707647</v>
      </c>
      <c r="BI190" s="35" t="n">
        <f aca="false">BI60+BI105+BI98+BI119+BI102+BI100+BI128+BI87-$F143*BI12</f>
        <v>883.440626714007</v>
      </c>
      <c r="BJ190" s="35" t="n">
        <f aca="false">BJ60+BJ105+BJ98+BJ119+BJ102+BJ100+BJ128+BJ87-$F143*BJ12</f>
        <v>924.477400235871</v>
      </c>
      <c r="BK190" s="35" t="n">
        <f aca="false">BK60+BK105+BK98+BK119+BK102+BK100+BK128+BK87-$F143*BK12</f>
        <v>907.316387876432</v>
      </c>
      <c r="BL190" s="35" t="n">
        <f aca="false">BL60+BL105+BL98+BL119+BL102+BL100+BL128+BL87-$F143*BL12</f>
        <v>883.226380985904</v>
      </c>
      <c r="BM190" s="35" t="n">
        <f aca="false">BM60+BM105+BM98+BM119+BM102+BM100+BM128+BM87-$F143*BM12</f>
        <v>879.956165674805</v>
      </c>
      <c r="BN190" s="35" t="n">
        <f aca="false">BN60+BN105+BN98+BN119+BN102+BN100+BN128+BN87-$F143*BN12</f>
        <v>920.935246394432</v>
      </c>
      <c r="BO190" s="35" t="n">
        <f aca="false">BO60+BO105+BO98+BO119+BO102+BO100+BO128+BO87-$F143*BO12</f>
        <v>903.525022330628</v>
      </c>
      <c r="BP190" s="35" t="n">
        <f aca="false">BP60+BP105+BP98+BP119+BP102+BP100+BP128+BP87-$F143*BP12</f>
        <v>834.467123776132</v>
      </c>
      <c r="BQ190" s="35" t="n">
        <f aca="false">BQ60+BQ105+BQ98+BQ119+BQ102+BQ100+BQ128+BQ87-$F143*BQ12</f>
        <v>875.418914346086</v>
      </c>
      <c r="BR190" s="35" t="n">
        <f aca="false">BR60+BR105+BR98+BR119+BR102+BR100+BR128+BR87-$F143*BR12</f>
        <v>916.32774469689</v>
      </c>
      <c r="BS190" s="35" t="n">
        <f aca="false">BS60+BS105+BS98+BS119+BS102+BS100+BS128+BS87-$F143*BS12</f>
        <v>4069.60725622995</v>
      </c>
      <c r="BT190" s="35" t="n">
        <f aca="false">BT60+BT105+BT98+BT119+BT102+BT100+BT128+BT87-$F143*BT12</f>
        <v>4003.42584117317</v>
      </c>
      <c r="BU190" s="35" t="n">
        <f aca="false">BU60+BU105+BU98+BU119+BU102+BU100+BU128+BU87-$F143*BU12</f>
        <v>4047.90835051954</v>
      </c>
      <c r="BV190" s="35" t="n">
        <f aca="false">BV60+BV105+BV98+BV119+BV102+BV100+BV128+BV87-$F143*BV12</f>
        <v>4092.39085986591</v>
      </c>
      <c r="BW190" s="35" t="n">
        <f aca="false">BW60+BW105+BW98+BW119+BW102+BW100+BW128+BW87-$F143*BW12</f>
        <v>4078.15898065686</v>
      </c>
      <c r="BX190" s="35" t="n">
        <f aca="false">BX60+BX105+BX98+BX119+BX102+BX100+BX128+BX87-$F143*BX12</f>
        <v>4011.45486590955</v>
      </c>
      <c r="BY190" s="35" t="n">
        <f aca="false">BY60+BY105+BY98+BY119+BY102+BY100+BY128+BY87-$F143*BY12</f>
        <v>4056.02658664188</v>
      </c>
      <c r="BZ190" s="35" t="n">
        <f aca="false">BZ60+BZ105+BZ98+BZ119+BZ102+BZ100+BZ128+BZ87-$F143*BZ12</f>
        <v>4100.59830737421</v>
      </c>
      <c r="CA190" s="35" t="n">
        <f aca="false">CA60+CA105+CA98+CA119+CA102+CA100+CA128+CA87-$F143*CA12</f>
        <v>4086.27900066486</v>
      </c>
      <c r="CB190" s="35" t="n">
        <f aca="false">CB60+CB105+CB98+CB119+CB102+CB100+CB128+CB87-$F143*CB12</f>
        <v>4063.70340708089</v>
      </c>
      <c r="CC190" s="35" t="n">
        <f aca="false">CC60+CC105+CC98+CC119+CC102+CC100+CC128+CC87-$F143*CC12</f>
        <v>4063.70340708089</v>
      </c>
      <c r="CD190" s="35" t="n">
        <f aca="false">CD60+CD105+CD98+CD119+CD102+CD100+CD128+CD87-$F143*CD12</f>
        <v>4108.35948847738</v>
      </c>
      <c r="CE190" s="35" t="n">
        <f aca="false">CE60+CE105+CE98+CE119+CE102+CE100+CE128+CE87-$F143*CE12</f>
        <v>4093.95252293801</v>
      </c>
      <c r="CF190" s="35" t="n">
        <f aca="false">CF60+CF105+CF98+CF119+CF102+CF100+CF128+CF87-$F143*CF12</f>
        <v>4026.18836092788</v>
      </c>
      <c r="CG190" s="35" t="n">
        <f aca="false">CG60+CG105+CG98+CG119+CG102+CG100+CG128+CG87-$F143*CG12</f>
        <v>4070.92378716041</v>
      </c>
      <c r="CH190" s="35" t="n">
        <f aca="false">CH60+CH105+CH98+CH119+CH102+CH100+CH128+CH87-$F143*CH12</f>
        <v>4115.65921339294</v>
      </c>
      <c r="CI190" s="35" t="n">
        <f aca="false">CI60+CI105+CI98+CI119+CI102+CI100+CI128+CI87-$F143*CI12</f>
        <v>4101.16436400994</v>
      </c>
      <c r="CJ190" s="35" t="n">
        <f aca="false">CJ60+CJ105+CJ98+CJ119+CJ102+CJ100+CJ128+CJ87-$F143*CJ12</f>
        <v>4032.86272067897</v>
      </c>
      <c r="CK190" s="35" t="n">
        <f aca="false">CK60+CK105+CK98+CK119+CK102+CK100+CK128+CK87-$F143*CK12</f>
        <v>4077.6723064643</v>
      </c>
      <c r="CL190" s="35" t="n">
        <f aca="false">CL60+CL105+CL98+CL119+CL102+CL100+CL128+CL87-$F143*CL12</f>
        <v>4122.48189224962</v>
      </c>
      <c r="CM190" s="35" t="n">
        <f aca="false">CM60+CM105+CM98+CM119+CM102+CM100+CM128+CM87-$F143*CM12</f>
        <v>4107.89894054444</v>
      </c>
      <c r="CN190" s="35" t="n">
        <f aca="false">CN60+CN105+CN98+CN119+CN102+CN100+CN128+CN87-$F143*CN12</f>
        <v>4039.05475283845</v>
      </c>
      <c r="CO190" s="35" t="n">
        <f aca="false">CO60+CO105+CO98+CO119+CO102+CO100+CO128+CO87-$F143*CO12</f>
        <v>4083.9331389811</v>
      </c>
      <c r="CP190" s="35" t="n">
        <f aca="false">CP60+CP105+CP98+CP119+CP102+CP100+CP128+CP87-$F143*CP12</f>
        <v>4128.81152512375</v>
      </c>
      <c r="CQ190" s="35" t="n">
        <f aca="false">CQ60+CQ105+CQ98+CQ119+CQ102+CQ100+CQ128+CQ87-$F143*CQ12</f>
        <v>4114.14025937721</v>
      </c>
      <c r="CR190" s="35" t="n">
        <f aca="false">CR60+CR105+CR98+CR119+CR102+CR100+CR128+CR87-$F143*CR12</f>
        <v>4089.69004300646</v>
      </c>
      <c r="CS190" s="35" t="n">
        <f aca="false">CS60+CS105+CS98+CS119+CS102+CS100+CS128+CS87-$F143*CS12</f>
        <v>4089.69004300646</v>
      </c>
      <c r="CT190" s="35" t="n">
        <f aca="false">CT60+CT105+CT98+CT119+CT102+CT100+CT128+CT87-$F143*CT12</f>
        <v>4134.63169183071</v>
      </c>
      <c r="CU190" s="35" t="n">
        <f aca="false">CU60+CU105+CU98+CU119+CU102+CU100+CU128+CU87-$F143*CU12</f>
        <v>4119.87190731273</v>
      </c>
      <c r="CV190" s="35" t="n">
        <f aca="false">CV60+CV105+CV98+CV119+CV102+CV100+CV128+CV87-$F143*CV12</f>
        <v>4049.92716012924</v>
      </c>
      <c r="CW190" s="35" t="n">
        <f aca="false">CW60+CW105+CW98+CW119+CW102+CW100+CW128+CW87-$F143*CW12</f>
        <v>4094.92635079735</v>
      </c>
      <c r="CX190" s="35" t="n">
        <f aca="false">CX60+CX105+CX98+CX119+CX102+CX100+CX128+CX87-$F143*CX12</f>
        <v>4139.92554146545</v>
      </c>
      <c r="CY190" s="35" t="n">
        <f aca="false">CY60+CY105+CY98+CY119+CY102+CY100+CY128+CY87-$F143*CY12</f>
        <v>4125.07704067048</v>
      </c>
      <c r="CZ190" s="35" t="n">
        <f aca="false">CZ60+CZ105+CZ98+CZ119+CZ102+CZ100+CZ128+CZ87-$F143*CZ12</f>
        <v>4054.57413425806</v>
      </c>
      <c r="DA190" s="35" t="n">
        <f aca="false">DA60+DA105+DA98+DA119+DA102+DA100+DA128+DA87-$F143*DA12</f>
        <v>4099.62495797204</v>
      </c>
      <c r="DB190" s="35" t="n">
        <f aca="false">DB60+DB105+DB98+DB119+DB102+DB100+DB128+DB87-$F143*DB12</f>
        <v>4144.67578168601</v>
      </c>
      <c r="DC190" s="35" t="n">
        <f aca="false">DC60+DC105+DC98+DC119+DC102+DC100+DC128+DC87-$F143*DC12</f>
        <v>4129.73837457408</v>
      </c>
      <c r="DD190" s="35" t="n">
        <f aca="false">DD60+DD105+DD98+DD119+DD102+DD100+DD128+DD87-$F143*DD12</f>
        <v>4058.67195756549</v>
      </c>
      <c r="DE190" s="35" t="n">
        <f aca="false">DE60+DE105+DE98+DE119+DE102+DE100+DE128+DE87-$F143*DE12</f>
        <v>4103.76831264955</v>
      </c>
      <c r="DF190" s="35" t="n">
        <f aca="false">DF60+DF105+DF98+DF119+DF102+DF100+DF128+DF87-$F143*DF12</f>
        <v>4148.86466773361</v>
      </c>
      <c r="DG190" s="35" t="n">
        <f aca="false">DG60+DG105+DG98+DG119+DG102+DG100+DG128+DG87-$F143*DG12</f>
        <v>3948.00494486583</v>
      </c>
      <c r="DH190" s="35" t="n">
        <f aca="false">DH60+DH105+DH98+DH119+DH102+DH100+DH128+DH87-$F143*DH12</f>
        <v>3923.5251035924</v>
      </c>
      <c r="DI190" s="35" t="n">
        <f aca="false">DI60+DI105+DI98+DI119+DI102+DI100+DI128+DI87-$F143*DI12</f>
        <v>3923.5251035924</v>
      </c>
      <c r="DJ190" s="35" t="n">
        <f aca="false">DJ60+DJ105+DJ98+DJ119+DJ102+DJ100+DJ128+DJ87-$F143*DJ12</f>
        <v>3966.64076407144</v>
      </c>
      <c r="DK190" s="35" t="n">
        <f aca="false">DK60+DK105+DK98+DK119+DK102+DK100+DK128+DK87-$F143*DK12</f>
        <v>3951.52500530895</v>
      </c>
      <c r="DL190" s="35" t="n">
        <f aca="false">DL60+DL105+DL98+DL119+DL102+DL100+DL128+DL87-$F143*DL12</f>
        <v>3883.35506214572</v>
      </c>
      <c r="DM190" s="35" t="n">
        <f aca="false">DM60+DM105+DM98+DM119+DM102+DM100+DM128+DM87-$F143*DM12</f>
        <v>3926.50345172512</v>
      </c>
      <c r="DN190" s="35" t="n">
        <f aca="false">DN60+DN105+DN98+DN119+DN102+DN100+DN128+DN87-$F143*DN12</f>
        <v>3969.65184130451</v>
      </c>
      <c r="DO190" s="35" t="n">
        <f aca="false">DO60+DO105+DO98+DO119+DO102+DO100+DO128+DO87-$F143*DO12</f>
        <v>3954.44665339857</v>
      </c>
      <c r="DP190" s="35" t="n">
        <f aca="false">DP60+DP105+DP98+DP119+DP102+DP100+DP128+DP87-$F143*DP12</f>
        <v>3885.69668644693</v>
      </c>
      <c r="DQ190" s="35" t="n">
        <f aca="false">DQ60+DQ105+DQ98+DQ119+DQ102+DQ100+DQ128+DQ87-$F143*DQ12</f>
        <v>3928.87109407412</v>
      </c>
      <c r="DR190" s="35" t="n">
        <f aca="false">DR60+DR105+DR98+DR119+DR102+DR100+DR128+DR87-$F143*DR12</f>
        <v>3972.04550170131</v>
      </c>
      <c r="DS190" s="35" t="n">
        <f aca="false">DS60+DS105+DS98+DS119+DS102+DS100+DS128+DS87-$F143*DS12</f>
        <v>3956.75072700462</v>
      </c>
      <c r="DT190" s="35" t="n">
        <f aca="false">DT60+DT105+DT98+DT119+DT102+DT100+DT128+DT87-$F143*DT12</f>
        <v>3887.415073898</v>
      </c>
      <c r="DU190" s="35" t="n">
        <f aca="false">DU60+DU105+DU98+DU119+DU102+DU100+DU128+DU87-$F143*DU12</f>
        <v>3930.60857471908</v>
      </c>
      <c r="DV190" s="35" t="n">
        <f aca="false">DV60+DV105+DV98+DV119+DV102+DV100+DV128+DV87-$F143*DV12</f>
        <v>3973.80207554017</v>
      </c>
      <c r="DW190" s="35" t="n">
        <f aca="false">DW60+DW105+DW98+DW119+DW102+DW100+DW128+DW87-$F143*DW12</f>
        <v>3958.41756516718</v>
      </c>
      <c r="DX190" s="35" t="n">
        <f aca="false">DX60+DX105+DX98+DX119+DX102+DX100+DX128+DX87-$F143*DX12</f>
        <v>3931.695931801</v>
      </c>
      <c r="DY190" s="35" t="n">
        <f aca="false">DY60+DY105+DY98+DY119+DY102+DY100+DY128+DY87-$F143*DY12</f>
        <v>3931.695931801</v>
      </c>
      <c r="DZ190" s="35" t="n">
        <f aca="false">DZ60+DZ105+DZ98+DZ119+DZ102+DZ100+DZ128+DZ87-$F143*DZ12</f>
        <v>3974.90138160101</v>
      </c>
      <c r="EA190" s="35" t="n">
        <f aca="false">EA60+EA105+EA98+EA119+EA102+EA100+EA128+EA87-$F143*EA12</f>
        <v>3959.42699570617</v>
      </c>
      <c r="EB190" s="35" t="n">
        <f aca="false">EB60+EB105+EB98+EB119+EB102+EB100+EB128+EB87-$F143*EB12</f>
        <v>3888.90265545373</v>
      </c>
      <c r="EC190" s="35" t="n">
        <f aca="false">EC60+EC105+EC98+EC119+EC102+EC100+EC128+EC87-$F143*EC12</f>
        <v>3932.11268495877</v>
      </c>
      <c r="ED190" s="35" t="n">
        <f aca="false">ED60+ED105+ED98+ED119+ED102+ED100+ED128+ED87-$F143*ED12</f>
        <v>3975.32271446381</v>
      </c>
      <c r="EE190" s="35" t="n">
        <f aca="false">EE60+EE105+EE98+EE119+EE102+EE100+EE128+EE87-$F143*EE12</f>
        <v>3959.75832252664</v>
      </c>
      <c r="EF190" s="35" t="n">
        <f aca="false">EF60+EF105+EF98+EF119+EF102+EF100+EF128+EF87-$F143*EF12</f>
        <v>3888.63081341921</v>
      </c>
      <c r="EG190" s="35" t="n">
        <f aca="false">EG60+EG105+EG98+EG119+EG102+EG100+EG128+EG87-$F143*EG12</f>
        <v>3931.8378224572</v>
      </c>
      <c r="EH190" s="35" t="n">
        <f aca="false">EH60+EH105+EH98+EH119+EH102+EH100+EH128+EH87-$F143*EH12</f>
        <v>3975.04483149519</v>
      </c>
      <c r="EI190" s="35" t="n">
        <f aca="false">EI60+EI105+EI98+EI119+EI102+EI100+EI128+EI87-$F143*EI12</f>
        <v>3959.39031261208</v>
      </c>
      <c r="EJ190" s="35" t="n">
        <f aca="false">EJ60+EJ105+EJ98+EJ119+EJ102+EJ100+EJ128+EJ87-$F143*EJ12</f>
        <v>3887.65363648219</v>
      </c>
      <c r="EK190" s="35" t="n">
        <f aca="false">EK60+EK105+EK98+EK119+EK102+EK100+EK128+EK87-$F143*EK12</f>
        <v>3930.84978799866</v>
      </c>
      <c r="EL190" s="35" t="n">
        <f aca="false">EL60+EL105+EL98+EL119+EL102+EL100+EL128+EL87-$F143*EL12</f>
        <v>3974.04593951513</v>
      </c>
      <c r="EM190" s="35" t="n">
        <f aca="false">EM60+EM105+EM98+EM119+EM102+EM100+EM128+EM87-$F143*EM12</f>
        <v>3958.30118269824</v>
      </c>
      <c r="EN190" s="35" t="n">
        <f aca="false">EN60+EN105+EN98+EN119+EN102+EN100+EN128+EN87-$F143*EN12</f>
        <v>3929.12646721084</v>
      </c>
      <c r="EO190" s="35" t="n">
        <f aca="false">EO60+EO105+EO98+EO119+EO102+EO100+EO128+EO87-$F143*EO12</f>
        <v>3929.12646721084</v>
      </c>
      <c r="EP190" s="35" t="n">
        <f aca="false">EP60+EP105+EP98+EP119+EP102+EP100+EP128+EP87-$F143*EP12</f>
        <v>3972.30368113624</v>
      </c>
      <c r="EQ190" s="35" t="n">
        <f aca="false">EQ60+EQ105+EQ98+EQ119+EQ102+EQ100+EQ128+EQ87-$F143*EQ12</f>
        <v>3956.46858561953</v>
      </c>
      <c r="ER190" s="35" t="n">
        <f aca="false">ER60+ER105+ER98+ER119+ER102+ER100+ER128+ER87-$F143*ER12</f>
        <v>3883.49522683763</v>
      </c>
      <c r="ES190" s="35" t="n">
        <f aca="false">ES60+ES105+ES98+ES119+ES102+ES100+ES128+ES87-$F143*ES12</f>
        <v>3926.6451738025</v>
      </c>
      <c r="ET190" s="35" t="n">
        <f aca="false">ET60+ET105+ET98+ET119+ET102+ET100+ET128+ET87-$F143*ET12</f>
        <v>3969.79512076736</v>
      </c>
    </row>
    <row r="191" customFormat="false" ht="15" hidden="false" customHeight="false" outlineLevel="0" collapsed="false">
      <c r="C191" s="30" t="s">
        <v>81</v>
      </c>
      <c r="D191" s="11" t="s">
        <v>35</v>
      </c>
      <c r="E191" s="57" t="n">
        <f aca="false">XIRR($J190:$ET190,$J$4:$ET$4)</f>
        <v>0.0887506658196496</v>
      </c>
    </row>
    <row r="192" customFormat="false" ht="15" hidden="false" customHeight="false" outlineLevel="0" collapsed="false">
      <c r="C192" s="30" t="s">
        <v>178</v>
      </c>
      <c r="D192" s="11" t="s">
        <v>13</v>
      </c>
      <c r="E192" s="58" t="n">
        <f aca="false">SUMIF($J190:$ET190,"&gt;0")/-SUMIF($J190:$ET190,"&lt;0")</f>
        <v>4.59742181090224</v>
      </c>
    </row>
    <row r="193" customFormat="false" ht="15" hidden="false" customHeight="false" outlineLevel="0" collapsed="false">
      <c r="C193" s="30" t="s">
        <v>82</v>
      </c>
      <c r="D193" s="11" t="s">
        <v>247</v>
      </c>
      <c r="E193" s="35" t="n">
        <f aca="false">XNPV(In_Discount_Rate,$J190:$ET190,$J$4:$ET$4)</f>
        <v>8141.80305533397</v>
      </c>
    </row>
    <row r="194" customFormat="false" ht="15" hidden="false" customHeight="false" outlineLevel="0" collapsed="false">
      <c r="C194" s="0" t="s">
        <v>614</v>
      </c>
      <c r="D194" s="11" t="s">
        <v>13</v>
      </c>
      <c r="E194" s="50" t="n">
        <f aca="false">MIN($J194:$ET194)</f>
        <v>1.26316018482958</v>
      </c>
      <c r="J194" s="50" t="str">
        <f aca="false">IF(J102+J100&lt;0,(J119+J128)/-(J102+J100),"")</f>
        <v/>
      </c>
      <c r="K194" s="50" t="str">
        <f aca="false">IF(K102+K100&lt;0,(K119+K128)/-(K102+K100),"")</f>
        <v/>
      </c>
      <c r="L194" s="50" t="str">
        <f aca="false">IF(L102+L100&lt;0,(L119+L128)/-(L102+L100),"")</f>
        <v/>
      </c>
      <c r="M194" s="50" t="str">
        <f aca="false">IF(M102+M100&lt;0,(M119+M128)/-(M102+M100),"")</f>
        <v/>
      </c>
      <c r="N194" s="50" t="str">
        <f aca="false">IF(N102+N100&lt;0,(N119+N128)/-(N102+N100),"")</f>
        <v/>
      </c>
      <c r="O194" s="50" t="str">
        <f aca="false">IF(O102+O100&lt;0,(O119+O128)/-(O102+O100),"")</f>
        <v/>
      </c>
      <c r="P194" s="50" t="str">
        <f aca="false">IF(P102+P100&lt;0,(P119+P128)/-(P102+P100),"")</f>
        <v/>
      </c>
      <c r="Q194" s="50" t="str">
        <f aca="false">IF(Q102+Q100&lt;0,(Q119+Q128)/-(Q102+Q100),"")</f>
        <v/>
      </c>
      <c r="R194" s="50" t="str">
        <f aca="false">IF(R102+R100&lt;0,(R119+R128)/-(R102+R100),"")</f>
        <v/>
      </c>
      <c r="S194" s="50" t="str">
        <f aca="false">IF(S102+S100&lt;0,(S119+S128)/-(S102+S100),"")</f>
        <v/>
      </c>
      <c r="T194" s="50" t="str">
        <f aca="false">IF(T102+T100&lt;0,(T119+T128)/-(T102+T100),"")</f>
        <v/>
      </c>
      <c r="U194" s="50" t="str">
        <f aca="false">IF(U102+U100&lt;0,(U119+U128)/-(U102+U100),"")</f>
        <v/>
      </c>
      <c r="V194" s="50" t="str">
        <f aca="false">IF(V102+V100&lt;0,(V119+V128)/-(V102+V100),"")</f>
        <v/>
      </c>
      <c r="W194" s="50" t="str">
        <f aca="false">IF(W102+W100&lt;0,(W119+W128)/-(W102+W100),"")</f>
        <v/>
      </c>
      <c r="X194" s="50" t="str">
        <f aca="false">IF(X102+X100&lt;0,(X119+X128)/-(X102+X100),"")</f>
        <v/>
      </c>
      <c r="Y194" s="50" t="str">
        <f aca="false">IF(Y102+Y100&lt;0,(Y119+Y128)/-(Y102+Y100),"")</f>
        <v/>
      </c>
      <c r="Z194" s="50" t="str">
        <f aca="false">IF(Z102+Z100&lt;0,(Z119+Z128)/-(Z102+Z100),"")</f>
        <v/>
      </c>
      <c r="AA194" s="50" t="str">
        <f aca="false">IF(AA102+AA100&lt;0,(AA119+AA128)/-(AA102+AA100),"")</f>
        <v/>
      </c>
      <c r="AB194" s="50" t="str">
        <f aca="false">IF(AB102+AB100&lt;0,(AB119+AB128)/-(AB102+AB100),"")</f>
        <v/>
      </c>
      <c r="AC194" s="50" t="str">
        <f aca="false">IF(AC102+AC100&lt;0,(AC119+AC128)/-(AC102+AC100),"")</f>
        <v/>
      </c>
      <c r="AD194" s="50" t="str">
        <f aca="false">IF(AD102+AD100&lt;0,(AD119+AD128)/-(AD102+AD100),"")</f>
        <v/>
      </c>
      <c r="AE194" s="50" t="n">
        <f aca="false">IF(AE102+AE100&lt;0,(AE119+AE128)/-(AE102+AE100),"")</f>
        <v>1.30910605086437</v>
      </c>
      <c r="AF194" s="50" t="n">
        <f aca="false">IF(AF102+AF100&lt;0,(AF119+AF128)/-(AF102+AF100),"")</f>
        <v>1.30361975201342</v>
      </c>
      <c r="AG194" s="50" t="n">
        <f aca="false">IF(AG102+AG100&lt;0,(AG119+AG128)/-(AG102+AG100),"")</f>
        <v>1.30361975201342</v>
      </c>
      <c r="AH194" s="50" t="n">
        <f aca="false">IF(AH102+AH100&lt;0,(AH119+AH128)/-(AH102+AH100),"")</f>
        <v>1.31794524379379</v>
      </c>
      <c r="AI194" s="50" t="n">
        <f aca="false">IF(AI102+AI100&lt;0,(AI119+AI128)/-(AI102+AI100),"")</f>
        <v>1.31331128702642</v>
      </c>
      <c r="AJ194" s="50" t="n">
        <f aca="false">IF(AJ102+AJ100&lt;0,(AJ119+AJ128)/-(AJ102+AJ100),"")</f>
        <v>1.29333402298692</v>
      </c>
      <c r="AK194" s="50" t="n">
        <f aca="false">IF(AK102+AK100&lt;0,(AK119+AK128)/-(AK102+AK100),"")</f>
        <v>1.30404074630601</v>
      </c>
      <c r="AL194" s="50" t="n">
        <f aca="false">IF(AL102+AL100&lt;0,(AL119+AL128)/-(AL102+AL100),"")</f>
        <v>1.29196108414819</v>
      </c>
      <c r="AM194" s="50" t="n">
        <f aca="false">IF(AM102+AM100&lt;0,(AM119+AM128)/-(AM102+AM100),"")</f>
        <v>1.2869707881353</v>
      </c>
      <c r="AN194" s="50" t="n">
        <f aca="false">IF(AN102+AN100&lt;0,(AN119+AN128)/-(AN102+AN100),"")</f>
        <v>1.26660955062812</v>
      </c>
      <c r="AO194" s="50" t="n">
        <f aca="false">IF(AO102+AO100&lt;0,(AO119+AO128)/-(AO102+AO100),"")</f>
        <v>1.27959794209534</v>
      </c>
      <c r="AP194" s="50" t="n">
        <f aca="false">IF(AP102+AP100&lt;0,(AP119+AP128)/-(AP102+AP100),"")</f>
        <v>1.29257676566432</v>
      </c>
      <c r="AQ194" s="50" t="n">
        <f aca="false">IF(AQ102+AQ100&lt;0,(AQ119+AQ128)/-(AQ102+AQ100),"")</f>
        <v>1.28752159556316</v>
      </c>
      <c r="AR194" s="50" t="n">
        <f aca="false">IF(AR102+AR100&lt;0,(AR119+AR128)/-(AR102+AR100),"")</f>
        <v>1.26696855880362</v>
      </c>
      <c r="AS194" s="50" t="n">
        <f aca="false">IF(AS102+AS100&lt;0,(AS119+AS128)/-(AS102+AS100),"")</f>
        <v>1.27995660645235</v>
      </c>
      <c r="AT194" s="50" t="n">
        <f aca="false">IF(AT102+AT100&lt;0,(AT119+AT128)/-(AT102+AT100),"")</f>
        <v>1.29293459876306</v>
      </c>
      <c r="AU194" s="50" t="n">
        <f aca="false">IF(AU102+AU100&lt;0,(AU119+AU128)/-(AU102+AU100),"")</f>
        <v>1.28781252866684</v>
      </c>
      <c r="AV194" s="50" t="n">
        <f aca="false">IF(AV102+AV100&lt;0,(AV119+AV128)/-(AV102+AV100),"")</f>
        <v>1.28089431910047</v>
      </c>
      <c r="AW194" s="50" t="n">
        <f aca="false">IF(AW102+AW100&lt;0,(AW119+AW128)/-(AW102+AW100),"")</f>
        <v>1.28004891025201</v>
      </c>
      <c r="AX194" s="50" t="n">
        <f aca="false">IF(AX102+AX100&lt;0,(AX119+AX128)/-(AX102+AX100),"")</f>
        <v>1.29302290112236</v>
      </c>
      <c r="AY194" s="50" t="n">
        <f aca="false">IF(AY102+AY100&lt;0,(AY119+AY128)/-(AY102+AY100),"")</f>
        <v>1.28783180783931</v>
      </c>
      <c r="AZ194" s="50" t="n">
        <f aca="false">IF(AZ102+AZ100&lt;0,(AZ119+AZ128)/-(AZ102+AZ100),"")</f>
        <v>1.26688503190907</v>
      </c>
      <c r="BA194" s="50" t="n">
        <f aca="false">IF(BA102+BA100&lt;0,(BA119+BA128)/-(BA102+BA100),"")</f>
        <v>1.27986281243172</v>
      </c>
      <c r="BB194" s="50" t="n">
        <f aca="false">IF(BB102+BB100&lt;0,(BB119+BB128)/-(BB102+BB100),"")</f>
        <v>1.29282948697328</v>
      </c>
      <c r="BC194" s="50" t="n">
        <f aca="false">IF(BC102+BC100&lt;0,(BC119+BC128)/-(BC102+BC100),"")</f>
        <v>1.28756714505241</v>
      </c>
      <c r="BD194" s="50" t="n">
        <f aca="false">IF(BD102+BD100&lt;0,(BD119+BD128)/-(BD102+BD100),"")</f>
        <v>1.26641818775439</v>
      </c>
      <c r="BE194" s="50" t="n">
        <f aca="false">IF(BE102+BE100&lt;0,(BE119+BE128)/-(BE102+BE100),"")</f>
        <v>1.27938575180467</v>
      </c>
      <c r="BF194" s="50" t="n">
        <f aca="false">IF(BF102+BF100&lt;0,(BF119+BF128)/-(BF102+BF100),"")</f>
        <v>1.29234164407591</v>
      </c>
      <c r="BG194" s="50" t="n">
        <f aca="false">IF(BG102+BG100&lt;0,(BG119+BG128)/-(BG102+BG100),"")</f>
        <v>1.28700572057801</v>
      </c>
      <c r="BH194" s="50" t="n">
        <f aca="false">IF(BH102+BH100&lt;0,(BH119+BH128)/-(BH102+BH100),"")</f>
        <v>1.26565087045619</v>
      </c>
      <c r="BI194" s="50" t="n">
        <f aca="false">IF(BI102+BI100&lt;0,(BI119+BI128)/-(BI102+BI100),"")</f>
        <v>1.27860462322347</v>
      </c>
      <c r="BJ194" s="50" t="n">
        <f aca="false">IF(BJ102+BJ100&lt;0,(BJ119+BJ128)/-(BJ102+BJ100),"")</f>
        <v>1.29154610958899</v>
      </c>
      <c r="BK194" s="50" t="n">
        <f aca="false">IF(BK102+BK100&lt;0,(BK119+BK128)/-(BK102+BK100),"")</f>
        <v>1.28613415858972</v>
      </c>
      <c r="BL194" s="50" t="n">
        <f aca="false">IF(BL102+BL100&lt;0,(BL119+BL128)/-(BL102+BL100),"")</f>
        <v>1.27853705801472</v>
      </c>
      <c r="BM194" s="50" t="n">
        <f aca="false">IF(BM102+BM100&lt;0,(BM119+BM128)/-(BM102+BM100),"")</f>
        <v>1.27750575259695</v>
      </c>
      <c r="BN194" s="50" t="n">
        <f aca="false">IF(BN102+BN100&lt;0,(BN119+BN128)/-(BN102+BN100),"")</f>
        <v>1.29042904477834</v>
      </c>
      <c r="BO194" s="50" t="n">
        <f aca="false">IF(BO102+BO100&lt;0,(BO119+BO128)/-(BO102+BO100),"")</f>
        <v>1.28493850158975</v>
      </c>
      <c r="BP194" s="50" t="n">
        <f aca="false">IF(BP102+BP100&lt;0,(BP119+BP128)/-(BP102+BP100),"")</f>
        <v>1.26316018482958</v>
      </c>
      <c r="BQ194" s="50" t="n">
        <f aca="false">IF(BQ102+BQ100&lt;0,(BQ119+BQ128)/-(BQ102+BQ100),"")</f>
        <v>1.27607487070327</v>
      </c>
      <c r="BR194" s="50" t="n">
        <f aca="false">IF(BR102+BR100&lt;0,(BR119+BR128)/-(BR102+BR100),"")</f>
        <v>1.28897600850672</v>
      </c>
      <c r="BS194" s="50" t="str">
        <f aca="false">IF(BS102+BS100&lt;0,(BS119+BS128)/-(BS102+BS100),"")</f>
        <v/>
      </c>
      <c r="BT194" s="50" t="str">
        <f aca="false">IF(BT102+BT100&lt;0,(BT119+BT128)/-(BT102+BT100),"")</f>
        <v/>
      </c>
      <c r="BU194" s="50" t="str">
        <f aca="false">IF(BU102+BU100&lt;0,(BU119+BU128)/-(BU102+BU100),"")</f>
        <v/>
      </c>
      <c r="BV194" s="50" t="str">
        <f aca="false">IF(BV102+BV100&lt;0,(BV119+BV128)/-(BV102+BV100),"")</f>
        <v/>
      </c>
      <c r="BW194" s="50" t="str">
        <f aca="false">IF(BW102+BW100&lt;0,(BW119+BW128)/-(BW102+BW100),"")</f>
        <v/>
      </c>
      <c r="BX194" s="50" t="str">
        <f aca="false">IF(BX102+BX100&lt;0,(BX119+BX128)/-(BX102+BX100),"")</f>
        <v/>
      </c>
      <c r="BY194" s="50" t="str">
        <f aca="false">IF(BY102+BY100&lt;0,(BY119+BY128)/-(BY102+BY100),"")</f>
        <v/>
      </c>
      <c r="BZ194" s="50" t="str">
        <f aca="false">IF(BZ102+BZ100&lt;0,(BZ119+BZ128)/-(BZ102+BZ100),"")</f>
        <v/>
      </c>
      <c r="CA194" s="50" t="str">
        <f aca="false">IF(CA102+CA100&lt;0,(CA119+CA128)/-(CA102+CA100),"")</f>
        <v/>
      </c>
      <c r="CB194" s="50" t="str">
        <f aca="false">IF(CB102+CB100&lt;0,(CB119+CB128)/-(CB102+CB100),"")</f>
        <v/>
      </c>
      <c r="CC194" s="50" t="str">
        <f aca="false">IF(CC102+CC100&lt;0,(CC119+CC128)/-(CC102+CC100),"")</f>
        <v/>
      </c>
      <c r="CD194" s="50" t="str">
        <f aca="false">IF(CD102+CD100&lt;0,(CD119+CD128)/-(CD102+CD100),"")</f>
        <v/>
      </c>
      <c r="CE194" s="50" t="str">
        <f aca="false">IF(CE102+CE100&lt;0,(CE119+CE128)/-(CE102+CE100),"")</f>
        <v/>
      </c>
      <c r="CF194" s="50" t="str">
        <f aca="false">IF(CF102+CF100&lt;0,(CF119+CF128)/-(CF102+CF100),"")</f>
        <v/>
      </c>
      <c r="CG194" s="50" t="str">
        <f aca="false">IF(CG102+CG100&lt;0,(CG119+CG128)/-(CG102+CG100),"")</f>
        <v/>
      </c>
      <c r="CH194" s="50" t="str">
        <f aca="false">IF(CH102+CH100&lt;0,(CH119+CH128)/-(CH102+CH100),"")</f>
        <v/>
      </c>
      <c r="CI194" s="50" t="str">
        <f aca="false">IF(CI102+CI100&lt;0,(CI119+CI128)/-(CI102+CI100),"")</f>
        <v/>
      </c>
      <c r="CJ194" s="50" t="str">
        <f aca="false">IF(CJ102+CJ100&lt;0,(CJ119+CJ128)/-(CJ102+CJ100),"")</f>
        <v/>
      </c>
      <c r="CK194" s="50" t="str">
        <f aca="false">IF(CK102+CK100&lt;0,(CK119+CK128)/-(CK102+CK100),"")</f>
        <v/>
      </c>
      <c r="CL194" s="50" t="str">
        <f aca="false">IF(CL102+CL100&lt;0,(CL119+CL128)/-(CL102+CL100),"")</f>
        <v/>
      </c>
      <c r="CM194" s="50" t="str">
        <f aca="false">IF(CM102+CM100&lt;0,(CM119+CM128)/-(CM102+CM100),"")</f>
        <v/>
      </c>
      <c r="CN194" s="50" t="str">
        <f aca="false">IF(CN102+CN100&lt;0,(CN119+CN128)/-(CN102+CN100),"")</f>
        <v/>
      </c>
      <c r="CO194" s="50" t="str">
        <f aca="false">IF(CO102+CO100&lt;0,(CO119+CO128)/-(CO102+CO100),"")</f>
        <v/>
      </c>
      <c r="CP194" s="50" t="str">
        <f aca="false">IF(CP102+CP100&lt;0,(CP119+CP128)/-(CP102+CP100),"")</f>
        <v/>
      </c>
      <c r="CQ194" s="50" t="str">
        <f aca="false">IF(CQ102+CQ100&lt;0,(CQ119+CQ128)/-(CQ102+CQ100),"")</f>
        <v/>
      </c>
      <c r="CR194" s="50" t="str">
        <f aca="false">IF(CR102+CR100&lt;0,(CR119+CR128)/-(CR102+CR100),"")</f>
        <v/>
      </c>
      <c r="CS194" s="50" t="str">
        <f aca="false">IF(CS102+CS100&lt;0,(CS119+CS128)/-(CS102+CS100),"")</f>
        <v/>
      </c>
      <c r="CT194" s="50" t="str">
        <f aca="false">IF(CT102+CT100&lt;0,(CT119+CT128)/-(CT102+CT100),"")</f>
        <v/>
      </c>
      <c r="CU194" s="50" t="str">
        <f aca="false">IF(CU102+CU100&lt;0,(CU119+CU128)/-(CU102+CU100),"")</f>
        <v/>
      </c>
      <c r="CV194" s="50" t="str">
        <f aca="false">IF(CV102+CV100&lt;0,(CV119+CV128)/-(CV102+CV100),"")</f>
        <v/>
      </c>
      <c r="CW194" s="50" t="str">
        <f aca="false">IF(CW102+CW100&lt;0,(CW119+CW128)/-(CW102+CW100),"")</f>
        <v/>
      </c>
      <c r="CX194" s="50" t="str">
        <f aca="false">IF(CX102+CX100&lt;0,(CX119+CX128)/-(CX102+CX100),"")</f>
        <v/>
      </c>
      <c r="CY194" s="50" t="str">
        <f aca="false">IF(CY102+CY100&lt;0,(CY119+CY128)/-(CY102+CY100),"")</f>
        <v/>
      </c>
      <c r="CZ194" s="50" t="str">
        <f aca="false">IF(CZ102+CZ100&lt;0,(CZ119+CZ128)/-(CZ102+CZ100),"")</f>
        <v/>
      </c>
      <c r="DA194" s="50" t="str">
        <f aca="false">IF(DA102+DA100&lt;0,(DA119+DA128)/-(DA102+DA100),"")</f>
        <v/>
      </c>
      <c r="DB194" s="50" t="str">
        <f aca="false">IF(DB102+DB100&lt;0,(DB119+DB128)/-(DB102+DB100),"")</f>
        <v/>
      </c>
      <c r="DC194" s="50" t="str">
        <f aca="false">IF(DC102+DC100&lt;0,(DC119+DC128)/-(DC102+DC100),"")</f>
        <v/>
      </c>
      <c r="DD194" s="50" t="str">
        <f aca="false">IF(DD102+DD100&lt;0,(DD119+DD128)/-(DD102+DD100),"")</f>
        <v/>
      </c>
      <c r="DE194" s="50" t="str">
        <f aca="false">IF(DE102+DE100&lt;0,(DE119+DE128)/-(DE102+DE100),"")</f>
        <v/>
      </c>
      <c r="DF194" s="50" t="str">
        <f aca="false">IF(DF102+DF100&lt;0,(DF119+DF128)/-(DF102+DF100),"")</f>
        <v/>
      </c>
      <c r="DG194" s="50" t="str">
        <f aca="false">IF(DG102+DG100&lt;0,(DG119+DG128)/-(DG102+DG100),"")</f>
        <v/>
      </c>
      <c r="DH194" s="50" t="str">
        <f aca="false">IF(DH102+DH100&lt;0,(DH119+DH128)/-(DH102+DH100),"")</f>
        <v/>
      </c>
      <c r="DI194" s="50" t="str">
        <f aca="false">IF(DI102+DI100&lt;0,(DI119+DI128)/-(DI102+DI100),"")</f>
        <v/>
      </c>
      <c r="DJ194" s="50" t="str">
        <f aca="false">IF(DJ102+DJ100&lt;0,(DJ119+DJ128)/-(DJ102+DJ100),"")</f>
        <v/>
      </c>
      <c r="DK194" s="50" t="str">
        <f aca="false">IF(DK102+DK100&lt;0,(DK119+DK128)/-(DK102+DK100),"")</f>
        <v/>
      </c>
      <c r="DL194" s="50" t="str">
        <f aca="false">IF(DL102+DL100&lt;0,(DL119+DL128)/-(DL102+DL100),"")</f>
        <v/>
      </c>
      <c r="DM194" s="50" t="str">
        <f aca="false">IF(DM102+DM100&lt;0,(DM119+DM128)/-(DM102+DM100),"")</f>
        <v/>
      </c>
      <c r="DN194" s="50" t="str">
        <f aca="false">IF(DN102+DN100&lt;0,(DN119+DN128)/-(DN102+DN100),"")</f>
        <v/>
      </c>
      <c r="DO194" s="50" t="str">
        <f aca="false">IF(DO102+DO100&lt;0,(DO119+DO128)/-(DO102+DO100),"")</f>
        <v/>
      </c>
      <c r="DP194" s="50" t="str">
        <f aca="false">IF(DP102+DP100&lt;0,(DP119+DP128)/-(DP102+DP100),"")</f>
        <v/>
      </c>
      <c r="DQ194" s="50" t="str">
        <f aca="false">IF(DQ102+DQ100&lt;0,(DQ119+DQ128)/-(DQ102+DQ100),"")</f>
        <v/>
      </c>
      <c r="DR194" s="50" t="str">
        <f aca="false">IF(DR102+DR100&lt;0,(DR119+DR128)/-(DR102+DR100),"")</f>
        <v/>
      </c>
      <c r="DS194" s="50" t="str">
        <f aca="false">IF(DS102+DS100&lt;0,(DS119+DS128)/-(DS102+DS100),"")</f>
        <v/>
      </c>
      <c r="DT194" s="50" t="str">
        <f aca="false">IF(DT102+DT100&lt;0,(DT119+DT128)/-(DT102+DT100),"")</f>
        <v/>
      </c>
      <c r="DU194" s="50" t="str">
        <f aca="false">IF(DU102+DU100&lt;0,(DU119+DU128)/-(DU102+DU100),"")</f>
        <v/>
      </c>
      <c r="DV194" s="50" t="str">
        <f aca="false">IF(DV102+DV100&lt;0,(DV119+DV128)/-(DV102+DV100),"")</f>
        <v/>
      </c>
      <c r="DW194" s="50" t="str">
        <f aca="false">IF(DW102+DW100&lt;0,(DW119+DW128)/-(DW102+DW100),"")</f>
        <v/>
      </c>
      <c r="DX194" s="50" t="str">
        <f aca="false">IF(DX102+DX100&lt;0,(DX119+DX128)/-(DX102+DX100),"")</f>
        <v/>
      </c>
      <c r="DY194" s="50" t="str">
        <f aca="false">IF(DY102+DY100&lt;0,(DY119+DY128)/-(DY102+DY100),"")</f>
        <v/>
      </c>
      <c r="DZ194" s="50" t="str">
        <f aca="false">IF(DZ102+DZ100&lt;0,(DZ119+DZ128)/-(DZ102+DZ100),"")</f>
        <v/>
      </c>
      <c r="EA194" s="50" t="str">
        <f aca="false">IF(EA102+EA100&lt;0,(EA119+EA128)/-(EA102+EA100),"")</f>
        <v/>
      </c>
      <c r="EB194" s="50" t="str">
        <f aca="false">IF(EB102+EB100&lt;0,(EB119+EB128)/-(EB102+EB100),"")</f>
        <v/>
      </c>
      <c r="EC194" s="50" t="str">
        <f aca="false">IF(EC102+EC100&lt;0,(EC119+EC128)/-(EC102+EC100),"")</f>
        <v/>
      </c>
      <c r="ED194" s="50" t="str">
        <f aca="false">IF(ED102+ED100&lt;0,(ED119+ED128)/-(ED102+ED100),"")</f>
        <v/>
      </c>
      <c r="EE194" s="50" t="str">
        <f aca="false">IF(EE102+EE100&lt;0,(EE119+EE128)/-(EE102+EE100),"")</f>
        <v/>
      </c>
      <c r="EF194" s="50" t="str">
        <f aca="false">IF(EF102+EF100&lt;0,(EF119+EF128)/-(EF102+EF100),"")</f>
        <v/>
      </c>
      <c r="EG194" s="50" t="str">
        <f aca="false">IF(EG102+EG100&lt;0,(EG119+EG128)/-(EG102+EG100),"")</f>
        <v/>
      </c>
      <c r="EH194" s="50" t="str">
        <f aca="false">IF(EH102+EH100&lt;0,(EH119+EH128)/-(EH102+EH100),"")</f>
        <v/>
      </c>
      <c r="EI194" s="50" t="str">
        <f aca="false">IF(EI102+EI100&lt;0,(EI119+EI128)/-(EI102+EI100),"")</f>
        <v/>
      </c>
      <c r="EJ194" s="50" t="str">
        <f aca="false">IF(EJ102+EJ100&lt;0,(EJ119+EJ128)/-(EJ102+EJ100),"")</f>
        <v/>
      </c>
      <c r="EK194" s="50" t="str">
        <f aca="false">IF(EK102+EK100&lt;0,(EK119+EK128)/-(EK102+EK100),"")</f>
        <v/>
      </c>
      <c r="EL194" s="50" t="str">
        <f aca="false">IF(EL102+EL100&lt;0,(EL119+EL128)/-(EL102+EL100),"")</f>
        <v/>
      </c>
      <c r="EM194" s="50" t="str">
        <f aca="false">IF(EM102+EM100&lt;0,(EM119+EM128)/-(EM102+EM100),"")</f>
        <v/>
      </c>
      <c r="EN194" s="50" t="str">
        <f aca="false">IF(EN102+EN100&lt;0,(EN119+EN128)/-(EN102+EN100),"")</f>
        <v/>
      </c>
      <c r="EO194" s="50" t="str">
        <f aca="false">IF(EO102+EO100&lt;0,(EO119+EO128)/-(EO102+EO100),"")</f>
        <v/>
      </c>
      <c r="EP194" s="50" t="str">
        <f aca="false">IF(EP102+EP100&lt;0,(EP119+EP128)/-(EP102+EP100),"")</f>
        <v/>
      </c>
      <c r="EQ194" s="50" t="str">
        <f aca="false">IF(EQ102+EQ100&lt;0,(EQ119+EQ128)/-(EQ102+EQ100),"")</f>
        <v/>
      </c>
      <c r="ER194" s="50" t="str">
        <f aca="false">IF(ER102+ER100&lt;0,(ER119+ER128)/-(ER102+ER100),"")</f>
        <v/>
      </c>
      <c r="ES194" s="50" t="str">
        <f aca="false">IF(ES102+ES100&lt;0,(ES119+ES128)/-(ES102+ES100),"")</f>
        <v/>
      </c>
      <c r="ET194" s="50" t="str">
        <f aca="false">IF(ET102+ET100&lt;0,(ET119+ET128)/-(ET102+ET100),"")</f>
        <v/>
      </c>
    </row>
    <row r="196" customFormat="false" ht="15" hidden="false" customHeight="false" outlineLevel="0" collapsed="false">
      <c r="C19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2</v>
      </c>
      <c r="C1" s="13" t="s">
        <v>470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471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472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473</v>
      </c>
      <c r="D5" s="11" t="s">
        <v>209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474</v>
      </c>
      <c r="D6" s="11" t="s">
        <v>475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476</v>
      </c>
      <c r="D7" s="11" t="s">
        <v>477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478</v>
      </c>
      <c r="D8" s="11" t="s">
        <v>205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479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480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481</v>
      </c>
      <c r="D13" s="11" t="s">
        <v>475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364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482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483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484</v>
      </c>
      <c r="D18" s="11" t="s">
        <v>475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485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486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487</v>
      </c>
      <c r="D21" s="11" t="s">
        <v>475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488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489</v>
      </c>
      <c r="D24" s="11" t="s">
        <v>122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490</v>
      </c>
      <c r="D25" s="11" t="s">
        <v>122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491</v>
      </c>
      <c r="D26" s="11" t="s">
        <v>492</v>
      </c>
      <c r="E26" s="32" t="n">
        <f aca="false">$E25*INDEX(Dash_BESS_Hours,1,$A$1)</f>
        <v>204</v>
      </c>
      <c r="F26" s="32" t="n">
        <f aca="false">$E26*In_BESS_Built</f>
        <v>204</v>
      </c>
    </row>
    <row r="27" customFormat="false" ht="15" hidden="false" customHeight="false" outlineLevel="0" collapsed="false">
      <c r="C27" s="0" t="s">
        <v>493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494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495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496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497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498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499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500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501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502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503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504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505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506</v>
      </c>
      <c r="D42" s="11" t="s">
        <v>205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507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508</v>
      </c>
      <c r="D45" s="11" t="s">
        <v>281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89</v>
      </c>
      <c r="D46" s="11" t="s">
        <v>247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509</v>
      </c>
      <c r="D47" s="11" t="s">
        <v>247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510</v>
      </c>
      <c r="D48" s="11" t="s">
        <v>247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511</v>
      </c>
      <c r="D49" s="11" t="s">
        <v>247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512</v>
      </c>
      <c r="D50" s="11" t="s">
        <v>247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513</v>
      </c>
      <c r="D51" s="11" t="s">
        <v>247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514</v>
      </c>
      <c r="D52" s="11" t="s">
        <v>247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115</v>
      </c>
      <c r="D53" s="11" t="s">
        <v>247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515</v>
      </c>
      <c r="D54" s="11" t="s">
        <v>247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516</v>
      </c>
      <c r="D55" s="11" t="s">
        <v>247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517</v>
      </c>
      <c r="D56" s="11" t="s">
        <v>247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518</v>
      </c>
      <c r="D57" s="11" t="s">
        <v>247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519</v>
      </c>
      <c r="D58" s="11" t="s">
        <v>247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520</v>
      </c>
      <c r="D59" s="11" t="s">
        <v>247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521</v>
      </c>
      <c r="D60" s="11" t="s">
        <v>247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522</v>
      </c>
      <c r="D61" s="11" t="s">
        <v>247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523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524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525</v>
      </c>
      <c r="D65" s="11" t="s">
        <v>247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526</v>
      </c>
      <c r="D66" s="11" t="s">
        <v>205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527</v>
      </c>
      <c r="D67" s="11" t="s">
        <v>247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528</v>
      </c>
      <c r="D68" s="11" t="s">
        <v>247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529</v>
      </c>
      <c r="D69" s="11" t="s">
        <v>247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530</v>
      </c>
      <c r="D70" s="11" t="s">
        <v>247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531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532</v>
      </c>
      <c r="D72" s="11" t="s">
        <v>247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528</v>
      </c>
      <c r="D73" s="11" t="s">
        <v>247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529</v>
      </c>
      <c r="D74" s="11" t="s">
        <v>247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533</v>
      </c>
      <c r="D75" s="11" t="s">
        <v>247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534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526</v>
      </c>
      <c r="D77" s="11" t="s">
        <v>205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527</v>
      </c>
      <c r="D78" s="11" t="s">
        <v>247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535</v>
      </c>
      <c r="D79" s="11" t="s">
        <v>247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529</v>
      </c>
      <c r="D80" s="11" t="s">
        <v>247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530</v>
      </c>
      <c r="D81" s="11" t="s">
        <v>247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536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537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538</v>
      </c>
      <c r="D85" s="11" t="s">
        <v>247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539</v>
      </c>
      <c r="D86" s="11" t="s">
        <v>247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540</v>
      </c>
      <c r="D87" s="11" t="s">
        <v>247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541</v>
      </c>
      <c r="D88" s="11" t="s">
        <v>146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147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542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543</v>
      </c>
      <c r="D92" s="11" t="s">
        <v>27</v>
      </c>
      <c r="E92" s="33" t="n">
        <f aca="false">IF(In_CN_Turbine=1,In_Turbine_CN,In_Turbine)</f>
        <v>600</v>
      </c>
      <c r="F92" s="33" t="n">
        <f aca="false">In_Installation+In_Foundations+In_BoP+In_Owner+In_Easements</f>
        <v>355</v>
      </c>
    </row>
    <row r="93" customFormat="false" ht="15" hidden="false" customHeight="false" outlineLevel="0" collapsed="false">
      <c r="C93" s="0" t="s">
        <v>544</v>
      </c>
      <c r="D93" s="11" t="s">
        <v>247</v>
      </c>
      <c r="E93" s="33" t="n">
        <f aca="false">IF(In_CN_Turbine=1,In_Substation_CN,In_Substation)</f>
        <v>12000</v>
      </c>
    </row>
    <row r="94" customFormat="false" ht="15" hidden="false" customHeight="false" outlineLevel="0" collapsed="false">
      <c r="C94" s="0" t="s">
        <v>545</v>
      </c>
      <c r="D94" s="11" t="s">
        <v>247</v>
      </c>
      <c r="E94" s="33" t="n">
        <f aca="false">(($E92+$F92)*$F24+$E93)*(1+In_Capex_Contingency)+In_BESS_Capex*$F26</f>
        <v>133275</v>
      </c>
      <c r="I94" s="33" t="n">
        <f aca="false">SUM(J94:ET94)</f>
        <v>-133275</v>
      </c>
      <c r="J94" s="33" t="n">
        <f aca="false">-$E94*J13</f>
        <v>-0</v>
      </c>
      <c r="K94" s="33" t="n">
        <f aca="false">-$E94*K13</f>
        <v>-0</v>
      </c>
      <c r="L94" s="33" t="n">
        <f aca="false">-$E94*L13</f>
        <v>-0</v>
      </c>
      <c r="M94" s="33" t="n">
        <f aca="false">-$E94*M13</f>
        <v>-0</v>
      </c>
      <c r="N94" s="33" t="n">
        <f aca="false">-$E94*N13</f>
        <v>-0</v>
      </c>
      <c r="O94" s="33" t="n">
        <f aca="false">-$E94*O13</f>
        <v>-0</v>
      </c>
      <c r="P94" s="33" t="n">
        <f aca="false">-$E94*P13</f>
        <v>-0</v>
      </c>
      <c r="Q94" s="33" t="n">
        <f aca="false">-$E94*Q13</f>
        <v>-0</v>
      </c>
      <c r="R94" s="33" t="n">
        <f aca="false">-$E94*R13</f>
        <v>-0</v>
      </c>
      <c r="S94" s="33" t="n">
        <f aca="false">-$E94*S13</f>
        <v>-0</v>
      </c>
      <c r="T94" s="33" t="n">
        <f aca="false">-$E94*T13</f>
        <v>-0</v>
      </c>
      <c r="U94" s="33" t="n">
        <f aca="false">-$E94*U13</f>
        <v>-0</v>
      </c>
      <c r="V94" s="33" t="n">
        <f aca="false">-$E94*V13</f>
        <v>-0</v>
      </c>
      <c r="W94" s="33" t="n">
        <f aca="false">-$E94*W13</f>
        <v>-16796.301369863</v>
      </c>
      <c r="X94" s="33" t="n">
        <f aca="false">-$E94*X13</f>
        <v>-16431.1643835616</v>
      </c>
      <c r="Y94" s="33" t="n">
        <f aca="false">-$E94*Y13</f>
        <v>-16613.7328767123</v>
      </c>
      <c r="Z94" s="33" t="n">
        <f aca="false">-$E94*Z13</f>
        <v>-16796.301369863</v>
      </c>
      <c r="AA94" s="33" t="n">
        <f aca="false">-$E94*AA13</f>
        <v>-16796.301369863</v>
      </c>
      <c r="AB94" s="33" t="n">
        <f aca="false">-$E94*AB13</f>
        <v>-16431.1643835616</v>
      </c>
      <c r="AC94" s="33" t="n">
        <f aca="false">-$E94*AC13</f>
        <v>-16613.7328767123</v>
      </c>
      <c r="AD94" s="33" t="n">
        <f aca="false">-$E94*AD13</f>
        <v>-16796.301369863</v>
      </c>
      <c r="AE94" s="33" t="n">
        <f aca="false">-$E94*AE13</f>
        <v>-0</v>
      </c>
      <c r="AF94" s="33" t="n">
        <f aca="false">-$E94*AF13</f>
        <v>-0</v>
      </c>
      <c r="AG94" s="33" t="n">
        <f aca="false">-$E94*AG13</f>
        <v>-0</v>
      </c>
      <c r="AH94" s="33" t="n">
        <f aca="false">-$E94*AH13</f>
        <v>-0</v>
      </c>
      <c r="AI94" s="33" t="n">
        <f aca="false">-$E94*AI13</f>
        <v>-0</v>
      </c>
      <c r="AJ94" s="33" t="n">
        <f aca="false">-$E94*AJ13</f>
        <v>-0</v>
      </c>
      <c r="AK94" s="33" t="n">
        <f aca="false">-$E94*AK13</f>
        <v>-0</v>
      </c>
      <c r="AL94" s="33" t="n">
        <f aca="false">-$E94*AL13</f>
        <v>-0</v>
      </c>
      <c r="AM94" s="33" t="n">
        <f aca="false">-$E94*AM13</f>
        <v>-0</v>
      </c>
      <c r="AN94" s="33" t="n">
        <f aca="false">-$E94*AN13</f>
        <v>-0</v>
      </c>
      <c r="AO94" s="33" t="n">
        <f aca="false">-$E94*AO13</f>
        <v>-0</v>
      </c>
      <c r="AP94" s="33" t="n">
        <f aca="false">-$E94*AP13</f>
        <v>-0</v>
      </c>
      <c r="AQ94" s="33" t="n">
        <f aca="false">-$E94*AQ13</f>
        <v>-0</v>
      </c>
      <c r="AR94" s="33" t="n">
        <f aca="false">-$E94*AR13</f>
        <v>-0</v>
      </c>
      <c r="AS94" s="33" t="n">
        <f aca="false">-$E94*AS13</f>
        <v>-0</v>
      </c>
      <c r="AT94" s="33" t="n">
        <f aca="false">-$E94*AT13</f>
        <v>-0</v>
      </c>
      <c r="AU94" s="33" t="n">
        <f aca="false">-$E94*AU13</f>
        <v>-0</v>
      </c>
      <c r="AV94" s="33" t="n">
        <f aca="false">-$E94*AV13</f>
        <v>-0</v>
      </c>
      <c r="AW94" s="33" t="n">
        <f aca="false">-$E94*AW13</f>
        <v>-0</v>
      </c>
      <c r="AX94" s="33" t="n">
        <f aca="false">-$E94*AX13</f>
        <v>-0</v>
      </c>
      <c r="AY94" s="33" t="n">
        <f aca="false">-$E94*AY13</f>
        <v>-0</v>
      </c>
      <c r="AZ94" s="33" t="n">
        <f aca="false">-$E94*AZ13</f>
        <v>-0</v>
      </c>
      <c r="BA94" s="33" t="n">
        <f aca="false">-$E94*BA13</f>
        <v>-0</v>
      </c>
      <c r="BB94" s="33" t="n">
        <f aca="false">-$E94*BB13</f>
        <v>-0</v>
      </c>
      <c r="BC94" s="33" t="n">
        <f aca="false">-$E94*BC13</f>
        <v>-0</v>
      </c>
      <c r="BD94" s="33" t="n">
        <f aca="false">-$E94*BD13</f>
        <v>-0</v>
      </c>
      <c r="BE94" s="33" t="n">
        <f aca="false">-$E94*BE13</f>
        <v>-0</v>
      </c>
      <c r="BF94" s="33" t="n">
        <f aca="false">-$E94*BF13</f>
        <v>-0</v>
      </c>
      <c r="BG94" s="33" t="n">
        <f aca="false">-$E94*BG13</f>
        <v>-0</v>
      </c>
      <c r="BH94" s="33" t="n">
        <f aca="false">-$E94*BH13</f>
        <v>-0</v>
      </c>
      <c r="BI94" s="33" t="n">
        <f aca="false">-$E94*BI13</f>
        <v>-0</v>
      </c>
      <c r="BJ94" s="33" t="n">
        <f aca="false">-$E94*BJ13</f>
        <v>-0</v>
      </c>
      <c r="BK94" s="33" t="n">
        <f aca="false">-$E94*BK13</f>
        <v>-0</v>
      </c>
      <c r="BL94" s="33" t="n">
        <f aca="false">-$E94*BL13</f>
        <v>-0</v>
      </c>
      <c r="BM94" s="33" t="n">
        <f aca="false">-$E94*BM13</f>
        <v>-0</v>
      </c>
      <c r="BN94" s="33" t="n">
        <f aca="false">-$E94*BN13</f>
        <v>-0</v>
      </c>
      <c r="BO94" s="33" t="n">
        <f aca="false">-$E94*BO13</f>
        <v>-0</v>
      </c>
      <c r="BP94" s="33" t="n">
        <f aca="false">-$E94*BP13</f>
        <v>-0</v>
      </c>
      <c r="BQ94" s="33" t="n">
        <f aca="false">-$E94*BQ13</f>
        <v>-0</v>
      </c>
      <c r="BR94" s="33" t="n">
        <f aca="false">-$E94*BR13</f>
        <v>-0</v>
      </c>
      <c r="BS94" s="33" t="n">
        <f aca="false">-$E94*BS13</f>
        <v>-0</v>
      </c>
      <c r="BT94" s="33" t="n">
        <f aca="false">-$E94*BT13</f>
        <v>-0</v>
      </c>
      <c r="BU94" s="33" t="n">
        <f aca="false">-$E94*BU13</f>
        <v>-0</v>
      </c>
      <c r="BV94" s="33" t="n">
        <f aca="false">-$E94*BV13</f>
        <v>-0</v>
      </c>
      <c r="BW94" s="33" t="n">
        <f aca="false">-$E94*BW13</f>
        <v>-0</v>
      </c>
      <c r="BX94" s="33" t="n">
        <f aca="false">-$E94*BX13</f>
        <v>-0</v>
      </c>
      <c r="BY94" s="33" t="n">
        <f aca="false">-$E94*BY13</f>
        <v>-0</v>
      </c>
      <c r="BZ94" s="33" t="n">
        <f aca="false">-$E94*BZ13</f>
        <v>-0</v>
      </c>
      <c r="CA94" s="33" t="n">
        <f aca="false">-$E94*CA13</f>
        <v>-0</v>
      </c>
      <c r="CB94" s="33" t="n">
        <f aca="false">-$E94*CB13</f>
        <v>-0</v>
      </c>
      <c r="CC94" s="33" t="n">
        <f aca="false">-$E94*CC13</f>
        <v>-0</v>
      </c>
      <c r="CD94" s="33" t="n">
        <f aca="false">-$E94*CD13</f>
        <v>-0</v>
      </c>
      <c r="CE94" s="33" t="n">
        <f aca="false">-$E94*CE13</f>
        <v>-0</v>
      </c>
      <c r="CF94" s="33" t="n">
        <f aca="false">-$E94*CF13</f>
        <v>-0</v>
      </c>
      <c r="CG94" s="33" t="n">
        <f aca="false">-$E94*CG13</f>
        <v>-0</v>
      </c>
      <c r="CH94" s="33" t="n">
        <f aca="false">-$E94*CH13</f>
        <v>-0</v>
      </c>
      <c r="CI94" s="33" t="n">
        <f aca="false">-$E94*CI13</f>
        <v>-0</v>
      </c>
      <c r="CJ94" s="33" t="n">
        <f aca="false">-$E94*CJ13</f>
        <v>-0</v>
      </c>
      <c r="CK94" s="33" t="n">
        <f aca="false">-$E94*CK13</f>
        <v>-0</v>
      </c>
      <c r="CL94" s="33" t="n">
        <f aca="false">-$E94*CL13</f>
        <v>-0</v>
      </c>
      <c r="CM94" s="33" t="n">
        <f aca="false">-$E94*CM13</f>
        <v>-0</v>
      </c>
      <c r="CN94" s="33" t="n">
        <f aca="false">-$E94*CN13</f>
        <v>-0</v>
      </c>
      <c r="CO94" s="33" t="n">
        <f aca="false">-$E94*CO13</f>
        <v>-0</v>
      </c>
      <c r="CP94" s="33" t="n">
        <f aca="false">-$E94*CP13</f>
        <v>-0</v>
      </c>
      <c r="CQ94" s="33" t="n">
        <f aca="false">-$E94*CQ13</f>
        <v>-0</v>
      </c>
      <c r="CR94" s="33" t="n">
        <f aca="false">-$E94*CR13</f>
        <v>-0</v>
      </c>
      <c r="CS94" s="33" t="n">
        <f aca="false">-$E94*CS13</f>
        <v>-0</v>
      </c>
      <c r="CT94" s="33" t="n">
        <f aca="false">-$E94*CT13</f>
        <v>-0</v>
      </c>
      <c r="CU94" s="33" t="n">
        <f aca="false">-$E94*CU13</f>
        <v>-0</v>
      </c>
      <c r="CV94" s="33" t="n">
        <f aca="false">-$E94*CV13</f>
        <v>-0</v>
      </c>
      <c r="CW94" s="33" t="n">
        <f aca="false">-$E94*CW13</f>
        <v>-0</v>
      </c>
      <c r="CX94" s="33" t="n">
        <f aca="false">-$E94*CX13</f>
        <v>-0</v>
      </c>
      <c r="CY94" s="33" t="n">
        <f aca="false">-$E94*CY13</f>
        <v>-0</v>
      </c>
      <c r="CZ94" s="33" t="n">
        <f aca="false">-$E94*CZ13</f>
        <v>-0</v>
      </c>
      <c r="DA94" s="33" t="n">
        <f aca="false">-$E94*DA13</f>
        <v>-0</v>
      </c>
      <c r="DB94" s="33" t="n">
        <f aca="false">-$E94*DB13</f>
        <v>-0</v>
      </c>
      <c r="DC94" s="33" t="n">
        <f aca="false">-$E94*DC13</f>
        <v>-0</v>
      </c>
      <c r="DD94" s="33" t="n">
        <f aca="false">-$E94*DD13</f>
        <v>-0</v>
      </c>
      <c r="DE94" s="33" t="n">
        <f aca="false">-$E94*DE13</f>
        <v>-0</v>
      </c>
      <c r="DF94" s="33" t="n">
        <f aca="false">-$E94*DF13</f>
        <v>-0</v>
      </c>
      <c r="DG94" s="33" t="n">
        <f aca="false">-$E94*DG13</f>
        <v>-0</v>
      </c>
      <c r="DH94" s="33" t="n">
        <f aca="false">-$E94*DH13</f>
        <v>-0</v>
      </c>
      <c r="DI94" s="33" t="n">
        <f aca="false">-$E94*DI13</f>
        <v>-0</v>
      </c>
      <c r="DJ94" s="33" t="n">
        <f aca="false">-$E94*DJ13</f>
        <v>-0</v>
      </c>
      <c r="DK94" s="33" t="n">
        <f aca="false">-$E94*DK13</f>
        <v>-0</v>
      </c>
      <c r="DL94" s="33" t="n">
        <f aca="false">-$E94*DL13</f>
        <v>-0</v>
      </c>
      <c r="DM94" s="33" t="n">
        <f aca="false">-$E94*DM13</f>
        <v>-0</v>
      </c>
      <c r="DN94" s="33" t="n">
        <f aca="false">-$E94*DN13</f>
        <v>-0</v>
      </c>
      <c r="DO94" s="33" t="n">
        <f aca="false">-$E94*DO13</f>
        <v>-0</v>
      </c>
      <c r="DP94" s="33" t="n">
        <f aca="false">-$E94*DP13</f>
        <v>-0</v>
      </c>
      <c r="DQ94" s="33" t="n">
        <f aca="false">-$E94*DQ13</f>
        <v>-0</v>
      </c>
      <c r="DR94" s="33" t="n">
        <f aca="false">-$E94*DR13</f>
        <v>-0</v>
      </c>
      <c r="DS94" s="33" t="n">
        <f aca="false">-$E94*DS13</f>
        <v>-0</v>
      </c>
      <c r="DT94" s="33" t="n">
        <f aca="false">-$E94*DT13</f>
        <v>-0</v>
      </c>
      <c r="DU94" s="33" t="n">
        <f aca="false">-$E94*DU13</f>
        <v>-0</v>
      </c>
      <c r="DV94" s="33" t="n">
        <f aca="false">-$E94*DV13</f>
        <v>-0</v>
      </c>
      <c r="DW94" s="33" t="n">
        <f aca="false">-$E94*DW13</f>
        <v>-0</v>
      </c>
      <c r="DX94" s="33" t="n">
        <f aca="false">-$E94*DX13</f>
        <v>-0</v>
      </c>
      <c r="DY94" s="33" t="n">
        <f aca="false">-$E94*DY13</f>
        <v>-0</v>
      </c>
      <c r="DZ94" s="33" t="n">
        <f aca="false">-$E94*DZ13</f>
        <v>-0</v>
      </c>
      <c r="EA94" s="33" t="n">
        <f aca="false">-$E94*EA13</f>
        <v>-0</v>
      </c>
      <c r="EB94" s="33" t="n">
        <f aca="false">-$E94*EB13</f>
        <v>-0</v>
      </c>
      <c r="EC94" s="33" t="n">
        <f aca="false">-$E94*EC13</f>
        <v>-0</v>
      </c>
      <c r="ED94" s="33" t="n">
        <f aca="false">-$E94*ED13</f>
        <v>-0</v>
      </c>
      <c r="EE94" s="33" t="n">
        <f aca="false">-$E94*EE13</f>
        <v>-0</v>
      </c>
      <c r="EF94" s="33" t="n">
        <f aca="false">-$E94*EF13</f>
        <v>-0</v>
      </c>
      <c r="EG94" s="33" t="n">
        <f aca="false">-$E94*EG13</f>
        <v>-0</v>
      </c>
      <c r="EH94" s="33" t="n">
        <f aca="false">-$E94*EH13</f>
        <v>-0</v>
      </c>
      <c r="EI94" s="33" t="n">
        <f aca="false">-$E94*EI13</f>
        <v>-0</v>
      </c>
      <c r="EJ94" s="33" t="n">
        <f aca="false">-$E94*EJ13</f>
        <v>-0</v>
      </c>
      <c r="EK94" s="33" t="n">
        <f aca="false">-$E94*EK13</f>
        <v>-0</v>
      </c>
      <c r="EL94" s="33" t="n">
        <f aca="false">-$E94*EL13</f>
        <v>-0</v>
      </c>
      <c r="EM94" s="33" t="n">
        <f aca="false">-$E94*EM13</f>
        <v>-0</v>
      </c>
      <c r="EN94" s="33" t="n">
        <f aca="false">-$E94*EN13</f>
        <v>-0</v>
      </c>
      <c r="EO94" s="33" t="n">
        <f aca="false">-$E94*EO13</f>
        <v>-0</v>
      </c>
      <c r="EP94" s="33" t="n">
        <f aca="false">-$E94*EP13</f>
        <v>-0</v>
      </c>
      <c r="EQ94" s="33" t="n">
        <f aca="false">-$E94*EQ13</f>
        <v>-0</v>
      </c>
      <c r="ER94" s="33" t="n">
        <f aca="false">-$E94*ER13</f>
        <v>-0</v>
      </c>
      <c r="ES94" s="33" t="n">
        <f aca="false">-$E94*ES13</f>
        <v>-0</v>
      </c>
      <c r="ET94" s="33" t="n">
        <f aca="false">-$E94*ET13</f>
        <v>-0</v>
      </c>
    </row>
    <row r="95" customFormat="false" ht="15" hidden="false" customHeight="false" outlineLevel="0" collapsed="false">
      <c r="C95" s="0" t="s">
        <v>546</v>
      </c>
      <c r="D95" s="11" t="s">
        <v>247</v>
      </c>
      <c r="E95" s="33" t="n">
        <f aca="false">$E30*In_MVA</f>
        <v>5000</v>
      </c>
      <c r="I95" s="33" t="n">
        <f aca="false">SUM(J95:ET95)</f>
        <v>-5000</v>
      </c>
      <c r="J95" s="33" t="n">
        <f aca="false">-$E95*J14</f>
        <v>-0</v>
      </c>
      <c r="K95" s="33" t="n">
        <f aca="false">-$E95*K14</f>
        <v>-0</v>
      </c>
      <c r="L95" s="33" t="n">
        <f aca="false">-$E95*L14</f>
        <v>-0</v>
      </c>
      <c r="M95" s="33" t="n">
        <f aca="false">-$E95*M14</f>
        <v>-0</v>
      </c>
      <c r="N95" s="33" t="n">
        <f aca="false">-$E95*N14</f>
        <v>-0</v>
      </c>
      <c r="O95" s="33" t="n">
        <f aca="false">-$E95*O14</f>
        <v>-0</v>
      </c>
      <c r="P95" s="33" t="n">
        <f aca="false">-$E95*P14</f>
        <v>-0</v>
      </c>
      <c r="Q95" s="33" t="n">
        <f aca="false">-$E95*Q14</f>
        <v>-0</v>
      </c>
      <c r="R95" s="33" t="n">
        <f aca="false">-$E95*R14</f>
        <v>-0</v>
      </c>
      <c r="S95" s="33" t="n">
        <f aca="false">-$E95*S14</f>
        <v>-0</v>
      </c>
      <c r="T95" s="33" t="n">
        <f aca="false">-$E95*T14</f>
        <v>-0</v>
      </c>
      <c r="U95" s="33" t="n">
        <f aca="false">-$E95*U14</f>
        <v>-0</v>
      </c>
      <c r="V95" s="33" t="n">
        <f aca="false">-$E95*V14</f>
        <v>-0</v>
      </c>
      <c r="W95" s="33" t="n">
        <f aca="false">-$E95*W14</f>
        <v>-0</v>
      </c>
      <c r="X95" s="33" t="n">
        <f aca="false">-$E95*X14</f>
        <v>-0</v>
      </c>
      <c r="Y95" s="33" t="n">
        <f aca="false">-$E95*Y14</f>
        <v>-0</v>
      </c>
      <c r="Z95" s="33" t="n">
        <f aca="false">-$E95*Z14</f>
        <v>-0</v>
      </c>
      <c r="AA95" s="33" t="n">
        <f aca="false">-$E95*AA14</f>
        <v>-0</v>
      </c>
      <c r="AB95" s="33" t="n">
        <f aca="false">-$E95*AB14</f>
        <v>-0</v>
      </c>
      <c r="AC95" s="33" t="n">
        <f aca="false">-$E95*AC14</f>
        <v>-0</v>
      </c>
      <c r="AD95" s="33" t="n">
        <f aca="false">-$E95*AD14</f>
        <v>-5000</v>
      </c>
      <c r="AE95" s="33" t="n">
        <f aca="false">-$E95*AE14</f>
        <v>-0</v>
      </c>
      <c r="AF95" s="33" t="n">
        <f aca="false">-$E95*AF14</f>
        <v>-0</v>
      </c>
      <c r="AG95" s="33" t="n">
        <f aca="false">-$E95*AG14</f>
        <v>-0</v>
      </c>
      <c r="AH95" s="33" t="n">
        <f aca="false">-$E95*AH14</f>
        <v>-0</v>
      </c>
      <c r="AI95" s="33" t="n">
        <f aca="false">-$E95*AI14</f>
        <v>-0</v>
      </c>
      <c r="AJ95" s="33" t="n">
        <f aca="false">-$E95*AJ14</f>
        <v>-0</v>
      </c>
      <c r="AK95" s="33" t="n">
        <f aca="false">-$E95*AK14</f>
        <v>-0</v>
      </c>
      <c r="AL95" s="33" t="n">
        <f aca="false">-$E95*AL14</f>
        <v>-0</v>
      </c>
      <c r="AM95" s="33" t="n">
        <f aca="false">-$E95*AM14</f>
        <v>-0</v>
      </c>
      <c r="AN95" s="33" t="n">
        <f aca="false">-$E95*AN14</f>
        <v>-0</v>
      </c>
      <c r="AO95" s="33" t="n">
        <f aca="false">-$E95*AO14</f>
        <v>-0</v>
      </c>
      <c r="AP95" s="33" t="n">
        <f aca="false">-$E95*AP14</f>
        <v>-0</v>
      </c>
      <c r="AQ95" s="33" t="n">
        <f aca="false">-$E95*AQ14</f>
        <v>-0</v>
      </c>
      <c r="AR95" s="33" t="n">
        <f aca="false">-$E95*AR14</f>
        <v>-0</v>
      </c>
      <c r="AS95" s="33" t="n">
        <f aca="false">-$E95*AS14</f>
        <v>-0</v>
      </c>
      <c r="AT95" s="33" t="n">
        <f aca="false">-$E95*AT14</f>
        <v>-0</v>
      </c>
      <c r="AU95" s="33" t="n">
        <f aca="false">-$E95*AU14</f>
        <v>-0</v>
      </c>
      <c r="AV95" s="33" t="n">
        <f aca="false">-$E95*AV14</f>
        <v>-0</v>
      </c>
      <c r="AW95" s="33" t="n">
        <f aca="false">-$E95*AW14</f>
        <v>-0</v>
      </c>
      <c r="AX95" s="33" t="n">
        <f aca="false">-$E95*AX14</f>
        <v>-0</v>
      </c>
      <c r="AY95" s="33" t="n">
        <f aca="false">-$E95*AY14</f>
        <v>-0</v>
      </c>
      <c r="AZ95" s="33" t="n">
        <f aca="false">-$E95*AZ14</f>
        <v>-0</v>
      </c>
      <c r="BA95" s="33" t="n">
        <f aca="false">-$E95*BA14</f>
        <v>-0</v>
      </c>
      <c r="BB95" s="33" t="n">
        <f aca="false">-$E95*BB14</f>
        <v>-0</v>
      </c>
      <c r="BC95" s="33" t="n">
        <f aca="false">-$E95*BC14</f>
        <v>-0</v>
      </c>
      <c r="BD95" s="33" t="n">
        <f aca="false">-$E95*BD14</f>
        <v>-0</v>
      </c>
      <c r="BE95" s="33" t="n">
        <f aca="false">-$E95*BE14</f>
        <v>-0</v>
      </c>
      <c r="BF95" s="33" t="n">
        <f aca="false">-$E95*BF14</f>
        <v>-0</v>
      </c>
      <c r="BG95" s="33" t="n">
        <f aca="false">-$E95*BG14</f>
        <v>-0</v>
      </c>
      <c r="BH95" s="33" t="n">
        <f aca="false">-$E95*BH14</f>
        <v>-0</v>
      </c>
      <c r="BI95" s="33" t="n">
        <f aca="false">-$E95*BI14</f>
        <v>-0</v>
      </c>
      <c r="BJ95" s="33" t="n">
        <f aca="false">-$E95*BJ14</f>
        <v>-0</v>
      </c>
      <c r="BK95" s="33" t="n">
        <f aca="false">-$E95*BK14</f>
        <v>-0</v>
      </c>
      <c r="BL95" s="33" t="n">
        <f aca="false">-$E95*BL14</f>
        <v>-0</v>
      </c>
      <c r="BM95" s="33" t="n">
        <f aca="false">-$E95*BM14</f>
        <v>-0</v>
      </c>
      <c r="BN95" s="33" t="n">
        <f aca="false">-$E95*BN14</f>
        <v>-0</v>
      </c>
      <c r="BO95" s="33" t="n">
        <f aca="false">-$E95*BO14</f>
        <v>-0</v>
      </c>
      <c r="BP95" s="33" t="n">
        <f aca="false">-$E95*BP14</f>
        <v>-0</v>
      </c>
      <c r="BQ95" s="33" t="n">
        <f aca="false">-$E95*BQ14</f>
        <v>-0</v>
      </c>
      <c r="BR95" s="33" t="n">
        <f aca="false">-$E95*BR14</f>
        <v>-0</v>
      </c>
      <c r="BS95" s="33" t="n">
        <f aca="false">-$E95*BS14</f>
        <v>-0</v>
      </c>
      <c r="BT95" s="33" t="n">
        <f aca="false">-$E95*BT14</f>
        <v>-0</v>
      </c>
      <c r="BU95" s="33" t="n">
        <f aca="false">-$E95*BU14</f>
        <v>-0</v>
      </c>
      <c r="BV95" s="33" t="n">
        <f aca="false">-$E95*BV14</f>
        <v>-0</v>
      </c>
      <c r="BW95" s="33" t="n">
        <f aca="false">-$E95*BW14</f>
        <v>-0</v>
      </c>
      <c r="BX95" s="33" t="n">
        <f aca="false">-$E95*BX14</f>
        <v>-0</v>
      </c>
      <c r="BY95" s="33" t="n">
        <f aca="false">-$E95*BY14</f>
        <v>-0</v>
      </c>
      <c r="BZ95" s="33" t="n">
        <f aca="false">-$E95*BZ14</f>
        <v>-0</v>
      </c>
      <c r="CA95" s="33" t="n">
        <f aca="false">-$E95*CA14</f>
        <v>-0</v>
      </c>
      <c r="CB95" s="33" t="n">
        <f aca="false">-$E95*CB14</f>
        <v>-0</v>
      </c>
      <c r="CC95" s="33" t="n">
        <f aca="false">-$E95*CC14</f>
        <v>-0</v>
      </c>
      <c r="CD95" s="33" t="n">
        <f aca="false">-$E95*CD14</f>
        <v>-0</v>
      </c>
      <c r="CE95" s="33" t="n">
        <f aca="false">-$E95*CE14</f>
        <v>-0</v>
      </c>
      <c r="CF95" s="33" t="n">
        <f aca="false">-$E95*CF14</f>
        <v>-0</v>
      </c>
      <c r="CG95" s="33" t="n">
        <f aca="false">-$E95*CG14</f>
        <v>-0</v>
      </c>
      <c r="CH95" s="33" t="n">
        <f aca="false">-$E95*CH14</f>
        <v>-0</v>
      </c>
      <c r="CI95" s="33" t="n">
        <f aca="false">-$E95*CI14</f>
        <v>-0</v>
      </c>
      <c r="CJ95" s="33" t="n">
        <f aca="false">-$E95*CJ14</f>
        <v>-0</v>
      </c>
      <c r="CK95" s="33" t="n">
        <f aca="false">-$E95*CK14</f>
        <v>-0</v>
      </c>
      <c r="CL95" s="33" t="n">
        <f aca="false">-$E95*CL14</f>
        <v>-0</v>
      </c>
      <c r="CM95" s="33" t="n">
        <f aca="false">-$E95*CM14</f>
        <v>-0</v>
      </c>
      <c r="CN95" s="33" t="n">
        <f aca="false">-$E95*CN14</f>
        <v>-0</v>
      </c>
      <c r="CO95" s="33" t="n">
        <f aca="false">-$E95*CO14</f>
        <v>-0</v>
      </c>
      <c r="CP95" s="33" t="n">
        <f aca="false">-$E95*CP14</f>
        <v>-0</v>
      </c>
      <c r="CQ95" s="33" t="n">
        <f aca="false">-$E95*CQ14</f>
        <v>-0</v>
      </c>
      <c r="CR95" s="33" t="n">
        <f aca="false">-$E95*CR14</f>
        <v>-0</v>
      </c>
      <c r="CS95" s="33" t="n">
        <f aca="false">-$E95*CS14</f>
        <v>-0</v>
      </c>
      <c r="CT95" s="33" t="n">
        <f aca="false">-$E95*CT14</f>
        <v>-0</v>
      </c>
      <c r="CU95" s="33" t="n">
        <f aca="false">-$E95*CU14</f>
        <v>-0</v>
      </c>
      <c r="CV95" s="33" t="n">
        <f aca="false">-$E95*CV14</f>
        <v>-0</v>
      </c>
      <c r="CW95" s="33" t="n">
        <f aca="false">-$E95*CW14</f>
        <v>-0</v>
      </c>
      <c r="CX95" s="33" t="n">
        <f aca="false">-$E95*CX14</f>
        <v>-0</v>
      </c>
      <c r="CY95" s="33" t="n">
        <f aca="false">-$E95*CY14</f>
        <v>-0</v>
      </c>
      <c r="CZ95" s="33" t="n">
        <f aca="false">-$E95*CZ14</f>
        <v>-0</v>
      </c>
      <c r="DA95" s="33" t="n">
        <f aca="false">-$E95*DA14</f>
        <v>-0</v>
      </c>
      <c r="DB95" s="33" t="n">
        <f aca="false">-$E95*DB14</f>
        <v>-0</v>
      </c>
      <c r="DC95" s="33" t="n">
        <f aca="false">-$E95*DC14</f>
        <v>-0</v>
      </c>
      <c r="DD95" s="33" t="n">
        <f aca="false">-$E95*DD14</f>
        <v>-0</v>
      </c>
      <c r="DE95" s="33" t="n">
        <f aca="false">-$E95*DE14</f>
        <v>-0</v>
      </c>
      <c r="DF95" s="33" t="n">
        <f aca="false">-$E95*DF14</f>
        <v>-0</v>
      </c>
      <c r="DG95" s="33" t="n">
        <f aca="false">-$E95*DG14</f>
        <v>-0</v>
      </c>
      <c r="DH95" s="33" t="n">
        <f aca="false">-$E95*DH14</f>
        <v>-0</v>
      </c>
      <c r="DI95" s="33" t="n">
        <f aca="false">-$E95*DI14</f>
        <v>-0</v>
      </c>
      <c r="DJ95" s="33" t="n">
        <f aca="false">-$E95*DJ14</f>
        <v>-0</v>
      </c>
      <c r="DK95" s="33" t="n">
        <f aca="false">-$E95*DK14</f>
        <v>-0</v>
      </c>
      <c r="DL95" s="33" t="n">
        <f aca="false">-$E95*DL14</f>
        <v>-0</v>
      </c>
      <c r="DM95" s="33" t="n">
        <f aca="false">-$E95*DM14</f>
        <v>-0</v>
      </c>
      <c r="DN95" s="33" t="n">
        <f aca="false">-$E95*DN14</f>
        <v>-0</v>
      </c>
      <c r="DO95" s="33" t="n">
        <f aca="false">-$E95*DO14</f>
        <v>-0</v>
      </c>
      <c r="DP95" s="33" t="n">
        <f aca="false">-$E95*DP14</f>
        <v>-0</v>
      </c>
      <c r="DQ95" s="33" t="n">
        <f aca="false">-$E95*DQ14</f>
        <v>-0</v>
      </c>
      <c r="DR95" s="33" t="n">
        <f aca="false">-$E95*DR14</f>
        <v>-0</v>
      </c>
      <c r="DS95" s="33" t="n">
        <f aca="false">-$E95*DS14</f>
        <v>-0</v>
      </c>
      <c r="DT95" s="33" t="n">
        <f aca="false">-$E95*DT14</f>
        <v>-0</v>
      </c>
      <c r="DU95" s="33" t="n">
        <f aca="false">-$E95*DU14</f>
        <v>-0</v>
      </c>
      <c r="DV95" s="33" t="n">
        <f aca="false">-$E95*DV14</f>
        <v>-0</v>
      </c>
      <c r="DW95" s="33" t="n">
        <f aca="false">-$E95*DW14</f>
        <v>-0</v>
      </c>
      <c r="DX95" s="33" t="n">
        <f aca="false">-$E95*DX14</f>
        <v>-0</v>
      </c>
      <c r="DY95" s="33" t="n">
        <f aca="false">-$E95*DY14</f>
        <v>-0</v>
      </c>
      <c r="DZ95" s="33" t="n">
        <f aca="false">-$E95*DZ14</f>
        <v>-0</v>
      </c>
      <c r="EA95" s="33" t="n">
        <f aca="false">-$E95*EA14</f>
        <v>-0</v>
      </c>
      <c r="EB95" s="33" t="n">
        <f aca="false">-$E95*EB14</f>
        <v>-0</v>
      </c>
      <c r="EC95" s="33" t="n">
        <f aca="false">-$E95*EC14</f>
        <v>-0</v>
      </c>
      <c r="ED95" s="33" t="n">
        <f aca="false">-$E95*ED14</f>
        <v>-0</v>
      </c>
      <c r="EE95" s="33" t="n">
        <f aca="false">-$E95*EE14</f>
        <v>-0</v>
      </c>
      <c r="EF95" s="33" t="n">
        <f aca="false">-$E95*EF14</f>
        <v>-0</v>
      </c>
      <c r="EG95" s="33" t="n">
        <f aca="false">-$E95*EG14</f>
        <v>-0</v>
      </c>
      <c r="EH95" s="33" t="n">
        <f aca="false">-$E95*EH14</f>
        <v>-0</v>
      </c>
      <c r="EI95" s="33" t="n">
        <f aca="false">-$E95*EI14</f>
        <v>-0</v>
      </c>
      <c r="EJ95" s="33" t="n">
        <f aca="false">-$E95*EJ14</f>
        <v>-0</v>
      </c>
      <c r="EK95" s="33" t="n">
        <f aca="false">-$E95*EK14</f>
        <v>-0</v>
      </c>
      <c r="EL95" s="33" t="n">
        <f aca="false">-$E95*EL14</f>
        <v>-0</v>
      </c>
      <c r="EM95" s="33" t="n">
        <f aca="false">-$E95*EM14</f>
        <v>-0</v>
      </c>
      <c r="EN95" s="33" t="n">
        <f aca="false">-$E95*EN14</f>
        <v>-0</v>
      </c>
      <c r="EO95" s="33" t="n">
        <f aca="false">-$E95*EO14</f>
        <v>-0</v>
      </c>
      <c r="EP95" s="33" t="n">
        <f aca="false">-$E95*EP14</f>
        <v>-0</v>
      </c>
      <c r="EQ95" s="33" t="n">
        <f aca="false">-$E95*EQ14</f>
        <v>-0</v>
      </c>
      <c r="ER95" s="33" t="n">
        <f aca="false">-$E95*ER14</f>
        <v>-0</v>
      </c>
      <c r="ES95" s="33" t="n">
        <f aca="false">-$E95*ES14</f>
        <v>-0</v>
      </c>
      <c r="ET95" s="33" t="n">
        <f aca="false">-$E95*ET14</f>
        <v>-0</v>
      </c>
    </row>
    <row r="96" customFormat="false" ht="15" hidden="false" customHeight="false" outlineLevel="0" collapsed="false">
      <c r="A96" s="55"/>
      <c r="B96" s="55"/>
      <c r="C96" s="55" t="s">
        <v>547</v>
      </c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55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</row>
    <row r="97" customFormat="false" ht="15" hidden="false" customHeight="false" outlineLevel="0" collapsed="false">
      <c r="C97" s="0" t="s">
        <v>527</v>
      </c>
      <c r="D97" s="11" t="s">
        <v>247</v>
      </c>
      <c r="J97" s="22" t="n">
        <f aca="false">I101</f>
        <v>0</v>
      </c>
      <c r="K97" s="22" t="n">
        <f aca="false">J101</f>
        <v>0</v>
      </c>
      <c r="L97" s="22" t="n">
        <f aca="false">K101</f>
        <v>0</v>
      </c>
      <c r="M97" s="22" t="n">
        <f aca="false">L101</f>
        <v>0</v>
      </c>
      <c r="N97" s="22" t="n">
        <f aca="false">M101</f>
        <v>0</v>
      </c>
      <c r="O97" s="22" t="n">
        <f aca="false">N101</f>
        <v>0</v>
      </c>
      <c r="P97" s="22" t="n">
        <f aca="false">O101</f>
        <v>0</v>
      </c>
      <c r="Q97" s="22" t="n">
        <f aca="false">P101</f>
        <v>0</v>
      </c>
      <c r="R97" s="22" t="n">
        <f aca="false">Q101</f>
        <v>0</v>
      </c>
      <c r="S97" s="22" t="n">
        <f aca="false">R101</f>
        <v>0</v>
      </c>
      <c r="T97" s="22" t="n">
        <f aca="false">S101</f>
        <v>0</v>
      </c>
      <c r="U97" s="22" t="n">
        <f aca="false">T101</f>
        <v>0</v>
      </c>
      <c r="V97" s="22" t="n">
        <f aca="false">U101</f>
        <v>0</v>
      </c>
      <c r="W97" s="22" t="n">
        <f aca="false">V101</f>
        <v>0</v>
      </c>
      <c r="X97" s="22" t="n">
        <f aca="false">W101</f>
        <v>11981.7564177174</v>
      </c>
      <c r="Y97" s="22" t="n">
        <f aca="false">X101</f>
        <v>23852.8118250537</v>
      </c>
      <c r="Z97" s="22" t="n">
        <f aca="false">Y101</f>
        <v>36002.491907783</v>
      </c>
      <c r="AA97" s="22" t="n">
        <f aca="false">Z101</f>
        <v>48434.2794743477</v>
      </c>
      <c r="AB97" s="22" t="n">
        <f aca="false">AA101</f>
        <v>61021.4643854944</v>
      </c>
      <c r="AC97" s="22" t="n">
        <f aca="false">AB101</f>
        <v>73505.516142428</v>
      </c>
      <c r="AD97" s="22" t="n">
        <f aca="false">AC101</f>
        <v>86275.8550291244</v>
      </c>
      <c r="AE97" s="22" t="n">
        <f aca="false">AD101</f>
        <v>99336.0596347059</v>
      </c>
      <c r="AF97" s="22" t="n">
        <f aca="false">AE101</f>
        <v>97406.8129044928</v>
      </c>
      <c r="AG97" s="22" t="n">
        <f aca="false">AF101</f>
        <v>95453.450590152</v>
      </c>
      <c r="AH97" s="22" t="n">
        <f aca="false">AG101</f>
        <v>93475.671246882</v>
      </c>
      <c r="AI97" s="22" t="n">
        <f aca="false">AH101</f>
        <v>91473.1696618211</v>
      </c>
      <c r="AJ97" s="22" t="n">
        <f aca="false">AI101</f>
        <v>89445.636806947</v>
      </c>
      <c r="AK97" s="22" t="n">
        <f aca="false">AJ101</f>
        <v>87392.7597913869</v>
      </c>
      <c r="AL97" s="22" t="n">
        <f aca="false">AK101</f>
        <v>85314.2218131323</v>
      </c>
      <c r="AM97" s="22" t="n">
        <f aca="false">AL101</f>
        <v>83209.7021101496</v>
      </c>
      <c r="AN97" s="22" t="n">
        <f aca="false">AM101</f>
        <v>81078.8759108795</v>
      </c>
      <c r="AO97" s="22" t="n">
        <f aca="false">AN101</f>
        <v>78921.4143841186</v>
      </c>
      <c r="AP97" s="22" t="n">
        <f aca="false">AO101</f>
        <v>76736.9845882732</v>
      </c>
      <c r="AQ97" s="22" t="n">
        <f aca="false">AP101</f>
        <v>74525.2494199797</v>
      </c>
      <c r="AR97" s="22" t="n">
        <f aca="false">AQ101</f>
        <v>72285.8675620825</v>
      </c>
      <c r="AS97" s="22" t="n">
        <f aca="false">AR101</f>
        <v>70018.4934309616</v>
      </c>
      <c r="AT97" s="22" t="n">
        <f aca="false">AS101</f>
        <v>67722.7771232017</v>
      </c>
      <c r="AU97" s="22" t="n">
        <f aca="false">AT101</f>
        <v>65398.3643615948</v>
      </c>
      <c r="AV97" s="22" t="n">
        <f aca="false">AU101</f>
        <v>63044.8964404679</v>
      </c>
      <c r="AW97" s="22" t="n">
        <f aca="false">AV101</f>
        <v>60662.0101703268</v>
      </c>
      <c r="AX97" s="22" t="n">
        <f aca="false">AW101</f>
        <v>58249.337821809</v>
      </c>
      <c r="AY97" s="22" t="n">
        <f aca="false">AX101</f>
        <v>55806.5070689347</v>
      </c>
      <c r="AZ97" s="22" t="n">
        <f aca="false">AY101</f>
        <v>53333.1409316494</v>
      </c>
      <c r="BA97" s="22" t="n">
        <f aca="false">AZ101</f>
        <v>50828.8577176481</v>
      </c>
      <c r="BB97" s="22" t="n">
        <f aca="false">BA101</f>
        <v>48293.2709634718</v>
      </c>
      <c r="BC97" s="22" t="n">
        <f aca="false">BB101</f>
        <v>45725.9893748683</v>
      </c>
      <c r="BD97" s="22" t="n">
        <f aca="false">BC101</f>
        <v>43126.6167664073</v>
      </c>
      <c r="BE97" s="22" t="n">
        <f aca="false">BD101</f>
        <v>40494.7520003404</v>
      </c>
      <c r="BF97" s="22" t="n">
        <f aca="false">BE101</f>
        <v>37829.9889246978</v>
      </c>
      <c r="BG97" s="22" t="n">
        <f aca="false">BF101</f>
        <v>35131.9163106096</v>
      </c>
      <c r="BH97" s="22" t="n">
        <f aca="false">BG101</f>
        <v>32400.1177888453</v>
      </c>
      <c r="BI97" s="22" t="n">
        <f aca="false">BH101</f>
        <v>29634.1717855589</v>
      </c>
      <c r="BJ97" s="22" t="n">
        <f aca="false">BI101</f>
        <v>26833.6514572315</v>
      </c>
      <c r="BK97" s="22" t="n">
        <f aca="false">BJ101</f>
        <v>23998.1246248</v>
      </c>
      <c r="BL97" s="22" t="n">
        <f aca="false">BK101</f>
        <v>21127.1537069631</v>
      </c>
      <c r="BM97" s="22" t="n">
        <f aca="false">BL101</f>
        <v>18220.2956526532</v>
      </c>
      <c r="BN97" s="22" t="n">
        <f aca="false">BM101</f>
        <v>15277.1018726645</v>
      </c>
      <c r="BO97" s="22" t="n">
        <f aca="false">BN101</f>
        <v>12297.1181704259</v>
      </c>
      <c r="BP97" s="22" t="n">
        <f aca="false">BO101</f>
        <v>9279.88467190926</v>
      </c>
      <c r="BQ97" s="22" t="n">
        <f aca="false">BP101</f>
        <v>6224.93575466122</v>
      </c>
      <c r="BR97" s="22" t="n">
        <f aca="false">BQ101</f>
        <v>3131.79997594757</v>
      </c>
      <c r="BS97" s="22" t="n">
        <f aca="false">BR101</f>
        <v>0</v>
      </c>
      <c r="BT97" s="22" t="n">
        <f aca="false">BS101</f>
        <v>0</v>
      </c>
      <c r="BU97" s="22" t="n">
        <f aca="false">BT101</f>
        <v>0</v>
      </c>
      <c r="BV97" s="22" t="n">
        <f aca="false">BU101</f>
        <v>0</v>
      </c>
      <c r="BW97" s="22" t="n">
        <f aca="false">BV101</f>
        <v>0</v>
      </c>
      <c r="BX97" s="22" t="n">
        <f aca="false">BW101</f>
        <v>0</v>
      </c>
      <c r="BY97" s="22" t="n">
        <f aca="false">BX101</f>
        <v>0</v>
      </c>
      <c r="BZ97" s="22" t="n">
        <f aca="false">BY101</f>
        <v>0</v>
      </c>
      <c r="CA97" s="22" t="n">
        <f aca="false">BZ101</f>
        <v>0</v>
      </c>
      <c r="CB97" s="22" t="n">
        <f aca="false">CA101</f>
        <v>0</v>
      </c>
      <c r="CC97" s="22" t="n">
        <f aca="false">CB101</f>
        <v>0</v>
      </c>
      <c r="CD97" s="22" t="n">
        <f aca="false">CC101</f>
        <v>0</v>
      </c>
      <c r="CE97" s="22" t="n">
        <f aca="false">CD101</f>
        <v>0</v>
      </c>
      <c r="CF97" s="22" t="n">
        <f aca="false">CE101</f>
        <v>0</v>
      </c>
      <c r="CG97" s="22" t="n">
        <f aca="false">CF101</f>
        <v>0</v>
      </c>
      <c r="CH97" s="22" t="n">
        <f aca="false">CG101</f>
        <v>0</v>
      </c>
      <c r="CI97" s="22" t="n">
        <f aca="false">CH101</f>
        <v>0</v>
      </c>
      <c r="CJ97" s="22" t="n">
        <f aca="false">CI101</f>
        <v>0</v>
      </c>
      <c r="CK97" s="22" t="n">
        <f aca="false">CJ101</f>
        <v>0</v>
      </c>
      <c r="CL97" s="22" t="n">
        <f aca="false">CK101</f>
        <v>0</v>
      </c>
      <c r="CM97" s="22" t="n">
        <f aca="false">CL101</f>
        <v>0</v>
      </c>
      <c r="CN97" s="22" t="n">
        <f aca="false">CM101</f>
        <v>0</v>
      </c>
      <c r="CO97" s="22" t="n">
        <f aca="false">CN101</f>
        <v>0</v>
      </c>
      <c r="CP97" s="22" t="n">
        <f aca="false">CO101</f>
        <v>0</v>
      </c>
      <c r="CQ97" s="22" t="n">
        <f aca="false">CP101</f>
        <v>0</v>
      </c>
      <c r="CR97" s="22" t="n">
        <f aca="false">CQ101</f>
        <v>0</v>
      </c>
      <c r="CS97" s="22" t="n">
        <f aca="false">CR101</f>
        <v>0</v>
      </c>
      <c r="CT97" s="22" t="n">
        <f aca="false">CS101</f>
        <v>0</v>
      </c>
      <c r="CU97" s="22" t="n">
        <f aca="false">CT101</f>
        <v>0</v>
      </c>
      <c r="CV97" s="22" t="n">
        <f aca="false">CU101</f>
        <v>0</v>
      </c>
      <c r="CW97" s="22" t="n">
        <f aca="false">CV101</f>
        <v>0</v>
      </c>
      <c r="CX97" s="22" t="n">
        <f aca="false">CW101</f>
        <v>0</v>
      </c>
      <c r="CY97" s="22" t="n">
        <f aca="false">CX101</f>
        <v>0</v>
      </c>
      <c r="CZ97" s="22" t="n">
        <f aca="false">CY101</f>
        <v>0</v>
      </c>
      <c r="DA97" s="22" t="n">
        <f aca="false">CZ101</f>
        <v>0</v>
      </c>
      <c r="DB97" s="22" t="n">
        <f aca="false">DA101</f>
        <v>0</v>
      </c>
      <c r="DC97" s="22" t="n">
        <f aca="false">DB101</f>
        <v>0</v>
      </c>
      <c r="DD97" s="22" t="n">
        <f aca="false">DC101</f>
        <v>0</v>
      </c>
      <c r="DE97" s="22" t="n">
        <f aca="false">DD101</f>
        <v>0</v>
      </c>
      <c r="DF97" s="22" t="n">
        <f aca="false">DE101</f>
        <v>0</v>
      </c>
      <c r="DG97" s="22" t="n">
        <f aca="false">DF101</f>
        <v>0</v>
      </c>
      <c r="DH97" s="22" t="n">
        <f aca="false">DG101</f>
        <v>0</v>
      </c>
      <c r="DI97" s="22" t="n">
        <f aca="false">DH101</f>
        <v>0</v>
      </c>
      <c r="DJ97" s="22" t="n">
        <f aca="false">DI101</f>
        <v>0</v>
      </c>
      <c r="DK97" s="22" t="n">
        <f aca="false">DJ101</f>
        <v>0</v>
      </c>
      <c r="DL97" s="22" t="n">
        <f aca="false">DK101</f>
        <v>0</v>
      </c>
      <c r="DM97" s="22" t="n">
        <f aca="false">DL101</f>
        <v>0</v>
      </c>
      <c r="DN97" s="22" t="n">
        <f aca="false">DM101</f>
        <v>0</v>
      </c>
      <c r="DO97" s="22" t="n">
        <f aca="false">DN101</f>
        <v>0</v>
      </c>
      <c r="DP97" s="22" t="n">
        <f aca="false">DO101</f>
        <v>0</v>
      </c>
      <c r="DQ97" s="22" t="n">
        <f aca="false">DP101</f>
        <v>0</v>
      </c>
      <c r="DR97" s="22" t="n">
        <f aca="false">DQ101</f>
        <v>0</v>
      </c>
      <c r="DS97" s="22" t="n">
        <f aca="false">DR101</f>
        <v>0</v>
      </c>
      <c r="DT97" s="22" t="n">
        <f aca="false">DS101</f>
        <v>0</v>
      </c>
      <c r="DU97" s="22" t="n">
        <f aca="false">DT101</f>
        <v>0</v>
      </c>
      <c r="DV97" s="22" t="n">
        <f aca="false">DU101</f>
        <v>0</v>
      </c>
      <c r="DW97" s="22" t="n">
        <f aca="false">DV101</f>
        <v>0</v>
      </c>
      <c r="DX97" s="22" t="n">
        <f aca="false">DW101</f>
        <v>0</v>
      </c>
      <c r="DY97" s="22" t="n">
        <f aca="false">DX101</f>
        <v>0</v>
      </c>
      <c r="DZ97" s="22" t="n">
        <f aca="false">DY101</f>
        <v>0</v>
      </c>
      <c r="EA97" s="22" t="n">
        <f aca="false">DZ101</f>
        <v>0</v>
      </c>
      <c r="EB97" s="22" t="n">
        <f aca="false">EA101</f>
        <v>0</v>
      </c>
      <c r="EC97" s="22" t="n">
        <f aca="false">EB101</f>
        <v>0</v>
      </c>
      <c r="ED97" s="22" t="n">
        <f aca="false">EC101</f>
        <v>0</v>
      </c>
      <c r="EE97" s="22" t="n">
        <f aca="false">ED101</f>
        <v>0</v>
      </c>
      <c r="EF97" s="22" t="n">
        <f aca="false">EE101</f>
        <v>0</v>
      </c>
      <c r="EG97" s="22" t="n">
        <f aca="false">EF101</f>
        <v>0</v>
      </c>
      <c r="EH97" s="22" t="n">
        <f aca="false">EG101</f>
        <v>0</v>
      </c>
      <c r="EI97" s="22" t="n">
        <f aca="false">EH101</f>
        <v>0</v>
      </c>
      <c r="EJ97" s="22" t="n">
        <f aca="false">EI101</f>
        <v>0</v>
      </c>
      <c r="EK97" s="22" t="n">
        <f aca="false">EJ101</f>
        <v>0</v>
      </c>
      <c r="EL97" s="22" t="n">
        <f aca="false">EK101</f>
        <v>0</v>
      </c>
      <c r="EM97" s="22" t="n">
        <f aca="false">EL101</f>
        <v>0</v>
      </c>
      <c r="EN97" s="22" t="n">
        <f aca="false">EM101</f>
        <v>0</v>
      </c>
      <c r="EO97" s="22" t="n">
        <f aca="false">EN101</f>
        <v>0</v>
      </c>
      <c r="EP97" s="22" t="n">
        <f aca="false">EO101</f>
        <v>0</v>
      </c>
      <c r="EQ97" s="22" t="n">
        <f aca="false">EP101</f>
        <v>0</v>
      </c>
      <c r="ER97" s="22" t="n">
        <f aca="false">EQ101</f>
        <v>0</v>
      </c>
      <c r="ES97" s="22" t="n">
        <f aca="false">ER101</f>
        <v>0</v>
      </c>
      <c r="ET97" s="22" t="n">
        <f aca="false">ES101</f>
        <v>0</v>
      </c>
    </row>
    <row r="98" customFormat="false" ht="15" hidden="false" customHeight="false" outlineLevel="0" collapsed="false">
      <c r="C98" s="0" t="s">
        <v>548</v>
      </c>
      <c r="D98" s="11" t="s">
        <v>247</v>
      </c>
      <c r="E98" s="33" t="n">
        <f aca="false">-IF(In_CN_Turbine=1,In_Gearing_CN,In_Gearing)*($I94+$I53+$I95)</f>
        <v>95072.6324449315</v>
      </c>
      <c r="I98" s="33" t="n">
        <f aca="false">SUM(J98:ET98)</f>
        <v>95072.6324449315</v>
      </c>
      <c r="J98" s="33" t="n">
        <f aca="false">$E98*J13</f>
        <v>0</v>
      </c>
      <c r="K98" s="33" t="n">
        <f aca="false">$E98*K13</f>
        <v>0</v>
      </c>
      <c r="L98" s="33" t="n">
        <f aca="false">$E98*L13</f>
        <v>0</v>
      </c>
      <c r="M98" s="33" t="n">
        <f aca="false">$E98*M13</f>
        <v>0</v>
      </c>
      <c r="N98" s="33" t="n">
        <f aca="false">$E98*N13</f>
        <v>0</v>
      </c>
      <c r="O98" s="33" t="n">
        <f aca="false">$E98*O13</f>
        <v>0</v>
      </c>
      <c r="P98" s="33" t="n">
        <f aca="false">$E98*P13</f>
        <v>0</v>
      </c>
      <c r="Q98" s="33" t="n">
        <f aca="false">$E98*Q13</f>
        <v>0</v>
      </c>
      <c r="R98" s="33" t="n">
        <f aca="false">$E98*R13</f>
        <v>0</v>
      </c>
      <c r="S98" s="33" t="n">
        <f aca="false">$E98*S13</f>
        <v>0</v>
      </c>
      <c r="T98" s="33" t="n">
        <f aca="false">$E98*T13</f>
        <v>0</v>
      </c>
      <c r="U98" s="33" t="n">
        <f aca="false">$E98*U13</f>
        <v>0</v>
      </c>
      <c r="V98" s="33" t="n">
        <f aca="false">$E98*V13</f>
        <v>0</v>
      </c>
      <c r="W98" s="33" t="n">
        <f aca="false">$E98*W13</f>
        <v>11981.7564177174</v>
      </c>
      <c r="X98" s="33" t="n">
        <f aca="false">$E98*X13</f>
        <v>11721.2834521148</v>
      </c>
      <c r="Y98" s="33" t="n">
        <f aca="false">$E98*Y13</f>
        <v>11851.5199349161</v>
      </c>
      <c r="Z98" s="33" t="n">
        <f aca="false">$E98*Z13</f>
        <v>11981.7564177174</v>
      </c>
      <c r="AA98" s="33" t="n">
        <f aca="false">$E98*AA13</f>
        <v>11981.7564177174</v>
      </c>
      <c r="AB98" s="33" t="n">
        <f aca="false">$E98*AB13</f>
        <v>11721.2834521148</v>
      </c>
      <c r="AC98" s="33" t="n">
        <f aca="false">$E98*AC13</f>
        <v>11851.5199349161</v>
      </c>
      <c r="AD98" s="33" t="n">
        <f aca="false">$E98*AD13</f>
        <v>11981.7564177174</v>
      </c>
      <c r="AE98" s="33" t="n">
        <f aca="false">$E98*AE13</f>
        <v>0</v>
      </c>
      <c r="AF98" s="33" t="n">
        <f aca="false">$E98*AF13</f>
        <v>0</v>
      </c>
      <c r="AG98" s="33" t="n">
        <f aca="false">$E98*AG13</f>
        <v>0</v>
      </c>
      <c r="AH98" s="33" t="n">
        <f aca="false">$E98*AH13</f>
        <v>0</v>
      </c>
      <c r="AI98" s="33" t="n">
        <f aca="false">$E98*AI13</f>
        <v>0</v>
      </c>
      <c r="AJ98" s="33" t="n">
        <f aca="false">$E98*AJ13</f>
        <v>0</v>
      </c>
      <c r="AK98" s="33" t="n">
        <f aca="false">$E98*AK13</f>
        <v>0</v>
      </c>
      <c r="AL98" s="33" t="n">
        <f aca="false">$E98*AL13</f>
        <v>0</v>
      </c>
      <c r="AM98" s="33" t="n">
        <f aca="false">$E98*AM13</f>
        <v>0</v>
      </c>
      <c r="AN98" s="33" t="n">
        <f aca="false">$E98*AN13</f>
        <v>0</v>
      </c>
      <c r="AO98" s="33" t="n">
        <f aca="false">$E98*AO13</f>
        <v>0</v>
      </c>
      <c r="AP98" s="33" t="n">
        <f aca="false">$E98*AP13</f>
        <v>0</v>
      </c>
      <c r="AQ98" s="33" t="n">
        <f aca="false">$E98*AQ13</f>
        <v>0</v>
      </c>
      <c r="AR98" s="33" t="n">
        <f aca="false">$E98*AR13</f>
        <v>0</v>
      </c>
      <c r="AS98" s="33" t="n">
        <f aca="false">$E98*AS13</f>
        <v>0</v>
      </c>
      <c r="AT98" s="33" t="n">
        <f aca="false">$E98*AT13</f>
        <v>0</v>
      </c>
      <c r="AU98" s="33" t="n">
        <f aca="false">$E98*AU13</f>
        <v>0</v>
      </c>
      <c r="AV98" s="33" t="n">
        <f aca="false">$E98*AV13</f>
        <v>0</v>
      </c>
      <c r="AW98" s="33" t="n">
        <f aca="false">$E98*AW13</f>
        <v>0</v>
      </c>
      <c r="AX98" s="33" t="n">
        <f aca="false">$E98*AX13</f>
        <v>0</v>
      </c>
      <c r="AY98" s="33" t="n">
        <f aca="false">$E98*AY13</f>
        <v>0</v>
      </c>
      <c r="AZ98" s="33" t="n">
        <f aca="false">$E98*AZ13</f>
        <v>0</v>
      </c>
      <c r="BA98" s="33" t="n">
        <f aca="false">$E98*BA13</f>
        <v>0</v>
      </c>
      <c r="BB98" s="33" t="n">
        <f aca="false">$E98*BB13</f>
        <v>0</v>
      </c>
      <c r="BC98" s="33" t="n">
        <f aca="false">$E98*BC13</f>
        <v>0</v>
      </c>
      <c r="BD98" s="33" t="n">
        <f aca="false">$E98*BD13</f>
        <v>0</v>
      </c>
      <c r="BE98" s="33" t="n">
        <f aca="false">$E98*BE13</f>
        <v>0</v>
      </c>
      <c r="BF98" s="33" t="n">
        <f aca="false">$E98*BF13</f>
        <v>0</v>
      </c>
      <c r="BG98" s="33" t="n">
        <f aca="false">$E98*BG13</f>
        <v>0</v>
      </c>
      <c r="BH98" s="33" t="n">
        <f aca="false">$E98*BH13</f>
        <v>0</v>
      </c>
      <c r="BI98" s="33" t="n">
        <f aca="false">$E98*BI13</f>
        <v>0</v>
      </c>
      <c r="BJ98" s="33" t="n">
        <f aca="false">$E98*BJ13</f>
        <v>0</v>
      </c>
      <c r="BK98" s="33" t="n">
        <f aca="false">$E98*BK13</f>
        <v>0</v>
      </c>
      <c r="BL98" s="33" t="n">
        <f aca="false">$E98*BL13</f>
        <v>0</v>
      </c>
      <c r="BM98" s="33" t="n">
        <f aca="false">$E98*BM13</f>
        <v>0</v>
      </c>
      <c r="BN98" s="33" t="n">
        <f aca="false">$E98*BN13</f>
        <v>0</v>
      </c>
      <c r="BO98" s="33" t="n">
        <f aca="false">$E98*BO13</f>
        <v>0</v>
      </c>
      <c r="BP98" s="33" t="n">
        <f aca="false">$E98*BP13</f>
        <v>0</v>
      </c>
      <c r="BQ98" s="33" t="n">
        <f aca="false">$E98*BQ13</f>
        <v>0</v>
      </c>
      <c r="BR98" s="33" t="n">
        <f aca="false">$E98*BR13</f>
        <v>0</v>
      </c>
      <c r="BS98" s="33" t="n">
        <f aca="false">$E98*BS13</f>
        <v>0</v>
      </c>
      <c r="BT98" s="33" t="n">
        <f aca="false">$E98*BT13</f>
        <v>0</v>
      </c>
      <c r="BU98" s="33" t="n">
        <f aca="false">$E98*BU13</f>
        <v>0</v>
      </c>
      <c r="BV98" s="33" t="n">
        <f aca="false">$E98*BV13</f>
        <v>0</v>
      </c>
      <c r="BW98" s="33" t="n">
        <f aca="false">$E98*BW13</f>
        <v>0</v>
      </c>
      <c r="BX98" s="33" t="n">
        <f aca="false">$E98*BX13</f>
        <v>0</v>
      </c>
      <c r="BY98" s="33" t="n">
        <f aca="false">$E98*BY13</f>
        <v>0</v>
      </c>
      <c r="BZ98" s="33" t="n">
        <f aca="false">$E98*BZ13</f>
        <v>0</v>
      </c>
      <c r="CA98" s="33" t="n">
        <f aca="false">$E98*CA13</f>
        <v>0</v>
      </c>
      <c r="CB98" s="33" t="n">
        <f aca="false">$E98*CB13</f>
        <v>0</v>
      </c>
      <c r="CC98" s="33" t="n">
        <f aca="false">$E98*CC13</f>
        <v>0</v>
      </c>
      <c r="CD98" s="33" t="n">
        <f aca="false">$E98*CD13</f>
        <v>0</v>
      </c>
      <c r="CE98" s="33" t="n">
        <f aca="false">$E98*CE13</f>
        <v>0</v>
      </c>
      <c r="CF98" s="33" t="n">
        <f aca="false">$E98*CF13</f>
        <v>0</v>
      </c>
      <c r="CG98" s="33" t="n">
        <f aca="false">$E98*CG13</f>
        <v>0</v>
      </c>
      <c r="CH98" s="33" t="n">
        <f aca="false">$E98*CH13</f>
        <v>0</v>
      </c>
      <c r="CI98" s="33" t="n">
        <f aca="false">$E98*CI13</f>
        <v>0</v>
      </c>
      <c r="CJ98" s="33" t="n">
        <f aca="false">$E98*CJ13</f>
        <v>0</v>
      </c>
      <c r="CK98" s="33" t="n">
        <f aca="false">$E98*CK13</f>
        <v>0</v>
      </c>
      <c r="CL98" s="33" t="n">
        <f aca="false">$E98*CL13</f>
        <v>0</v>
      </c>
      <c r="CM98" s="33" t="n">
        <f aca="false">$E98*CM13</f>
        <v>0</v>
      </c>
      <c r="CN98" s="33" t="n">
        <f aca="false">$E98*CN13</f>
        <v>0</v>
      </c>
      <c r="CO98" s="33" t="n">
        <f aca="false">$E98*CO13</f>
        <v>0</v>
      </c>
      <c r="CP98" s="33" t="n">
        <f aca="false">$E98*CP13</f>
        <v>0</v>
      </c>
      <c r="CQ98" s="33" t="n">
        <f aca="false">$E98*CQ13</f>
        <v>0</v>
      </c>
      <c r="CR98" s="33" t="n">
        <f aca="false">$E98*CR13</f>
        <v>0</v>
      </c>
      <c r="CS98" s="33" t="n">
        <f aca="false">$E98*CS13</f>
        <v>0</v>
      </c>
      <c r="CT98" s="33" t="n">
        <f aca="false">$E98*CT13</f>
        <v>0</v>
      </c>
      <c r="CU98" s="33" t="n">
        <f aca="false">$E98*CU13</f>
        <v>0</v>
      </c>
      <c r="CV98" s="33" t="n">
        <f aca="false">$E98*CV13</f>
        <v>0</v>
      </c>
      <c r="CW98" s="33" t="n">
        <f aca="false">$E98*CW13</f>
        <v>0</v>
      </c>
      <c r="CX98" s="33" t="n">
        <f aca="false">$E98*CX13</f>
        <v>0</v>
      </c>
      <c r="CY98" s="33" t="n">
        <f aca="false">$E98*CY13</f>
        <v>0</v>
      </c>
      <c r="CZ98" s="33" t="n">
        <f aca="false">$E98*CZ13</f>
        <v>0</v>
      </c>
      <c r="DA98" s="33" t="n">
        <f aca="false">$E98*DA13</f>
        <v>0</v>
      </c>
      <c r="DB98" s="33" t="n">
        <f aca="false">$E98*DB13</f>
        <v>0</v>
      </c>
      <c r="DC98" s="33" t="n">
        <f aca="false">$E98*DC13</f>
        <v>0</v>
      </c>
      <c r="DD98" s="33" t="n">
        <f aca="false">$E98*DD13</f>
        <v>0</v>
      </c>
      <c r="DE98" s="33" t="n">
        <f aca="false">$E98*DE13</f>
        <v>0</v>
      </c>
      <c r="DF98" s="33" t="n">
        <f aca="false">$E98*DF13</f>
        <v>0</v>
      </c>
      <c r="DG98" s="33" t="n">
        <f aca="false">$E98*DG13</f>
        <v>0</v>
      </c>
      <c r="DH98" s="33" t="n">
        <f aca="false">$E98*DH13</f>
        <v>0</v>
      </c>
      <c r="DI98" s="33" t="n">
        <f aca="false">$E98*DI13</f>
        <v>0</v>
      </c>
      <c r="DJ98" s="33" t="n">
        <f aca="false">$E98*DJ13</f>
        <v>0</v>
      </c>
      <c r="DK98" s="33" t="n">
        <f aca="false">$E98*DK13</f>
        <v>0</v>
      </c>
      <c r="DL98" s="33" t="n">
        <f aca="false">$E98*DL13</f>
        <v>0</v>
      </c>
      <c r="DM98" s="33" t="n">
        <f aca="false">$E98*DM13</f>
        <v>0</v>
      </c>
      <c r="DN98" s="33" t="n">
        <f aca="false">$E98*DN13</f>
        <v>0</v>
      </c>
      <c r="DO98" s="33" t="n">
        <f aca="false">$E98*DO13</f>
        <v>0</v>
      </c>
      <c r="DP98" s="33" t="n">
        <f aca="false">$E98*DP13</f>
        <v>0</v>
      </c>
      <c r="DQ98" s="33" t="n">
        <f aca="false">$E98*DQ13</f>
        <v>0</v>
      </c>
      <c r="DR98" s="33" t="n">
        <f aca="false">$E98*DR13</f>
        <v>0</v>
      </c>
      <c r="DS98" s="33" t="n">
        <f aca="false">$E98*DS13</f>
        <v>0</v>
      </c>
      <c r="DT98" s="33" t="n">
        <f aca="false">$E98*DT13</f>
        <v>0</v>
      </c>
      <c r="DU98" s="33" t="n">
        <f aca="false">$E98*DU13</f>
        <v>0</v>
      </c>
      <c r="DV98" s="33" t="n">
        <f aca="false">$E98*DV13</f>
        <v>0</v>
      </c>
      <c r="DW98" s="33" t="n">
        <f aca="false">$E98*DW13</f>
        <v>0</v>
      </c>
      <c r="DX98" s="33" t="n">
        <f aca="false">$E98*DX13</f>
        <v>0</v>
      </c>
      <c r="DY98" s="33" t="n">
        <f aca="false">$E98*DY13</f>
        <v>0</v>
      </c>
      <c r="DZ98" s="33" t="n">
        <f aca="false">$E98*DZ13</f>
        <v>0</v>
      </c>
      <c r="EA98" s="33" t="n">
        <f aca="false">$E98*EA13</f>
        <v>0</v>
      </c>
      <c r="EB98" s="33" t="n">
        <f aca="false">$E98*EB13</f>
        <v>0</v>
      </c>
      <c r="EC98" s="33" t="n">
        <f aca="false">$E98*EC13</f>
        <v>0</v>
      </c>
      <c r="ED98" s="33" t="n">
        <f aca="false">$E98*ED13</f>
        <v>0</v>
      </c>
      <c r="EE98" s="33" t="n">
        <f aca="false">$E98*EE13</f>
        <v>0</v>
      </c>
      <c r="EF98" s="33" t="n">
        <f aca="false">$E98*EF13</f>
        <v>0</v>
      </c>
      <c r="EG98" s="33" t="n">
        <f aca="false">$E98*EG13</f>
        <v>0</v>
      </c>
      <c r="EH98" s="33" t="n">
        <f aca="false">$E98*EH13</f>
        <v>0</v>
      </c>
      <c r="EI98" s="33" t="n">
        <f aca="false">$E98*EI13</f>
        <v>0</v>
      </c>
      <c r="EJ98" s="33" t="n">
        <f aca="false">$E98*EJ13</f>
        <v>0</v>
      </c>
      <c r="EK98" s="33" t="n">
        <f aca="false">$E98*EK13</f>
        <v>0</v>
      </c>
      <c r="EL98" s="33" t="n">
        <f aca="false">$E98*EL13</f>
        <v>0</v>
      </c>
      <c r="EM98" s="33" t="n">
        <f aca="false">$E98*EM13</f>
        <v>0</v>
      </c>
      <c r="EN98" s="33" t="n">
        <f aca="false">$E98*EN13</f>
        <v>0</v>
      </c>
      <c r="EO98" s="33" t="n">
        <f aca="false">$E98*EO13</f>
        <v>0</v>
      </c>
      <c r="EP98" s="33" t="n">
        <f aca="false">$E98*EP13</f>
        <v>0</v>
      </c>
      <c r="EQ98" s="33" t="n">
        <f aca="false">$E98*EQ13</f>
        <v>0</v>
      </c>
      <c r="ER98" s="33" t="n">
        <f aca="false">$E98*ER13</f>
        <v>0</v>
      </c>
      <c r="ES98" s="33" t="n">
        <f aca="false">$E98*ES13</f>
        <v>0</v>
      </c>
      <c r="ET98" s="33" t="n">
        <f aca="false">$E98*ET13</f>
        <v>0</v>
      </c>
    </row>
    <row r="99" customFormat="false" ht="15" hidden="false" customHeight="false" outlineLevel="0" collapsed="false">
      <c r="C99" s="0" t="s">
        <v>549</v>
      </c>
      <c r="D99" s="11" t="s">
        <v>247</v>
      </c>
      <c r="F99" s="53" t="n">
        <f aca="false">In_Debt_Rate*Months_Per_Period/Months_In_Year</f>
        <v>0.0125</v>
      </c>
      <c r="I99" s="33" t="n">
        <f aca="false">SUM(J99:ET99)</f>
        <v>4263.42718977436</v>
      </c>
      <c r="J99" s="33" t="n">
        <f aca="false">J97*$F99*(J$4&lt;=In_COD)</f>
        <v>0</v>
      </c>
      <c r="K99" s="33" t="n">
        <f aca="false">K97*$F99*(K$4&lt;=In_COD)</f>
        <v>0</v>
      </c>
      <c r="L99" s="33" t="n">
        <f aca="false">L97*$F99*(L$4&lt;=In_COD)</f>
        <v>0</v>
      </c>
      <c r="M99" s="33" t="n">
        <f aca="false">M97*$F99*(M$4&lt;=In_COD)</f>
        <v>0</v>
      </c>
      <c r="N99" s="33" t="n">
        <f aca="false">N97*$F99*(N$4&lt;=In_COD)</f>
        <v>0</v>
      </c>
      <c r="O99" s="33" t="n">
        <f aca="false">O97*$F99*(O$4&lt;=In_COD)</f>
        <v>0</v>
      </c>
      <c r="P99" s="33" t="n">
        <f aca="false">P97*$F99*(P$4&lt;=In_COD)</f>
        <v>0</v>
      </c>
      <c r="Q99" s="33" t="n">
        <f aca="false">Q97*$F99*(Q$4&lt;=In_COD)</f>
        <v>0</v>
      </c>
      <c r="R99" s="33" t="n">
        <f aca="false">R97*$F99*(R$4&lt;=In_COD)</f>
        <v>0</v>
      </c>
      <c r="S99" s="33" t="n">
        <f aca="false">S97*$F99*(S$4&lt;=In_COD)</f>
        <v>0</v>
      </c>
      <c r="T99" s="33" t="n">
        <f aca="false">T97*$F99*(T$4&lt;=In_COD)</f>
        <v>0</v>
      </c>
      <c r="U99" s="33" t="n">
        <f aca="false">U97*$F99*(U$4&lt;=In_COD)</f>
        <v>0</v>
      </c>
      <c r="V99" s="33" t="n">
        <f aca="false">V97*$F99*(V$4&lt;=In_COD)</f>
        <v>0</v>
      </c>
      <c r="W99" s="33" t="n">
        <f aca="false">W97*$F99*(W$4&lt;=In_COD)</f>
        <v>0</v>
      </c>
      <c r="X99" s="33" t="n">
        <f aca="false">X97*$F99*(X$4&lt;=In_COD)</f>
        <v>149.771955221468</v>
      </c>
      <c r="Y99" s="33" t="n">
        <f aca="false">Y97*$F99*(Y$4&lt;=In_COD)</f>
        <v>298.160147813171</v>
      </c>
      <c r="Z99" s="33" t="n">
        <f aca="false">Z97*$F99*(Z$4&lt;=In_COD)</f>
        <v>450.031148847288</v>
      </c>
      <c r="AA99" s="33" t="n">
        <f aca="false">AA97*$F99*(AA$4&lt;=In_COD)</f>
        <v>605.428493429346</v>
      </c>
      <c r="AB99" s="33" t="n">
        <f aca="false">AB97*$F99*(AB$4&lt;=In_COD)</f>
        <v>762.768304818681</v>
      </c>
      <c r="AC99" s="33" t="n">
        <f aca="false">AC97*$F99*(AC$4&lt;=In_COD)</f>
        <v>918.81895178035</v>
      </c>
      <c r="AD99" s="33" t="n">
        <f aca="false">AD97*$F99*(AD$4&lt;=In_COD)</f>
        <v>1078.44818786406</v>
      </c>
      <c r="AE99" s="33" t="n">
        <f aca="false">AE97*$F99*(AE$4&lt;=In_COD)</f>
        <v>0</v>
      </c>
      <c r="AF99" s="33" t="n">
        <f aca="false">AF97*$F99*(AF$4&lt;=In_COD)</f>
        <v>0</v>
      </c>
      <c r="AG99" s="33" t="n">
        <f aca="false">AG97*$F99*(AG$4&lt;=In_COD)</f>
        <v>0</v>
      </c>
      <c r="AH99" s="33" t="n">
        <f aca="false">AH97*$F99*(AH$4&lt;=In_COD)</f>
        <v>0</v>
      </c>
      <c r="AI99" s="33" t="n">
        <f aca="false">AI97*$F99*(AI$4&lt;=In_COD)</f>
        <v>0</v>
      </c>
      <c r="AJ99" s="33" t="n">
        <f aca="false">AJ97*$F99*(AJ$4&lt;=In_COD)</f>
        <v>0</v>
      </c>
      <c r="AK99" s="33" t="n">
        <f aca="false">AK97*$F99*(AK$4&lt;=In_COD)</f>
        <v>0</v>
      </c>
      <c r="AL99" s="33" t="n">
        <f aca="false">AL97*$F99*(AL$4&lt;=In_COD)</f>
        <v>0</v>
      </c>
      <c r="AM99" s="33" t="n">
        <f aca="false">AM97*$F99*(AM$4&lt;=In_COD)</f>
        <v>0</v>
      </c>
      <c r="AN99" s="33" t="n">
        <f aca="false">AN97*$F99*(AN$4&lt;=In_COD)</f>
        <v>0</v>
      </c>
      <c r="AO99" s="33" t="n">
        <f aca="false">AO97*$F99*(AO$4&lt;=In_COD)</f>
        <v>0</v>
      </c>
      <c r="AP99" s="33" t="n">
        <f aca="false">AP97*$F99*(AP$4&lt;=In_COD)</f>
        <v>0</v>
      </c>
      <c r="AQ99" s="33" t="n">
        <f aca="false">AQ97*$F99*(AQ$4&lt;=In_COD)</f>
        <v>0</v>
      </c>
      <c r="AR99" s="33" t="n">
        <f aca="false">AR97*$F99*(AR$4&lt;=In_COD)</f>
        <v>0</v>
      </c>
      <c r="AS99" s="33" t="n">
        <f aca="false">AS97*$F99*(AS$4&lt;=In_COD)</f>
        <v>0</v>
      </c>
      <c r="AT99" s="33" t="n">
        <f aca="false">AT97*$F99*(AT$4&lt;=In_COD)</f>
        <v>0</v>
      </c>
      <c r="AU99" s="33" t="n">
        <f aca="false">AU97*$F99*(AU$4&lt;=In_COD)</f>
        <v>0</v>
      </c>
      <c r="AV99" s="33" t="n">
        <f aca="false">AV97*$F99*(AV$4&lt;=In_COD)</f>
        <v>0</v>
      </c>
      <c r="AW99" s="33" t="n">
        <f aca="false">AW97*$F99*(AW$4&lt;=In_COD)</f>
        <v>0</v>
      </c>
      <c r="AX99" s="33" t="n">
        <f aca="false">AX97*$F99*(AX$4&lt;=In_COD)</f>
        <v>0</v>
      </c>
      <c r="AY99" s="33" t="n">
        <f aca="false">AY97*$F99*(AY$4&lt;=In_COD)</f>
        <v>0</v>
      </c>
      <c r="AZ99" s="33" t="n">
        <f aca="false">AZ97*$F99*(AZ$4&lt;=In_COD)</f>
        <v>0</v>
      </c>
      <c r="BA99" s="33" t="n">
        <f aca="false">BA97*$F99*(BA$4&lt;=In_COD)</f>
        <v>0</v>
      </c>
      <c r="BB99" s="33" t="n">
        <f aca="false">BB97*$F99*(BB$4&lt;=In_COD)</f>
        <v>0</v>
      </c>
      <c r="BC99" s="33" t="n">
        <f aca="false">BC97*$F99*(BC$4&lt;=In_COD)</f>
        <v>0</v>
      </c>
      <c r="BD99" s="33" t="n">
        <f aca="false">BD97*$F99*(BD$4&lt;=In_COD)</f>
        <v>0</v>
      </c>
      <c r="BE99" s="33" t="n">
        <f aca="false">BE97*$F99*(BE$4&lt;=In_COD)</f>
        <v>0</v>
      </c>
      <c r="BF99" s="33" t="n">
        <f aca="false">BF97*$F99*(BF$4&lt;=In_COD)</f>
        <v>0</v>
      </c>
      <c r="BG99" s="33" t="n">
        <f aca="false">BG97*$F99*(BG$4&lt;=In_COD)</f>
        <v>0</v>
      </c>
      <c r="BH99" s="33" t="n">
        <f aca="false">BH97*$F99*(BH$4&lt;=In_COD)</f>
        <v>0</v>
      </c>
      <c r="BI99" s="33" t="n">
        <f aca="false">BI97*$F99*(BI$4&lt;=In_COD)</f>
        <v>0</v>
      </c>
      <c r="BJ99" s="33" t="n">
        <f aca="false">BJ97*$F99*(BJ$4&lt;=In_COD)</f>
        <v>0</v>
      </c>
      <c r="BK99" s="33" t="n">
        <f aca="false">BK97*$F99*(BK$4&lt;=In_COD)</f>
        <v>0</v>
      </c>
      <c r="BL99" s="33" t="n">
        <f aca="false">BL97*$F99*(BL$4&lt;=In_COD)</f>
        <v>0</v>
      </c>
      <c r="BM99" s="33" t="n">
        <f aca="false">BM97*$F99*(BM$4&lt;=In_COD)</f>
        <v>0</v>
      </c>
      <c r="BN99" s="33" t="n">
        <f aca="false">BN97*$F99*(BN$4&lt;=In_COD)</f>
        <v>0</v>
      </c>
      <c r="BO99" s="33" t="n">
        <f aca="false">BO97*$F99*(BO$4&lt;=In_COD)</f>
        <v>0</v>
      </c>
      <c r="BP99" s="33" t="n">
        <f aca="false">BP97*$F99*(BP$4&lt;=In_COD)</f>
        <v>0</v>
      </c>
      <c r="BQ99" s="33" t="n">
        <f aca="false">BQ97*$F99*(BQ$4&lt;=In_COD)</f>
        <v>0</v>
      </c>
      <c r="BR99" s="33" t="n">
        <f aca="false">BR97*$F99*(BR$4&lt;=In_COD)</f>
        <v>0</v>
      </c>
      <c r="BS99" s="33" t="n">
        <f aca="false">BS97*$F99*(BS$4&lt;=In_COD)</f>
        <v>0</v>
      </c>
      <c r="BT99" s="33" t="n">
        <f aca="false">BT97*$F99*(BT$4&lt;=In_COD)</f>
        <v>0</v>
      </c>
      <c r="BU99" s="33" t="n">
        <f aca="false">BU97*$F99*(BU$4&lt;=In_COD)</f>
        <v>0</v>
      </c>
      <c r="BV99" s="33" t="n">
        <f aca="false">BV97*$F99*(BV$4&lt;=In_COD)</f>
        <v>0</v>
      </c>
      <c r="BW99" s="33" t="n">
        <f aca="false">BW97*$F99*(BW$4&lt;=In_COD)</f>
        <v>0</v>
      </c>
      <c r="BX99" s="33" t="n">
        <f aca="false">BX97*$F99*(BX$4&lt;=In_COD)</f>
        <v>0</v>
      </c>
      <c r="BY99" s="33" t="n">
        <f aca="false">BY97*$F99*(BY$4&lt;=In_COD)</f>
        <v>0</v>
      </c>
      <c r="BZ99" s="33" t="n">
        <f aca="false">BZ97*$F99*(BZ$4&lt;=In_COD)</f>
        <v>0</v>
      </c>
      <c r="CA99" s="33" t="n">
        <f aca="false">CA97*$F99*(CA$4&lt;=In_COD)</f>
        <v>0</v>
      </c>
      <c r="CB99" s="33" t="n">
        <f aca="false">CB97*$F99*(CB$4&lt;=In_COD)</f>
        <v>0</v>
      </c>
      <c r="CC99" s="33" t="n">
        <f aca="false">CC97*$F99*(CC$4&lt;=In_COD)</f>
        <v>0</v>
      </c>
      <c r="CD99" s="33" t="n">
        <f aca="false">CD97*$F99*(CD$4&lt;=In_COD)</f>
        <v>0</v>
      </c>
      <c r="CE99" s="33" t="n">
        <f aca="false">CE97*$F99*(CE$4&lt;=In_COD)</f>
        <v>0</v>
      </c>
      <c r="CF99" s="33" t="n">
        <f aca="false">CF97*$F99*(CF$4&lt;=In_COD)</f>
        <v>0</v>
      </c>
      <c r="CG99" s="33" t="n">
        <f aca="false">CG97*$F99*(CG$4&lt;=In_COD)</f>
        <v>0</v>
      </c>
      <c r="CH99" s="33" t="n">
        <f aca="false">CH97*$F99*(CH$4&lt;=In_COD)</f>
        <v>0</v>
      </c>
      <c r="CI99" s="33" t="n">
        <f aca="false">CI97*$F99*(CI$4&lt;=In_COD)</f>
        <v>0</v>
      </c>
      <c r="CJ99" s="33" t="n">
        <f aca="false">CJ97*$F99*(CJ$4&lt;=In_COD)</f>
        <v>0</v>
      </c>
      <c r="CK99" s="33" t="n">
        <f aca="false">CK97*$F99*(CK$4&lt;=In_COD)</f>
        <v>0</v>
      </c>
      <c r="CL99" s="33" t="n">
        <f aca="false">CL97*$F99*(CL$4&lt;=In_COD)</f>
        <v>0</v>
      </c>
      <c r="CM99" s="33" t="n">
        <f aca="false">CM97*$F99*(CM$4&lt;=In_COD)</f>
        <v>0</v>
      </c>
      <c r="CN99" s="33" t="n">
        <f aca="false">CN97*$F99*(CN$4&lt;=In_COD)</f>
        <v>0</v>
      </c>
      <c r="CO99" s="33" t="n">
        <f aca="false">CO97*$F99*(CO$4&lt;=In_COD)</f>
        <v>0</v>
      </c>
      <c r="CP99" s="33" t="n">
        <f aca="false">CP97*$F99*(CP$4&lt;=In_COD)</f>
        <v>0</v>
      </c>
      <c r="CQ99" s="33" t="n">
        <f aca="false">CQ97*$F99*(CQ$4&lt;=In_COD)</f>
        <v>0</v>
      </c>
      <c r="CR99" s="33" t="n">
        <f aca="false">CR97*$F99*(CR$4&lt;=In_COD)</f>
        <v>0</v>
      </c>
      <c r="CS99" s="33" t="n">
        <f aca="false">CS97*$F99*(CS$4&lt;=In_COD)</f>
        <v>0</v>
      </c>
      <c r="CT99" s="33" t="n">
        <f aca="false">CT97*$F99*(CT$4&lt;=In_COD)</f>
        <v>0</v>
      </c>
      <c r="CU99" s="33" t="n">
        <f aca="false">CU97*$F99*(CU$4&lt;=In_COD)</f>
        <v>0</v>
      </c>
      <c r="CV99" s="33" t="n">
        <f aca="false">CV97*$F99*(CV$4&lt;=In_COD)</f>
        <v>0</v>
      </c>
      <c r="CW99" s="33" t="n">
        <f aca="false">CW97*$F99*(CW$4&lt;=In_COD)</f>
        <v>0</v>
      </c>
      <c r="CX99" s="33" t="n">
        <f aca="false">CX97*$F99*(CX$4&lt;=In_COD)</f>
        <v>0</v>
      </c>
      <c r="CY99" s="33" t="n">
        <f aca="false">CY97*$F99*(CY$4&lt;=In_COD)</f>
        <v>0</v>
      </c>
      <c r="CZ99" s="33" t="n">
        <f aca="false">CZ97*$F99*(CZ$4&lt;=In_COD)</f>
        <v>0</v>
      </c>
      <c r="DA99" s="33" t="n">
        <f aca="false">DA97*$F99*(DA$4&lt;=In_COD)</f>
        <v>0</v>
      </c>
      <c r="DB99" s="33" t="n">
        <f aca="false">DB97*$F99*(DB$4&lt;=In_COD)</f>
        <v>0</v>
      </c>
      <c r="DC99" s="33" t="n">
        <f aca="false">DC97*$F99*(DC$4&lt;=In_COD)</f>
        <v>0</v>
      </c>
      <c r="DD99" s="33" t="n">
        <f aca="false">DD97*$F99*(DD$4&lt;=In_COD)</f>
        <v>0</v>
      </c>
      <c r="DE99" s="33" t="n">
        <f aca="false">DE97*$F99*(DE$4&lt;=In_COD)</f>
        <v>0</v>
      </c>
      <c r="DF99" s="33" t="n">
        <f aca="false">DF97*$F99*(DF$4&lt;=In_COD)</f>
        <v>0</v>
      </c>
      <c r="DG99" s="33" t="n">
        <f aca="false">DG97*$F99*(DG$4&lt;=In_COD)</f>
        <v>0</v>
      </c>
      <c r="DH99" s="33" t="n">
        <f aca="false">DH97*$F99*(DH$4&lt;=In_COD)</f>
        <v>0</v>
      </c>
      <c r="DI99" s="33" t="n">
        <f aca="false">DI97*$F99*(DI$4&lt;=In_COD)</f>
        <v>0</v>
      </c>
      <c r="DJ99" s="33" t="n">
        <f aca="false">DJ97*$F99*(DJ$4&lt;=In_COD)</f>
        <v>0</v>
      </c>
      <c r="DK99" s="33" t="n">
        <f aca="false">DK97*$F99*(DK$4&lt;=In_COD)</f>
        <v>0</v>
      </c>
      <c r="DL99" s="33" t="n">
        <f aca="false">DL97*$F99*(DL$4&lt;=In_COD)</f>
        <v>0</v>
      </c>
      <c r="DM99" s="33" t="n">
        <f aca="false">DM97*$F99*(DM$4&lt;=In_COD)</f>
        <v>0</v>
      </c>
      <c r="DN99" s="33" t="n">
        <f aca="false">DN97*$F99*(DN$4&lt;=In_COD)</f>
        <v>0</v>
      </c>
      <c r="DO99" s="33" t="n">
        <f aca="false">DO97*$F99*(DO$4&lt;=In_COD)</f>
        <v>0</v>
      </c>
      <c r="DP99" s="33" t="n">
        <f aca="false">DP97*$F99*(DP$4&lt;=In_COD)</f>
        <v>0</v>
      </c>
      <c r="DQ99" s="33" t="n">
        <f aca="false">DQ97*$F99*(DQ$4&lt;=In_COD)</f>
        <v>0</v>
      </c>
      <c r="DR99" s="33" t="n">
        <f aca="false">DR97*$F99*(DR$4&lt;=In_COD)</f>
        <v>0</v>
      </c>
      <c r="DS99" s="33" t="n">
        <f aca="false">DS97*$F99*(DS$4&lt;=In_COD)</f>
        <v>0</v>
      </c>
      <c r="DT99" s="33" t="n">
        <f aca="false">DT97*$F99*(DT$4&lt;=In_COD)</f>
        <v>0</v>
      </c>
      <c r="DU99" s="33" t="n">
        <f aca="false">DU97*$F99*(DU$4&lt;=In_COD)</f>
        <v>0</v>
      </c>
      <c r="DV99" s="33" t="n">
        <f aca="false">DV97*$F99*(DV$4&lt;=In_COD)</f>
        <v>0</v>
      </c>
      <c r="DW99" s="33" t="n">
        <f aca="false">DW97*$F99*(DW$4&lt;=In_COD)</f>
        <v>0</v>
      </c>
      <c r="DX99" s="33" t="n">
        <f aca="false">DX97*$F99*(DX$4&lt;=In_COD)</f>
        <v>0</v>
      </c>
      <c r="DY99" s="33" t="n">
        <f aca="false">DY97*$F99*(DY$4&lt;=In_COD)</f>
        <v>0</v>
      </c>
      <c r="DZ99" s="33" t="n">
        <f aca="false">DZ97*$F99*(DZ$4&lt;=In_COD)</f>
        <v>0</v>
      </c>
      <c r="EA99" s="33" t="n">
        <f aca="false">EA97*$F99*(EA$4&lt;=In_COD)</f>
        <v>0</v>
      </c>
      <c r="EB99" s="33" t="n">
        <f aca="false">EB97*$F99*(EB$4&lt;=In_COD)</f>
        <v>0</v>
      </c>
      <c r="EC99" s="33" t="n">
        <f aca="false">EC97*$F99*(EC$4&lt;=In_COD)</f>
        <v>0</v>
      </c>
      <c r="ED99" s="33" t="n">
        <f aca="false">ED97*$F99*(ED$4&lt;=In_COD)</f>
        <v>0</v>
      </c>
      <c r="EE99" s="33" t="n">
        <f aca="false">EE97*$F99*(EE$4&lt;=In_COD)</f>
        <v>0</v>
      </c>
      <c r="EF99" s="33" t="n">
        <f aca="false">EF97*$F99*(EF$4&lt;=In_COD)</f>
        <v>0</v>
      </c>
      <c r="EG99" s="33" t="n">
        <f aca="false">EG97*$F99*(EG$4&lt;=In_COD)</f>
        <v>0</v>
      </c>
      <c r="EH99" s="33" t="n">
        <f aca="false">EH97*$F99*(EH$4&lt;=In_COD)</f>
        <v>0</v>
      </c>
      <c r="EI99" s="33" t="n">
        <f aca="false">EI97*$F99*(EI$4&lt;=In_COD)</f>
        <v>0</v>
      </c>
      <c r="EJ99" s="33" t="n">
        <f aca="false">EJ97*$F99*(EJ$4&lt;=In_COD)</f>
        <v>0</v>
      </c>
      <c r="EK99" s="33" t="n">
        <f aca="false">EK97*$F99*(EK$4&lt;=In_COD)</f>
        <v>0</v>
      </c>
      <c r="EL99" s="33" t="n">
        <f aca="false">EL97*$F99*(EL$4&lt;=In_COD)</f>
        <v>0</v>
      </c>
      <c r="EM99" s="33" t="n">
        <f aca="false">EM97*$F99*(EM$4&lt;=In_COD)</f>
        <v>0</v>
      </c>
      <c r="EN99" s="33" t="n">
        <f aca="false">EN97*$F99*(EN$4&lt;=In_COD)</f>
        <v>0</v>
      </c>
      <c r="EO99" s="33" t="n">
        <f aca="false">EO97*$F99*(EO$4&lt;=In_COD)</f>
        <v>0</v>
      </c>
      <c r="EP99" s="33" t="n">
        <f aca="false">EP97*$F99*(EP$4&lt;=In_COD)</f>
        <v>0</v>
      </c>
      <c r="EQ99" s="33" t="n">
        <f aca="false">EQ97*$F99*(EQ$4&lt;=In_COD)</f>
        <v>0</v>
      </c>
      <c r="ER99" s="33" t="n">
        <f aca="false">ER97*$F99*(ER$4&lt;=In_COD)</f>
        <v>0</v>
      </c>
      <c r="ES99" s="33" t="n">
        <f aca="false">ES97*$F99*(ES$4&lt;=In_COD)</f>
        <v>0</v>
      </c>
      <c r="ET99" s="33" t="n">
        <f aca="false">ET97*$F99*(ET$4&lt;=In_COD)</f>
        <v>0</v>
      </c>
    </row>
    <row r="100" customFormat="false" ht="15" hidden="false" customHeight="false" outlineLevel="0" collapsed="false">
      <c r="C100" s="0" t="s">
        <v>550</v>
      </c>
      <c r="D100" s="11" t="s">
        <v>247</v>
      </c>
      <c r="I100" s="33" t="n">
        <f aca="false">SUM(J100:ET100)</f>
        <v>-99336.0596347059</v>
      </c>
      <c r="J100" s="33" t="n">
        <f aca="false">PPMT($F99,1,In_Debt_Tenor*Months_In_Year/Months_Per_Period-SUM($J17:J17)+1,J97)*J17</f>
        <v>0</v>
      </c>
      <c r="K100" s="33" t="n">
        <f aca="false">PPMT($F99,1,In_Debt_Tenor*Months_In_Year/Months_Per_Period-SUM($J17:K17)+1,K97)*K17</f>
        <v>0</v>
      </c>
      <c r="L100" s="33" t="n">
        <f aca="false">PPMT($F99,1,In_Debt_Tenor*Months_In_Year/Months_Per_Period-SUM($J17:L17)+1,L97)*L17</f>
        <v>0</v>
      </c>
      <c r="M100" s="33" t="n">
        <f aca="false">PPMT($F99,1,In_Debt_Tenor*Months_In_Year/Months_Per_Period-SUM($J17:M17)+1,M97)*M17</f>
        <v>0</v>
      </c>
      <c r="N100" s="33" t="n">
        <f aca="false">PPMT($F99,1,In_Debt_Tenor*Months_In_Year/Months_Per_Period-SUM($J17:N17)+1,N97)*N17</f>
        <v>0</v>
      </c>
      <c r="O100" s="33" t="n">
        <f aca="false">PPMT($F99,1,In_Debt_Tenor*Months_In_Year/Months_Per_Period-SUM($J17:O17)+1,O97)*O17</f>
        <v>0</v>
      </c>
      <c r="P100" s="33" t="n">
        <f aca="false">PPMT($F99,1,In_Debt_Tenor*Months_In_Year/Months_Per_Period-SUM($J17:P17)+1,P97)*P17</f>
        <v>0</v>
      </c>
      <c r="Q100" s="33" t="n">
        <f aca="false">PPMT($F99,1,In_Debt_Tenor*Months_In_Year/Months_Per_Period-SUM($J17:Q17)+1,Q97)*Q17</f>
        <v>0</v>
      </c>
      <c r="R100" s="33" t="n">
        <f aca="false">PPMT($F99,1,In_Debt_Tenor*Months_In_Year/Months_Per_Period-SUM($J17:R17)+1,R97)*R17</f>
        <v>0</v>
      </c>
      <c r="S100" s="33" t="n">
        <f aca="false">PPMT($F99,1,In_Debt_Tenor*Months_In_Year/Months_Per_Period-SUM($J17:S17)+1,S97)*S17</f>
        <v>0</v>
      </c>
      <c r="T100" s="33" t="n">
        <f aca="false">PPMT($F99,1,In_Debt_Tenor*Months_In_Year/Months_Per_Period-SUM($J17:T17)+1,T97)*T17</f>
        <v>0</v>
      </c>
      <c r="U100" s="33" t="n">
        <f aca="false">PPMT($F99,1,In_Debt_Tenor*Months_In_Year/Months_Per_Period-SUM($J17:U17)+1,U97)*U17</f>
        <v>0</v>
      </c>
      <c r="V100" s="33" t="n">
        <f aca="false">PPMT($F99,1,In_Debt_Tenor*Months_In_Year/Months_Per_Period-SUM($J17:V17)+1,V97)*V17</f>
        <v>0</v>
      </c>
      <c r="W100" s="33" t="n">
        <f aca="false">PPMT($F99,1,In_Debt_Tenor*Months_In_Year/Months_Per_Period-SUM($J17:W17)+1,W97)*W17</f>
        <v>0</v>
      </c>
      <c r="X100" s="33" t="n">
        <f aca="false">PPMT($F99,1,In_Debt_Tenor*Months_In_Year/Months_Per_Period-SUM($J17:X17)+1,X97)*X17</f>
        <v>-0</v>
      </c>
      <c r="Y100" s="33" t="n">
        <f aca="false">PPMT($F99,1,In_Debt_Tenor*Months_In_Year/Months_Per_Period-SUM($J17:Y17)+1,Y97)*Y17</f>
        <v>-0</v>
      </c>
      <c r="Z100" s="33" t="n">
        <f aca="false">PPMT($F99,1,In_Debt_Tenor*Months_In_Year/Months_Per_Period-SUM($J17:Z17)+1,Z97)*Z17</f>
        <v>-0</v>
      </c>
      <c r="AA100" s="33" t="n">
        <f aca="false">PPMT($F99,1,In_Debt_Tenor*Months_In_Year/Months_Per_Period-SUM($J17:AA17)+1,AA97)*AA17</f>
        <v>-0</v>
      </c>
      <c r="AB100" s="33" t="n">
        <f aca="false">PPMT($F99,1,In_Debt_Tenor*Months_In_Year/Months_Per_Period-SUM($J17:AB17)+1,AB97)*AB17</f>
        <v>-0</v>
      </c>
      <c r="AC100" s="33" t="n">
        <f aca="false">PPMT($F99,1,In_Debt_Tenor*Months_In_Year/Months_Per_Period-SUM($J17:AC17)+1,AC97)*AC17</f>
        <v>-0</v>
      </c>
      <c r="AD100" s="33" t="n">
        <f aca="false">PPMT($F99,1,In_Debt_Tenor*Months_In_Year/Months_Per_Period-SUM($J17:AD17)+1,AD97)*AD17</f>
        <v>-0</v>
      </c>
      <c r="AE100" s="33" t="n">
        <f aca="false">PPMT($F99,1,In_Debt_Tenor*Months_In_Year/Months_Per_Period-SUM($J17:AE17)+1,AE97)*AE17</f>
        <v>-1929.24673021309</v>
      </c>
      <c r="AF100" s="33" t="n">
        <f aca="false">PPMT($F99,1,In_Debt_Tenor*Months_In_Year/Months_Per_Period-SUM($J17:AF17)+1,AF97)*AF17</f>
        <v>-1953.36231434075</v>
      </c>
      <c r="AG100" s="33" t="n">
        <f aca="false">PPMT($F99,1,In_Debt_Tenor*Months_In_Year/Months_Per_Period-SUM($J17:AG17)+1,AG97)*AG17</f>
        <v>-1977.77934327001</v>
      </c>
      <c r="AH100" s="33" t="n">
        <f aca="false">PPMT($F99,1,In_Debt_Tenor*Months_In_Year/Months_Per_Period-SUM($J17:AH17)+1,AH97)*AH17</f>
        <v>-2002.50158506089</v>
      </c>
      <c r="AI100" s="33" t="n">
        <f aca="false">PPMT($F99,1,In_Debt_Tenor*Months_In_Year/Months_Per_Period-SUM($J17:AI17)+1,AI97)*AI17</f>
        <v>-2027.53285487415</v>
      </c>
      <c r="AJ100" s="33" t="n">
        <f aca="false">PPMT($F99,1,In_Debt_Tenor*Months_In_Year/Months_Per_Period-SUM($J17:AJ17)+1,AJ97)*AJ17</f>
        <v>-2052.87701556008</v>
      </c>
      <c r="AK100" s="33" t="n">
        <f aca="false">PPMT($F99,1,In_Debt_Tenor*Months_In_Year/Months_Per_Period-SUM($J17:AK17)+1,AK97)*AK17</f>
        <v>-2078.53797825458</v>
      </c>
      <c r="AL100" s="33" t="n">
        <f aca="false">PPMT($F99,1,In_Debt_Tenor*Months_In_Year/Months_Per_Period-SUM($J17:AL17)+1,AL97)*AL17</f>
        <v>-2104.51970298276</v>
      </c>
      <c r="AM100" s="33" t="n">
        <f aca="false">PPMT($F99,1,In_Debt_Tenor*Months_In_Year/Months_Per_Period-SUM($J17:AM17)+1,AM97)*AM17</f>
        <v>-2130.82619927004</v>
      </c>
      <c r="AN100" s="33" t="n">
        <f aca="false">PPMT($F99,1,In_Debt_Tenor*Months_In_Year/Months_Per_Period-SUM($J17:AN17)+1,AN97)*AN17</f>
        <v>-2157.46152676092</v>
      </c>
      <c r="AO100" s="33" t="n">
        <f aca="false">PPMT($F99,1,In_Debt_Tenor*Months_In_Year/Months_Per_Period-SUM($J17:AO17)+1,AO97)*AO17</f>
        <v>-2184.42979584543</v>
      </c>
      <c r="AP100" s="33" t="n">
        <f aca="false">PPMT($F99,1,In_Debt_Tenor*Months_In_Year/Months_Per_Period-SUM($J17:AP17)+1,AP97)*AP17</f>
        <v>-2211.7351682935</v>
      </c>
      <c r="AQ100" s="33" t="n">
        <f aca="false">PPMT($F99,1,In_Debt_Tenor*Months_In_Year/Months_Per_Period-SUM($J17:AQ17)+1,AQ97)*AQ17</f>
        <v>-2239.38185789717</v>
      </c>
      <c r="AR100" s="33" t="n">
        <f aca="false">PPMT($F99,1,In_Debt_Tenor*Months_In_Year/Months_Per_Period-SUM($J17:AR17)+1,AR97)*AR17</f>
        <v>-2267.37413112088</v>
      </c>
      <c r="AS100" s="33" t="n">
        <f aca="false">PPMT($F99,1,In_Debt_Tenor*Months_In_Year/Months_Per_Period-SUM($J17:AS17)+1,AS97)*AS17</f>
        <v>-2295.71630775989</v>
      </c>
      <c r="AT100" s="33" t="n">
        <f aca="false">PPMT($F99,1,In_Debt_Tenor*Months_In_Year/Months_Per_Period-SUM($J17:AT17)+1,AT97)*AT17</f>
        <v>-2324.41276160689</v>
      </c>
      <c r="AU100" s="33" t="n">
        <f aca="false">PPMT($F99,1,In_Debt_Tenor*Months_In_Year/Months_Per_Period-SUM($J17:AU17)+1,AU97)*AU17</f>
        <v>-2353.46792112698</v>
      </c>
      <c r="AV100" s="33" t="n">
        <f aca="false">PPMT($F99,1,In_Debt_Tenor*Months_In_Year/Months_Per_Period-SUM($J17:AV17)+1,AV97)*AV17</f>
        <v>-2382.88627014107</v>
      </c>
      <c r="AW100" s="33" t="n">
        <f aca="false">PPMT($F99,1,In_Debt_Tenor*Months_In_Year/Months_Per_Period-SUM($J17:AW17)+1,AW97)*AW17</f>
        <v>-2412.67234851783</v>
      </c>
      <c r="AX100" s="33" t="n">
        <f aca="false">PPMT($F99,1,In_Debt_Tenor*Months_In_Year/Months_Per_Period-SUM($J17:AX17)+1,AX97)*AX17</f>
        <v>-2442.8307528743</v>
      </c>
      <c r="AY100" s="33" t="n">
        <f aca="false">PPMT($F99,1,In_Debt_Tenor*Months_In_Year/Months_Per_Period-SUM($J17:AY17)+1,AY97)*AY17</f>
        <v>-2473.36613728523</v>
      </c>
      <c r="AZ100" s="33" t="n">
        <f aca="false">PPMT($F99,1,In_Debt_Tenor*Months_In_Year/Months_Per_Period-SUM($J17:AZ17)+1,AZ97)*AZ17</f>
        <v>-2504.2832140013</v>
      </c>
      <c r="BA100" s="33" t="n">
        <f aca="false">PPMT($F99,1,In_Debt_Tenor*Months_In_Year/Months_Per_Period-SUM($J17:BA17)+1,BA97)*BA17</f>
        <v>-2535.58675417631</v>
      </c>
      <c r="BB100" s="33" t="n">
        <f aca="false">PPMT($F99,1,In_Debt_Tenor*Months_In_Year/Months_Per_Period-SUM($J17:BB17)+1,BB97)*BB17</f>
        <v>-2567.28158860352</v>
      </c>
      <c r="BC100" s="33" t="n">
        <f aca="false">PPMT($F99,1,In_Debt_Tenor*Months_In_Year/Months_Per_Period-SUM($J17:BC17)+1,BC97)*BC17</f>
        <v>-2599.37260846106</v>
      </c>
      <c r="BD100" s="33" t="n">
        <f aca="false">PPMT($F99,1,In_Debt_Tenor*Months_In_Year/Months_Per_Period-SUM($J17:BD17)+1,BD97)*BD17</f>
        <v>-2631.86476606682</v>
      </c>
      <c r="BE100" s="33" t="n">
        <f aca="false">PPMT($F99,1,In_Debt_Tenor*Months_In_Year/Months_Per_Period-SUM($J17:BE17)+1,BE97)*BE17</f>
        <v>-2664.76307564266</v>
      </c>
      <c r="BF100" s="33" t="n">
        <f aca="false">PPMT($F99,1,In_Debt_Tenor*Months_In_Year/Months_Per_Period-SUM($J17:BF17)+1,BF97)*BF17</f>
        <v>-2698.07261408819</v>
      </c>
      <c r="BG100" s="33" t="n">
        <f aca="false">PPMT($F99,1,In_Debt_Tenor*Months_In_Year/Months_Per_Period-SUM($J17:BG17)+1,BG97)*BG17</f>
        <v>-2731.79852176429</v>
      </c>
      <c r="BH100" s="33" t="n">
        <f aca="false">PPMT($F99,1,In_Debt_Tenor*Months_In_Year/Months_Per_Period-SUM($J17:BH17)+1,BH97)*BH17</f>
        <v>-2765.94600328635</v>
      </c>
      <c r="BI100" s="33" t="n">
        <f aca="false">PPMT($F99,1,In_Debt_Tenor*Months_In_Year/Months_Per_Period-SUM($J17:BI17)+1,BI97)*BI17</f>
        <v>-2800.52032832743</v>
      </c>
      <c r="BJ100" s="33" t="n">
        <f aca="false">PPMT($F99,1,In_Debt_Tenor*Months_In_Year/Months_Per_Period-SUM($J17:BJ17)+1,BJ97)*BJ17</f>
        <v>-2835.52683243152</v>
      </c>
      <c r="BK100" s="33" t="n">
        <f aca="false">PPMT($F99,1,In_Debt_Tenor*Months_In_Year/Months_Per_Period-SUM($J17:BK17)+1,BK97)*BK17</f>
        <v>-2870.97091783691</v>
      </c>
      <c r="BL100" s="33" t="n">
        <f aca="false">PPMT($F99,1,In_Debt_Tenor*Months_In_Year/Months_Per_Period-SUM($J17:BL17)+1,BL97)*BL17</f>
        <v>-2906.85805430987</v>
      </c>
      <c r="BM100" s="33" t="n">
        <f aca="false">PPMT($F99,1,In_Debt_Tenor*Months_In_Year/Months_Per_Period-SUM($J17:BM17)+1,BM97)*BM17</f>
        <v>-2943.19377998875</v>
      </c>
      <c r="BN100" s="33" t="n">
        <f aca="false">PPMT($F99,1,In_Debt_Tenor*Months_In_Year/Months_Per_Period-SUM($J17:BN17)+1,BN97)*BN17</f>
        <v>-2979.98370223861</v>
      </c>
      <c r="BO100" s="33" t="n">
        <f aca="false">PPMT($F99,1,In_Debt_Tenor*Months_In_Year/Months_Per_Period-SUM($J17:BO17)+1,BO97)*BO17</f>
        <v>-3017.23349851659</v>
      </c>
      <c r="BP100" s="33" t="n">
        <f aca="false">PPMT($F99,1,In_Debt_Tenor*Months_In_Year/Months_Per_Period-SUM($J17:BP17)+1,BP97)*BP17</f>
        <v>-3054.94891724805</v>
      </c>
      <c r="BQ100" s="33" t="n">
        <f aca="false">PPMT($F99,1,In_Debt_Tenor*Months_In_Year/Months_Per_Period-SUM($J17:BQ17)+1,BQ97)*BQ17</f>
        <v>-3093.13577871365</v>
      </c>
      <c r="BR100" s="33" t="n">
        <f aca="false">PPMT($F99,1,In_Debt_Tenor*Months_In_Year/Months_Per_Period-SUM($J17:BR17)+1,BR97)*BR17</f>
        <v>-3131.79997594757</v>
      </c>
      <c r="BS100" s="33" t="n">
        <f aca="false">PPMT($F99,1,In_Debt_Tenor*Months_In_Year/Months_Per_Period-SUM($J17:BS17)+1,BS97)*BS17</f>
        <v>0</v>
      </c>
      <c r="BT100" s="33" t="n">
        <f aca="false">PPMT($F99,1,In_Debt_Tenor*Months_In_Year/Months_Per_Period-SUM($J17:BT17)+1,BT97)*BT17</f>
        <v>0</v>
      </c>
      <c r="BU100" s="33" t="n">
        <f aca="false">PPMT($F99,1,In_Debt_Tenor*Months_In_Year/Months_Per_Period-SUM($J17:BU17)+1,BU97)*BU17</f>
        <v>0</v>
      </c>
      <c r="BV100" s="33" t="n">
        <f aca="false">PPMT($F99,1,In_Debt_Tenor*Months_In_Year/Months_Per_Period-SUM($J17:BV17)+1,BV97)*BV17</f>
        <v>0</v>
      </c>
      <c r="BW100" s="33" t="n">
        <f aca="false">PPMT($F99,1,In_Debt_Tenor*Months_In_Year/Months_Per_Period-SUM($J17:BW17)+1,BW97)*BW17</f>
        <v>0</v>
      </c>
      <c r="BX100" s="33" t="n">
        <f aca="false">PPMT($F99,1,In_Debt_Tenor*Months_In_Year/Months_Per_Period-SUM($J17:BX17)+1,BX97)*BX17</f>
        <v>0</v>
      </c>
      <c r="BY100" s="33" t="n">
        <f aca="false">PPMT($F99,1,In_Debt_Tenor*Months_In_Year/Months_Per_Period-SUM($J17:BY17)+1,BY97)*BY17</f>
        <v>0</v>
      </c>
      <c r="BZ100" s="33" t="n">
        <f aca="false">PPMT($F99,1,In_Debt_Tenor*Months_In_Year/Months_Per_Period-SUM($J17:BZ17)+1,BZ97)*BZ17</f>
        <v>0</v>
      </c>
      <c r="CA100" s="33" t="n">
        <f aca="false">PPMT($F99,1,In_Debt_Tenor*Months_In_Year/Months_Per_Period-SUM($J17:CA17)+1,CA97)*CA17</f>
        <v>0</v>
      </c>
      <c r="CB100" s="33" t="n">
        <f aca="false">PPMT($F99,1,In_Debt_Tenor*Months_In_Year/Months_Per_Period-SUM($J17:CB17)+1,CB97)*CB17</f>
        <v>0</v>
      </c>
      <c r="CC100" s="33" t="n">
        <f aca="false">PPMT($F99,1,In_Debt_Tenor*Months_In_Year/Months_Per_Period-SUM($J17:CC17)+1,CC97)*CC17</f>
        <v>0</v>
      </c>
      <c r="CD100" s="33" t="n">
        <f aca="false">PPMT($F99,1,In_Debt_Tenor*Months_In_Year/Months_Per_Period-SUM($J17:CD17)+1,CD97)*CD17</f>
        <v>0</v>
      </c>
      <c r="CE100" s="33" t="n">
        <f aca="false">PPMT($F99,1,In_Debt_Tenor*Months_In_Year/Months_Per_Period-SUM($J17:CE17)+1,CE97)*CE17</f>
        <v>0</v>
      </c>
      <c r="CF100" s="33" t="n">
        <f aca="false">PPMT($F99,1,In_Debt_Tenor*Months_In_Year/Months_Per_Period-SUM($J17:CF17)+1,CF97)*CF17</f>
        <v>0</v>
      </c>
      <c r="CG100" s="33" t="n">
        <f aca="false">PPMT($F99,1,In_Debt_Tenor*Months_In_Year/Months_Per_Period-SUM($J17:CG17)+1,CG97)*CG17</f>
        <v>0</v>
      </c>
      <c r="CH100" s="33" t="n">
        <f aca="false">PPMT($F99,1,In_Debt_Tenor*Months_In_Year/Months_Per_Period-SUM($J17:CH17)+1,CH97)*CH17</f>
        <v>0</v>
      </c>
      <c r="CI100" s="33" t="n">
        <f aca="false">PPMT($F99,1,In_Debt_Tenor*Months_In_Year/Months_Per_Period-SUM($J17:CI17)+1,CI97)*CI17</f>
        <v>0</v>
      </c>
      <c r="CJ100" s="33" t="n">
        <f aca="false">PPMT($F99,1,In_Debt_Tenor*Months_In_Year/Months_Per_Period-SUM($J17:CJ17)+1,CJ97)*CJ17</f>
        <v>0</v>
      </c>
      <c r="CK100" s="33" t="n">
        <f aca="false">PPMT($F99,1,In_Debt_Tenor*Months_In_Year/Months_Per_Period-SUM($J17:CK17)+1,CK97)*CK17</f>
        <v>0</v>
      </c>
      <c r="CL100" s="33" t="n">
        <f aca="false">PPMT($F99,1,In_Debt_Tenor*Months_In_Year/Months_Per_Period-SUM($J17:CL17)+1,CL97)*CL17</f>
        <v>0</v>
      </c>
      <c r="CM100" s="33" t="n">
        <f aca="false">PPMT($F99,1,In_Debt_Tenor*Months_In_Year/Months_Per_Period-SUM($J17:CM17)+1,CM97)*CM17</f>
        <v>0</v>
      </c>
      <c r="CN100" s="33" t="n">
        <f aca="false">PPMT($F99,1,In_Debt_Tenor*Months_In_Year/Months_Per_Period-SUM($J17:CN17)+1,CN97)*CN17</f>
        <v>0</v>
      </c>
      <c r="CO100" s="33" t="n">
        <f aca="false">PPMT($F99,1,In_Debt_Tenor*Months_In_Year/Months_Per_Period-SUM($J17:CO17)+1,CO97)*CO17</f>
        <v>0</v>
      </c>
      <c r="CP100" s="33" t="n">
        <f aca="false">PPMT($F99,1,In_Debt_Tenor*Months_In_Year/Months_Per_Period-SUM($J17:CP17)+1,CP97)*CP17</f>
        <v>0</v>
      </c>
      <c r="CQ100" s="33" t="n">
        <f aca="false">PPMT($F99,1,In_Debt_Tenor*Months_In_Year/Months_Per_Period-SUM($J17:CQ17)+1,CQ97)*CQ17</f>
        <v>0</v>
      </c>
      <c r="CR100" s="33" t="n">
        <f aca="false">PPMT($F99,1,In_Debt_Tenor*Months_In_Year/Months_Per_Period-SUM($J17:CR17)+1,CR97)*CR17</f>
        <v>0</v>
      </c>
      <c r="CS100" s="33" t="n">
        <f aca="false">PPMT($F99,1,In_Debt_Tenor*Months_In_Year/Months_Per_Period-SUM($J17:CS17)+1,CS97)*CS17</f>
        <v>0</v>
      </c>
      <c r="CT100" s="33" t="n">
        <f aca="false">PPMT($F99,1,In_Debt_Tenor*Months_In_Year/Months_Per_Period-SUM($J17:CT17)+1,CT97)*CT17</f>
        <v>0</v>
      </c>
      <c r="CU100" s="33" t="n">
        <f aca="false">PPMT($F99,1,In_Debt_Tenor*Months_In_Year/Months_Per_Period-SUM($J17:CU17)+1,CU97)*CU17</f>
        <v>0</v>
      </c>
      <c r="CV100" s="33" t="n">
        <f aca="false">PPMT($F99,1,In_Debt_Tenor*Months_In_Year/Months_Per_Period-SUM($J17:CV17)+1,CV97)*CV17</f>
        <v>0</v>
      </c>
      <c r="CW100" s="33" t="n">
        <f aca="false">PPMT($F99,1,In_Debt_Tenor*Months_In_Year/Months_Per_Period-SUM($J17:CW17)+1,CW97)*CW17</f>
        <v>0</v>
      </c>
      <c r="CX100" s="33" t="n">
        <f aca="false">PPMT($F99,1,In_Debt_Tenor*Months_In_Year/Months_Per_Period-SUM($J17:CX17)+1,CX97)*CX17</f>
        <v>0</v>
      </c>
      <c r="CY100" s="33" t="n">
        <f aca="false">PPMT($F99,1,In_Debt_Tenor*Months_In_Year/Months_Per_Period-SUM($J17:CY17)+1,CY97)*CY17</f>
        <v>0</v>
      </c>
      <c r="CZ100" s="33" t="n">
        <f aca="false">PPMT($F99,1,In_Debt_Tenor*Months_In_Year/Months_Per_Period-SUM($J17:CZ17)+1,CZ97)*CZ17</f>
        <v>0</v>
      </c>
      <c r="DA100" s="33" t="n">
        <f aca="false">PPMT($F99,1,In_Debt_Tenor*Months_In_Year/Months_Per_Period-SUM($J17:DA17)+1,DA97)*DA17</f>
        <v>0</v>
      </c>
      <c r="DB100" s="33" t="n">
        <f aca="false">PPMT($F99,1,In_Debt_Tenor*Months_In_Year/Months_Per_Period-SUM($J17:DB17)+1,DB97)*DB17</f>
        <v>0</v>
      </c>
      <c r="DC100" s="33" t="n">
        <f aca="false">PPMT($F99,1,In_Debt_Tenor*Months_In_Year/Months_Per_Period-SUM($J17:DC17)+1,DC97)*DC17</f>
        <v>0</v>
      </c>
      <c r="DD100" s="33" t="n">
        <f aca="false">PPMT($F99,1,In_Debt_Tenor*Months_In_Year/Months_Per_Period-SUM($J17:DD17)+1,DD97)*DD17</f>
        <v>0</v>
      </c>
      <c r="DE100" s="33" t="n">
        <f aca="false">PPMT($F99,1,In_Debt_Tenor*Months_In_Year/Months_Per_Period-SUM($J17:DE17)+1,DE97)*DE17</f>
        <v>0</v>
      </c>
      <c r="DF100" s="33" t="n">
        <f aca="false">PPMT($F99,1,In_Debt_Tenor*Months_In_Year/Months_Per_Period-SUM($J17:DF17)+1,DF97)*DF17</f>
        <v>0</v>
      </c>
      <c r="DG100" s="33" t="n">
        <f aca="false">PPMT($F99,1,In_Debt_Tenor*Months_In_Year/Months_Per_Period-SUM($J17:DG17)+1,DG97)*DG17</f>
        <v>0</v>
      </c>
      <c r="DH100" s="33" t="n">
        <f aca="false">PPMT($F99,1,In_Debt_Tenor*Months_In_Year/Months_Per_Period-SUM($J17:DH17)+1,DH97)*DH17</f>
        <v>0</v>
      </c>
      <c r="DI100" s="33" t="n">
        <f aca="false">PPMT($F99,1,In_Debt_Tenor*Months_In_Year/Months_Per_Period-SUM($J17:DI17)+1,DI97)*DI17</f>
        <v>0</v>
      </c>
      <c r="DJ100" s="33" t="n">
        <f aca="false">PPMT($F99,1,In_Debt_Tenor*Months_In_Year/Months_Per_Period-SUM($J17:DJ17)+1,DJ97)*DJ17</f>
        <v>0</v>
      </c>
      <c r="DK100" s="33" t="n">
        <f aca="false">PPMT($F99,1,In_Debt_Tenor*Months_In_Year/Months_Per_Period-SUM($J17:DK17)+1,DK97)*DK17</f>
        <v>0</v>
      </c>
      <c r="DL100" s="33" t="n">
        <f aca="false">PPMT($F99,1,In_Debt_Tenor*Months_In_Year/Months_Per_Period-SUM($J17:DL17)+1,DL97)*DL17</f>
        <v>0</v>
      </c>
      <c r="DM100" s="33" t="n">
        <f aca="false">PPMT($F99,1,In_Debt_Tenor*Months_In_Year/Months_Per_Period-SUM($J17:DM17)+1,DM97)*DM17</f>
        <v>0</v>
      </c>
      <c r="DN100" s="33" t="n">
        <f aca="false">PPMT($F99,1,In_Debt_Tenor*Months_In_Year/Months_Per_Period-SUM($J17:DN17)+1,DN97)*DN17</f>
        <v>0</v>
      </c>
      <c r="DO100" s="33" t="n">
        <f aca="false">PPMT($F99,1,In_Debt_Tenor*Months_In_Year/Months_Per_Period-SUM($J17:DO17)+1,DO97)*DO17</f>
        <v>0</v>
      </c>
      <c r="DP100" s="33" t="n">
        <f aca="false">PPMT($F99,1,In_Debt_Tenor*Months_In_Year/Months_Per_Period-SUM($J17:DP17)+1,DP97)*DP17</f>
        <v>0</v>
      </c>
      <c r="DQ100" s="33" t="n">
        <f aca="false">PPMT($F99,1,In_Debt_Tenor*Months_In_Year/Months_Per_Period-SUM($J17:DQ17)+1,DQ97)*DQ17</f>
        <v>0</v>
      </c>
      <c r="DR100" s="33" t="n">
        <f aca="false">PPMT($F99,1,In_Debt_Tenor*Months_In_Year/Months_Per_Period-SUM($J17:DR17)+1,DR97)*DR17</f>
        <v>0</v>
      </c>
      <c r="DS100" s="33" t="n">
        <f aca="false">PPMT($F99,1,In_Debt_Tenor*Months_In_Year/Months_Per_Period-SUM($J17:DS17)+1,DS97)*DS17</f>
        <v>0</v>
      </c>
      <c r="DT100" s="33" t="n">
        <f aca="false">PPMT($F99,1,In_Debt_Tenor*Months_In_Year/Months_Per_Period-SUM($J17:DT17)+1,DT97)*DT17</f>
        <v>0</v>
      </c>
      <c r="DU100" s="33" t="n">
        <f aca="false">PPMT($F99,1,In_Debt_Tenor*Months_In_Year/Months_Per_Period-SUM($J17:DU17)+1,DU97)*DU17</f>
        <v>0</v>
      </c>
      <c r="DV100" s="33" t="n">
        <f aca="false">PPMT($F99,1,In_Debt_Tenor*Months_In_Year/Months_Per_Period-SUM($J17:DV17)+1,DV97)*DV17</f>
        <v>0</v>
      </c>
      <c r="DW100" s="33" t="n">
        <f aca="false">PPMT($F99,1,In_Debt_Tenor*Months_In_Year/Months_Per_Period-SUM($J17:DW17)+1,DW97)*DW17</f>
        <v>0</v>
      </c>
      <c r="DX100" s="33" t="n">
        <f aca="false">PPMT($F99,1,In_Debt_Tenor*Months_In_Year/Months_Per_Period-SUM($J17:DX17)+1,DX97)*DX17</f>
        <v>0</v>
      </c>
      <c r="DY100" s="33" t="n">
        <f aca="false">PPMT($F99,1,In_Debt_Tenor*Months_In_Year/Months_Per_Period-SUM($J17:DY17)+1,DY97)*DY17</f>
        <v>0</v>
      </c>
      <c r="DZ100" s="33" t="n">
        <f aca="false">PPMT($F99,1,In_Debt_Tenor*Months_In_Year/Months_Per_Period-SUM($J17:DZ17)+1,DZ97)*DZ17</f>
        <v>0</v>
      </c>
      <c r="EA100" s="33" t="n">
        <f aca="false">PPMT($F99,1,In_Debt_Tenor*Months_In_Year/Months_Per_Period-SUM($J17:EA17)+1,EA97)*EA17</f>
        <v>0</v>
      </c>
      <c r="EB100" s="33" t="n">
        <f aca="false">PPMT($F99,1,In_Debt_Tenor*Months_In_Year/Months_Per_Period-SUM($J17:EB17)+1,EB97)*EB17</f>
        <v>0</v>
      </c>
      <c r="EC100" s="33" t="n">
        <f aca="false">PPMT($F99,1,In_Debt_Tenor*Months_In_Year/Months_Per_Period-SUM($J17:EC17)+1,EC97)*EC17</f>
        <v>0</v>
      </c>
      <c r="ED100" s="33" t="n">
        <f aca="false">PPMT($F99,1,In_Debt_Tenor*Months_In_Year/Months_Per_Period-SUM($J17:ED17)+1,ED97)*ED17</f>
        <v>0</v>
      </c>
      <c r="EE100" s="33" t="n">
        <f aca="false">PPMT($F99,1,In_Debt_Tenor*Months_In_Year/Months_Per_Period-SUM($J17:EE17)+1,EE97)*EE17</f>
        <v>0</v>
      </c>
      <c r="EF100" s="33" t="n">
        <f aca="false">PPMT($F99,1,In_Debt_Tenor*Months_In_Year/Months_Per_Period-SUM($J17:EF17)+1,EF97)*EF17</f>
        <v>0</v>
      </c>
      <c r="EG100" s="33" t="n">
        <f aca="false">PPMT($F99,1,In_Debt_Tenor*Months_In_Year/Months_Per_Period-SUM($J17:EG17)+1,EG97)*EG17</f>
        <v>0</v>
      </c>
      <c r="EH100" s="33" t="n">
        <f aca="false">PPMT($F99,1,In_Debt_Tenor*Months_In_Year/Months_Per_Period-SUM($J17:EH17)+1,EH97)*EH17</f>
        <v>0</v>
      </c>
      <c r="EI100" s="33" t="n">
        <f aca="false">PPMT($F99,1,In_Debt_Tenor*Months_In_Year/Months_Per_Period-SUM($J17:EI17)+1,EI97)*EI17</f>
        <v>0</v>
      </c>
      <c r="EJ100" s="33" t="n">
        <f aca="false">PPMT($F99,1,In_Debt_Tenor*Months_In_Year/Months_Per_Period-SUM($J17:EJ17)+1,EJ97)*EJ17</f>
        <v>0</v>
      </c>
      <c r="EK100" s="33" t="n">
        <f aca="false">PPMT($F99,1,In_Debt_Tenor*Months_In_Year/Months_Per_Period-SUM($J17:EK17)+1,EK97)*EK17</f>
        <v>0</v>
      </c>
      <c r="EL100" s="33" t="n">
        <f aca="false">PPMT($F99,1,In_Debt_Tenor*Months_In_Year/Months_Per_Period-SUM($J17:EL17)+1,EL97)*EL17</f>
        <v>0</v>
      </c>
      <c r="EM100" s="33" t="n">
        <f aca="false">PPMT($F99,1,In_Debt_Tenor*Months_In_Year/Months_Per_Period-SUM($J17:EM17)+1,EM97)*EM17</f>
        <v>0</v>
      </c>
      <c r="EN100" s="33" t="n">
        <f aca="false">PPMT($F99,1,In_Debt_Tenor*Months_In_Year/Months_Per_Period-SUM($J17:EN17)+1,EN97)*EN17</f>
        <v>0</v>
      </c>
      <c r="EO100" s="33" t="n">
        <f aca="false">PPMT($F99,1,In_Debt_Tenor*Months_In_Year/Months_Per_Period-SUM($J17:EO17)+1,EO97)*EO17</f>
        <v>0</v>
      </c>
      <c r="EP100" s="33" t="n">
        <f aca="false">PPMT($F99,1,In_Debt_Tenor*Months_In_Year/Months_Per_Period-SUM($J17:EP17)+1,EP97)*EP17</f>
        <v>0</v>
      </c>
      <c r="EQ100" s="33" t="n">
        <f aca="false">PPMT($F99,1,In_Debt_Tenor*Months_In_Year/Months_Per_Period-SUM($J17:EQ17)+1,EQ97)*EQ17</f>
        <v>0</v>
      </c>
      <c r="ER100" s="33" t="n">
        <f aca="false">PPMT($F99,1,In_Debt_Tenor*Months_In_Year/Months_Per_Period-SUM($J17:ER17)+1,ER97)*ER17</f>
        <v>0</v>
      </c>
      <c r="ES100" s="33" t="n">
        <f aca="false">PPMT($F99,1,In_Debt_Tenor*Months_In_Year/Months_Per_Period-SUM($J17:ES17)+1,ES97)*ES17</f>
        <v>0</v>
      </c>
      <c r="ET100" s="33" t="n">
        <f aca="false">PPMT($F99,1,In_Debt_Tenor*Months_In_Year/Months_Per_Period-SUM($J17:ET17)+1,ET97)*ET17</f>
        <v>0</v>
      </c>
    </row>
    <row r="101" customFormat="false" ht="15" hidden="false" customHeight="false" outlineLevel="0" collapsed="false">
      <c r="C101" s="30" t="s">
        <v>530</v>
      </c>
      <c r="D101" s="11" t="s">
        <v>247</v>
      </c>
      <c r="I101" s="54"/>
      <c r="J101" s="35" t="n">
        <f aca="false">SUM(J97:J100)</f>
        <v>0</v>
      </c>
      <c r="K101" s="35" t="n">
        <f aca="false">SUM(K97:K100)</f>
        <v>0</v>
      </c>
      <c r="L101" s="35" t="n">
        <f aca="false">SUM(L97:L100)</f>
        <v>0</v>
      </c>
      <c r="M101" s="35" t="n">
        <f aca="false">SUM(M97:M100)</f>
        <v>0</v>
      </c>
      <c r="N101" s="35" t="n">
        <f aca="false">SUM(N97:N100)</f>
        <v>0</v>
      </c>
      <c r="O101" s="35" t="n">
        <f aca="false">SUM(O97:O100)</f>
        <v>0</v>
      </c>
      <c r="P101" s="35" t="n">
        <f aca="false">SUM(P97:P100)</f>
        <v>0</v>
      </c>
      <c r="Q101" s="35" t="n">
        <f aca="false">SUM(Q97:Q100)</f>
        <v>0</v>
      </c>
      <c r="R101" s="35" t="n">
        <f aca="false">SUM(R97:R100)</f>
        <v>0</v>
      </c>
      <c r="S101" s="35" t="n">
        <f aca="false">SUM(S97:S100)</f>
        <v>0</v>
      </c>
      <c r="T101" s="35" t="n">
        <f aca="false">SUM(T97:T100)</f>
        <v>0</v>
      </c>
      <c r="U101" s="35" t="n">
        <f aca="false">SUM(U97:U100)</f>
        <v>0</v>
      </c>
      <c r="V101" s="35" t="n">
        <f aca="false">SUM(V97:V100)</f>
        <v>0</v>
      </c>
      <c r="W101" s="35" t="n">
        <f aca="false">SUM(W97:W100)</f>
        <v>11981.7564177174</v>
      </c>
      <c r="X101" s="35" t="n">
        <f aca="false">SUM(X97:X100)</f>
        <v>23852.8118250537</v>
      </c>
      <c r="Y101" s="35" t="n">
        <f aca="false">SUM(Y97:Y100)</f>
        <v>36002.491907783</v>
      </c>
      <c r="Z101" s="35" t="n">
        <f aca="false">SUM(Z97:Z100)</f>
        <v>48434.2794743477</v>
      </c>
      <c r="AA101" s="35" t="n">
        <f aca="false">SUM(AA97:AA100)</f>
        <v>61021.4643854944</v>
      </c>
      <c r="AB101" s="35" t="n">
        <f aca="false">SUM(AB97:AB100)</f>
        <v>73505.516142428</v>
      </c>
      <c r="AC101" s="35" t="n">
        <f aca="false">SUM(AC97:AC100)</f>
        <v>86275.8550291244</v>
      </c>
      <c r="AD101" s="35" t="n">
        <f aca="false">SUM(AD97:AD100)</f>
        <v>99336.0596347059</v>
      </c>
      <c r="AE101" s="35" t="n">
        <f aca="false">SUM(AE97:AE100)</f>
        <v>97406.8129044928</v>
      </c>
      <c r="AF101" s="35" t="n">
        <f aca="false">SUM(AF97:AF100)</f>
        <v>95453.450590152</v>
      </c>
      <c r="AG101" s="35" t="n">
        <f aca="false">SUM(AG97:AG100)</f>
        <v>93475.671246882</v>
      </c>
      <c r="AH101" s="35" t="n">
        <f aca="false">SUM(AH97:AH100)</f>
        <v>91473.1696618211</v>
      </c>
      <c r="AI101" s="35" t="n">
        <f aca="false">SUM(AI97:AI100)</f>
        <v>89445.636806947</v>
      </c>
      <c r="AJ101" s="35" t="n">
        <f aca="false">SUM(AJ97:AJ100)</f>
        <v>87392.7597913869</v>
      </c>
      <c r="AK101" s="35" t="n">
        <f aca="false">SUM(AK97:AK100)</f>
        <v>85314.2218131323</v>
      </c>
      <c r="AL101" s="35" t="n">
        <f aca="false">SUM(AL97:AL100)</f>
        <v>83209.7021101496</v>
      </c>
      <c r="AM101" s="35" t="n">
        <f aca="false">SUM(AM97:AM100)</f>
        <v>81078.8759108795</v>
      </c>
      <c r="AN101" s="35" t="n">
        <f aca="false">SUM(AN97:AN100)</f>
        <v>78921.4143841186</v>
      </c>
      <c r="AO101" s="35" t="n">
        <f aca="false">SUM(AO97:AO100)</f>
        <v>76736.9845882732</v>
      </c>
      <c r="AP101" s="35" t="n">
        <f aca="false">SUM(AP97:AP100)</f>
        <v>74525.2494199797</v>
      </c>
      <c r="AQ101" s="35" t="n">
        <f aca="false">SUM(AQ97:AQ100)</f>
        <v>72285.8675620825</v>
      </c>
      <c r="AR101" s="35" t="n">
        <f aca="false">SUM(AR97:AR100)</f>
        <v>70018.4934309616</v>
      </c>
      <c r="AS101" s="35" t="n">
        <f aca="false">SUM(AS97:AS100)</f>
        <v>67722.7771232017</v>
      </c>
      <c r="AT101" s="35" t="n">
        <f aca="false">SUM(AT97:AT100)</f>
        <v>65398.3643615948</v>
      </c>
      <c r="AU101" s="35" t="n">
        <f aca="false">SUM(AU97:AU100)</f>
        <v>63044.8964404679</v>
      </c>
      <c r="AV101" s="35" t="n">
        <f aca="false">SUM(AV97:AV100)</f>
        <v>60662.0101703268</v>
      </c>
      <c r="AW101" s="35" t="n">
        <f aca="false">SUM(AW97:AW100)</f>
        <v>58249.337821809</v>
      </c>
      <c r="AX101" s="35" t="n">
        <f aca="false">SUM(AX97:AX100)</f>
        <v>55806.5070689347</v>
      </c>
      <c r="AY101" s="35" t="n">
        <f aca="false">SUM(AY97:AY100)</f>
        <v>53333.1409316494</v>
      </c>
      <c r="AZ101" s="35" t="n">
        <f aca="false">SUM(AZ97:AZ100)</f>
        <v>50828.8577176481</v>
      </c>
      <c r="BA101" s="35" t="n">
        <f aca="false">SUM(BA97:BA100)</f>
        <v>48293.2709634718</v>
      </c>
      <c r="BB101" s="35" t="n">
        <f aca="false">SUM(BB97:BB100)</f>
        <v>45725.9893748683</v>
      </c>
      <c r="BC101" s="35" t="n">
        <f aca="false">SUM(BC97:BC100)</f>
        <v>43126.6167664073</v>
      </c>
      <c r="BD101" s="35" t="n">
        <f aca="false">SUM(BD97:BD100)</f>
        <v>40494.7520003404</v>
      </c>
      <c r="BE101" s="35" t="n">
        <f aca="false">SUM(BE97:BE100)</f>
        <v>37829.9889246978</v>
      </c>
      <c r="BF101" s="35" t="n">
        <f aca="false">SUM(BF97:BF100)</f>
        <v>35131.9163106096</v>
      </c>
      <c r="BG101" s="35" t="n">
        <f aca="false">SUM(BG97:BG100)</f>
        <v>32400.1177888453</v>
      </c>
      <c r="BH101" s="35" t="n">
        <f aca="false">SUM(BH97:BH100)</f>
        <v>29634.1717855589</v>
      </c>
      <c r="BI101" s="35" t="n">
        <f aca="false">SUM(BI97:BI100)</f>
        <v>26833.6514572315</v>
      </c>
      <c r="BJ101" s="35" t="n">
        <f aca="false">SUM(BJ97:BJ100)</f>
        <v>23998.1246248</v>
      </c>
      <c r="BK101" s="35" t="n">
        <f aca="false">SUM(BK97:BK100)</f>
        <v>21127.1537069631</v>
      </c>
      <c r="BL101" s="35" t="n">
        <f aca="false">SUM(BL97:BL100)</f>
        <v>18220.2956526532</v>
      </c>
      <c r="BM101" s="35" t="n">
        <f aca="false">SUM(BM97:BM100)</f>
        <v>15277.1018726645</v>
      </c>
      <c r="BN101" s="35" t="n">
        <f aca="false">SUM(BN97:BN100)</f>
        <v>12297.1181704259</v>
      </c>
      <c r="BO101" s="35" t="n">
        <f aca="false">SUM(BO97:BO100)</f>
        <v>9279.88467190926</v>
      </c>
      <c r="BP101" s="35" t="n">
        <f aca="false">SUM(BP97:BP100)</f>
        <v>6224.93575466122</v>
      </c>
      <c r="BQ101" s="35" t="n">
        <f aca="false">SUM(BQ97:BQ100)</f>
        <v>3131.79997594757</v>
      </c>
      <c r="BR101" s="35" t="n">
        <f aca="false">SUM(BR97:BR100)</f>
        <v>0</v>
      </c>
      <c r="BS101" s="35" t="n">
        <f aca="false">SUM(BS97:BS100)</f>
        <v>0</v>
      </c>
      <c r="BT101" s="35" t="n">
        <f aca="false">SUM(BT97:BT100)</f>
        <v>0</v>
      </c>
      <c r="BU101" s="35" t="n">
        <f aca="false">SUM(BU97:BU100)</f>
        <v>0</v>
      </c>
      <c r="BV101" s="35" t="n">
        <f aca="false">SUM(BV97:BV100)</f>
        <v>0</v>
      </c>
      <c r="BW101" s="35" t="n">
        <f aca="false">SUM(BW97:BW100)</f>
        <v>0</v>
      </c>
      <c r="BX101" s="35" t="n">
        <f aca="false">SUM(BX97:BX100)</f>
        <v>0</v>
      </c>
      <c r="BY101" s="35" t="n">
        <f aca="false">SUM(BY97:BY100)</f>
        <v>0</v>
      </c>
      <c r="BZ101" s="35" t="n">
        <f aca="false">SUM(BZ97:BZ100)</f>
        <v>0</v>
      </c>
      <c r="CA101" s="35" t="n">
        <f aca="false">SUM(CA97:CA100)</f>
        <v>0</v>
      </c>
      <c r="CB101" s="35" t="n">
        <f aca="false">SUM(CB97:CB100)</f>
        <v>0</v>
      </c>
      <c r="CC101" s="35" t="n">
        <f aca="false">SUM(CC97:CC100)</f>
        <v>0</v>
      </c>
      <c r="CD101" s="35" t="n">
        <f aca="false">SUM(CD97:CD100)</f>
        <v>0</v>
      </c>
      <c r="CE101" s="35" t="n">
        <f aca="false">SUM(CE97:CE100)</f>
        <v>0</v>
      </c>
      <c r="CF101" s="35" t="n">
        <f aca="false">SUM(CF97:CF100)</f>
        <v>0</v>
      </c>
      <c r="CG101" s="35" t="n">
        <f aca="false">SUM(CG97:CG100)</f>
        <v>0</v>
      </c>
      <c r="CH101" s="35" t="n">
        <f aca="false">SUM(CH97:CH100)</f>
        <v>0</v>
      </c>
      <c r="CI101" s="35" t="n">
        <f aca="false">SUM(CI97:CI100)</f>
        <v>0</v>
      </c>
      <c r="CJ101" s="35" t="n">
        <f aca="false">SUM(CJ97:CJ100)</f>
        <v>0</v>
      </c>
      <c r="CK101" s="35" t="n">
        <f aca="false">SUM(CK97:CK100)</f>
        <v>0</v>
      </c>
      <c r="CL101" s="35" t="n">
        <f aca="false">SUM(CL97:CL100)</f>
        <v>0</v>
      </c>
      <c r="CM101" s="35" t="n">
        <f aca="false">SUM(CM97:CM100)</f>
        <v>0</v>
      </c>
      <c r="CN101" s="35" t="n">
        <f aca="false">SUM(CN97:CN100)</f>
        <v>0</v>
      </c>
      <c r="CO101" s="35" t="n">
        <f aca="false">SUM(CO97:CO100)</f>
        <v>0</v>
      </c>
      <c r="CP101" s="35" t="n">
        <f aca="false">SUM(CP97:CP100)</f>
        <v>0</v>
      </c>
      <c r="CQ101" s="35" t="n">
        <f aca="false">SUM(CQ97:CQ100)</f>
        <v>0</v>
      </c>
      <c r="CR101" s="35" t="n">
        <f aca="false">SUM(CR97:CR100)</f>
        <v>0</v>
      </c>
      <c r="CS101" s="35" t="n">
        <f aca="false">SUM(CS97:CS100)</f>
        <v>0</v>
      </c>
      <c r="CT101" s="35" t="n">
        <f aca="false">SUM(CT97:CT100)</f>
        <v>0</v>
      </c>
      <c r="CU101" s="35" t="n">
        <f aca="false">SUM(CU97:CU100)</f>
        <v>0</v>
      </c>
      <c r="CV101" s="35" t="n">
        <f aca="false">SUM(CV97:CV100)</f>
        <v>0</v>
      </c>
      <c r="CW101" s="35" t="n">
        <f aca="false">SUM(CW97:CW100)</f>
        <v>0</v>
      </c>
      <c r="CX101" s="35" t="n">
        <f aca="false">SUM(CX97:CX100)</f>
        <v>0</v>
      </c>
      <c r="CY101" s="35" t="n">
        <f aca="false">SUM(CY97:CY100)</f>
        <v>0</v>
      </c>
      <c r="CZ101" s="35" t="n">
        <f aca="false">SUM(CZ97:CZ100)</f>
        <v>0</v>
      </c>
      <c r="DA101" s="35" t="n">
        <f aca="false">SUM(DA97:DA100)</f>
        <v>0</v>
      </c>
      <c r="DB101" s="35" t="n">
        <f aca="false">SUM(DB97:DB100)</f>
        <v>0</v>
      </c>
      <c r="DC101" s="35" t="n">
        <f aca="false">SUM(DC97:DC100)</f>
        <v>0</v>
      </c>
      <c r="DD101" s="35" t="n">
        <f aca="false">SUM(DD97:DD100)</f>
        <v>0</v>
      </c>
      <c r="DE101" s="35" t="n">
        <f aca="false">SUM(DE97:DE100)</f>
        <v>0</v>
      </c>
      <c r="DF101" s="35" t="n">
        <f aca="false">SUM(DF97:DF100)</f>
        <v>0</v>
      </c>
      <c r="DG101" s="35" t="n">
        <f aca="false">SUM(DG97:DG100)</f>
        <v>0</v>
      </c>
      <c r="DH101" s="35" t="n">
        <f aca="false">SUM(DH97:DH100)</f>
        <v>0</v>
      </c>
      <c r="DI101" s="35" t="n">
        <f aca="false">SUM(DI97:DI100)</f>
        <v>0</v>
      </c>
      <c r="DJ101" s="35" t="n">
        <f aca="false">SUM(DJ97:DJ100)</f>
        <v>0</v>
      </c>
      <c r="DK101" s="35" t="n">
        <f aca="false">SUM(DK97:DK100)</f>
        <v>0</v>
      </c>
      <c r="DL101" s="35" t="n">
        <f aca="false">SUM(DL97:DL100)</f>
        <v>0</v>
      </c>
      <c r="DM101" s="35" t="n">
        <f aca="false">SUM(DM97:DM100)</f>
        <v>0</v>
      </c>
      <c r="DN101" s="35" t="n">
        <f aca="false">SUM(DN97:DN100)</f>
        <v>0</v>
      </c>
      <c r="DO101" s="35" t="n">
        <f aca="false">SUM(DO97:DO100)</f>
        <v>0</v>
      </c>
      <c r="DP101" s="35" t="n">
        <f aca="false">SUM(DP97:DP100)</f>
        <v>0</v>
      </c>
      <c r="DQ101" s="35" t="n">
        <f aca="false">SUM(DQ97:DQ100)</f>
        <v>0</v>
      </c>
      <c r="DR101" s="35" t="n">
        <f aca="false">SUM(DR97:DR100)</f>
        <v>0</v>
      </c>
      <c r="DS101" s="35" t="n">
        <f aca="false">SUM(DS97:DS100)</f>
        <v>0</v>
      </c>
      <c r="DT101" s="35" t="n">
        <f aca="false">SUM(DT97:DT100)</f>
        <v>0</v>
      </c>
      <c r="DU101" s="35" t="n">
        <f aca="false">SUM(DU97:DU100)</f>
        <v>0</v>
      </c>
      <c r="DV101" s="35" t="n">
        <f aca="false">SUM(DV97:DV100)</f>
        <v>0</v>
      </c>
      <c r="DW101" s="35" t="n">
        <f aca="false">SUM(DW97:DW100)</f>
        <v>0</v>
      </c>
      <c r="DX101" s="35" t="n">
        <f aca="false">SUM(DX97:DX100)</f>
        <v>0</v>
      </c>
      <c r="DY101" s="35" t="n">
        <f aca="false">SUM(DY97:DY100)</f>
        <v>0</v>
      </c>
      <c r="DZ101" s="35" t="n">
        <f aca="false">SUM(DZ97:DZ100)</f>
        <v>0</v>
      </c>
      <c r="EA101" s="35" t="n">
        <f aca="false">SUM(EA97:EA100)</f>
        <v>0</v>
      </c>
      <c r="EB101" s="35" t="n">
        <f aca="false">SUM(EB97:EB100)</f>
        <v>0</v>
      </c>
      <c r="EC101" s="35" t="n">
        <f aca="false">SUM(EC97:EC100)</f>
        <v>0</v>
      </c>
      <c r="ED101" s="35" t="n">
        <f aca="false">SUM(ED97:ED100)</f>
        <v>0</v>
      </c>
      <c r="EE101" s="35" t="n">
        <f aca="false">SUM(EE97:EE100)</f>
        <v>0</v>
      </c>
      <c r="EF101" s="35" t="n">
        <f aca="false">SUM(EF97:EF100)</f>
        <v>0</v>
      </c>
      <c r="EG101" s="35" t="n">
        <f aca="false">SUM(EG97:EG100)</f>
        <v>0</v>
      </c>
      <c r="EH101" s="35" t="n">
        <f aca="false">SUM(EH97:EH100)</f>
        <v>0</v>
      </c>
      <c r="EI101" s="35" t="n">
        <f aca="false">SUM(EI97:EI100)</f>
        <v>0</v>
      </c>
      <c r="EJ101" s="35" t="n">
        <f aca="false">SUM(EJ97:EJ100)</f>
        <v>0</v>
      </c>
      <c r="EK101" s="35" t="n">
        <f aca="false">SUM(EK97:EK100)</f>
        <v>0</v>
      </c>
      <c r="EL101" s="35" t="n">
        <f aca="false">SUM(EL97:EL100)</f>
        <v>0</v>
      </c>
      <c r="EM101" s="35" t="n">
        <f aca="false">SUM(EM97:EM100)</f>
        <v>0</v>
      </c>
      <c r="EN101" s="35" t="n">
        <f aca="false">SUM(EN97:EN100)</f>
        <v>0</v>
      </c>
      <c r="EO101" s="35" t="n">
        <f aca="false">SUM(EO97:EO100)</f>
        <v>0</v>
      </c>
      <c r="EP101" s="35" t="n">
        <f aca="false">SUM(EP97:EP100)</f>
        <v>0</v>
      </c>
      <c r="EQ101" s="35" t="n">
        <f aca="false">SUM(EQ97:EQ100)</f>
        <v>0</v>
      </c>
      <c r="ER101" s="35" t="n">
        <f aca="false">SUM(ER97:ER100)</f>
        <v>0</v>
      </c>
      <c r="ES101" s="35" t="n">
        <f aca="false">SUM(ES97:ES100)</f>
        <v>0</v>
      </c>
      <c r="ET101" s="35" t="n">
        <f aca="false">SUM(ET97:ET100)</f>
        <v>0</v>
      </c>
    </row>
    <row r="102" customFormat="false" ht="15" hidden="false" customHeight="false" outlineLevel="0" collapsed="false">
      <c r="C102" s="0" t="s">
        <v>551</v>
      </c>
      <c r="D102" s="11" t="s">
        <v>247</v>
      </c>
      <c r="I102" s="33" t="n">
        <f aca="false">SUM(J102:ET102)</f>
        <v>-27501.8393911707</v>
      </c>
      <c r="J102" s="33" t="n">
        <f aca="false">-J97*$F99*(J$4&gt;In_COD)</f>
        <v>-0</v>
      </c>
      <c r="K102" s="33" t="n">
        <f aca="false">-K97*$F99*(K$4&gt;In_COD)</f>
        <v>-0</v>
      </c>
      <c r="L102" s="33" t="n">
        <f aca="false">-L97*$F99*(L$4&gt;In_COD)</f>
        <v>-0</v>
      </c>
      <c r="M102" s="33" t="n">
        <f aca="false">-M97*$F99*(M$4&gt;In_COD)</f>
        <v>-0</v>
      </c>
      <c r="N102" s="33" t="n">
        <f aca="false">-N97*$F99*(N$4&gt;In_COD)</f>
        <v>-0</v>
      </c>
      <c r="O102" s="33" t="n">
        <f aca="false">-O97*$F99*(O$4&gt;In_COD)</f>
        <v>-0</v>
      </c>
      <c r="P102" s="33" t="n">
        <f aca="false">-P97*$F99*(P$4&gt;In_COD)</f>
        <v>-0</v>
      </c>
      <c r="Q102" s="33" t="n">
        <f aca="false">-Q97*$F99*(Q$4&gt;In_COD)</f>
        <v>-0</v>
      </c>
      <c r="R102" s="33" t="n">
        <f aca="false">-R97*$F99*(R$4&gt;In_COD)</f>
        <v>-0</v>
      </c>
      <c r="S102" s="33" t="n">
        <f aca="false">-S97*$F99*(S$4&gt;In_COD)</f>
        <v>-0</v>
      </c>
      <c r="T102" s="33" t="n">
        <f aca="false">-T97*$F99*(T$4&gt;In_COD)</f>
        <v>-0</v>
      </c>
      <c r="U102" s="33" t="n">
        <f aca="false">-U97*$F99*(U$4&gt;In_COD)</f>
        <v>-0</v>
      </c>
      <c r="V102" s="33" t="n">
        <f aca="false">-V97*$F99*(V$4&gt;In_COD)</f>
        <v>-0</v>
      </c>
      <c r="W102" s="33" t="n">
        <f aca="false">-W97*$F99*(W$4&gt;In_COD)</f>
        <v>-0</v>
      </c>
      <c r="X102" s="33" t="n">
        <f aca="false">-X97*$F99*(X$4&gt;In_COD)</f>
        <v>-0</v>
      </c>
      <c r="Y102" s="33" t="n">
        <f aca="false">-Y97*$F99*(Y$4&gt;In_COD)</f>
        <v>-0</v>
      </c>
      <c r="Z102" s="33" t="n">
        <f aca="false">-Z97*$F99*(Z$4&gt;In_COD)</f>
        <v>-0</v>
      </c>
      <c r="AA102" s="33" t="n">
        <f aca="false">-AA97*$F99*(AA$4&gt;In_COD)</f>
        <v>-0</v>
      </c>
      <c r="AB102" s="33" t="n">
        <f aca="false">-AB97*$F99*(AB$4&gt;In_COD)</f>
        <v>-0</v>
      </c>
      <c r="AC102" s="33" t="n">
        <f aca="false">-AC97*$F99*(AC$4&gt;In_COD)</f>
        <v>-0</v>
      </c>
      <c r="AD102" s="33" t="n">
        <f aca="false">-AD97*$F99*(AD$4&gt;In_COD)</f>
        <v>-0</v>
      </c>
      <c r="AE102" s="33" t="n">
        <f aca="false">-AE97*$F99*(AE$4&gt;In_COD)</f>
        <v>-1241.70074543382</v>
      </c>
      <c r="AF102" s="33" t="n">
        <f aca="false">-AF97*$F99*(AF$4&gt;In_COD)</f>
        <v>-1217.58516130616</v>
      </c>
      <c r="AG102" s="33" t="n">
        <f aca="false">-AG97*$F99*(AG$4&gt;In_COD)</f>
        <v>-1193.1681323769</v>
      </c>
      <c r="AH102" s="33" t="n">
        <f aca="false">-AH97*$F99*(AH$4&gt;In_COD)</f>
        <v>-1168.44589058603</v>
      </c>
      <c r="AI102" s="33" t="n">
        <f aca="false">-AI97*$F99*(AI$4&gt;In_COD)</f>
        <v>-1143.41462077276</v>
      </c>
      <c r="AJ102" s="33" t="n">
        <f aca="false">-AJ97*$F99*(AJ$4&gt;In_COD)</f>
        <v>-1118.07046008684</v>
      </c>
      <c r="AK102" s="33" t="n">
        <f aca="false">-AK97*$F99*(AK$4&gt;In_COD)</f>
        <v>-1092.40949739234</v>
      </c>
      <c r="AL102" s="33" t="n">
        <f aca="false">-AL97*$F99*(AL$4&gt;In_COD)</f>
        <v>-1066.42777266415</v>
      </c>
      <c r="AM102" s="33" t="n">
        <f aca="false">-AM97*$F99*(AM$4&gt;In_COD)</f>
        <v>-1040.12127637687</v>
      </c>
      <c r="AN102" s="33" t="n">
        <f aca="false">-AN97*$F99*(AN$4&gt;In_COD)</f>
        <v>-1013.48594888599</v>
      </c>
      <c r="AO102" s="33" t="n">
        <f aca="false">-AO97*$F99*(AO$4&gt;In_COD)</f>
        <v>-986.517679801483</v>
      </c>
      <c r="AP102" s="33" t="n">
        <f aca="false">-AP97*$F99*(AP$4&gt;In_COD)</f>
        <v>-959.212307353415</v>
      </c>
      <c r="AQ102" s="33" t="n">
        <f aca="false">-AQ97*$F99*(AQ$4&gt;In_COD)</f>
        <v>-931.565617749746</v>
      </c>
      <c r="AR102" s="33" t="n">
        <f aca="false">-AR97*$F99*(AR$4&gt;In_COD)</f>
        <v>-903.573344526032</v>
      </c>
      <c r="AS102" s="33" t="n">
        <f aca="false">-AS97*$F99*(AS$4&gt;In_COD)</f>
        <v>-875.23116788702</v>
      </c>
      <c r="AT102" s="33" t="n">
        <f aca="false">-AT97*$F99*(AT$4&gt;In_COD)</f>
        <v>-846.534714040022</v>
      </c>
      <c r="AU102" s="33" t="n">
        <f aca="false">-AU97*$F99*(AU$4&gt;In_COD)</f>
        <v>-817.479554519936</v>
      </c>
      <c r="AV102" s="33" t="n">
        <f aca="false">-AV97*$F99*(AV$4&gt;In_COD)</f>
        <v>-788.061205505848</v>
      </c>
      <c r="AW102" s="33" t="n">
        <f aca="false">-AW97*$F99*(AW$4&gt;In_COD)</f>
        <v>-758.275127129085</v>
      </c>
      <c r="AX102" s="33" t="n">
        <f aca="false">-AX97*$F99*(AX$4&gt;In_COD)</f>
        <v>-728.116722772612</v>
      </c>
      <c r="AY102" s="33" t="n">
        <f aca="false">-AY97*$F99*(AY$4&gt;In_COD)</f>
        <v>-697.581338361684</v>
      </c>
      <c r="AZ102" s="33" t="n">
        <f aca="false">-AZ97*$F99*(AZ$4&gt;In_COD)</f>
        <v>-666.664261645618</v>
      </c>
      <c r="BA102" s="33" t="n">
        <f aca="false">-BA97*$F99*(BA$4&gt;In_COD)</f>
        <v>-635.360721470602</v>
      </c>
      <c r="BB102" s="33" t="n">
        <f aca="false">-BB97*$F99*(BB$4&gt;In_COD)</f>
        <v>-603.665887043398</v>
      </c>
      <c r="BC102" s="33" t="n">
        <f aca="false">-BC97*$F99*(BC$4&gt;In_COD)</f>
        <v>-571.574867185854</v>
      </c>
      <c r="BD102" s="33" t="n">
        <f aca="false">-BD97*$F99*(BD$4&gt;In_COD)</f>
        <v>-539.082709580091</v>
      </c>
      <c r="BE102" s="33" t="n">
        <f aca="false">-BE97*$F99*(BE$4&gt;In_COD)</f>
        <v>-506.184400004255</v>
      </c>
      <c r="BF102" s="33" t="n">
        <f aca="false">-BF97*$F99*(BF$4&gt;In_COD)</f>
        <v>-472.874861558722</v>
      </c>
      <c r="BG102" s="33" t="n">
        <f aca="false">-BG97*$F99*(BG$4&gt;In_COD)</f>
        <v>-439.14895388262</v>
      </c>
      <c r="BH102" s="33" t="n">
        <f aca="false">-BH97*$F99*(BH$4&gt;In_COD)</f>
        <v>-405.001472360566</v>
      </c>
      <c r="BI102" s="33" t="n">
        <f aca="false">-BI97*$F99*(BI$4&gt;In_COD)</f>
        <v>-370.427147319487</v>
      </c>
      <c r="BJ102" s="33" t="n">
        <f aca="false">-BJ97*$F99*(BJ$4&gt;In_COD)</f>
        <v>-335.420643215394</v>
      </c>
      <c r="BK102" s="33" t="n">
        <f aca="false">-BK97*$F99*(BK$4&gt;In_COD)</f>
        <v>-299.97655781</v>
      </c>
      <c r="BL102" s="33" t="n">
        <f aca="false">-BL97*$F99*(BL$4&gt;In_COD)</f>
        <v>-264.089421337039</v>
      </c>
      <c r="BM102" s="33" t="n">
        <f aca="false">-BM97*$F99*(BM$4&gt;In_COD)</f>
        <v>-227.753695658165</v>
      </c>
      <c r="BN102" s="33" t="n">
        <f aca="false">-BN97*$F99*(BN$4&gt;In_COD)</f>
        <v>-190.963773408306</v>
      </c>
      <c r="BO102" s="33" t="n">
        <f aca="false">-BO97*$F99*(BO$4&gt;In_COD)</f>
        <v>-153.713977130323</v>
      </c>
      <c r="BP102" s="33" t="n">
        <f aca="false">-BP97*$F99*(BP$4&gt;In_COD)</f>
        <v>-115.998558398866</v>
      </c>
      <c r="BQ102" s="33" t="n">
        <f aca="false">-BQ97*$F99*(BQ$4&gt;In_COD)</f>
        <v>-77.8116969332652</v>
      </c>
      <c r="BR102" s="33" t="n">
        <f aca="false">-BR97*$F99*(BR$4&gt;In_COD)</f>
        <v>-39.1474996993446</v>
      </c>
      <c r="BS102" s="33" t="n">
        <f aca="false">-BS97*$F99*(BS$4&gt;In_COD)</f>
        <v>-0</v>
      </c>
      <c r="BT102" s="33" t="n">
        <f aca="false">-BT97*$F99*(BT$4&gt;In_COD)</f>
        <v>-0</v>
      </c>
      <c r="BU102" s="33" t="n">
        <f aca="false">-BU97*$F99*(BU$4&gt;In_COD)</f>
        <v>-0</v>
      </c>
      <c r="BV102" s="33" t="n">
        <f aca="false">-BV97*$F99*(BV$4&gt;In_COD)</f>
        <v>-0</v>
      </c>
      <c r="BW102" s="33" t="n">
        <f aca="false">-BW97*$F99*(BW$4&gt;In_COD)</f>
        <v>-0</v>
      </c>
      <c r="BX102" s="33" t="n">
        <f aca="false">-BX97*$F99*(BX$4&gt;In_COD)</f>
        <v>-0</v>
      </c>
      <c r="BY102" s="33" t="n">
        <f aca="false">-BY97*$F99*(BY$4&gt;In_COD)</f>
        <v>-0</v>
      </c>
      <c r="BZ102" s="33" t="n">
        <f aca="false">-BZ97*$F99*(BZ$4&gt;In_COD)</f>
        <v>-0</v>
      </c>
      <c r="CA102" s="33" t="n">
        <f aca="false">-CA97*$F99*(CA$4&gt;In_COD)</f>
        <v>-0</v>
      </c>
      <c r="CB102" s="33" t="n">
        <f aca="false">-CB97*$F99*(CB$4&gt;In_COD)</f>
        <v>-0</v>
      </c>
      <c r="CC102" s="33" t="n">
        <f aca="false">-CC97*$F99*(CC$4&gt;In_COD)</f>
        <v>-0</v>
      </c>
      <c r="CD102" s="33" t="n">
        <f aca="false">-CD97*$F99*(CD$4&gt;In_COD)</f>
        <v>-0</v>
      </c>
      <c r="CE102" s="33" t="n">
        <f aca="false">-CE97*$F99*(CE$4&gt;In_COD)</f>
        <v>-0</v>
      </c>
      <c r="CF102" s="33" t="n">
        <f aca="false">-CF97*$F99*(CF$4&gt;In_COD)</f>
        <v>-0</v>
      </c>
      <c r="CG102" s="33" t="n">
        <f aca="false">-CG97*$F99*(CG$4&gt;In_COD)</f>
        <v>-0</v>
      </c>
      <c r="CH102" s="33" t="n">
        <f aca="false">-CH97*$F99*(CH$4&gt;In_COD)</f>
        <v>-0</v>
      </c>
      <c r="CI102" s="33" t="n">
        <f aca="false">-CI97*$F99*(CI$4&gt;In_COD)</f>
        <v>-0</v>
      </c>
      <c r="CJ102" s="33" t="n">
        <f aca="false">-CJ97*$F99*(CJ$4&gt;In_COD)</f>
        <v>-0</v>
      </c>
      <c r="CK102" s="33" t="n">
        <f aca="false">-CK97*$F99*(CK$4&gt;In_COD)</f>
        <v>-0</v>
      </c>
      <c r="CL102" s="33" t="n">
        <f aca="false">-CL97*$F99*(CL$4&gt;In_COD)</f>
        <v>-0</v>
      </c>
      <c r="CM102" s="33" t="n">
        <f aca="false">-CM97*$F99*(CM$4&gt;In_COD)</f>
        <v>-0</v>
      </c>
      <c r="CN102" s="33" t="n">
        <f aca="false">-CN97*$F99*(CN$4&gt;In_COD)</f>
        <v>-0</v>
      </c>
      <c r="CO102" s="33" t="n">
        <f aca="false">-CO97*$F99*(CO$4&gt;In_COD)</f>
        <v>-0</v>
      </c>
      <c r="CP102" s="33" t="n">
        <f aca="false">-CP97*$F99*(CP$4&gt;In_COD)</f>
        <v>-0</v>
      </c>
      <c r="CQ102" s="33" t="n">
        <f aca="false">-CQ97*$F99*(CQ$4&gt;In_COD)</f>
        <v>-0</v>
      </c>
      <c r="CR102" s="33" t="n">
        <f aca="false">-CR97*$F99*(CR$4&gt;In_COD)</f>
        <v>-0</v>
      </c>
      <c r="CS102" s="33" t="n">
        <f aca="false">-CS97*$F99*(CS$4&gt;In_COD)</f>
        <v>-0</v>
      </c>
      <c r="CT102" s="33" t="n">
        <f aca="false">-CT97*$F99*(CT$4&gt;In_COD)</f>
        <v>-0</v>
      </c>
      <c r="CU102" s="33" t="n">
        <f aca="false">-CU97*$F99*(CU$4&gt;In_COD)</f>
        <v>-0</v>
      </c>
      <c r="CV102" s="33" t="n">
        <f aca="false">-CV97*$F99*(CV$4&gt;In_COD)</f>
        <v>-0</v>
      </c>
      <c r="CW102" s="33" t="n">
        <f aca="false">-CW97*$F99*(CW$4&gt;In_COD)</f>
        <v>-0</v>
      </c>
      <c r="CX102" s="33" t="n">
        <f aca="false">-CX97*$F99*(CX$4&gt;In_COD)</f>
        <v>-0</v>
      </c>
      <c r="CY102" s="33" t="n">
        <f aca="false">-CY97*$F99*(CY$4&gt;In_COD)</f>
        <v>-0</v>
      </c>
      <c r="CZ102" s="33" t="n">
        <f aca="false">-CZ97*$F99*(CZ$4&gt;In_COD)</f>
        <v>-0</v>
      </c>
      <c r="DA102" s="33" t="n">
        <f aca="false">-DA97*$F99*(DA$4&gt;In_COD)</f>
        <v>-0</v>
      </c>
      <c r="DB102" s="33" t="n">
        <f aca="false">-DB97*$F99*(DB$4&gt;In_COD)</f>
        <v>-0</v>
      </c>
      <c r="DC102" s="33" t="n">
        <f aca="false">-DC97*$F99*(DC$4&gt;In_COD)</f>
        <v>-0</v>
      </c>
      <c r="DD102" s="33" t="n">
        <f aca="false">-DD97*$F99*(DD$4&gt;In_COD)</f>
        <v>-0</v>
      </c>
      <c r="DE102" s="33" t="n">
        <f aca="false">-DE97*$F99*(DE$4&gt;In_COD)</f>
        <v>-0</v>
      </c>
      <c r="DF102" s="33" t="n">
        <f aca="false">-DF97*$F99*(DF$4&gt;In_COD)</f>
        <v>-0</v>
      </c>
      <c r="DG102" s="33" t="n">
        <f aca="false">-DG97*$F99*(DG$4&gt;In_COD)</f>
        <v>-0</v>
      </c>
      <c r="DH102" s="33" t="n">
        <f aca="false">-DH97*$F99*(DH$4&gt;In_COD)</f>
        <v>-0</v>
      </c>
      <c r="DI102" s="33" t="n">
        <f aca="false">-DI97*$F99*(DI$4&gt;In_COD)</f>
        <v>-0</v>
      </c>
      <c r="DJ102" s="33" t="n">
        <f aca="false">-DJ97*$F99*(DJ$4&gt;In_COD)</f>
        <v>-0</v>
      </c>
      <c r="DK102" s="33" t="n">
        <f aca="false">-DK97*$F99*(DK$4&gt;In_COD)</f>
        <v>-0</v>
      </c>
      <c r="DL102" s="33" t="n">
        <f aca="false">-DL97*$F99*(DL$4&gt;In_COD)</f>
        <v>-0</v>
      </c>
      <c r="DM102" s="33" t="n">
        <f aca="false">-DM97*$F99*(DM$4&gt;In_COD)</f>
        <v>-0</v>
      </c>
      <c r="DN102" s="33" t="n">
        <f aca="false">-DN97*$F99*(DN$4&gt;In_COD)</f>
        <v>-0</v>
      </c>
      <c r="DO102" s="33" t="n">
        <f aca="false">-DO97*$F99*(DO$4&gt;In_COD)</f>
        <v>-0</v>
      </c>
      <c r="DP102" s="33" t="n">
        <f aca="false">-DP97*$F99*(DP$4&gt;In_COD)</f>
        <v>-0</v>
      </c>
      <c r="DQ102" s="33" t="n">
        <f aca="false">-DQ97*$F99*(DQ$4&gt;In_COD)</f>
        <v>-0</v>
      </c>
      <c r="DR102" s="33" t="n">
        <f aca="false">-DR97*$F99*(DR$4&gt;In_COD)</f>
        <v>-0</v>
      </c>
      <c r="DS102" s="33" t="n">
        <f aca="false">-DS97*$F99*(DS$4&gt;In_COD)</f>
        <v>-0</v>
      </c>
      <c r="DT102" s="33" t="n">
        <f aca="false">-DT97*$F99*(DT$4&gt;In_COD)</f>
        <v>-0</v>
      </c>
      <c r="DU102" s="33" t="n">
        <f aca="false">-DU97*$F99*(DU$4&gt;In_COD)</f>
        <v>-0</v>
      </c>
      <c r="DV102" s="33" t="n">
        <f aca="false">-DV97*$F99*(DV$4&gt;In_COD)</f>
        <v>-0</v>
      </c>
      <c r="DW102" s="33" t="n">
        <f aca="false">-DW97*$F99*(DW$4&gt;In_COD)</f>
        <v>-0</v>
      </c>
      <c r="DX102" s="33" t="n">
        <f aca="false">-DX97*$F99*(DX$4&gt;In_COD)</f>
        <v>-0</v>
      </c>
      <c r="DY102" s="33" t="n">
        <f aca="false">-DY97*$F99*(DY$4&gt;In_COD)</f>
        <v>-0</v>
      </c>
      <c r="DZ102" s="33" t="n">
        <f aca="false">-DZ97*$F99*(DZ$4&gt;In_COD)</f>
        <v>-0</v>
      </c>
      <c r="EA102" s="33" t="n">
        <f aca="false">-EA97*$F99*(EA$4&gt;In_COD)</f>
        <v>-0</v>
      </c>
      <c r="EB102" s="33" t="n">
        <f aca="false">-EB97*$F99*(EB$4&gt;In_COD)</f>
        <v>-0</v>
      </c>
      <c r="EC102" s="33" t="n">
        <f aca="false">-EC97*$F99*(EC$4&gt;In_COD)</f>
        <v>-0</v>
      </c>
      <c r="ED102" s="33" t="n">
        <f aca="false">-ED97*$F99*(ED$4&gt;In_COD)</f>
        <v>-0</v>
      </c>
      <c r="EE102" s="33" t="n">
        <f aca="false">-EE97*$F99*(EE$4&gt;In_COD)</f>
        <v>-0</v>
      </c>
      <c r="EF102" s="33" t="n">
        <f aca="false">-EF97*$F99*(EF$4&gt;In_COD)</f>
        <v>-0</v>
      </c>
      <c r="EG102" s="33" t="n">
        <f aca="false">-EG97*$F99*(EG$4&gt;In_COD)</f>
        <v>-0</v>
      </c>
      <c r="EH102" s="33" t="n">
        <f aca="false">-EH97*$F99*(EH$4&gt;In_COD)</f>
        <v>-0</v>
      </c>
      <c r="EI102" s="33" t="n">
        <f aca="false">-EI97*$F99*(EI$4&gt;In_COD)</f>
        <v>-0</v>
      </c>
      <c r="EJ102" s="33" t="n">
        <f aca="false">-EJ97*$F99*(EJ$4&gt;In_COD)</f>
        <v>-0</v>
      </c>
      <c r="EK102" s="33" t="n">
        <f aca="false">-EK97*$F99*(EK$4&gt;In_COD)</f>
        <v>-0</v>
      </c>
      <c r="EL102" s="33" t="n">
        <f aca="false">-EL97*$F99*(EL$4&gt;In_COD)</f>
        <v>-0</v>
      </c>
      <c r="EM102" s="33" t="n">
        <f aca="false">-EM97*$F99*(EM$4&gt;In_COD)</f>
        <v>-0</v>
      </c>
      <c r="EN102" s="33" t="n">
        <f aca="false">-EN97*$F99*(EN$4&gt;In_COD)</f>
        <v>-0</v>
      </c>
      <c r="EO102" s="33" t="n">
        <f aca="false">-EO97*$F99*(EO$4&gt;In_COD)</f>
        <v>-0</v>
      </c>
      <c r="EP102" s="33" t="n">
        <f aca="false">-EP97*$F99*(EP$4&gt;In_COD)</f>
        <v>-0</v>
      </c>
      <c r="EQ102" s="33" t="n">
        <f aca="false">-EQ97*$F99*(EQ$4&gt;In_COD)</f>
        <v>-0</v>
      </c>
      <c r="ER102" s="33" t="n">
        <f aca="false">-ER97*$F99*(ER$4&gt;In_COD)</f>
        <v>-0</v>
      </c>
      <c r="ES102" s="33" t="n">
        <f aca="false">-ES97*$F99*(ES$4&gt;In_COD)</f>
        <v>-0</v>
      </c>
      <c r="ET102" s="33" t="n">
        <f aca="false">-ET97*$F99*(ET$4&gt;In_COD)</f>
        <v>-0</v>
      </c>
    </row>
    <row r="103" customFormat="false" ht="15" hidden="false" customHeight="false" outlineLevel="0" collapsed="false">
      <c r="C103" s="0" t="s">
        <v>398</v>
      </c>
      <c r="D103" s="11" t="s">
        <v>247</v>
      </c>
      <c r="I103" s="33" t="n">
        <f aca="false">SUM(J103:ET103)</f>
        <v>-1663.7710677863</v>
      </c>
      <c r="J103" s="33" t="n">
        <f aca="false">-In_Upfront_Fee*$E98*(J97=0)*(J98&gt;0)</f>
        <v>-0</v>
      </c>
      <c r="K103" s="33" t="n">
        <f aca="false">-In_Upfront_Fee*$E98*(K97=0)*(K98&gt;0)</f>
        <v>-0</v>
      </c>
      <c r="L103" s="33" t="n">
        <f aca="false">-In_Upfront_Fee*$E98*(L97=0)*(L98&gt;0)</f>
        <v>-0</v>
      </c>
      <c r="M103" s="33" t="n">
        <f aca="false">-In_Upfront_Fee*$E98*(M97=0)*(M98&gt;0)</f>
        <v>-0</v>
      </c>
      <c r="N103" s="33" t="n">
        <f aca="false">-In_Upfront_Fee*$E98*(N97=0)*(N98&gt;0)</f>
        <v>-0</v>
      </c>
      <c r="O103" s="33" t="n">
        <f aca="false">-In_Upfront_Fee*$E98*(O97=0)*(O98&gt;0)</f>
        <v>-0</v>
      </c>
      <c r="P103" s="33" t="n">
        <f aca="false">-In_Upfront_Fee*$E98*(P97=0)*(P98&gt;0)</f>
        <v>-0</v>
      </c>
      <c r="Q103" s="33" t="n">
        <f aca="false">-In_Upfront_Fee*$E98*(Q97=0)*(Q98&gt;0)</f>
        <v>-0</v>
      </c>
      <c r="R103" s="33" t="n">
        <f aca="false">-In_Upfront_Fee*$E98*(R97=0)*(R98&gt;0)</f>
        <v>-0</v>
      </c>
      <c r="S103" s="33" t="n">
        <f aca="false">-In_Upfront_Fee*$E98*(S97=0)*(S98&gt;0)</f>
        <v>-0</v>
      </c>
      <c r="T103" s="33" t="n">
        <f aca="false">-In_Upfront_Fee*$E98*(T97=0)*(T98&gt;0)</f>
        <v>-0</v>
      </c>
      <c r="U103" s="33" t="n">
        <f aca="false">-In_Upfront_Fee*$E98*(U97=0)*(U98&gt;0)</f>
        <v>-0</v>
      </c>
      <c r="V103" s="33" t="n">
        <f aca="false">-In_Upfront_Fee*$E98*(V97=0)*(V98&gt;0)</f>
        <v>-0</v>
      </c>
      <c r="W103" s="33" t="n">
        <f aca="false">-In_Upfront_Fee*$E98*(W97=0)*(W98&gt;0)</f>
        <v>-1663.7710677863</v>
      </c>
      <c r="X103" s="33" t="n">
        <f aca="false">-In_Upfront_Fee*$E98*(X97=0)*(X98&gt;0)</f>
        <v>-0</v>
      </c>
      <c r="Y103" s="33" t="n">
        <f aca="false">-In_Upfront_Fee*$E98*(Y97=0)*(Y98&gt;0)</f>
        <v>-0</v>
      </c>
      <c r="Z103" s="33" t="n">
        <f aca="false">-In_Upfront_Fee*$E98*(Z97=0)*(Z98&gt;0)</f>
        <v>-0</v>
      </c>
      <c r="AA103" s="33" t="n">
        <f aca="false">-In_Upfront_Fee*$E98*(AA97=0)*(AA98&gt;0)</f>
        <v>-0</v>
      </c>
      <c r="AB103" s="33" t="n">
        <f aca="false">-In_Upfront_Fee*$E98*(AB97=0)*(AB98&gt;0)</f>
        <v>-0</v>
      </c>
      <c r="AC103" s="33" t="n">
        <f aca="false">-In_Upfront_Fee*$E98*(AC97=0)*(AC98&gt;0)</f>
        <v>-0</v>
      </c>
      <c r="AD103" s="33" t="n">
        <f aca="false">-In_Upfront_Fee*$E98*(AD97=0)*(AD98&gt;0)</f>
        <v>-0</v>
      </c>
      <c r="AE103" s="33" t="n">
        <f aca="false">-In_Upfront_Fee*$E98*(AE97=0)*(AE98&gt;0)</f>
        <v>-0</v>
      </c>
      <c r="AF103" s="33" t="n">
        <f aca="false">-In_Upfront_Fee*$E98*(AF97=0)*(AF98&gt;0)</f>
        <v>-0</v>
      </c>
      <c r="AG103" s="33" t="n">
        <f aca="false">-In_Upfront_Fee*$E98*(AG97=0)*(AG98&gt;0)</f>
        <v>-0</v>
      </c>
      <c r="AH103" s="33" t="n">
        <f aca="false">-In_Upfront_Fee*$E98*(AH97=0)*(AH98&gt;0)</f>
        <v>-0</v>
      </c>
      <c r="AI103" s="33" t="n">
        <f aca="false">-In_Upfront_Fee*$E98*(AI97=0)*(AI98&gt;0)</f>
        <v>-0</v>
      </c>
      <c r="AJ103" s="33" t="n">
        <f aca="false">-In_Upfront_Fee*$E98*(AJ97=0)*(AJ98&gt;0)</f>
        <v>-0</v>
      </c>
      <c r="AK103" s="33" t="n">
        <f aca="false">-In_Upfront_Fee*$E98*(AK97=0)*(AK98&gt;0)</f>
        <v>-0</v>
      </c>
      <c r="AL103" s="33" t="n">
        <f aca="false">-In_Upfront_Fee*$E98*(AL97=0)*(AL98&gt;0)</f>
        <v>-0</v>
      </c>
      <c r="AM103" s="33" t="n">
        <f aca="false">-In_Upfront_Fee*$E98*(AM97=0)*(AM98&gt;0)</f>
        <v>-0</v>
      </c>
      <c r="AN103" s="33" t="n">
        <f aca="false">-In_Upfront_Fee*$E98*(AN97=0)*(AN98&gt;0)</f>
        <v>-0</v>
      </c>
      <c r="AO103" s="33" t="n">
        <f aca="false">-In_Upfront_Fee*$E98*(AO97=0)*(AO98&gt;0)</f>
        <v>-0</v>
      </c>
      <c r="AP103" s="33" t="n">
        <f aca="false">-In_Upfront_Fee*$E98*(AP97=0)*(AP98&gt;0)</f>
        <v>-0</v>
      </c>
      <c r="AQ103" s="33" t="n">
        <f aca="false">-In_Upfront_Fee*$E98*(AQ97=0)*(AQ98&gt;0)</f>
        <v>-0</v>
      </c>
      <c r="AR103" s="33" t="n">
        <f aca="false">-In_Upfront_Fee*$E98*(AR97=0)*(AR98&gt;0)</f>
        <v>-0</v>
      </c>
      <c r="AS103" s="33" t="n">
        <f aca="false">-In_Upfront_Fee*$E98*(AS97=0)*(AS98&gt;0)</f>
        <v>-0</v>
      </c>
      <c r="AT103" s="33" t="n">
        <f aca="false">-In_Upfront_Fee*$E98*(AT97=0)*(AT98&gt;0)</f>
        <v>-0</v>
      </c>
      <c r="AU103" s="33" t="n">
        <f aca="false">-In_Upfront_Fee*$E98*(AU97=0)*(AU98&gt;0)</f>
        <v>-0</v>
      </c>
      <c r="AV103" s="33" t="n">
        <f aca="false">-In_Upfront_Fee*$E98*(AV97=0)*(AV98&gt;0)</f>
        <v>-0</v>
      </c>
      <c r="AW103" s="33" t="n">
        <f aca="false">-In_Upfront_Fee*$E98*(AW97=0)*(AW98&gt;0)</f>
        <v>-0</v>
      </c>
      <c r="AX103" s="33" t="n">
        <f aca="false">-In_Upfront_Fee*$E98*(AX97=0)*(AX98&gt;0)</f>
        <v>-0</v>
      </c>
      <c r="AY103" s="33" t="n">
        <f aca="false">-In_Upfront_Fee*$E98*(AY97=0)*(AY98&gt;0)</f>
        <v>-0</v>
      </c>
      <c r="AZ103" s="33" t="n">
        <f aca="false">-In_Upfront_Fee*$E98*(AZ97=0)*(AZ98&gt;0)</f>
        <v>-0</v>
      </c>
      <c r="BA103" s="33" t="n">
        <f aca="false">-In_Upfront_Fee*$E98*(BA97=0)*(BA98&gt;0)</f>
        <v>-0</v>
      </c>
      <c r="BB103" s="33" t="n">
        <f aca="false">-In_Upfront_Fee*$E98*(BB97=0)*(BB98&gt;0)</f>
        <v>-0</v>
      </c>
      <c r="BC103" s="33" t="n">
        <f aca="false">-In_Upfront_Fee*$E98*(BC97=0)*(BC98&gt;0)</f>
        <v>-0</v>
      </c>
      <c r="BD103" s="33" t="n">
        <f aca="false">-In_Upfront_Fee*$E98*(BD97=0)*(BD98&gt;0)</f>
        <v>-0</v>
      </c>
      <c r="BE103" s="33" t="n">
        <f aca="false">-In_Upfront_Fee*$E98*(BE97=0)*(BE98&gt;0)</f>
        <v>-0</v>
      </c>
      <c r="BF103" s="33" t="n">
        <f aca="false">-In_Upfront_Fee*$E98*(BF97=0)*(BF98&gt;0)</f>
        <v>-0</v>
      </c>
      <c r="BG103" s="33" t="n">
        <f aca="false">-In_Upfront_Fee*$E98*(BG97=0)*(BG98&gt;0)</f>
        <v>-0</v>
      </c>
      <c r="BH103" s="33" t="n">
        <f aca="false">-In_Upfront_Fee*$E98*(BH97=0)*(BH98&gt;0)</f>
        <v>-0</v>
      </c>
      <c r="BI103" s="33" t="n">
        <f aca="false">-In_Upfront_Fee*$E98*(BI97=0)*(BI98&gt;0)</f>
        <v>-0</v>
      </c>
      <c r="BJ103" s="33" t="n">
        <f aca="false">-In_Upfront_Fee*$E98*(BJ97=0)*(BJ98&gt;0)</f>
        <v>-0</v>
      </c>
      <c r="BK103" s="33" t="n">
        <f aca="false">-In_Upfront_Fee*$E98*(BK97=0)*(BK98&gt;0)</f>
        <v>-0</v>
      </c>
      <c r="BL103" s="33" t="n">
        <f aca="false">-In_Upfront_Fee*$E98*(BL97=0)*(BL98&gt;0)</f>
        <v>-0</v>
      </c>
      <c r="BM103" s="33" t="n">
        <f aca="false">-In_Upfront_Fee*$E98*(BM97=0)*(BM98&gt;0)</f>
        <v>-0</v>
      </c>
      <c r="BN103" s="33" t="n">
        <f aca="false">-In_Upfront_Fee*$E98*(BN97=0)*(BN98&gt;0)</f>
        <v>-0</v>
      </c>
      <c r="BO103" s="33" t="n">
        <f aca="false">-In_Upfront_Fee*$E98*(BO97=0)*(BO98&gt;0)</f>
        <v>-0</v>
      </c>
      <c r="BP103" s="33" t="n">
        <f aca="false">-In_Upfront_Fee*$E98*(BP97=0)*(BP98&gt;0)</f>
        <v>-0</v>
      </c>
      <c r="BQ103" s="33" t="n">
        <f aca="false">-In_Upfront_Fee*$E98*(BQ97=0)*(BQ98&gt;0)</f>
        <v>-0</v>
      </c>
      <c r="BR103" s="33" t="n">
        <f aca="false">-In_Upfront_Fee*$E98*(BR97=0)*(BR98&gt;0)</f>
        <v>-0</v>
      </c>
      <c r="BS103" s="33" t="n">
        <f aca="false">-In_Upfront_Fee*$E98*(BS97=0)*(BS98&gt;0)</f>
        <v>-0</v>
      </c>
      <c r="BT103" s="33" t="n">
        <f aca="false">-In_Upfront_Fee*$E98*(BT97=0)*(BT98&gt;0)</f>
        <v>-0</v>
      </c>
      <c r="BU103" s="33" t="n">
        <f aca="false">-In_Upfront_Fee*$E98*(BU97=0)*(BU98&gt;0)</f>
        <v>-0</v>
      </c>
      <c r="BV103" s="33" t="n">
        <f aca="false">-In_Upfront_Fee*$E98*(BV97=0)*(BV98&gt;0)</f>
        <v>-0</v>
      </c>
      <c r="BW103" s="33" t="n">
        <f aca="false">-In_Upfront_Fee*$E98*(BW97=0)*(BW98&gt;0)</f>
        <v>-0</v>
      </c>
      <c r="BX103" s="33" t="n">
        <f aca="false">-In_Upfront_Fee*$E98*(BX97=0)*(BX98&gt;0)</f>
        <v>-0</v>
      </c>
      <c r="BY103" s="33" t="n">
        <f aca="false">-In_Upfront_Fee*$E98*(BY97=0)*(BY98&gt;0)</f>
        <v>-0</v>
      </c>
      <c r="BZ103" s="33" t="n">
        <f aca="false">-In_Upfront_Fee*$E98*(BZ97=0)*(BZ98&gt;0)</f>
        <v>-0</v>
      </c>
      <c r="CA103" s="33" t="n">
        <f aca="false">-In_Upfront_Fee*$E98*(CA97=0)*(CA98&gt;0)</f>
        <v>-0</v>
      </c>
      <c r="CB103" s="33" t="n">
        <f aca="false">-In_Upfront_Fee*$E98*(CB97=0)*(CB98&gt;0)</f>
        <v>-0</v>
      </c>
      <c r="CC103" s="33" t="n">
        <f aca="false">-In_Upfront_Fee*$E98*(CC97=0)*(CC98&gt;0)</f>
        <v>-0</v>
      </c>
      <c r="CD103" s="33" t="n">
        <f aca="false">-In_Upfront_Fee*$E98*(CD97=0)*(CD98&gt;0)</f>
        <v>-0</v>
      </c>
      <c r="CE103" s="33" t="n">
        <f aca="false">-In_Upfront_Fee*$E98*(CE97=0)*(CE98&gt;0)</f>
        <v>-0</v>
      </c>
      <c r="CF103" s="33" t="n">
        <f aca="false">-In_Upfront_Fee*$E98*(CF97=0)*(CF98&gt;0)</f>
        <v>-0</v>
      </c>
      <c r="CG103" s="33" t="n">
        <f aca="false">-In_Upfront_Fee*$E98*(CG97=0)*(CG98&gt;0)</f>
        <v>-0</v>
      </c>
      <c r="CH103" s="33" t="n">
        <f aca="false">-In_Upfront_Fee*$E98*(CH97=0)*(CH98&gt;0)</f>
        <v>-0</v>
      </c>
      <c r="CI103" s="33" t="n">
        <f aca="false">-In_Upfront_Fee*$E98*(CI97=0)*(CI98&gt;0)</f>
        <v>-0</v>
      </c>
      <c r="CJ103" s="33" t="n">
        <f aca="false">-In_Upfront_Fee*$E98*(CJ97=0)*(CJ98&gt;0)</f>
        <v>-0</v>
      </c>
      <c r="CK103" s="33" t="n">
        <f aca="false">-In_Upfront_Fee*$E98*(CK97=0)*(CK98&gt;0)</f>
        <v>-0</v>
      </c>
      <c r="CL103" s="33" t="n">
        <f aca="false">-In_Upfront_Fee*$E98*(CL97=0)*(CL98&gt;0)</f>
        <v>-0</v>
      </c>
      <c r="CM103" s="33" t="n">
        <f aca="false">-In_Upfront_Fee*$E98*(CM97=0)*(CM98&gt;0)</f>
        <v>-0</v>
      </c>
      <c r="CN103" s="33" t="n">
        <f aca="false">-In_Upfront_Fee*$E98*(CN97=0)*(CN98&gt;0)</f>
        <v>-0</v>
      </c>
      <c r="CO103" s="33" t="n">
        <f aca="false">-In_Upfront_Fee*$E98*(CO97=0)*(CO98&gt;0)</f>
        <v>-0</v>
      </c>
      <c r="CP103" s="33" t="n">
        <f aca="false">-In_Upfront_Fee*$E98*(CP97=0)*(CP98&gt;0)</f>
        <v>-0</v>
      </c>
      <c r="CQ103" s="33" t="n">
        <f aca="false">-In_Upfront_Fee*$E98*(CQ97=0)*(CQ98&gt;0)</f>
        <v>-0</v>
      </c>
      <c r="CR103" s="33" t="n">
        <f aca="false">-In_Upfront_Fee*$E98*(CR97=0)*(CR98&gt;0)</f>
        <v>-0</v>
      </c>
      <c r="CS103" s="33" t="n">
        <f aca="false">-In_Upfront_Fee*$E98*(CS97=0)*(CS98&gt;0)</f>
        <v>-0</v>
      </c>
      <c r="CT103" s="33" t="n">
        <f aca="false">-In_Upfront_Fee*$E98*(CT97=0)*(CT98&gt;0)</f>
        <v>-0</v>
      </c>
      <c r="CU103" s="33" t="n">
        <f aca="false">-In_Upfront_Fee*$E98*(CU97=0)*(CU98&gt;0)</f>
        <v>-0</v>
      </c>
      <c r="CV103" s="33" t="n">
        <f aca="false">-In_Upfront_Fee*$E98*(CV97=0)*(CV98&gt;0)</f>
        <v>-0</v>
      </c>
      <c r="CW103" s="33" t="n">
        <f aca="false">-In_Upfront_Fee*$E98*(CW97=0)*(CW98&gt;0)</f>
        <v>-0</v>
      </c>
      <c r="CX103" s="33" t="n">
        <f aca="false">-In_Upfront_Fee*$E98*(CX97=0)*(CX98&gt;0)</f>
        <v>-0</v>
      </c>
      <c r="CY103" s="33" t="n">
        <f aca="false">-In_Upfront_Fee*$E98*(CY97=0)*(CY98&gt;0)</f>
        <v>-0</v>
      </c>
      <c r="CZ103" s="33" t="n">
        <f aca="false">-In_Upfront_Fee*$E98*(CZ97=0)*(CZ98&gt;0)</f>
        <v>-0</v>
      </c>
      <c r="DA103" s="33" t="n">
        <f aca="false">-In_Upfront_Fee*$E98*(DA97=0)*(DA98&gt;0)</f>
        <v>-0</v>
      </c>
      <c r="DB103" s="33" t="n">
        <f aca="false">-In_Upfront_Fee*$E98*(DB97=0)*(DB98&gt;0)</f>
        <v>-0</v>
      </c>
      <c r="DC103" s="33" t="n">
        <f aca="false">-In_Upfront_Fee*$E98*(DC97=0)*(DC98&gt;0)</f>
        <v>-0</v>
      </c>
      <c r="DD103" s="33" t="n">
        <f aca="false">-In_Upfront_Fee*$E98*(DD97=0)*(DD98&gt;0)</f>
        <v>-0</v>
      </c>
      <c r="DE103" s="33" t="n">
        <f aca="false">-In_Upfront_Fee*$E98*(DE97=0)*(DE98&gt;0)</f>
        <v>-0</v>
      </c>
      <c r="DF103" s="33" t="n">
        <f aca="false">-In_Upfront_Fee*$E98*(DF97=0)*(DF98&gt;0)</f>
        <v>-0</v>
      </c>
      <c r="DG103" s="33" t="n">
        <f aca="false">-In_Upfront_Fee*$E98*(DG97=0)*(DG98&gt;0)</f>
        <v>-0</v>
      </c>
      <c r="DH103" s="33" t="n">
        <f aca="false">-In_Upfront_Fee*$E98*(DH97=0)*(DH98&gt;0)</f>
        <v>-0</v>
      </c>
      <c r="DI103" s="33" t="n">
        <f aca="false">-In_Upfront_Fee*$E98*(DI97=0)*(DI98&gt;0)</f>
        <v>-0</v>
      </c>
      <c r="DJ103" s="33" t="n">
        <f aca="false">-In_Upfront_Fee*$E98*(DJ97=0)*(DJ98&gt;0)</f>
        <v>-0</v>
      </c>
      <c r="DK103" s="33" t="n">
        <f aca="false">-In_Upfront_Fee*$E98*(DK97=0)*(DK98&gt;0)</f>
        <v>-0</v>
      </c>
      <c r="DL103" s="33" t="n">
        <f aca="false">-In_Upfront_Fee*$E98*(DL97=0)*(DL98&gt;0)</f>
        <v>-0</v>
      </c>
      <c r="DM103" s="33" t="n">
        <f aca="false">-In_Upfront_Fee*$E98*(DM97=0)*(DM98&gt;0)</f>
        <v>-0</v>
      </c>
      <c r="DN103" s="33" t="n">
        <f aca="false">-In_Upfront_Fee*$E98*(DN97=0)*(DN98&gt;0)</f>
        <v>-0</v>
      </c>
      <c r="DO103" s="33" t="n">
        <f aca="false">-In_Upfront_Fee*$E98*(DO97=0)*(DO98&gt;0)</f>
        <v>-0</v>
      </c>
      <c r="DP103" s="33" t="n">
        <f aca="false">-In_Upfront_Fee*$E98*(DP97=0)*(DP98&gt;0)</f>
        <v>-0</v>
      </c>
      <c r="DQ103" s="33" t="n">
        <f aca="false">-In_Upfront_Fee*$E98*(DQ97=0)*(DQ98&gt;0)</f>
        <v>-0</v>
      </c>
      <c r="DR103" s="33" t="n">
        <f aca="false">-In_Upfront_Fee*$E98*(DR97=0)*(DR98&gt;0)</f>
        <v>-0</v>
      </c>
      <c r="DS103" s="33" t="n">
        <f aca="false">-In_Upfront_Fee*$E98*(DS97=0)*(DS98&gt;0)</f>
        <v>-0</v>
      </c>
      <c r="DT103" s="33" t="n">
        <f aca="false">-In_Upfront_Fee*$E98*(DT97=0)*(DT98&gt;0)</f>
        <v>-0</v>
      </c>
      <c r="DU103" s="33" t="n">
        <f aca="false">-In_Upfront_Fee*$E98*(DU97=0)*(DU98&gt;0)</f>
        <v>-0</v>
      </c>
      <c r="DV103" s="33" t="n">
        <f aca="false">-In_Upfront_Fee*$E98*(DV97=0)*(DV98&gt;0)</f>
        <v>-0</v>
      </c>
      <c r="DW103" s="33" t="n">
        <f aca="false">-In_Upfront_Fee*$E98*(DW97=0)*(DW98&gt;0)</f>
        <v>-0</v>
      </c>
      <c r="DX103" s="33" t="n">
        <f aca="false">-In_Upfront_Fee*$E98*(DX97=0)*(DX98&gt;0)</f>
        <v>-0</v>
      </c>
      <c r="DY103" s="33" t="n">
        <f aca="false">-In_Upfront_Fee*$E98*(DY97=0)*(DY98&gt;0)</f>
        <v>-0</v>
      </c>
      <c r="DZ103" s="33" t="n">
        <f aca="false">-In_Upfront_Fee*$E98*(DZ97=0)*(DZ98&gt;0)</f>
        <v>-0</v>
      </c>
      <c r="EA103" s="33" t="n">
        <f aca="false">-In_Upfront_Fee*$E98*(EA97=0)*(EA98&gt;0)</f>
        <v>-0</v>
      </c>
      <c r="EB103" s="33" t="n">
        <f aca="false">-In_Upfront_Fee*$E98*(EB97=0)*(EB98&gt;0)</f>
        <v>-0</v>
      </c>
      <c r="EC103" s="33" t="n">
        <f aca="false">-In_Upfront_Fee*$E98*(EC97=0)*(EC98&gt;0)</f>
        <v>-0</v>
      </c>
      <c r="ED103" s="33" t="n">
        <f aca="false">-In_Upfront_Fee*$E98*(ED97=0)*(ED98&gt;0)</f>
        <v>-0</v>
      </c>
      <c r="EE103" s="33" t="n">
        <f aca="false">-In_Upfront_Fee*$E98*(EE97=0)*(EE98&gt;0)</f>
        <v>-0</v>
      </c>
      <c r="EF103" s="33" t="n">
        <f aca="false">-In_Upfront_Fee*$E98*(EF97=0)*(EF98&gt;0)</f>
        <v>-0</v>
      </c>
      <c r="EG103" s="33" t="n">
        <f aca="false">-In_Upfront_Fee*$E98*(EG97=0)*(EG98&gt;0)</f>
        <v>-0</v>
      </c>
      <c r="EH103" s="33" t="n">
        <f aca="false">-In_Upfront_Fee*$E98*(EH97=0)*(EH98&gt;0)</f>
        <v>-0</v>
      </c>
      <c r="EI103" s="33" t="n">
        <f aca="false">-In_Upfront_Fee*$E98*(EI97=0)*(EI98&gt;0)</f>
        <v>-0</v>
      </c>
      <c r="EJ103" s="33" t="n">
        <f aca="false">-In_Upfront_Fee*$E98*(EJ97=0)*(EJ98&gt;0)</f>
        <v>-0</v>
      </c>
      <c r="EK103" s="33" t="n">
        <f aca="false">-In_Upfront_Fee*$E98*(EK97=0)*(EK98&gt;0)</f>
        <v>-0</v>
      </c>
      <c r="EL103" s="33" t="n">
        <f aca="false">-In_Upfront_Fee*$E98*(EL97=0)*(EL98&gt;0)</f>
        <v>-0</v>
      </c>
      <c r="EM103" s="33" t="n">
        <f aca="false">-In_Upfront_Fee*$E98*(EM97=0)*(EM98&gt;0)</f>
        <v>-0</v>
      </c>
      <c r="EN103" s="33" t="n">
        <f aca="false">-In_Upfront_Fee*$E98*(EN97=0)*(EN98&gt;0)</f>
        <v>-0</v>
      </c>
      <c r="EO103" s="33" t="n">
        <f aca="false">-In_Upfront_Fee*$E98*(EO97=0)*(EO98&gt;0)</f>
        <v>-0</v>
      </c>
      <c r="EP103" s="33" t="n">
        <f aca="false">-In_Upfront_Fee*$E98*(EP97=0)*(EP98&gt;0)</f>
        <v>-0</v>
      </c>
      <c r="EQ103" s="33" t="n">
        <f aca="false">-In_Upfront_Fee*$E98*(EQ97=0)*(EQ98&gt;0)</f>
        <v>-0</v>
      </c>
      <c r="ER103" s="33" t="n">
        <f aca="false">-In_Upfront_Fee*$E98*(ER97=0)*(ER98&gt;0)</f>
        <v>-0</v>
      </c>
      <c r="ES103" s="33" t="n">
        <f aca="false">-In_Upfront_Fee*$E98*(ES97=0)*(ES98&gt;0)</f>
        <v>-0</v>
      </c>
      <c r="ET103" s="33" t="n">
        <f aca="false">-In_Upfront_Fee*$E98*(ET97=0)*(ET98&gt;0)</f>
        <v>-0</v>
      </c>
    </row>
    <row r="104" customFormat="false" ht="15" hidden="false" customHeight="false" outlineLevel="0" collapsed="false">
      <c r="C104" s="0" t="s">
        <v>552</v>
      </c>
      <c r="D104" s="11" t="s">
        <v>247</v>
      </c>
      <c r="I104" s="33" t="n">
        <f aca="false">SUM(J104:ET104)</f>
        <v>-962.619234608902</v>
      </c>
      <c r="J104" s="33" t="n">
        <f aca="false">-In_Commitment_Fee*($E98-SUM($J98:J98)+J98)*J$6*(J13&gt;0)</f>
        <v>-0</v>
      </c>
      <c r="K104" s="33" t="n">
        <f aca="false">-In_Commitment_Fee*($E98-SUM($J98:K98)+K98)*K$6*(K13&gt;0)</f>
        <v>-0</v>
      </c>
      <c r="L104" s="33" t="n">
        <f aca="false">-In_Commitment_Fee*($E98-SUM($J98:L98)+L98)*L$6*(L13&gt;0)</f>
        <v>-0</v>
      </c>
      <c r="M104" s="33" t="n">
        <f aca="false">-In_Commitment_Fee*($E98-SUM($J98:M98)+M98)*M$6*(M13&gt;0)</f>
        <v>-0</v>
      </c>
      <c r="N104" s="33" t="n">
        <f aca="false">-In_Commitment_Fee*($E98-SUM($J98:N98)+N98)*N$6*(N13&gt;0)</f>
        <v>-0</v>
      </c>
      <c r="O104" s="33" t="n">
        <f aca="false">-In_Commitment_Fee*($E98-SUM($J98:O98)+O98)*O$6*(O13&gt;0)</f>
        <v>-0</v>
      </c>
      <c r="P104" s="33" t="n">
        <f aca="false">-In_Commitment_Fee*($E98-SUM($J98:P98)+P98)*P$6*(P13&gt;0)</f>
        <v>-0</v>
      </c>
      <c r="Q104" s="33" t="n">
        <f aca="false">-In_Commitment_Fee*($E98-SUM($J98:Q98)+Q98)*Q$6*(Q13&gt;0)</f>
        <v>-0</v>
      </c>
      <c r="R104" s="33" t="n">
        <f aca="false">-In_Commitment_Fee*($E98-SUM($J98:R98)+R98)*R$6*(R13&gt;0)</f>
        <v>-0</v>
      </c>
      <c r="S104" s="33" t="n">
        <f aca="false">-In_Commitment_Fee*($E98-SUM($J98:S98)+S98)*S$6*(S13&gt;0)</f>
        <v>-0</v>
      </c>
      <c r="T104" s="33" t="n">
        <f aca="false">-In_Commitment_Fee*($E98-SUM($J98:T98)+T98)*T$6*(T13&gt;0)</f>
        <v>-0</v>
      </c>
      <c r="U104" s="33" t="n">
        <f aca="false">-In_Commitment_Fee*($E98-SUM($J98:U98)+U98)*U$6*(U13&gt;0)</f>
        <v>-0</v>
      </c>
      <c r="V104" s="33" t="n">
        <f aca="false">-In_Commitment_Fee*($E98-SUM($J98:V98)+V98)*V$6*(V13&gt;0)</f>
        <v>-0</v>
      </c>
      <c r="W104" s="33" t="n">
        <f aca="false">-In_Commitment_Fee*($E98-SUM($J98:W98)+W98)*W$6*(W13&gt;0)</f>
        <v>-215.671615518913</v>
      </c>
      <c r="X104" s="33" t="n">
        <f aca="false">-In_Commitment_Fee*($E98-SUM($J98:X98)+X98)*X$6*(X13&gt;0)</f>
        <v>-184.393450909708</v>
      </c>
      <c r="Y104" s="33" t="n">
        <f aca="false">-In_Commitment_Fee*($E98-SUM($J98:Y98)+Y98)*Y$6*(Y13&gt;0)</f>
        <v>-160.141633750702</v>
      </c>
      <c r="Z104" s="33" t="n">
        <f aca="false">-In_Commitment_Fee*($E98-SUM($J98:Z98)+Z98)*Z$6*(Z13&gt;0)</f>
        <v>-135.016340126224</v>
      </c>
      <c r="AA104" s="33" t="n">
        <f aca="false">-In_Commitment_Fee*($E98-SUM($J98:AA98)+AA98)*AA$6*(AA13&gt;0)</f>
        <v>-107.835807759457</v>
      </c>
      <c r="AB104" s="33" t="n">
        <f aca="false">-In_Commitment_Fee*($E98-SUM($J98:AB98)+AB98)*AB$6*(AB13&gt;0)</f>
        <v>-78.9018998406745</v>
      </c>
      <c r="AC104" s="33" t="n">
        <f aca="false">-In_Commitment_Fee*($E98-SUM($J98:AC98)+AC98)*AC$6*(AC13&gt;0)</f>
        <v>-53.4779543364571</v>
      </c>
      <c r="AD104" s="33" t="n">
        <f aca="false">-In_Commitment_Fee*($E98-SUM($J98:AD98)+AD98)*AD$6*(AD13&gt;0)</f>
        <v>-27.1805323667671</v>
      </c>
      <c r="AE104" s="33" t="n">
        <f aca="false">-In_Commitment_Fee*($E98-SUM($J98:AE98)+AE98)*AE$6*(AE13&gt;0)</f>
        <v>-0</v>
      </c>
      <c r="AF104" s="33" t="n">
        <f aca="false">-In_Commitment_Fee*($E98-SUM($J98:AF98)+AF98)*AF$6*(AF13&gt;0)</f>
        <v>-0</v>
      </c>
      <c r="AG104" s="33" t="n">
        <f aca="false">-In_Commitment_Fee*($E98-SUM($J98:AG98)+AG98)*AG$6*(AG13&gt;0)</f>
        <v>-0</v>
      </c>
      <c r="AH104" s="33" t="n">
        <f aca="false">-In_Commitment_Fee*($E98-SUM($J98:AH98)+AH98)*AH$6*(AH13&gt;0)</f>
        <v>-0</v>
      </c>
      <c r="AI104" s="33" t="n">
        <f aca="false">-In_Commitment_Fee*($E98-SUM($J98:AI98)+AI98)*AI$6*(AI13&gt;0)</f>
        <v>-0</v>
      </c>
      <c r="AJ104" s="33" t="n">
        <f aca="false">-In_Commitment_Fee*($E98-SUM($J98:AJ98)+AJ98)*AJ$6*(AJ13&gt;0)</f>
        <v>-0</v>
      </c>
      <c r="AK104" s="33" t="n">
        <f aca="false">-In_Commitment_Fee*($E98-SUM($J98:AK98)+AK98)*AK$6*(AK13&gt;0)</f>
        <v>-0</v>
      </c>
      <c r="AL104" s="33" t="n">
        <f aca="false">-In_Commitment_Fee*($E98-SUM($J98:AL98)+AL98)*AL$6*(AL13&gt;0)</f>
        <v>-0</v>
      </c>
      <c r="AM104" s="33" t="n">
        <f aca="false">-In_Commitment_Fee*($E98-SUM($J98:AM98)+AM98)*AM$6*(AM13&gt;0)</f>
        <v>-0</v>
      </c>
      <c r="AN104" s="33" t="n">
        <f aca="false">-In_Commitment_Fee*($E98-SUM($J98:AN98)+AN98)*AN$6*(AN13&gt;0)</f>
        <v>-0</v>
      </c>
      <c r="AO104" s="33" t="n">
        <f aca="false">-In_Commitment_Fee*($E98-SUM($J98:AO98)+AO98)*AO$6*(AO13&gt;0)</f>
        <v>-0</v>
      </c>
      <c r="AP104" s="33" t="n">
        <f aca="false">-In_Commitment_Fee*($E98-SUM($J98:AP98)+AP98)*AP$6*(AP13&gt;0)</f>
        <v>-0</v>
      </c>
      <c r="AQ104" s="33" t="n">
        <f aca="false">-In_Commitment_Fee*($E98-SUM($J98:AQ98)+AQ98)*AQ$6*(AQ13&gt;0)</f>
        <v>-0</v>
      </c>
      <c r="AR104" s="33" t="n">
        <f aca="false">-In_Commitment_Fee*($E98-SUM($J98:AR98)+AR98)*AR$6*(AR13&gt;0)</f>
        <v>-0</v>
      </c>
      <c r="AS104" s="33" t="n">
        <f aca="false">-In_Commitment_Fee*($E98-SUM($J98:AS98)+AS98)*AS$6*(AS13&gt;0)</f>
        <v>-0</v>
      </c>
      <c r="AT104" s="33" t="n">
        <f aca="false">-In_Commitment_Fee*($E98-SUM($J98:AT98)+AT98)*AT$6*(AT13&gt;0)</f>
        <v>-0</v>
      </c>
      <c r="AU104" s="33" t="n">
        <f aca="false">-In_Commitment_Fee*($E98-SUM($J98:AU98)+AU98)*AU$6*(AU13&gt;0)</f>
        <v>-0</v>
      </c>
      <c r="AV104" s="33" t="n">
        <f aca="false">-In_Commitment_Fee*($E98-SUM($J98:AV98)+AV98)*AV$6*(AV13&gt;0)</f>
        <v>-0</v>
      </c>
      <c r="AW104" s="33" t="n">
        <f aca="false">-In_Commitment_Fee*($E98-SUM($J98:AW98)+AW98)*AW$6*(AW13&gt;0)</f>
        <v>-0</v>
      </c>
      <c r="AX104" s="33" t="n">
        <f aca="false">-In_Commitment_Fee*($E98-SUM($J98:AX98)+AX98)*AX$6*(AX13&gt;0)</f>
        <v>-0</v>
      </c>
      <c r="AY104" s="33" t="n">
        <f aca="false">-In_Commitment_Fee*($E98-SUM($J98:AY98)+AY98)*AY$6*(AY13&gt;0)</f>
        <v>-0</v>
      </c>
      <c r="AZ104" s="33" t="n">
        <f aca="false">-In_Commitment_Fee*($E98-SUM($J98:AZ98)+AZ98)*AZ$6*(AZ13&gt;0)</f>
        <v>-0</v>
      </c>
      <c r="BA104" s="33" t="n">
        <f aca="false">-In_Commitment_Fee*($E98-SUM($J98:BA98)+BA98)*BA$6*(BA13&gt;0)</f>
        <v>-0</v>
      </c>
      <c r="BB104" s="33" t="n">
        <f aca="false">-In_Commitment_Fee*($E98-SUM($J98:BB98)+BB98)*BB$6*(BB13&gt;0)</f>
        <v>-0</v>
      </c>
      <c r="BC104" s="33" t="n">
        <f aca="false">-In_Commitment_Fee*($E98-SUM($J98:BC98)+BC98)*BC$6*(BC13&gt;0)</f>
        <v>-0</v>
      </c>
      <c r="BD104" s="33" t="n">
        <f aca="false">-In_Commitment_Fee*($E98-SUM($J98:BD98)+BD98)*BD$6*(BD13&gt;0)</f>
        <v>-0</v>
      </c>
      <c r="BE104" s="33" t="n">
        <f aca="false">-In_Commitment_Fee*($E98-SUM($J98:BE98)+BE98)*BE$6*(BE13&gt;0)</f>
        <v>-0</v>
      </c>
      <c r="BF104" s="33" t="n">
        <f aca="false">-In_Commitment_Fee*($E98-SUM($J98:BF98)+BF98)*BF$6*(BF13&gt;0)</f>
        <v>-0</v>
      </c>
      <c r="BG104" s="33" t="n">
        <f aca="false">-In_Commitment_Fee*($E98-SUM($J98:BG98)+BG98)*BG$6*(BG13&gt;0)</f>
        <v>-0</v>
      </c>
      <c r="BH104" s="33" t="n">
        <f aca="false">-In_Commitment_Fee*($E98-SUM($J98:BH98)+BH98)*BH$6*(BH13&gt;0)</f>
        <v>-0</v>
      </c>
      <c r="BI104" s="33" t="n">
        <f aca="false">-In_Commitment_Fee*($E98-SUM($J98:BI98)+BI98)*BI$6*(BI13&gt;0)</f>
        <v>-0</v>
      </c>
      <c r="BJ104" s="33" t="n">
        <f aca="false">-In_Commitment_Fee*($E98-SUM($J98:BJ98)+BJ98)*BJ$6*(BJ13&gt;0)</f>
        <v>-0</v>
      </c>
      <c r="BK104" s="33" t="n">
        <f aca="false">-In_Commitment_Fee*($E98-SUM($J98:BK98)+BK98)*BK$6*(BK13&gt;0)</f>
        <v>-0</v>
      </c>
      <c r="BL104" s="33" t="n">
        <f aca="false">-In_Commitment_Fee*($E98-SUM($J98:BL98)+BL98)*BL$6*(BL13&gt;0)</f>
        <v>-0</v>
      </c>
      <c r="BM104" s="33" t="n">
        <f aca="false">-In_Commitment_Fee*($E98-SUM($J98:BM98)+BM98)*BM$6*(BM13&gt;0)</f>
        <v>-0</v>
      </c>
      <c r="BN104" s="33" t="n">
        <f aca="false">-In_Commitment_Fee*($E98-SUM($J98:BN98)+BN98)*BN$6*(BN13&gt;0)</f>
        <v>-0</v>
      </c>
      <c r="BO104" s="33" t="n">
        <f aca="false">-In_Commitment_Fee*($E98-SUM($J98:BO98)+BO98)*BO$6*(BO13&gt;0)</f>
        <v>-0</v>
      </c>
      <c r="BP104" s="33" t="n">
        <f aca="false">-In_Commitment_Fee*($E98-SUM($J98:BP98)+BP98)*BP$6*(BP13&gt;0)</f>
        <v>-0</v>
      </c>
      <c r="BQ104" s="33" t="n">
        <f aca="false">-In_Commitment_Fee*($E98-SUM($J98:BQ98)+BQ98)*BQ$6*(BQ13&gt;0)</f>
        <v>-0</v>
      </c>
      <c r="BR104" s="33" t="n">
        <f aca="false">-In_Commitment_Fee*($E98-SUM($J98:BR98)+BR98)*BR$6*(BR13&gt;0)</f>
        <v>-0</v>
      </c>
      <c r="BS104" s="33" t="n">
        <f aca="false">-In_Commitment_Fee*($E98-SUM($J98:BS98)+BS98)*BS$6*(BS13&gt;0)</f>
        <v>-0</v>
      </c>
      <c r="BT104" s="33" t="n">
        <f aca="false">-In_Commitment_Fee*($E98-SUM($J98:BT98)+BT98)*BT$6*(BT13&gt;0)</f>
        <v>-0</v>
      </c>
      <c r="BU104" s="33" t="n">
        <f aca="false">-In_Commitment_Fee*($E98-SUM($J98:BU98)+BU98)*BU$6*(BU13&gt;0)</f>
        <v>-0</v>
      </c>
      <c r="BV104" s="33" t="n">
        <f aca="false">-In_Commitment_Fee*($E98-SUM($J98:BV98)+BV98)*BV$6*(BV13&gt;0)</f>
        <v>-0</v>
      </c>
      <c r="BW104" s="33" t="n">
        <f aca="false">-In_Commitment_Fee*($E98-SUM($J98:BW98)+BW98)*BW$6*(BW13&gt;0)</f>
        <v>-0</v>
      </c>
      <c r="BX104" s="33" t="n">
        <f aca="false">-In_Commitment_Fee*($E98-SUM($J98:BX98)+BX98)*BX$6*(BX13&gt;0)</f>
        <v>-0</v>
      </c>
      <c r="BY104" s="33" t="n">
        <f aca="false">-In_Commitment_Fee*($E98-SUM($J98:BY98)+BY98)*BY$6*(BY13&gt;0)</f>
        <v>-0</v>
      </c>
      <c r="BZ104" s="33" t="n">
        <f aca="false">-In_Commitment_Fee*($E98-SUM($J98:BZ98)+BZ98)*BZ$6*(BZ13&gt;0)</f>
        <v>-0</v>
      </c>
      <c r="CA104" s="33" t="n">
        <f aca="false">-In_Commitment_Fee*($E98-SUM($J98:CA98)+CA98)*CA$6*(CA13&gt;0)</f>
        <v>-0</v>
      </c>
      <c r="CB104" s="33" t="n">
        <f aca="false">-In_Commitment_Fee*($E98-SUM($J98:CB98)+CB98)*CB$6*(CB13&gt;0)</f>
        <v>-0</v>
      </c>
      <c r="CC104" s="33" t="n">
        <f aca="false">-In_Commitment_Fee*($E98-SUM($J98:CC98)+CC98)*CC$6*(CC13&gt;0)</f>
        <v>-0</v>
      </c>
      <c r="CD104" s="33" t="n">
        <f aca="false">-In_Commitment_Fee*($E98-SUM($J98:CD98)+CD98)*CD$6*(CD13&gt;0)</f>
        <v>-0</v>
      </c>
      <c r="CE104" s="33" t="n">
        <f aca="false">-In_Commitment_Fee*($E98-SUM($J98:CE98)+CE98)*CE$6*(CE13&gt;0)</f>
        <v>-0</v>
      </c>
      <c r="CF104" s="33" t="n">
        <f aca="false">-In_Commitment_Fee*($E98-SUM($J98:CF98)+CF98)*CF$6*(CF13&gt;0)</f>
        <v>-0</v>
      </c>
      <c r="CG104" s="33" t="n">
        <f aca="false">-In_Commitment_Fee*($E98-SUM($J98:CG98)+CG98)*CG$6*(CG13&gt;0)</f>
        <v>-0</v>
      </c>
      <c r="CH104" s="33" t="n">
        <f aca="false">-In_Commitment_Fee*($E98-SUM($J98:CH98)+CH98)*CH$6*(CH13&gt;0)</f>
        <v>-0</v>
      </c>
      <c r="CI104" s="33" t="n">
        <f aca="false">-In_Commitment_Fee*($E98-SUM($J98:CI98)+CI98)*CI$6*(CI13&gt;0)</f>
        <v>-0</v>
      </c>
      <c r="CJ104" s="33" t="n">
        <f aca="false">-In_Commitment_Fee*($E98-SUM($J98:CJ98)+CJ98)*CJ$6*(CJ13&gt;0)</f>
        <v>-0</v>
      </c>
      <c r="CK104" s="33" t="n">
        <f aca="false">-In_Commitment_Fee*($E98-SUM($J98:CK98)+CK98)*CK$6*(CK13&gt;0)</f>
        <v>-0</v>
      </c>
      <c r="CL104" s="33" t="n">
        <f aca="false">-In_Commitment_Fee*($E98-SUM($J98:CL98)+CL98)*CL$6*(CL13&gt;0)</f>
        <v>-0</v>
      </c>
      <c r="CM104" s="33" t="n">
        <f aca="false">-In_Commitment_Fee*($E98-SUM($J98:CM98)+CM98)*CM$6*(CM13&gt;0)</f>
        <v>-0</v>
      </c>
      <c r="CN104" s="33" t="n">
        <f aca="false">-In_Commitment_Fee*($E98-SUM($J98:CN98)+CN98)*CN$6*(CN13&gt;0)</f>
        <v>-0</v>
      </c>
      <c r="CO104" s="33" t="n">
        <f aca="false">-In_Commitment_Fee*($E98-SUM($J98:CO98)+CO98)*CO$6*(CO13&gt;0)</f>
        <v>-0</v>
      </c>
      <c r="CP104" s="33" t="n">
        <f aca="false">-In_Commitment_Fee*($E98-SUM($J98:CP98)+CP98)*CP$6*(CP13&gt;0)</f>
        <v>-0</v>
      </c>
      <c r="CQ104" s="33" t="n">
        <f aca="false">-In_Commitment_Fee*($E98-SUM($J98:CQ98)+CQ98)*CQ$6*(CQ13&gt;0)</f>
        <v>-0</v>
      </c>
      <c r="CR104" s="33" t="n">
        <f aca="false">-In_Commitment_Fee*($E98-SUM($J98:CR98)+CR98)*CR$6*(CR13&gt;0)</f>
        <v>-0</v>
      </c>
      <c r="CS104" s="33" t="n">
        <f aca="false">-In_Commitment_Fee*($E98-SUM($J98:CS98)+CS98)*CS$6*(CS13&gt;0)</f>
        <v>-0</v>
      </c>
      <c r="CT104" s="33" t="n">
        <f aca="false">-In_Commitment_Fee*($E98-SUM($J98:CT98)+CT98)*CT$6*(CT13&gt;0)</f>
        <v>-0</v>
      </c>
      <c r="CU104" s="33" t="n">
        <f aca="false">-In_Commitment_Fee*($E98-SUM($J98:CU98)+CU98)*CU$6*(CU13&gt;0)</f>
        <v>-0</v>
      </c>
      <c r="CV104" s="33" t="n">
        <f aca="false">-In_Commitment_Fee*($E98-SUM($J98:CV98)+CV98)*CV$6*(CV13&gt;0)</f>
        <v>-0</v>
      </c>
      <c r="CW104" s="33" t="n">
        <f aca="false">-In_Commitment_Fee*($E98-SUM($J98:CW98)+CW98)*CW$6*(CW13&gt;0)</f>
        <v>-0</v>
      </c>
      <c r="CX104" s="33" t="n">
        <f aca="false">-In_Commitment_Fee*($E98-SUM($J98:CX98)+CX98)*CX$6*(CX13&gt;0)</f>
        <v>-0</v>
      </c>
      <c r="CY104" s="33" t="n">
        <f aca="false">-In_Commitment_Fee*($E98-SUM($J98:CY98)+CY98)*CY$6*(CY13&gt;0)</f>
        <v>-0</v>
      </c>
      <c r="CZ104" s="33" t="n">
        <f aca="false">-In_Commitment_Fee*($E98-SUM($J98:CZ98)+CZ98)*CZ$6*(CZ13&gt;0)</f>
        <v>-0</v>
      </c>
      <c r="DA104" s="33" t="n">
        <f aca="false">-In_Commitment_Fee*($E98-SUM($J98:DA98)+DA98)*DA$6*(DA13&gt;0)</f>
        <v>-0</v>
      </c>
      <c r="DB104" s="33" t="n">
        <f aca="false">-In_Commitment_Fee*($E98-SUM($J98:DB98)+DB98)*DB$6*(DB13&gt;0)</f>
        <v>-0</v>
      </c>
      <c r="DC104" s="33" t="n">
        <f aca="false">-In_Commitment_Fee*($E98-SUM($J98:DC98)+DC98)*DC$6*(DC13&gt;0)</f>
        <v>-0</v>
      </c>
      <c r="DD104" s="33" t="n">
        <f aca="false">-In_Commitment_Fee*($E98-SUM($J98:DD98)+DD98)*DD$6*(DD13&gt;0)</f>
        <v>-0</v>
      </c>
      <c r="DE104" s="33" t="n">
        <f aca="false">-In_Commitment_Fee*($E98-SUM($J98:DE98)+DE98)*DE$6*(DE13&gt;0)</f>
        <v>-0</v>
      </c>
      <c r="DF104" s="33" t="n">
        <f aca="false">-In_Commitment_Fee*($E98-SUM($J98:DF98)+DF98)*DF$6*(DF13&gt;0)</f>
        <v>-0</v>
      </c>
      <c r="DG104" s="33" t="n">
        <f aca="false">-In_Commitment_Fee*($E98-SUM($J98:DG98)+DG98)*DG$6*(DG13&gt;0)</f>
        <v>-0</v>
      </c>
      <c r="DH104" s="33" t="n">
        <f aca="false">-In_Commitment_Fee*($E98-SUM($J98:DH98)+DH98)*DH$6*(DH13&gt;0)</f>
        <v>-0</v>
      </c>
      <c r="DI104" s="33" t="n">
        <f aca="false">-In_Commitment_Fee*($E98-SUM($J98:DI98)+DI98)*DI$6*(DI13&gt;0)</f>
        <v>-0</v>
      </c>
      <c r="DJ104" s="33" t="n">
        <f aca="false">-In_Commitment_Fee*($E98-SUM($J98:DJ98)+DJ98)*DJ$6*(DJ13&gt;0)</f>
        <v>-0</v>
      </c>
      <c r="DK104" s="33" t="n">
        <f aca="false">-In_Commitment_Fee*($E98-SUM($J98:DK98)+DK98)*DK$6*(DK13&gt;0)</f>
        <v>-0</v>
      </c>
      <c r="DL104" s="33" t="n">
        <f aca="false">-In_Commitment_Fee*($E98-SUM($J98:DL98)+DL98)*DL$6*(DL13&gt;0)</f>
        <v>-0</v>
      </c>
      <c r="DM104" s="33" t="n">
        <f aca="false">-In_Commitment_Fee*($E98-SUM($J98:DM98)+DM98)*DM$6*(DM13&gt;0)</f>
        <v>-0</v>
      </c>
      <c r="DN104" s="33" t="n">
        <f aca="false">-In_Commitment_Fee*($E98-SUM($J98:DN98)+DN98)*DN$6*(DN13&gt;0)</f>
        <v>-0</v>
      </c>
      <c r="DO104" s="33" t="n">
        <f aca="false">-In_Commitment_Fee*($E98-SUM($J98:DO98)+DO98)*DO$6*(DO13&gt;0)</f>
        <v>-0</v>
      </c>
      <c r="DP104" s="33" t="n">
        <f aca="false">-In_Commitment_Fee*($E98-SUM($J98:DP98)+DP98)*DP$6*(DP13&gt;0)</f>
        <v>-0</v>
      </c>
      <c r="DQ104" s="33" t="n">
        <f aca="false">-In_Commitment_Fee*($E98-SUM($J98:DQ98)+DQ98)*DQ$6*(DQ13&gt;0)</f>
        <v>-0</v>
      </c>
      <c r="DR104" s="33" t="n">
        <f aca="false">-In_Commitment_Fee*($E98-SUM($J98:DR98)+DR98)*DR$6*(DR13&gt;0)</f>
        <v>-0</v>
      </c>
      <c r="DS104" s="33" t="n">
        <f aca="false">-In_Commitment_Fee*($E98-SUM($J98:DS98)+DS98)*DS$6*(DS13&gt;0)</f>
        <v>-0</v>
      </c>
      <c r="DT104" s="33" t="n">
        <f aca="false">-In_Commitment_Fee*($E98-SUM($J98:DT98)+DT98)*DT$6*(DT13&gt;0)</f>
        <v>-0</v>
      </c>
      <c r="DU104" s="33" t="n">
        <f aca="false">-In_Commitment_Fee*($E98-SUM($J98:DU98)+DU98)*DU$6*(DU13&gt;0)</f>
        <v>-0</v>
      </c>
      <c r="DV104" s="33" t="n">
        <f aca="false">-In_Commitment_Fee*($E98-SUM($J98:DV98)+DV98)*DV$6*(DV13&gt;0)</f>
        <v>-0</v>
      </c>
      <c r="DW104" s="33" t="n">
        <f aca="false">-In_Commitment_Fee*($E98-SUM($J98:DW98)+DW98)*DW$6*(DW13&gt;0)</f>
        <v>-0</v>
      </c>
      <c r="DX104" s="33" t="n">
        <f aca="false">-In_Commitment_Fee*($E98-SUM($J98:DX98)+DX98)*DX$6*(DX13&gt;0)</f>
        <v>-0</v>
      </c>
      <c r="DY104" s="33" t="n">
        <f aca="false">-In_Commitment_Fee*($E98-SUM($J98:DY98)+DY98)*DY$6*(DY13&gt;0)</f>
        <v>-0</v>
      </c>
      <c r="DZ104" s="33" t="n">
        <f aca="false">-In_Commitment_Fee*($E98-SUM($J98:DZ98)+DZ98)*DZ$6*(DZ13&gt;0)</f>
        <v>-0</v>
      </c>
      <c r="EA104" s="33" t="n">
        <f aca="false">-In_Commitment_Fee*($E98-SUM($J98:EA98)+EA98)*EA$6*(EA13&gt;0)</f>
        <v>-0</v>
      </c>
      <c r="EB104" s="33" t="n">
        <f aca="false">-In_Commitment_Fee*($E98-SUM($J98:EB98)+EB98)*EB$6*(EB13&gt;0)</f>
        <v>-0</v>
      </c>
      <c r="EC104" s="33" t="n">
        <f aca="false">-In_Commitment_Fee*($E98-SUM($J98:EC98)+EC98)*EC$6*(EC13&gt;0)</f>
        <v>-0</v>
      </c>
      <c r="ED104" s="33" t="n">
        <f aca="false">-In_Commitment_Fee*($E98-SUM($J98:ED98)+ED98)*ED$6*(ED13&gt;0)</f>
        <v>-0</v>
      </c>
      <c r="EE104" s="33" t="n">
        <f aca="false">-In_Commitment_Fee*($E98-SUM($J98:EE98)+EE98)*EE$6*(EE13&gt;0)</f>
        <v>-0</v>
      </c>
      <c r="EF104" s="33" t="n">
        <f aca="false">-In_Commitment_Fee*($E98-SUM($J98:EF98)+EF98)*EF$6*(EF13&gt;0)</f>
        <v>-0</v>
      </c>
      <c r="EG104" s="33" t="n">
        <f aca="false">-In_Commitment_Fee*($E98-SUM($J98:EG98)+EG98)*EG$6*(EG13&gt;0)</f>
        <v>-0</v>
      </c>
      <c r="EH104" s="33" t="n">
        <f aca="false">-In_Commitment_Fee*($E98-SUM($J98:EH98)+EH98)*EH$6*(EH13&gt;0)</f>
        <v>-0</v>
      </c>
      <c r="EI104" s="33" t="n">
        <f aca="false">-In_Commitment_Fee*($E98-SUM($J98:EI98)+EI98)*EI$6*(EI13&gt;0)</f>
        <v>-0</v>
      </c>
      <c r="EJ104" s="33" t="n">
        <f aca="false">-In_Commitment_Fee*($E98-SUM($J98:EJ98)+EJ98)*EJ$6*(EJ13&gt;0)</f>
        <v>-0</v>
      </c>
      <c r="EK104" s="33" t="n">
        <f aca="false">-In_Commitment_Fee*($E98-SUM($J98:EK98)+EK98)*EK$6*(EK13&gt;0)</f>
        <v>-0</v>
      </c>
      <c r="EL104" s="33" t="n">
        <f aca="false">-In_Commitment_Fee*($E98-SUM($J98:EL98)+EL98)*EL$6*(EL13&gt;0)</f>
        <v>-0</v>
      </c>
      <c r="EM104" s="33" t="n">
        <f aca="false">-In_Commitment_Fee*($E98-SUM($J98:EM98)+EM98)*EM$6*(EM13&gt;0)</f>
        <v>-0</v>
      </c>
      <c r="EN104" s="33" t="n">
        <f aca="false">-In_Commitment_Fee*($E98-SUM($J98:EN98)+EN98)*EN$6*(EN13&gt;0)</f>
        <v>-0</v>
      </c>
      <c r="EO104" s="33" t="n">
        <f aca="false">-In_Commitment_Fee*($E98-SUM($J98:EO98)+EO98)*EO$6*(EO13&gt;0)</f>
        <v>-0</v>
      </c>
      <c r="EP104" s="33" t="n">
        <f aca="false">-In_Commitment_Fee*($E98-SUM($J98:EP98)+EP98)*EP$6*(EP13&gt;0)</f>
        <v>-0</v>
      </c>
      <c r="EQ104" s="33" t="n">
        <f aca="false">-In_Commitment_Fee*($E98-SUM($J98:EQ98)+EQ98)*EQ$6*(EQ13&gt;0)</f>
        <v>-0</v>
      </c>
      <c r="ER104" s="33" t="n">
        <f aca="false">-In_Commitment_Fee*($E98-SUM($J98:ER98)+ER98)*ER$6*(ER13&gt;0)</f>
        <v>-0</v>
      </c>
      <c r="ES104" s="33" t="n">
        <f aca="false">-In_Commitment_Fee*($E98-SUM($J98:ES98)+ES98)*ES$6*(ES13&gt;0)</f>
        <v>-0</v>
      </c>
      <c r="ET104" s="33" t="n">
        <f aca="false">-In_Commitment_Fee*($E98-SUM($J98:ET98)+ET98)*ET$6*(ET13&gt;0)</f>
        <v>-0</v>
      </c>
    </row>
    <row r="105" customFormat="false" ht="15" hidden="false" customHeight="false" outlineLevel="0" collapsed="false">
      <c r="C105" s="30" t="s">
        <v>553</v>
      </c>
      <c r="D105" s="11" t="s">
        <v>247</v>
      </c>
      <c r="I105" s="35" t="n">
        <f aca="false">SUM(J105:ET105)</f>
        <v>-161080.777710614</v>
      </c>
      <c r="J105" s="35" t="n">
        <f aca="false">J94+J53+J95+J103+J104</f>
        <v>-0</v>
      </c>
      <c r="K105" s="35" t="n">
        <f aca="false">K94+K53+K95+K103+K104</f>
        <v>-0</v>
      </c>
      <c r="L105" s="35" t="n">
        <f aca="false">L94+L53+L95+L103+L104</f>
        <v>-0</v>
      </c>
      <c r="M105" s="35" t="n">
        <f aca="false">M94+M53+M95+M103+M104</f>
        <v>-0</v>
      </c>
      <c r="N105" s="35" t="n">
        <f aca="false">N94+N53+N95+N103+N104</f>
        <v>-0</v>
      </c>
      <c r="O105" s="35" t="n">
        <f aca="false">O94+O53+O95+O103+O104</f>
        <v>-0</v>
      </c>
      <c r="P105" s="35" t="n">
        <f aca="false">P94+P53+P95+P103+P104</f>
        <v>-0</v>
      </c>
      <c r="Q105" s="35" t="n">
        <f aca="false">Q94+Q53+Q95+Q103+Q104</f>
        <v>-0</v>
      </c>
      <c r="R105" s="35" t="n">
        <f aca="false">R94+R53+R95+R103+R104</f>
        <v>-0</v>
      </c>
      <c r="S105" s="35" t="n">
        <f aca="false">S94+S53+S95+S103+S104</f>
        <v>-0</v>
      </c>
      <c r="T105" s="35" t="n">
        <f aca="false">T94+T53+T95+T103+T104</f>
        <v>-20179.3874082192</v>
      </c>
      <c r="U105" s="35" t="n">
        <f aca="false">U94+U53+U95+U103+U104</f>
        <v>-0</v>
      </c>
      <c r="V105" s="35" t="n">
        <f aca="false">V94+V53+V95+V103+V104</f>
        <v>-0</v>
      </c>
      <c r="W105" s="35" t="n">
        <f aca="false">W94+W53+W95+W103+W104</f>
        <v>-18675.7440531682</v>
      </c>
      <c r="X105" s="35" t="n">
        <f aca="false">X94+X53+X95+X103+X104</f>
        <v>-16615.5578344714</v>
      </c>
      <c r="Y105" s="35" t="n">
        <f aca="false">Y94+Y53+Y95+Y103+Y104</f>
        <v>-16773.874510463</v>
      </c>
      <c r="Z105" s="35" t="n">
        <f aca="false">Z94+Z53+Z95+Z103+Z104</f>
        <v>-16931.3177099892</v>
      </c>
      <c r="AA105" s="35" t="n">
        <f aca="false">AA94+AA53+AA95+AA103+AA104</f>
        <v>-16904.1371776225</v>
      </c>
      <c r="AB105" s="35" t="n">
        <f aca="false">AB94+AB53+AB95+AB103+AB104</f>
        <v>-16510.0662834023</v>
      </c>
      <c r="AC105" s="35" t="n">
        <f aca="false">AC94+AC53+AC95+AC103+AC104</f>
        <v>-16667.2108310488</v>
      </c>
      <c r="AD105" s="35" t="n">
        <f aca="false">AD94+AD53+AD95+AD103+AD104</f>
        <v>-21823.4819022298</v>
      </c>
      <c r="AE105" s="35" t="n">
        <f aca="false">AE94+AE53+AE95+AE103+AE104</f>
        <v>-0</v>
      </c>
      <c r="AF105" s="35" t="n">
        <f aca="false">AF94+AF53+AF95+AF103+AF104</f>
        <v>-0</v>
      </c>
      <c r="AG105" s="35" t="n">
        <f aca="false">AG94+AG53+AG95+AG103+AG104</f>
        <v>-0</v>
      </c>
      <c r="AH105" s="35" t="n">
        <f aca="false">AH94+AH53+AH95+AH103+AH104</f>
        <v>-0</v>
      </c>
      <c r="AI105" s="35" t="n">
        <f aca="false">AI94+AI53+AI95+AI103+AI104</f>
        <v>-0</v>
      </c>
      <c r="AJ105" s="35" t="n">
        <f aca="false">AJ94+AJ53+AJ95+AJ103+AJ104</f>
        <v>-0</v>
      </c>
      <c r="AK105" s="35" t="n">
        <f aca="false">AK94+AK53+AK95+AK103+AK104</f>
        <v>-0</v>
      </c>
      <c r="AL105" s="35" t="n">
        <f aca="false">AL94+AL53+AL95+AL103+AL104</f>
        <v>-0</v>
      </c>
      <c r="AM105" s="35" t="n">
        <f aca="false">AM94+AM53+AM95+AM103+AM104</f>
        <v>-0</v>
      </c>
      <c r="AN105" s="35" t="n">
        <f aca="false">AN94+AN53+AN95+AN103+AN104</f>
        <v>-0</v>
      </c>
      <c r="AO105" s="35" t="n">
        <f aca="false">AO94+AO53+AO95+AO103+AO104</f>
        <v>-0</v>
      </c>
      <c r="AP105" s="35" t="n">
        <f aca="false">AP94+AP53+AP95+AP103+AP104</f>
        <v>-0</v>
      </c>
      <c r="AQ105" s="35" t="n">
        <f aca="false">AQ94+AQ53+AQ95+AQ103+AQ104</f>
        <v>-0</v>
      </c>
      <c r="AR105" s="35" t="n">
        <f aca="false">AR94+AR53+AR95+AR103+AR104</f>
        <v>-0</v>
      </c>
      <c r="AS105" s="35" t="n">
        <f aca="false">AS94+AS53+AS95+AS103+AS104</f>
        <v>-0</v>
      </c>
      <c r="AT105" s="35" t="n">
        <f aca="false">AT94+AT53+AT95+AT103+AT104</f>
        <v>-0</v>
      </c>
      <c r="AU105" s="35" t="n">
        <f aca="false">AU94+AU53+AU95+AU103+AU104</f>
        <v>-0</v>
      </c>
      <c r="AV105" s="35" t="n">
        <f aca="false">AV94+AV53+AV95+AV103+AV104</f>
        <v>-0</v>
      </c>
      <c r="AW105" s="35" t="n">
        <f aca="false">AW94+AW53+AW95+AW103+AW104</f>
        <v>-0</v>
      </c>
      <c r="AX105" s="35" t="n">
        <f aca="false">AX94+AX53+AX95+AX103+AX104</f>
        <v>-0</v>
      </c>
      <c r="AY105" s="35" t="n">
        <f aca="false">AY94+AY53+AY95+AY103+AY104</f>
        <v>-0</v>
      </c>
      <c r="AZ105" s="35" t="n">
        <f aca="false">AZ94+AZ53+AZ95+AZ103+AZ104</f>
        <v>-0</v>
      </c>
      <c r="BA105" s="35" t="n">
        <f aca="false">BA94+BA53+BA95+BA103+BA104</f>
        <v>-0</v>
      </c>
      <c r="BB105" s="35" t="n">
        <f aca="false">BB94+BB53+BB95+BB103+BB104</f>
        <v>-0</v>
      </c>
      <c r="BC105" s="35" t="n">
        <f aca="false">BC94+BC53+BC95+BC103+BC104</f>
        <v>-0</v>
      </c>
      <c r="BD105" s="35" t="n">
        <f aca="false">BD94+BD53+BD95+BD103+BD104</f>
        <v>-0</v>
      </c>
      <c r="BE105" s="35" t="n">
        <f aca="false">BE94+BE53+BE95+BE103+BE104</f>
        <v>-0</v>
      </c>
      <c r="BF105" s="35" t="n">
        <f aca="false">BF94+BF53+BF95+BF103+BF104</f>
        <v>-0</v>
      </c>
      <c r="BG105" s="35" t="n">
        <f aca="false">BG94+BG53+BG95+BG103+BG104</f>
        <v>-0</v>
      </c>
      <c r="BH105" s="35" t="n">
        <f aca="false">BH94+BH53+BH95+BH103+BH104</f>
        <v>-0</v>
      </c>
      <c r="BI105" s="35" t="n">
        <f aca="false">BI94+BI53+BI95+BI103+BI104</f>
        <v>-0</v>
      </c>
      <c r="BJ105" s="35" t="n">
        <f aca="false">BJ94+BJ53+BJ95+BJ103+BJ104</f>
        <v>-0</v>
      </c>
      <c r="BK105" s="35" t="n">
        <f aca="false">BK94+BK53+BK95+BK103+BK104</f>
        <v>-0</v>
      </c>
      <c r="BL105" s="35" t="n">
        <f aca="false">BL94+BL53+BL95+BL103+BL104</f>
        <v>-0</v>
      </c>
      <c r="BM105" s="35" t="n">
        <f aca="false">BM94+BM53+BM95+BM103+BM104</f>
        <v>-0</v>
      </c>
      <c r="BN105" s="35" t="n">
        <f aca="false">BN94+BN53+BN95+BN103+BN104</f>
        <v>-0</v>
      </c>
      <c r="BO105" s="35" t="n">
        <f aca="false">BO94+BO53+BO95+BO103+BO104</f>
        <v>-0</v>
      </c>
      <c r="BP105" s="35" t="n">
        <f aca="false">BP94+BP53+BP95+BP103+BP104</f>
        <v>-0</v>
      </c>
      <c r="BQ105" s="35" t="n">
        <f aca="false">BQ94+BQ53+BQ95+BQ103+BQ104</f>
        <v>-0</v>
      </c>
      <c r="BR105" s="35" t="n">
        <f aca="false">BR94+BR53+BR95+BR103+BR104</f>
        <v>-0</v>
      </c>
      <c r="BS105" s="35" t="n">
        <f aca="false">BS94+BS53+BS95+BS103+BS104</f>
        <v>-0</v>
      </c>
      <c r="BT105" s="35" t="n">
        <f aca="false">BT94+BT53+BT95+BT103+BT104</f>
        <v>-0</v>
      </c>
      <c r="BU105" s="35" t="n">
        <f aca="false">BU94+BU53+BU95+BU103+BU104</f>
        <v>-0</v>
      </c>
      <c r="BV105" s="35" t="n">
        <f aca="false">BV94+BV53+BV95+BV103+BV104</f>
        <v>-0</v>
      </c>
      <c r="BW105" s="35" t="n">
        <f aca="false">BW94+BW53+BW95+BW103+BW104</f>
        <v>-0</v>
      </c>
      <c r="BX105" s="35" t="n">
        <f aca="false">BX94+BX53+BX95+BX103+BX104</f>
        <v>-0</v>
      </c>
      <c r="BY105" s="35" t="n">
        <f aca="false">BY94+BY53+BY95+BY103+BY104</f>
        <v>-0</v>
      </c>
      <c r="BZ105" s="35" t="n">
        <f aca="false">BZ94+BZ53+BZ95+BZ103+BZ104</f>
        <v>-0</v>
      </c>
      <c r="CA105" s="35" t="n">
        <f aca="false">CA94+CA53+CA95+CA103+CA104</f>
        <v>-0</v>
      </c>
      <c r="CB105" s="35" t="n">
        <f aca="false">CB94+CB53+CB95+CB103+CB104</f>
        <v>-0</v>
      </c>
      <c r="CC105" s="35" t="n">
        <f aca="false">CC94+CC53+CC95+CC103+CC104</f>
        <v>-0</v>
      </c>
      <c r="CD105" s="35" t="n">
        <f aca="false">CD94+CD53+CD95+CD103+CD104</f>
        <v>-0</v>
      </c>
      <c r="CE105" s="35" t="n">
        <f aca="false">CE94+CE53+CE95+CE103+CE104</f>
        <v>-0</v>
      </c>
      <c r="CF105" s="35" t="n">
        <f aca="false">CF94+CF53+CF95+CF103+CF104</f>
        <v>-0</v>
      </c>
      <c r="CG105" s="35" t="n">
        <f aca="false">CG94+CG53+CG95+CG103+CG104</f>
        <v>-0</v>
      </c>
      <c r="CH105" s="35" t="n">
        <f aca="false">CH94+CH53+CH95+CH103+CH104</f>
        <v>-0</v>
      </c>
      <c r="CI105" s="35" t="n">
        <f aca="false">CI94+CI53+CI95+CI103+CI104</f>
        <v>-0</v>
      </c>
      <c r="CJ105" s="35" t="n">
        <f aca="false">CJ94+CJ53+CJ95+CJ103+CJ104</f>
        <v>-0</v>
      </c>
      <c r="CK105" s="35" t="n">
        <f aca="false">CK94+CK53+CK95+CK103+CK104</f>
        <v>-0</v>
      </c>
      <c r="CL105" s="35" t="n">
        <f aca="false">CL94+CL53+CL95+CL103+CL104</f>
        <v>-0</v>
      </c>
      <c r="CM105" s="35" t="n">
        <f aca="false">CM94+CM53+CM95+CM103+CM104</f>
        <v>-0</v>
      </c>
      <c r="CN105" s="35" t="n">
        <f aca="false">CN94+CN53+CN95+CN103+CN104</f>
        <v>-0</v>
      </c>
      <c r="CO105" s="35" t="n">
        <f aca="false">CO94+CO53+CO95+CO103+CO104</f>
        <v>-0</v>
      </c>
      <c r="CP105" s="35" t="n">
        <f aca="false">CP94+CP53+CP95+CP103+CP104</f>
        <v>-0</v>
      </c>
      <c r="CQ105" s="35" t="n">
        <f aca="false">CQ94+CQ53+CQ95+CQ103+CQ104</f>
        <v>-0</v>
      </c>
      <c r="CR105" s="35" t="n">
        <f aca="false">CR94+CR53+CR95+CR103+CR104</f>
        <v>-0</v>
      </c>
      <c r="CS105" s="35" t="n">
        <f aca="false">CS94+CS53+CS95+CS103+CS104</f>
        <v>-0</v>
      </c>
      <c r="CT105" s="35" t="n">
        <f aca="false">CT94+CT53+CT95+CT103+CT104</f>
        <v>-0</v>
      </c>
      <c r="CU105" s="35" t="n">
        <f aca="false">CU94+CU53+CU95+CU103+CU104</f>
        <v>-0</v>
      </c>
      <c r="CV105" s="35" t="n">
        <f aca="false">CV94+CV53+CV95+CV103+CV104</f>
        <v>-0</v>
      </c>
      <c r="CW105" s="35" t="n">
        <f aca="false">CW94+CW53+CW95+CW103+CW104</f>
        <v>-0</v>
      </c>
      <c r="CX105" s="35" t="n">
        <f aca="false">CX94+CX53+CX95+CX103+CX104</f>
        <v>-0</v>
      </c>
      <c r="CY105" s="35" t="n">
        <f aca="false">CY94+CY53+CY95+CY103+CY104</f>
        <v>-0</v>
      </c>
      <c r="CZ105" s="35" t="n">
        <f aca="false">CZ94+CZ53+CZ95+CZ103+CZ104</f>
        <v>-0</v>
      </c>
      <c r="DA105" s="35" t="n">
        <f aca="false">DA94+DA53+DA95+DA103+DA104</f>
        <v>-0</v>
      </c>
      <c r="DB105" s="35" t="n">
        <f aca="false">DB94+DB53+DB95+DB103+DB104</f>
        <v>-0</v>
      </c>
      <c r="DC105" s="35" t="n">
        <f aca="false">DC94+DC53+DC95+DC103+DC104</f>
        <v>-0</v>
      </c>
      <c r="DD105" s="35" t="n">
        <f aca="false">DD94+DD53+DD95+DD103+DD104</f>
        <v>-0</v>
      </c>
      <c r="DE105" s="35" t="n">
        <f aca="false">DE94+DE53+DE95+DE103+DE104</f>
        <v>-0</v>
      </c>
      <c r="DF105" s="35" t="n">
        <f aca="false">DF94+DF53+DF95+DF103+DF104</f>
        <v>-0</v>
      </c>
      <c r="DG105" s="35" t="n">
        <f aca="false">DG94+DG53+DG95+DG103+DG104</f>
        <v>-0</v>
      </c>
      <c r="DH105" s="35" t="n">
        <f aca="false">DH94+DH53+DH95+DH103+DH104</f>
        <v>-0</v>
      </c>
      <c r="DI105" s="35" t="n">
        <f aca="false">DI94+DI53+DI95+DI103+DI104</f>
        <v>-0</v>
      </c>
      <c r="DJ105" s="35" t="n">
        <f aca="false">DJ94+DJ53+DJ95+DJ103+DJ104</f>
        <v>-0</v>
      </c>
      <c r="DK105" s="35" t="n">
        <f aca="false">DK94+DK53+DK95+DK103+DK104</f>
        <v>-0</v>
      </c>
      <c r="DL105" s="35" t="n">
        <f aca="false">DL94+DL53+DL95+DL103+DL104</f>
        <v>-0</v>
      </c>
      <c r="DM105" s="35" t="n">
        <f aca="false">DM94+DM53+DM95+DM103+DM104</f>
        <v>-0</v>
      </c>
      <c r="DN105" s="35" t="n">
        <f aca="false">DN94+DN53+DN95+DN103+DN104</f>
        <v>-0</v>
      </c>
      <c r="DO105" s="35" t="n">
        <f aca="false">DO94+DO53+DO95+DO103+DO104</f>
        <v>-0</v>
      </c>
      <c r="DP105" s="35" t="n">
        <f aca="false">DP94+DP53+DP95+DP103+DP104</f>
        <v>-0</v>
      </c>
      <c r="DQ105" s="35" t="n">
        <f aca="false">DQ94+DQ53+DQ95+DQ103+DQ104</f>
        <v>-0</v>
      </c>
      <c r="DR105" s="35" t="n">
        <f aca="false">DR94+DR53+DR95+DR103+DR104</f>
        <v>-0</v>
      </c>
      <c r="DS105" s="35" t="n">
        <f aca="false">DS94+DS53+DS95+DS103+DS104</f>
        <v>-0</v>
      </c>
      <c r="DT105" s="35" t="n">
        <f aca="false">DT94+DT53+DT95+DT103+DT104</f>
        <v>-0</v>
      </c>
      <c r="DU105" s="35" t="n">
        <f aca="false">DU94+DU53+DU95+DU103+DU104</f>
        <v>-0</v>
      </c>
      <c r="DV105" s="35" t="n">
        <f aca="false">DV94+DV53+DV95+DV103+DV104</f>
        <v>-0</v>
      </c>
      <c r="DW105" s="35" t="n">
        <f aca="false">DW94+DW53+DW95+DW103+DW104</f>
        <v>-0</v>
      </c>
      <c r="DX105" s="35" t="n">
        <f aca="false">DX94+DX53+DX95+DX103+DX104</f>
        <v>-0</v>
      </c>
      <c r="DY105" s="35" t="n">
        <f aca="false">DY94+DY53+DY95+DY103+DY104</f>
        <v>-0</v>
      </c>
      <c r="DZ105" s="35" t="n">
        <f aca="false">DZ94+DZ53+DZ95+DZ103+DZ104</f>
        <v>-0</v>
      </c>
      <c r="EA105" s="35" t="n">
        <f aca="false">EA94+EA53+EA95+EA103+EA104</f>
        <v>-0</v>
      </c>
      <c r="EB105" s="35" t="n">
        <f aca="false">EB94+EB53+EB95+EB103+EB104</f>
        <v>-0</v>
      </c>
      <c r="EC105" s="35" t="n">
        <f aca="false">EC94+EC53+EC95+EC103+EC104</f>
        <v>-0</v>
      </c>
      <c r="ED105" s="35" t="n">
        <f aca="false">ED94+ED53+ED95+ED103+ED104</f>
        <v>-0</v>
      </c>
      <c r="EE105" s="35" t="n">
        <f aca="false">EE94+EE53+EE95+EE103+EE104</f>
        <v>-0</v>
      </c>
      <c r="EF105" s="35" t="n">
        <f aca="false">EF94+EF53+EF95+EF103+EF104</f>
        <v>-0</v>
      </c>
      <c r="EG105" s="35" t="n">
        <f aca="false">EG94+EG53+EG95+EG103+EG104</f>
        <v>-0</v>
      </c>
      <c r="EH105" s="35" t="n">
        <f aca="false">EH94+EH53+EH95+EH103+EH104</f>
        <v>-0</v>
      </c>
      <c r="EI105" s="35" t="n">
        <f aca="false">EI94+EI53+EI95+EI103+EI104</f>
        <v>-0</v>
      </c>
      <c r="EJ105" s="35" t="n">
        <f aca="false">EJ94+EJ53+EJ95+EJ103+EJ104</f>
        <v>-0</v>
      </c>
      <c r="EK105" s="35" t="n">
        <f aca="false">EK94+EK53+EK95+EK103+EK104</f>
        <v>-0</v>
      </c>
      <c r="EL105" s="35" t="n">
        <f aca="false">EL94+EL53+EL95+EL103+EL104</f>
        <v>-0</v>
      </c>
      <c r="EM105" s="35" t="n">
        <f aca="false">EM94+EM53+EM95+EM103+EM104</f>
        <v>-0</v>
      </c>
      <c r="EN105" s="35" t="n">
        <f aca="false">EN94+EN53+EN95+EN103+EN104</f>
        <v>-0</v>
      </c>
      <c r="EO105" s="35" t="n">
        <f aca="false">EO94+EO53+EO95+EO103+EO104</f>
        <v>-0</v>
      </c>
      <c r="EP105" s="35" t="n">
        <f aca="false">EP94+EP53+EP95+EP103+EP104</f>
        <v>-0</v>
      </c>
      <c r="EQ105" s="35" t="n">
        <f aca="false">EQ94+EQ53+EQ95+EQ103+EQ104</f>
        <v>-0</v>
      </c>
      <c r="ER105" s="35" t="n">
        <f aca="false">ER94+ER53+ER95+ER103+ER104</f>
        <v>-0</v>
      </c>
      <c r="ES105" s="35" t="n">
        <f aca="false">ES94+ES53+ES95+ES103+ES104</f>
        <v>-0</v>
      </c>
      <c r="ET105" s="35" t="n">
        <f aca="false">ET94+ET53+ET95+ET103+ET104</f>
        <v>-0</v>
      </c>
    </row>
    <row r="107" customFormat="false" ht="15" hidden="false" customHeight="false" outlineLevel="0" collapsed="false">
      <c r="A107" s="9" t="s">
        <v>13</v>
      </c>
      <c r="B107" s="9"/>
      <c r="C107" s="9" t="s">
        <v>364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</row>
    <row r="108" customFormat="false" ht="15" hidden="false" customHeight="false" outlineLevel="0" collapsed="false">
      <c r="C108" s="0" t="s">
        <v>554</v>
      </c>
      <c r="D108" s="11" t="s">
        <v>205</v>
      </c>
      <c r="J108" s="42" t="n">
        <f aca="false">ROUNDUP(YEARFRAC(In_COD,J$4),0)*(J$4&gt;In_COD)</f>
        <v>0</v>
      </c>
      <c r="K108" s="42" t="n">
        <f aca="false">ROUNDUP(YEARFRAC(In_COD,K$4),0)*(K$4&gt;In_COD)</f>
        <v>0</v>
      </c>
      <c r="L108" s="42" t="n">
        <f aca="false">ROUNDUP(YEARFRAC(In_COD,L$4),0)*(L$4&gt;In_COD)</f>
        <v>0</v>
      </c>
      <c r="M108" s="42" t="n">
        <f aca="false">ROUNDUP(YEARFRAC(In_COD,M$4),0)*(M$4&gt;In_COD)</f>
        <v>0</v>
      </c>
      <c r="N108" s="42" t="n">
        <f aca="false">ROUNDUP(YEARFRAC(In_COD,N$4),0)*(N$4&gt;In_COD)</f>
        <v>0</v>
      </c>
      <c r="O108" s="42" t="n">
        <f aca="false">ROUNDUP(YEARFRAC(In_COD,O$4),0)*(O$4&gt;In_COD)</f>
        <v>0</v>
      </c>
      <c r="P108" s="42" t="n">
        <f aca="false">ROUNDUP(YEARFRAC(In_COD,P$4),0)*(P$4&gt;In_COD)</f>
        <v>0</v>
      </c>
      <c r="Q108" s="42" t="n">
        <f aca="false">ROUNDUP(YEARFRAC(In_COD,Q$4),0)*(Q$4&gt;In_COD)</f>
        <v>0</v>
      </c>
      <c r="R108" s="42" t="n">
        <f aca="false">ROUNDUP(YEARFRAC(In_COD,R$4),0)*(R$4&gt;In_COD)</f>
        <v>0</v>
      </c>
      <c r="S108" s="42" t="n">
        <f aca="false">ROUNDUP(YEARFRAC(In_COD,S$4),0)*(S$4&gt;In_COD)</f>
        <v>0</v>
      </c>
      <c r="T108" s="42" t="n">
        <f aca="false">ROUNDUP(YEARFRAC(In_COD,T$4),0)*(T$4&gt;In_COD)</f>
        <v>0</v>
      </c>
      <c r="U108" s="42" t="n">
        <f aca="false">ROUNDUP(YEARFRAC(In_COD,U$4),0)*(U$4&gt;In_COD)</f>
        <v>0</v>
      </c>
      <c r="V108" s="42" t="n">
        <f aca="false">ROUNDUP(YEARFRAC(In_COD,V$4),0)*(V$4&gt;In_COD)</f>
        <v>0</v>
      </c>
      <c r="W108" s="42" t="n">
        <f aca="false">ROUNDUP(YEARFRAC(In_COD,W$4),0)*(W$4&gt;In_COD)</f>
        <v>0</v>
      </c>
      <c r="X108" s="42" t="n">
        <f aca="false">ROUNDUP(YEARFRAC(In_COD,X$4),0)*(X$4&gt;In_COD)</f>
        <v>0</v>
      </c>
      <c r="Y108" s="42" t="n">
        <f aca="false">ROUNDUP(YEARFRAC(In_COD,Y$4),0)*(Y$4&gt;In_COD)</f>
        <v>0</v>
      </c>
      <c r="Z108" s="42" t="n">
        <f aca="false">ROUNDUP(YEARFRAC(In_COD,Z$4),0)*(Z$4&gt;In_COD)</f>
        <v>0</v>
      </c>
      <c r="AA108" s="42" t="n">
        <f aca="false">ROUNDUP(YEARFRAC(In_COD,AA$4),0)*(AA$4&gt;In_COD)</f>
        <v>0</v>
      </c>
      <c r="AB108" s="42" t="n">
        <f aca="false">ROUNDUP(YEARFRAC(In_COD,AB$4),0)*(AB$4&gt;In_COD)</f>
        <v>0</v>
      </c>
      <c r="AC108" s="42" t="n">
        <f aca="false">ROUNDUP(YEARFRAC(In_COD,AC$4),0)*(AC$4&gt;In_COD)</f>
        <v>0</v>
      </c>
      <c r="AD108" s="42" t="n">
        <f aca="false">ROUNDUP(YEARFRAC(In_COD,AD$4),0)*(AD$4&gt;In_COD)</f>
        <v>0</v>
      </c>
      <c r="AE108" s="42" t="n">
        <f aca="false">ROUNDUP(YEARFRAC(In_COD,AE$4),0)*(AE$4&gt;In_COD)</f>
        <v>1</v>
      </c>
      <c r="AF108" s="42" t="n">
        <f aca="false">ROUNDUP(YEARFRAC(In_COD,AF$4),0)*(AF$4&gt;In_COD)</f>
        <v>1</v>
      </c>
      <c r="AG108" s="42" t="n">
        <f aca="false">ROUNDUP(YEARFRAC(In_COD,AG$4),0)*(AG$4&gt;In_COD)</f>
        <v>1</v>
      </c>
      <c r="AH108" s="42" t="n">
        <f aca="false">ROUNDUP(YEARFRAC(In_COD,AH$4),0)*(AH$4&gt;In_COD)</f>
        <v>1</v>
      </c>
      <c r="AI108" s="42" t="n">
        <f aca="false">ROUNDUP(YEARFRAC(In_COD,AI$4),0)*(AI$4&gt;In_COD)</f>
        <v>2</v>
      </c>
      <c r="AJ108" s="42" t="n">
        <f aca="false">ROUNDUP(YEARFRAC(In_COD,AJ$4),0)*(AJ$4&gt;In_COD)</f>
        <v>2</v>
      </c>
      <c r="AK108" s="42" t="n">
        <f aca="false">ROUNDUP(YEARFRAC(In_COD,AK$4),0)*(AK$4&gt;In_COD)</f>
        <v>2</v>
      </c>
      <c r="AL108" s="42" t="n">
        <f aca="false">ROUNDUP(YEARFRAC(In_COD,AL$4),0)*(AL$4&gt;In_COD)</f>
        <v>2</v>
      </c>
      <c r="AM108" s="42" t="n">
        <f aca="false">ROUNDUP(YEARFRAC(In_COD,AM$4),0)*(AM$4&gt;In_COD)</f>
        <v>3</v>
      </c>
      <c r="AN108" s="42" t="n">
        <f aca="false">ROUNDUP(YEARFRAC(In_COD,AN$4),0)*(AN$4&gt;In_COD)</f>
        <v>3</v>
      </c>
      <c r="AO108" s="42" t="n">
        <f aca="false">ROUNDUP(YEARFRAC(In_COD,AO$4),0)*(AO$4&gt;In_COD)</f>
        <v>3</v>
      </c>
      <c r="AP108" s="42" t="n">
        <f aca="false">ROUNDUP(YEARFRAC(In_COD,AP$4),0)*(AP$4&gt;In_COD)</f>
        <v>3</v>
      </c>
      <c r="AQ108" s="42" t="n">
        <f aca="false">ROUNDUP(YEARFRAC(In_COD,AQ$4),0)*(AQ$4&gt;In_COD)</f>
        <v>4</v>
      </c>
      <c r="AR108" s="42" t="n">
        <f aca="false">ROUNDUP(YEARFRAC(In_COD,AR$4),0)*(AR$4&gt;In_COD)</f>
        <v>4</v>
      </c>
      <c r="AS108" s="42" t="n">
        <f aca="false">ROUNDUP(YEARFRAC(In_COD,AS$4),0)*(AS$4&gt;In_COD)</f>
        <v>4</v>
      </c>
      <c r="AT108" s="42" t="n">
        <f aca="false">ROUNDUP(YEARFRAC(In_COD,AT$4),0)*(AT$4&gt;In_COD)</f>
        <v>4</v>
      </c>
      <c r="AU108" s="42" t="n">
        <f aca="false">ROUNDUP(YEARFRAC(In_COD,AU$4),0)*(AU$4&gt;In_COD)</f>
        <v>5</v>
      </c>
      <c r="AV108" s="42" t="n">
        <f aca="false">ROUNDUP(YEARFRAC(In_COD,AV$4),0)*(AV$4&gt;In_COD)</f>
        <v>5</v>
      </c>
      <c r="AW108" s="42" t="n">
        <f aca="false">ROUNDUP(YEARFRAC(In_COD,AW$4),0)*(AW$4&gt;In_COD)</f>
        <v>5</v>
      </c>
      <c r="AX108" s="42" t="n">
        <f aca="false">ROUNDUP(YEARFRAC(In_COD,AX$4),0)*(AX$4&gt;In_COD)</f>
        <v>5</v>
      </c>
      <c r="AY108" s="42" t="n">
        <f aca="false">ROUNDUP(YEARFRAC(In_COD,AY$4),0)*(AY$4&gt;In_COD)</f>
        <v>6</v>
      </c>
      <c r="AZ108" s="42" t="n">
        <f aca="false">ROUNDUP(YEARFRAC(In_COD,AZ$4),0)*(AZ$4&gt;In_COD)</f>
        <v>6</v>
      </c>
      <c r="BA108" s="42" t="n">
        <f aca="false">ROUNDUP(YEARFRAC(In_COD,BA$4),0)*(BA$4&gt;In_COD)</f>
        <v>6</v>
      </c>
      <c r="BB108" s="42" t="n">
        <f aca="false">ROUNDUP(YEARFRAC(In_COD,BB$4),0)*(BB$4&gt;In_COD)</f>
        <v>6</v>
      </c>
      <c r="BC108" s="42" t="n">
        <f aca="false">ROUNDUP(YEARFRAC(In_COD,BC$4),0)*(BC$4&gt;In_COD)</f>
        <v>7</v>
      </c>
      <c r="BD108" s="42" t="n">
        <f aca="false">ROUNDUP(YEARFRAC(In_COD,BD$4),0)*(BD$4&gt;In_COD)</f>
        <v>7</v>
      </c>
      <c r="BE108" s="42" t="n">
        <f aca="false">ROUNDUP(YEARFRAC(In_COD,BE$4),0)*(BE$4&gt;In_COD)</f>
        <v>7</v>
      </c>
      <c r="BF108" s="42" t="n">
        <f aca="false">ROUNDUP(YEARFRAC(In_COD,BF$4),0)*(BF$4&gt;In_COD)</f>
        <v>7</v>
      </c>
      <c r="BG108" s="42" t="n">
        <f aca="false">ROUNDUP(YEARFRAC(In_COD,BG$4),0)*(BG$4&gt;In_COD)</f>
        <v>8</v>
      </c>
      <c r="BH108" s="42" t="n">
        <f aca="false">ROUNDUP(YEARFRAC(In_COD,BH$4),0)*(BH$4&gt;In_COD)</f>
        <v>8</v>
      </c>
      <c r="BI108" s="42" t="n">
        <f aca="false">ROUNDUP(YEARFRAC(In_COD,BI$4),0)*(BI$4&gt;In_COD)</f>
        <v>8</v>
      </c>
      <c r="BJ108" s="42" t="n">
        <f aca="false">ROUNDUP(YEARFRAC(In_COD,BJ$4),0)*(BJ$4&gt;In_COD)</f>
        <v>8</v>
      </c>
      <c r="BK108" s="42" t="n">
        <f aca="false">ROUNDUP(YEARFRAC(In_COD,BK$4),0)*(BK$4&gt;In_COD)</f>
        <v>9</v>
      </c>
      <c r="BL108" s="42" t="n">
        <f aca="false">ROUNDUP(YEARFRAC(In_COD,BL$4),0)*(BL$4&gt;In_COD)</f>
        <v>9</v>
      </c>
      <c r="BM108" s="42" t="n">
        <f aca="false">ROUNDUP(YEARFRAC(In_COD,BM$4),0)*(BM$4&gt;In_COD)</f>
        <v>9</v>
      </c>
      <c r="BN108" s="42" t="n">
        <f aca="false">ROUNDUP(YEARFRAC(In_COD,BN$4),0)*(BN$4&gt;In_COD)</f>
        <v>9</v>
      </c>
      <c r="BO108" s="42" t="n">
        <f aca="false">ROUNDUP(YEARFRAC(In_COD,BO$4),0)*(BO$4&gt;In_COD)</f>
        <v>10</v>
      </c>
      <c r="BP108" s="42" t="n">
        <f aca="false">ROUNDUP(YEARFRAC(In_COD,BP$4),0)*(BP$4&gt;In_COD)</f>
        <v>10</v>
      </c>
      <c r="BQ108" s="42" t="n">
        <f aca="false">ROUNDUP(YEARFRAC(In_COD,BQ$4),0)*(BQ$4&gt;In_COD)</f>
        <v>10</v>
      </c>
      <c r="BR108" s="42" t="n">
        <f aca="false">ROUNDUP(YEARFRAC(In_COD,BR$4),0)*(BR$4&gt;In_COD)</f>
        <v>10</v>
      </c>
      <c r="BS108" s="42" t="n">
        <f aca="false">ROUNDUP(YEARFRAC(In_COD,BS$4),0)*(BS$4&gt;In_COD)</f>
        <v>11</v>
      </c>
      <c r="BT108" s="42" t="n">
        <f aca="false">ROUNDUP(YEARFRAC(In_COD,BT$4),0)*(BT$4&gt;In_COD)</f>
        <v>11</v>
      </c>
      <c r="BU108" s="42" t="n">
        <f aca="false">ROUNDUP(YEARFRAC(In_COD,BU$4),0)*(BU$4&gt;In_COD)</f>
        <v>11</v>
      </c>
      <c r="BV108" s="42" t="n">
        <f aca="false">ROUNDUP(YEARFRAC(In_COD,BV$4),0)*(BV$4&gt;In_COD)</f>
        <v>11</v>
      </c>
      <c r="BW108" s="42" t="n">
        <f aca="false">ROUNDUP(YEARFRAC(In_COD,BW$4),0)*(BW$4&gt;In_COD)</f>
        <v>12</v>
      </c>
      <c r="BX108" s="42" t="n">
        <f aca="false">ROUNDUP(YEARFRAC(In_COD,BX$4),0)*(BX$4&gt;In_COD)</f>
        <v>12</v>
      </c>
      <c r="BY108" s="42" t="n">
        <f aca="false">ROUNDUP(YEARFRAC(In_COD,BY$4),0)*(BY$4&gt;In_COD)</f>
        <v>12</v>
      </c>
      <c r="BZ108" s="42" t="n">
        <f aca="false">ROUNDUP(YEARFRAC(In_COD,BZ$4),0)*(BZ$4&gt;In_COD)</f>
        <v>12</v>
      </c>
      <c r="CA108" s="42" t="n">
        <f aca="false">ROUNDUP(YEARFRAC(In_COD,CA$4),0)*(CA$4&gt;In_COD)</f>
        <v>13</v>
      </c>
      <c r="CB108" s="42" t="n">
        <f aca="false">ROUNDUP(YEARFRAC(In_COD,CB$4),0)*(CB$4&gt;In_COD)</f>
        <v>13</v>
      </c>
      <c r="CC108" s="42" t="n">
        <f aca="false">ROUNDUP(YEARFRAC(In_COD,CC$4),0)*(CC$4&gt;In_COD)</f>
        <v>13</v>
      </c>
      <c r="CD108" s="42" t="n">
        <f aca="false">ROUNDUP(YEARFRAC(In_COD,CD$4),0)*(CD$4&gt;In_COD)</f>
        <v>13</v>
      </c>
      <c r="CE108" s="42" t="n">
        <f aca="false">ROUNDUP(YEARFRAC(In_COD,CE$4),0)*(CE$4&gt;In_COD)</f>
        <v>14</v>
      </c>
      <c r="CF108" s="42" t="n">
        <f aca="false">ROUNDUP(YEARFRAC(In_COD,CF$4),0)*(CF$4&gt;In_COD)</f>
        <v>14</v>
      </c>
      <c r="CG108" s="42" t="n">
        <f aca="false">ROUNDUP(YEARFRAC(In_COD,CG$4),0)*(CG$4&gt;In_COD)</f>
        <v>14</v>
      </c>
      <c r="CH108" s="42" t="n">
        <f aca="false">ROUNDUP(YEARFRAC(In_COD,CH$4),0)*(CH$4&gt;In_COD)</f>
        <v>14</v>
      </c>
      <c r="CI108" s="42" t="n">
        <f aca="false">ROUNDUP(YEARFRAC(In_COD,CI$4),0)*(CI$4&gt;In_COD)</f>
        <v>15</v>
      </c>
      <c r="CJ108" s="42" t="n">
        <f aca="false">ROUNDUP(YEARFRAC(In_COD,CJ$4),0)*(CJ$4&gt;In_COD)</f>
        <v>15</v>
      </c>
      <c r="CK108" s="42" t="n">
        <f aca="false">ROUNDUP(YEARFRAC(In_COD,CK$4),0)*(CK$4&gt;In_COD)</f>
        <v>15</v>
      </c>
      <c r="CL108" s="42" t="n">
        <f aca="false">ROUNDUP(YEARFRAC(In_COD,CL$4),0)*(CL$4&gt;In_COD)</f>
        <v>15</v>
      </c>
      <c r="CM108" s="42" t="n">
        <f aca="false">ROUNDUP(YEARFRAC(In_COD,CM$4),0)*(CM$4&gt;In_COD)</f>
        <v>16</v>
      </c>
      <c r="CN108" s="42" t="n">
        <f aca="false">ROUNDUP(YEARFRAC(In_COD,CN$4),0)*(CN$4&gt;In_COD)</f>
        <v>16</v>
      </c>
      <c r="CO108" s="42" t="n">
        <f aca="false">ROUNDUP(YEARFRAC(In_COD,CO$4),0)*(CO$4&gt;In_COD)</f>
        <v>16</v>
      </c>
      <c r="CP108" s="42" t="n">
        <f aca="false">ROUNDUP(YEARFRAC(In_COD,CP$4),0)*(CP$4&gt;In_COD)</f>
        <v>16</v>
      </c>
      <c r="CQ108" s="42" t="n">
        <f aca="false">ROUNDUP(YEARFRAC(In_COD,CQ$4),0)*(CQ$4&gt;In_COD)</f>
        <v>17</v>
      </c>
      <c r="CR108" s="42" t="n">
        <f aca="false">ROUNDUP(YEARFRAC(In_COD,CR$4),0)*(CR$4&gt;In_COD)</f>
        <v>17</v>
      </c>
      <c r="CS108" s="42" t="n">
        <f aca="false">ROUNDUP(YEARFRAC(In_COD,CS$4),0)*(CS$4&gt;In_COD)</f>
        <v>17</v>
      </c>
      <c r="CT108" s="42" t="n">
        <f aca="false">ROUNDUP(YEARFRAC(In_COD,CT$4),0)*(CT$4&gt;In_COD)</f>
        <v>17</v>
      </c>
      <c r="CU108" s="42" t="n">
        <f aca="false">ROUNDUP(YEARFRAC(In_COD,CU$4),0)*(CU$4&gt;In_COD)</f>
        <v>18</v>
      </c>
      <c r="CV108" s="42" t="n">
        <f aca="false">ROUNDUP(YEARFRAC(In_COD,CV$4),0)*(CV$4&gt;In_COD)</f>
        <v>18</v>
      </c>
      <c r="CW108" s="42" t="n">
        <f aca="false">ROUNDUP(YEARFRAC(In_COD,CW$4),0)*(CW$4&gt;In_COD)</f>
        <v>18</v>
      </c>
      <c r="CX108" s="42" t="n">
        <f aca="false">ROUNDUP(YEARFRAC(In_COD,CX$4),0)*(CX$4&gt;In_COD)</f>
        <v>18</v>
      </c>
      <c r="CY108" s="42" t="n">
        <f aca="false">ROUNDUP(YEARFRAC(In_COD,CY$4),0)*(CY$4&gt;In_COD)</f>
        <v>19</v>
      </c>
      <c r="CZ108" s="42" t="n">
        <f aca="false">ROUNDUP(YEARFRAC(In_COD,CZ$4),0)*(CZ$4&gt;In_COD)</f>
        <v>19</v>
      </c>
      <c r="DA108" s="42" t="n">
        <f aca="false">ROUNDUP(YEARFRAC(In_COD,DA$4),0)*(DA$4&gt;In_COD)</f>
        <v>19</v>
      </c>
      <c r="DB108" s="42" t="n">
        <f aca="false">ROUNDUP(YEARFRAC(In_COD,DB$4),0)*(DB$4&gt;In_COD)</f>
        <v>19</v>
      </c>
      <c r="DC108" s="42" t="n">
        <f aca="false">ROUNDUP(YEARFRAC(In_COD,DC$4),0)*(DC$4&gt;In_COD)</f>
        <v>20</v>
      </c>
      <c r="DD108" s="42" t="n">
        <f aca="false">ROUNDUP(YEARFRAC(In_COD,DD$4),0)*(DD$4&gt;In_COD)</f>
        <v>20</v>
      </c>
      <c r="DE108" s="42" t="n">
        <f aca="false">ROUNDUP(YEARFRAC(In_COD,DE$4),0)*(DE$4&gt;In_COD)</f>
        <v>20</v>
      </c>
      <c r="DF108" s="42" t="n">
        <f aca="false">ROUNDUP(YEARFRAC(In_COD,DF$4),0)*(DF$4&gt;In_COD)</f>
        <v>20</v>
      </c>
      <c r="DG108" s="42" t="n">
        <f aca="false">ROUNDUP(YEARFRAC(In_COD,DG$4),0)*(DG$4&gt;In_COD)</f>
        <v>21</v>
      </c>
      <c r="DH108" s="42" t="n">
        <f aca="false">ROUNDUP(YEARFRAC(In_COD,DH$4),0)*(DH$4&gt;In_COD)</f>
        <v>21</v>
      </c>
      <c r="DI108" s="42" t="n">
        <f aca="false">ROUNDUP(YEARFRAC(In_COD,DI$4),0)*(DI$4&gt;In_COD)</f>
        <v>21</v>
      </c>
      <c r="DJ108" s="42" t="n">
        <f aca="false">ROUNDUP(YEARFRAC(In_COD,DJ$4),0)*(DJ$4&gt;In_COD)</f>
        <v>21</v>
      </c>
      <c r="DK108" s="42" t="n">
        <f aca="false">ROUNDUP(YEARFRAC(In_COD,DK$4),0)*(DK$4&gt;In_COD)</f>
        <v>22</v>
      </c>
      <c r="DL108" s="42" t="n">
        <f aca="false">ROUNDUP(YEARFRAC(In_COD,DL$4),0)*(DL$4&gt;In_COD)</f>
        <v>22</v>
      </c>
      <c r="DM108" s="42" t="n">
        <f aca="false">ROUNDUP(YEARFRAC(In_COD,DM$4),0)*(DM$4&gt;In_COD)</f>
        <v>22</v>
      </c>
      <c r="DN108" s="42" t="n">
        <f aca="false">ROUNDUP(YEARFRAC(In_COD,DN$4),0)*(DN$4&gt;In_COD)</f>
        <v>22</v>
      </c>
      <c r="DO108" s="42" t="n">
        <f aca="false">ROUNDUP(YEARFRAC(In_COD,DO$4),0)*(DO$4&gt;In_COD)</f>
        <v>23</v>
      </c>
      <c r="DP108" s="42" t="n">
        <f aca="false">ROUNDUP(YEARFRAC(In_COD,DP$4),0)*(DP$4&gt;In_COD)</f>
        <v>23</v>
      </c>
      <c r="DQ108" s="42" t="n">
        <f aca="false">ROUNDUP(YEARFRAC(In_COD,DQ$4),0)*(DQ$4&gt;In_COD)</f>
        <v>23</v>
      </c>
      <c r="DR108" s="42" t="n">
        <f aca="false">ROUNDUP(YEARFRAC(In_COD,DR$4),0)*(DR$4&gt;In_COD)</f>
        <v>23</v>
      </c>
      <c r="DS108" s="42" t="n">
        <f aca="false">ROUNDUP(YEARFRAC(In_COD,DS$4),0)*(DS$4&gt;In_COD)</f>
        <v>24</v>
      </c>
      <c r="DT108" s="42" t="n">
        <f aca="false">ROUNDUP(YEARFRAC(In_COD,DT$4),0)*(DT$4&gt;In_COD)</f>
        <v>24</v>
      </c>
      <c r="DU108" s="42" t="n">
        <f aca="false">ROUNDUP(YEARFRAC(In_COD,DU$4),0)*(DU$4&gt;In_COD)</f>
        <v>24</v>
      </c>
      <c r="DV108" s="42" t="n">
        <f aca="false">ROUNDUP(YEARFRAC(In_COD,DV$4),0)*(DV$4&gt;In_COD)</f>
        <v>24</v>
      </c>
      <c r="DW108" s="42" t="n">
        <f aca="false">ROUNDUP(YEARFRAC(In_COD,DW$4),0)*(DW$4&gt;In_COD)</f>
        <v>25</v>
      </c>
      <c r="DX108" s="42" t="n">
        <f aca="false">ROUNDUP(YEARFRAC(In_COD,DX$4),0)*(DX$4&gt;In_COD)</f>
        <v>25</v>
      </c>
      <c r="DY108" s="42" t="n">
        <f aca="false">ROUNDUP(YEARFRAC(In_COD,DY$4),0)*(DY$4&gt;In_COD)</f>
        <v>25</v>
      </c>
      <c r="DZ108" s="42" t="n">
        <f aca="false">ROUNDUP(YEARFRAC(In_COD,DZ$4),0)*(DZ$4&gt;In_COD)</f>
        <v>25</v>
      </c>
      <c r="EA108" s="42" t="n">
        <f aca="false">ROUNDUP(YEARFRAC(In_COD,EA$4),0)*(EA$4&gt;In_COD)</f>
        <v>26</v>
      </c>
      <c r="EB108" s="42" t="n">
        <f aca="false">ROUNDUP(YEARFRAC(In_COD,EB$4),0)*(EB$4&gt;In_COD)</f>
        <v>26</v>
      </c>
      <c r="EC108" s="42" t="n">
        <f aca="false">ROUNDUP(YEARFRAC(In_COD,EC$4),0)*(EC$4&gt;In_COD)</f>
        <v>26</v>
      </c>
      <c r="ED108" s="42" t="n">
        <f aca="false">ROUNDUP(YEARFRAC(In_COD,ED$4),0)*(ED$4&gt;In_COD)</f>
        <v>26</v>
      </c>
      <c r="EE108" s="42" t="n">
        <f aca="false">ROUNDUP(YEARFRAC(In_COD,EE$4),0)*(EE$4&gt;In_COD)</f>
        <v>27</v>
      </c>
      <c r="EF108" s="42" t="n">
        <f aca="false">ROUNDUP(YEARFRAC(In_COD,EF$4),0)*(EF$4&gt;In_COD)</f>
        <v>27</v>
      </c>
      <c r="EG108" s="42" t="n">
        <f aca="false">ROUNDUP(YEARFRAC(In_COD,EG$4),0)*(EG$4&gt;In_COD)</f>
        <v>27</v>
      </c>
      <c r="EH108" s="42" t="n">
        <f aca="false">ROUNDUP(YEARFRAC(In_COD,EH$4),0)*(EH$4&gt;In_COD)</f>
        <v>27</v>
      </c>
      <c r="EI108" s="42" t="n">
        <f aca="false">ROUNDUP(YEARFRAC(In_COD,EI$4),0)*(EI$4&gt;In_COD)</f>
        <v>28</v>
      </c>
      <c r="EJ108" s="42" t="n">
        <f aca="false">ROUNDUP(YEARFRAC(In_COD,EJ$4),0)*(EJ$4&gt;In_COD)</f>
        <v>28</v>
      </c>
      <c r="EK108" s="42" t="n">
        <f aca="false">ROUNDUP(YEARFRAC(In_COD,EK$4),0)*(EK$4&gt;In_COD)</f>
        <v>28</v>
      </c>
      <c r="EL108" s="42" t="n">
        <f aca="false">ROUNDUP(YEARFRAC(In_COD,EL$4),0)*(EL$4&gt;In_COD)</f>
        <v>28</v>
      </c>
      <c r="EM108" s="42" t="n">
        <f aca="false">ROUNDUP(YEARFRAC(In_COD,EM$4),0)*(EM$4&gt;In_COD)</f>
        <v>29</v>
      </c>
      <c r="EN108" s="42" t="n">
        <f aca="false">ROUNDUP(YEARFRAC(In_COD,EN$4),0)*(EN$4&gt;In_COD)</f>
        <v>29</v>
      </c>
      <c r="EO108" s="42" t="n">
        <f aca="false">ROUNDUP(YEARFRAC(In_COD,EO$4),0)*(EO$4&gt;In_COD)</f>
        <v>29</v>
      </c>
      <c r="EP108" s="42" t="n">
        <f aca="false">ROUNDUP(YEARFRAC(In_COD,EP$4),0)*(EP$4&gt;In_COD)</f>
        <v>29</v>
      </c>
      <c r="EQ108" s="42" t="n">
        <f aca="false">ROUNDUP(YEARFRAC(In_COD,EQ$4),0)*(EQ$4&gt;In_COD)</f>
        <v>30</v>
      </c>
      <c r="ER108" s="42" t="n">
        <f aca="false">ROUNDUP(YEARFRAC(In_COD,ER$4),0)*(ER$4&gt;In_COD)</f>
        <v>30</v>
      </c>
      <c r="ES108" s="42" t="n">
        <f aca="false">ROUNDUP(YEARFRAC(In_COD,ES$4),0)*(ES$4&gt;In_COD)</f>
        <v>30</v>
      </c>
      <c r="ET108" s="42" t="n">
        <f aca="false">ROUNDUP(YEARFRAC(In_COD,ET$4),0)*(ET$4&gt;In_COD)</f>
        <v>30</v>
      </c>
    </row>
    <row r="109" customFormat="false" ht="15" hidden="false" customHeight="false" outlineLevel="0" collapsed="false">
      <c r="C109" s="0" t="s">
        <v>555</v>
      </c>
      <c r="D109" s="11" t="s">
        <v>475</v>
      </c>
      <c r="J109" s="52" t="n">
        <f aca="false">(1+In_Opex_Esc)^(J$7-YEAR(In_COD))</f>
        <v>0.883854287609517</v>
      </c>
      <c r="K109" s="52" t="n">
        <f aca="false">(1+In_Opex_Esc)^(K$7-YEAR(In_COD))</f>
        <v>0.883854287609517</v>
      </c>
      <c r="L109" s="52" t="n">
        <f aca="false">(1+In_Opex_Esc)^(L$7-YEAR(In_COD))</f>
        <v>0.905950644799755</v>
      </c>
      <c r="M109" s="52" t="n">
        <f aca="false">(1+In_Opex_Esc)^(M$7-YEAR(In_COD))</f>
        <v>0.905950644799755</v>
      </c>
      <c r="N109" s="52" t="n">
        <f aca="false">(1+In_Opex_Esc)^(N$7-YEAR(In_COD))</f>
        <v>0.905950644799755</v>
      </c>
      <c r="O109" s="52" t="n">
        <f aca="false">(1+In_Opex_Esc)^(O$7-YEAR(In_COD))</f>
        <v>0.905950644799755</v>
      </c>
      <c r="P109" s="52" t="n">
        <f aca="false">(1+In_Opex_Esc)^(P$7-YEAR(In_COD))</f>
        <v>0.928599410919749</v>
      </c>
      <c r="Q109" s="52" t="n">
        <f aca="false">(1+In_Opex_Esc)^(Q$7-YEAR(In_COD))</f>
        <v>0.928599410919749</v>
      </c>
      <c r="R109" s="52" t="n">
        <f aca="false">(1+In_Opex_Esc)^(R$7-YEAR(In_COD))</f>
        <v>0.928599410919749</v>
      </c>
      <c r="S109" s="52" t="n">
        <f aca="false">(1+In_Opex_Esc)^(S$7-YEAR(In_COD))</f>
        <v>0.928599410919749</v>
      </c>
      <c r="T109" s="52" t="n">
        <f aca="false">(1+In_Opex_Esc)^(T$7-YEAR(In_COD))</f>
        <v>0.951814396192743</v>
      </c>
      <c r="U109" s="52" t="n">
        <f aca="false">(1+In_Opex_Esc)^(U$7-YEAR(In_COD))</f>
        <v>0.951814396192743</v>
      </c>
      <c r="V109" s="52" t="n">
        <f aca="false">(1+In_Opex_Esc)^(V$7-YEAR(In_COD))</f>
        <v>0.951814396192743</v>
      </c>
      <c r="W109" s="52" t="n">
        <f aca="false">(1+In_Opex_Esc)^(W$7-YEAR(In_COD))</f>
        <v>0.951814396192743</v>
      </c>
      <c r="X109" s="52" t="n">
        <f aca="false">(1+In_Opex_Esc)^(X$7-YEAR(In_COD))</f>
        <v>0.975609756097561</v>
      </c>
      <c r="Y109" s="52" t="n">
        <f aca="false">(1+In_Opex_Esc)^(Y$7-YEAR(In_COD))</f>
        <v>0.975609756097561</v>
      </c>
      <c r="Z109" s="52" t="n">
        <f aca="false">(1+In_Opex_Esc)^(Z$7-YEAR(In_COD))</f>
        <v>0.975609756097561</v>
      </c>
      <c r="AA109" s="52" t="n">
        <f aca="false">(1+In_Opex_Esc)^(AA$7-YEAR(In_COD))</f>
        <v>0.975609756097561</v>
      </c>
      <c r="AB109" s="52" t="n">
        <f aca="false">(1+In_Opex_Esc)^(AB$7-YEAR(In_COD))</f>
        <v>1</v>
      </c>
      <c r="AC109" s="52" t="n">
        <f aca="false">(1+In_Opex_Esc)^(AC$7-YEAR(In_COD))</f>
        <v>1</v>
      </c>
      <c r="AD109" s="52" t="n">
        <f aca="false">(1+In_Opex_Esc)^(AD$7-YEAR(In_COD))</f>
        <v>1</v>
      </c>
      <c r="AE109" s="52" t="n">
        <f aca="false">(1+In_Opex_Esc)^(AE$7-YEAR(In_COD))</f>
        <v>1</v>
      </c>
      <c r="AF109" s="52" t="n">
        <f aca="false">(1+In_Opex_Esc)^(AF$7-YEAR(In_COD))</f>
        <v>1.025</v>
      </c>
      <c r="AG109" s="52" t="n">
        <f aca="false">(1+In_Opex_Esc)^(AG$7-YEAR(In_COD))</f>
        <v>1.025</v>
      </c>
      <c r="AH109" s="52" t="n">
        <f aca="false">(1+In_Opex_Esc)^(AH$7-YEAR(In_COD))</f>
        <v>1.025</v>
      </c>
      <c r="AI109" s="52" t="n">
        <f aca="false">(1+In_Opex_Esc)^(AI$7-YEAR(In_COD))</f>
        <v>1.025</v>
      </c>
      <c r="AJ109" s="52" t="n">
        <f aca="false">(1+In_Opex_Esc)^(AJ$7-YEAR(In_COD))</f>
        <v>1.050625</v>
      </c>
      <c r="AK109" s="52" t="n">
        <f aca="false">(1+In_Opex_Esc)^(AK$7-YEAR(In_COD))</f>
        <v>1.050625</v>
      </c>
      <c r="AL109" s="52" t="n">
        <f aca="false">(1+In_Opex_Esc)^(AL$7-YEAR(In_COD))</f>
        <v>1.050625</v>
      </c>
      <c r="AM109" s="52" t="n">
        <f aca="false">(1+In_Opex_Esc)^(AM$7-YEAR(In_COD))</f>
        <v>1.050625</v>
      </c>
      <c r="AN109" s="52" t="n">
        <f aca="false">(1+In_Opex_Esc)^(AN$7-YEAR(In_COD))</f>
        <v>1.076890625</v>
      </c>
      <c r="AO109" s="52" t="n">
        <f aca="false">(1+In_Opex_Esc)^(AO$7-YEAR(In_COD))</f>
        <v>1.076890625</v>
      </c>
      <c r="AP109" s="52" t="n">
        <f aca="false">(1+In_Opex_Esc)^(AP$7-YEAR(In_COD))</f>
        <v>1.076890625</v>
      </c>
      <c r="AQ109" s="52" t="n">
        <f aca="false">(1+In_Opex_Esc)^(AQ$7-YEAR(In_COD))</f>
        <v>1.076890625</v>
      </c>
      <c r="AR109" s="52" t="n">
        <f aca="false">(1+In_Opex_Esc)^(AR$7-YEAR(In_COD))</f>
        <v>1.103812890625</v>
      </c>
      <c r="AS109" s="52" t="n">
        <f aca="false">(1+In_Opex_Esc)^(AS$7-YEAR(In_COD))</f>
        <v>1.103812890625</v>
      </c>
      <c r="AT109" s="52" t="n">
        <f aca="false">(1+In_Opex_Esc)^(AT$7-YEAR(In_COD))</f>
        <v>1.103812890625</v>
      </c>
      <c r="AU109" s="52" t="n">
        <f aca="false">(1+In_Opex_Esc)^(AU$7-YEAR(In_COD))</f>
        <v>1.103812890625</v>
      </c>
      <c r="AV109" s="52" t="n">
        <f aca="false">(1+In_Opex_Esc)^(AV$7-YEAR(In_COD))</f>
        <v>1.13140821289062</v>
      </c>
      <c r="AW109" s="52" t="n">
        <f aca="false">(1+In_Opex_Esc)^(AW$7-YEAR(In_COD))</f>
        <v>1.13140821289062</v>
      </c>
      <c r="AX109" s="52" t="n">
        <f aca="false">(1+In_Opex_Esc)^(AX$7-YEAR(In_COD))</f>
        <v>1.13140821289062</v>
      </c>
      <c r="AY109" s="52" t="n">
        <f aca="false">(1+In_Opex_Esc)^(AY$7-YEAR(In_COD))</f>
        <v>1.13140821289062</v>
      </c>
      <c r="AZ109" s="52" t="n">
        <f aca="false">(1+In_Opex_Esc)^(AZ$7-YEAR(In_COD))</f>
        <v>1.15969341821289</v>
      </c>
      <c r="BA109" s="52" t="n">
        <f aca="false">(1+In_Opex_Esc)^(BA$7-YEAR(In_COD))</f>
        <v>1.15969341821289</v>
      </c>
      <c r="BB109" s="52" t="n">
        <f aca="false">(1+In_Opex_Esc)^(BB$7-YEAR(In_COD))</f>
        <v>1.15969341821289</v>
      </c>
      <c r="BC109" s="52" t="n">
        <f aca="false">(1+In_Opex_Esc)^(BC$7-YEAR(In_COD))</f>
        <v>1.15969341821289</v>
      </c>
      <c r="BD109" s="52" t="n">
        <f aca="false">(1+In_Opex_Esc)^(BD$7-YEAR(In_COD))</f>
        <v>1.18868575366821</v>
      </c>
      <c r="BE109" s="52" t="n">
        <f aca="false">(1+In_Opex_Esc)^(BE$7-YEAR(In_COD))</f>
        <v>1.18868575366821</v>
      </c>
      <c r="BF109" s="52" t="n">
        <f aca="false">(1+In_Opex_Esc)^(BF$7-YEAR(In_COD))</f>
        <v>1.18868575366821</v>
      </c>
      <c r="BG109" s="52" t="n">
        <f aca="false">(1+In_Opex_Esc)^(BG$7-YEAR(In_COD))</f>
        <v>1.18868575366821</v>
      </c>
      <c r="BH109" s="52" t="n">
        <f aca="false">(1+In_Opex_Esc)^(BH$7-YEAR(In_COD))</f>
        <v>1.21840289750992</v>
      </c>
      <c r="BI109" s="52" t="n">
        <f aca="false">(1+In_Opex_Esc)^(BI$7-YEAR(In_COD))</f>
        <v>1.21840289750992</v>
      </c>
      <c r="BJ109" s="52" t="n">
        <f aca="false">(1+In_Opex_Esc)^(BJ$7-YEAR(In_COD))</f>
        <v>1.21840289750992</v>
      </c>
      <c r="BK109" s="52" t="n">
        <f aca="false">(1+In_Opex_Esc)^(BK$7-YEAR(In_COD))</f>
        <v>1.21840289750992</v>
      </c>
      <c r="BL109" s="52" t="n">
        <f aca="false">(1+In_Opex_Esc)^(BL$7-YEAR(In_COD))</f>
        <v>1.24886296994767</v>
      </c>
      <c r="BM109" s="52" t="n">
        <f aca="false">(1+In_Opex_Esc)^(BM$7-YEAR(In_COD))</f>
        <v>1.24886296994767</v>
      </c>
      <c r="BN109" s="52" t="n">
        <f aca="false">(1+In_Opex_Esc)^(BN$7-YEAR(In_COD))</f>
        <v>1.24886296994767</v>
      </c>
      <c r="BO109" s="52" t="n">
        <f aca="false">(1+In_Opex_Esc)^(BO$7-YEAR(In_COD))</f>
        <v>1.24886296994767</v>
      </c>
      <c r="BP109" s="52" t="n">
        <f aca="false">(1+In_Opex_Esc)^(BP$7-YEAR(In_COD))</f>
        <v>1.28008454419636</v>
      </c>
      <c r="BQ109" s="52" t="n">
        <f aca="false">(1+In_Opex_Esc)^(BQ$7-YEAR(In_COD))</f>
        <v>1.28008454419636</v>
      </c>
      <c r="BR109" s="52" t="n">
        <f aca="false">(1+In_Opex_Esc)^(BR$7-YEAR(In_COD))</f>
        <v>1.28008454419636</v>
      </c>
      <c r="BS109" s="52" t="n">
        <f aca="false">(1+In_Opex_Esc)^(BS$7-YEAR(In_COD))</f>
        <v>1.28008454419636</v>
      </c>
      <c r="BT109" s="52" t="n">
        <f aca="false">(1+In_Opex_Esc)^(BT$7-YEAR(In_COD))</f>
        <v>1.31208665780127</v>
      </c>
      <c r="BU109" s="52" t="n">
        <f aca="false">(1+In_Opex_Esc)^(BU$7-YEAR(In_COD))</f>
        <v>1.31208665780127</v>
      </c>
      <c r="BV109" s="52" t="n">
        <f aca="false">(1+In_Opex_Esc)^(BV$7-YEAR(In_COD))</f>
        <v>1.31208665780127</v>
      </c>
      <c r="BW109" s="52" t="n">
        <f aca="false">(1+In_Opex_Esc)^(BW$7-YEAR(In_COD))</f>
        <v>1.31208665780127</v>
      </c>
      <c r="BX109" s="52" t="n">
        <f aca="false">(1+In_Opex_Esc)^(BX$7-YEAR(In_COD))</f>
        <v>1.3448888242463</v>
      </c>
      <c r="BY109" s="52" t="n">
        <f aca="false">(1+In_Opex_Esc)^(BY$7-YEAR(In_COD))</f>
        <v>1.3448888242463</v>
      </c>
      <c r="BZ109" s="52" t="n">
        <f aca="false">(1+In_Opex_Esc)^(BZ$7-YEAR(In_COD))</f>
        <v>1.3448888242463</v>
      </c>
      <c r="CA109" s="52" t="n">
        <f aca="false">(1+In_Opex_Esc)^(CA$7-YEAR(In_COD))</f>
        <v>1.3448888242463</v>
      </c>
      <c r="CB109" s="52" t="n">
        <f aca="false">(1+In_Opex_Esc)^(CB$7-YEAR(In_COD))</f>
        <v>1.37851104485245</v>
      </c>
      <c r="CC109" s="52" t="n">
        <f aca="false">(1+In_Opex_Esc)^(CC$7-YEAR(In_COD))</f>
        <v>1.37851104485245</v>
      </c>
      <c r="CD109" s="52" t="n">
        <f aca="false">(1+In_Opex_Esc)^(CD$7-YEAR(In_COD))</f>
        <v>1.37851104485245</v>
      </c>
      <c r="CE109" s="52" t="n">
        <f aca="false">(1+In_Opex_Esc)^(CE$7-YEAR(In_COD))</f>
        <v>1.37851104485245</v>
      </c>
      <c r="CF109" s="52" t="n">
        <f aca="false">(1+In_Opex_Esc)^(CF$7-YEAR(In_COD))</f>
        <v>1.41297382097377</v>
      </c>
      <c r="CG109" s="52" t="n">
        <f aca="false">(1+In_Opex_Esc)^(CG$7-YEAR(In_COD))</f>
        <v>1.41297382097377</v>
      </c>
      <c r="CH109" s="52" t="n">
        <f aca="false">(1+In_Opex_Esc)^(CH$7-YEAR(In_COD))</f>
        <v>1.41297382097377</v>
      </c>
      <c r="CI109" s="52" t="n">
        <f aca="false">(1+In_Opex_Esc)^(CI$7-YEAR(In_COD))</f>
        <v>1.41297382097377</v>
      </c>
      <c r="CJ109" s="52" t="n">
        <f aca="false">(1+In_Opex_Esc)^(CJ$7-YEAR(In_COD))</f>
        <v>1.44829816649811</v>
      </c>
      <c r="CK109" s="52" t="n">
        <f aca="false">(1+In_Opex_Esc)^(CK$7-YEAR(In_COD))</f>
        <v>1.44829816649811</v>
      </c>
      <c r="CL109" s="52" t="n">
        <f aca="false">(1+In_Opex_Esc)^(CL$7-YEAR(In_COD))</f>
        <v>1.44829816649811</v>
      </c>
      <c r="CM109" s="52" t="n">
        <f aca="false">(1+In_Opex_Esc)^(CM$7-YEAR(In_COD))</f>
        <v>1.44829816649811</v>
      </c>
      <c r="CN109" s="52" t="n">
        <f aca="false">(1+In_Opex_Esc)^(CN$7-YEAR(In_COD))</f>
        <v>1.48450562066056</v>
      </c>
      <c r="CO109" s="52" t="n">
        <f aca="false">(1+In_Opex_Esc)^(CO$7-YEAR(In_COD))</f>
        <v>1.48450562066056</v>
      </c>
      <c r="CP109" s="52" t="n">
        <f aca="false">(1+In_Opex_Esc)^(CP$7-YEAR(In_COD))</f>
        <v>1.48450562066056</v>
      </c>
      <c r="CQ109" s="52" t="n">
        <f aca="false">(1+In_Opex_Esc)^(CQ$7-YEAR(In_COD))</f>
        <v>1.48450562066056</v>
      </c>
      <c r="CR109" s="52" t="n">
        <f aca="false">(1+In_Opex_Esc)^(CR$7-YEAR(In_COD))</f>
        <v>1.52161826117708</v>
      </c>
      <c r="CS109" s="52" t="n">
        <f aca="false">(1+In_Opex_Esc)^(CS$7-YEAR(In_COD))</f>
        <v>1.52161826117708</v>
      </c>
      <c r="CT109" s="52" t="n">
        <f aca="false">(1+In_Opex_Esc)^(CT$7-YEAR(In_COD))</f>
        <v>1.52161826117708</v>
      </c>
      <c r="CU109" s="52" t="n">
        <f aca="false">(1+In_Opex_Esc)^(CU$7-YEAR(In_COD))</f>
        <v>1.52161826117708</v>
      </c>
      <c r="CV109" s="52" t="n">
        <f aca="false">(1+In_Opex_Esc)^(CV$7-YEAR(In_COD))</f>
        <v>1.5596587177065</v>
      </c>
      <c r="CW109" s="52" t="n">
        <f aca="false">(1+In_Opex_Esc)^(CW$7-YEAR(In_COD))</f>
        <v>1.5596587177065</v>
      </c>
      <c r="CX109" s="52" t="n">
        <f aca="false">(1+In_Opex_Esc)^(CX$7-YEAR(In_COD))</f>
        <v>1.5596587177065</v>
      </c>
      <c r="CY109" s="52" t="n">
        <f aca="false">(1+In_Opex_Esc)^(CY$7-YEAR(In_COD))</f>
        <v>1.5596587177065</v>
      </c>
      <c r="CZ109" s="52" t="n">
        <f aca="false">(1+In_Opex_Esc)^(CZ$7-YEAR(In_COD))</f>
        <v>1.59865018564917</v>
      </c>
      <c r="DA109" s="52" t="n">
        <f aca="false">(1+In_Opex_Esc)^(DA$7-YEAR(In_COD))</f>
        <v>1.59865018564917</v>
      </c>
      <c r="DB109" s="52" t="n">
        <f aca="false">(1+In_Opex_Esc)^(DB$7-YEAR(In_COD))</f>
        <v>1.59865018564917</v>
      </c>
      <c r="DC109" s="52" t="n">
        <f aca="false">(1+In_Opex_Esc)^(DC$7-YEAR(In_COD))</f>
        <v>1.59865018564917</v>
      </c>
      <c r="DD109" s="52" t="n">
        <f aca="false">(1+In_Opex_Esc)^(DD$7-YEAR(In_COD))</f>
        <v>1.63861644029039</v>
      </c>
      <c r="DE109" s="52" t="n">
        <f aca="false">(1+In_Opex_Esc)^(DE$7-YEAR(In_COD))</f>
        <v>1.63861644029039</v>
      </c>
      <c r="DF109" s="52" t="n">
        <f aca="false">(1+In_Opex_Esc)^(DF$7-YEAR(In_COD))</f>
        <v>1.63861644029039</v>
      </c>
      <c r="DG109" s="52" t="n">
        <f aca="false">(1+In_Opex_Esc)^(DG$7-YEAR(In_COD))</f>
        <v>1.63861644029039</v>
      </c>
      <c r="DH109" s="52" t="n">
        <f aca="false">(1+In_Opex_Esc)^(DH$7-YEAR(In_COD))</f>
        <v>1.67958185129765</v>
      </c>
      <c r="DI109" s="52" t="n">
        <f aca="false">(1+In_Opex_Esc)^(DI$7-YEAR(In_COD))</f>
        <v>1.67958185129765</v>
      </c>
      <c r="DJ109" s="52" t="n">
        <f aca="false">(1+In_Opex_Esc)^(DJ$7-YEAR(In_COD))</f>
        <v>1.67958185129765</v>
      </c>
      <c r="DK109" s="52" t="n">
        <f aca="false">(1+In_Opex_Esc)^(DK$7-YEAR(In_COD))</f>
        <v>1.67958185129765</v>
      </c>
      <c r="DL109" s="52" t="n">
        <f aca="false">(1+In_Opex_Esc)^(DL$7-YEAR(In_COD))</f>
        <v>1.7215713975801</v>
      </c>
      <c r="DM109" s="52" t="n">
        <f aca="false">(1+In_Opex_Esc)^(DM$7-YEAR(In_COD))</f>
        <v>1.7215713975801</v>
      </c>
      <c r="DN109" s="52" t="n">
        <f aca="false">(1+In_Opex_Esc)^(DN$7-YEAR(In_COD))</f>
        <v>1.7215713975801</v>
      </c>
      <c r="DO109" s="52" t="n">
        <f aca="false">(1+In_Opex_Esc)^(DO$7-YEAR(In_COD))</f>
        <v>1.7215713975801</v>
      </c>
      <c r="DP109" s="52" t="n">
        <f aca="false">(1+In_Opex_Esc)^(DP$7-YEAR(In_COD))</f>
        <v>1.7646106825196</v>
      </c>
      <c r="DQ109" s="52" t="n">
        <f aca="false">(1+In_Opex_Esc)^(DQ$7-YEAR(In_COD))</f>
        <v>1.7646106825196</v>
      </c>
      <c r="DR109" s="52" t="n">
        <f aca="false">(1+In_Opex_Esc)^(DR$7-YEAR(In_COD))</f>
        <v>1.7646106825196</v>
      </c>
      <c r="DS109" s="52" t="n">
        <f aca="false">(1+In_Opex_Esc)^(DS$7-YEAR(In_COD))</f>
        <v>1.7646106825196</v>
      </c>
      <c r="DT109" s="52" t="n">
        <f aca="false">(1+In_Opex_Esc)^(DT$7-YEAR(In_COD))</f>
        <v>1.80872594958259</v>
      </c>
      <c r="DU109" s="52" t="n">
        <f aca="false">(1+In_Opex_Esc)^(DU$7-YEAR(In_COD))</f>
        <v>1.80872594958259</v>
      </c>
      <c r="DV109" s="52" t="n">
        <f aca="false">(1+In_Opex_Esc)^(DV$7-YEAR(In_COD))</f>
        <v>1.80872594958259</v>
      </c>
      <c r="DW109" s="52" t="n">
        <f aca="false">(1+In_Opex_Esc)^(DW$7-YEAR(In_COD))</f>
        <v>1.80872594958259</v>
      </c>
      <c r="DX109" s="52" t="n">
        <f aca="false">(1+In_Opex_Esc)^(DX$7-YEAR(In_COD))</f>
        <v>1.85394409832215</v>
      </c>
      <c r="DY109" s="52" t="n">
        <f aca="false">(1+In_Opex_Esc)^(DY$7-YEAR(In_COD))</f>
        <v>1.85394409832215</v>
      </c>
      <c r="DZ109" s="52" t="n">
        <f aca="false">(1+In_Opex_Esc)^(DZ$7-YEAR(In_COD))</f>
        <v>1.85394409832215</v>
      </c>
      <c r="EA109" s="52" t="n">
        <f aca="false">(1+In_Opex_Esc)^(EA$7-YEAR(In_COD))</f>
        <v>1.85394409832215</v>
      </c>
      <c r="EB109" s="52" t="n">
        <f aca="false">(1+In_Opex_Esc)^(EB$7-YEAR(In_COD))</f>
        <v>1.90029270078021</v>
      </c>
      <c r="EC109" s="52" t="n">
        <f aca="false">(1+In_Opex_Esc)^(EC$7-YEAR(In_COD))</f>
        <v>1.90029270078021</v>
      </c>
      <c r="ED109" s="52" t="n">
        <f aca="false">(1+In_Opex_Esc)^(ED$7-YEAR(In_COD))</f>
        <v>1.90029270078021</v>
      </c>
      <c r="EE109" s="52" t="n">
        <f aca="false">(1+In_Opex_Esc)^(EE$7-YEAR(In_COD))</f>
        <v>1.90029270078021</v>
      </c>
      <c r="EF109" s="52" t="n">
        <f aca="false">(1+In_Opex_Esc)^(EF$7-YEAR(In_COD))</f>
        <v>1.94780001829971</v>
      </c>
      <c r="EG109" s="52" t="n">
        <f aca="false">(1+In_Opex_Esc)^(EG$7-YEAR(In_COD))</f>
        <v>1.94780001829971</v>
      </c>
      <c r="EH109" s="52" t="n">
        <f aca="false">(1+In_Opex_Esc)^(EH$7-YEAR(In_COD))</f>
        <v>1.94780001829971</v>
      </c>
      <c r="EI109" s="52" t="n">
        <f aca="false">(1+In_Opex_Esc)^(EI$7-YEAR(In_COD))</f>
        <v>1.94780001829971</v>
      </c>
      <c r="EJ109" s="52" t="n">
        <f aca="false">(1+In_Opex_Esc)^(EJ$7-YEAR(In_COD))</f>
        <v>1.9964950187572</v>
      </c>
      <c r="EK109" s="52" t="n">
        <f aca="false">(1+In_Opex_Esc)^(EK$7-YEAR(In_COD))</f>
        <v>1.9964950187572</v>
      </c>
      <c r="EL109" s="52" t="n">
        <f aca="false">(1+In_Opex_Esc)^(EL$7-YEAR(In_COD))</f>
        <v>1.9964950187572</v>
      </c>
      <c r="EM109" s="52" t="n">
        <f aca="false">(1+In_Opex_Esc)^(EM$7-YEAR(In_COD))</f>
        <v>1.9964950187572</v>
      </c>
      <c r="EN109" s="52" t="n">
        <f aca="false">(1+In_Opex_Esc)^(EN$7-YEAR(In_COD))</f>
        <v>2.04640739422613</v>
      </c>
      <c r="EO109" s="52" t="n">
        <f aca="false">(1+In_Opex_Esc)^(EO$7-YEAR(In_COD))</f>
        <v>2.04640739422613</v>
      </c>
      <c r="EP109" s="52" t="n">
        <f aca="false">(1+In_Opex_Esc)^(EP$7-YEAR(In_COD))</f>
        <v>2.04640739422613</v>
      </c>
      <c r="EQ109" s="52" t="n">
        <f aca="false">(1+In_Opex_Esc)^(EQ$7-YEAR(In_COD))</f>
        <v>2.04640739422613</v>
      </c>
      <c r="ER109" s="52" t="n">
        <f aca="false">(1+In_Opex_Esc)^(ER$7-YEAR(In_COD))</f>
        <v>2.09756757908179</v>
      </c>
      <c r="ES109" s="52" t="n">
        <f aca="false">(1+In_Opex_Esc)^(ES$7-YEAR(In_COD))</f>
        <v>2.09756757908179</v>
      </c>
      <c r="ET109" s="52" t="n">
        <f aca="false">(1+In_Opex_Esc)^(ET$7-YEAR(In_COD))</f>
        <v>2.09756757908179</v>
      </c>
    </row>
    <row r="110" customFormat="false" ht="15" hidden="false" customHeight="false" outlineLevel="0" collapsed="false">
      <c r="C110" s="0" t="s">
        <v>556</v>
      </c>
      <c r="D110" s="11" t="s">
        <v>32</v>
      </c>
      <c r="J110" s="28" t="n">
        <f aca="false">In_PPA_Price*(1+In_PPA_Esc)^(J$7-YEAR(In_COD))</f>
        <v>85.6319118846074</v>
      </c>
      <c r="K110" s="28" t="n">
        <f aca="false">In_PPA_Price*(1+In_PPA_Esc)^(K$7-YEAR(In_COD))</f>
        <v>85.6319118846074</v>
      </c>
      <c r="L110" s="28" t="n">
        <f aca="false">In_PPA_Price*(1+In_PPA_Esc)^(L$7-YEAR(In_COD))</f>
        <v>86.4882310034535</v>
      </c>
      <c r="M110" s="28" t="n">
        <f aca="false">In_PPA_Price*(1+In_PPA_Esc)^(M$7-YEAR(In_COD))</f>
        <v>86.4882310034535</v>
      </c>
      <c r="N110" s="28" t="n">
        <f aca="false">In_PPA_Price*(1+In_PPA_Esc)^(N$7-YEAR(In_COD))</f>
        <v>86.4882310034535</v>
      </c>
      <c r="O110" s="28" t="n">
        <f aca="false">In_PPA_Price*(1+In_PPA_Esc)^(O$7-YEAR(In_COD))</f>
        <v>86.4882310034535</v>
      </c>
      <c r="P110" s="28" t="n">
        <f aca="false">In_PPA_Price*(1+In_PPA_Esc)^(P$7-YEAR(In_COD))</f>
        <v>87.353113313488</v>
      </c>
      <c r="Q110" s="28" t="n">
        <f aca="false">In_PPA_Price*(1+In_PPA_Esc)^(Q$7-YEAR(In_COD))</f>
        <v>87.353113313488</v>
      </c>
      <c r="R110" s="28" t="n">
        <f aca="false">In_PPA_Price*(1+In_PPA_Esc)^(R$7-YEAR(In_COD))</f>
        <v>87.353113313488</v>
      </c>
      <c r="S110" s="28" t="n">
        <f aca="false">In_PPA_Price*(1+In_PPA_Esc)^(S$7-YEAR(In_COD))</f>
        <v>87.353113313488</v>
      </c>
      <c r="T110" s="28" t="n">
        <f aca="false">In_PPA_Price*(1+In_PPA_Esc)^(T$7-YEAR(In_COD))</f>
        <v>88.2266444466229</v>
      </c>
      <c r="U110" s="28" t="n">
        <f aca="false">In_PPA_Price*(1+In_PPA_Esc)^(U$7-YEAR(In_COD))</f>
        <v>88.2266444466229</v>
      </c>
      <c r="V110" s="28" t="n">
        <f aca="false">In_PPA_Price*(1+In_PPA_Esc)^(V$7-YEAR(In_COD))</f>
        <v>88.2266444466229</v>
      </c>
      <c r="W110" s="28" t="n">
        <f aca="false">In_PPA_Price*(1+In_PPA_Esc)^(W$7-YEAR(In_COD))</f>
        <v>88.2266444466229</v>
      </c>
      <c r="X110" s="28" t="n">
        <f aca="false">In_PPA_Price*(1+In_PPA_Esc)^(X$7-YEAR(In_COD))</f>
        <v>89.1089108910891</v>
      </c>
      <c r="Y110" s="28" t="n">
        <f aca="false">In_PPA_Price*(1+In_PPA_Esc)^(Y$7-YEAR(In_COD))</f>
        <v>89.1089108910891</v>
      </c>
      <c r="Z110" s="28" t="n">
        <f aca="false">In_PPA_Price*(1+In_PPA_Esc)^(Z$7-YEAR(In_COD))</f>
        <v>89.1089108910891</v>
      </c>
      <c r="AA110" s="28" t="n">
        <f aca="false">In_PPA_Price*(1+In_PPA_Esc)^(AA$7-YEAR(In_COD))</f>
        <v>89.1089108910891</v>
      </c>
      <c r="AB110" s="28" t="n">
        <f aca="false">In_PPA_Price*(1+In_PPA_Esc)^(AB$7-YEAR(In_COD))</f>
        <v>90</v>
      </c>
      <c r="AC110" s="28" t="n">
        <f aca="false">In_PPA_Price*(1+In_PPA_Esc)^(AC$7-YEAR(In_COD))</f>
        <v>90</v>
      </c>
      <c r="AD110" s="28" t="n">
        <f aca="false">In_PPA_Price*(1+In_PPA_Esc)^(AD$7-YEAR(In_COD))</f>
        <v>90</v>
      </c>
      <c r="AE110" s="28" t="n">
        <f aca="false">In_PPA_Price*(1+In_PPA_Esc)^(AE$7-YEAR(In_COD))</f>
        <v>90</v>
      </c>
      <c r="AF110" s="28" t="n">
        <f aca="false">In_PPA_Price*(1+In_PPA_Esc)^(AF$7-YEAR(In_COD))</f>
        <v>90.9</v>
      </c>
      <c r="AG110" s="28" t="n">
        <f aca="false">In_PPA_Price*(1+In_PPA_Esc)^(AG$7-YEAR(In_COD))</f>
        <v>90.9</v>
      </c>
      <c r="AH110" s="28" t="n">
        <f aca="false">In_PPA_Price*(1+In_PPA_Esc)^(AH$7-YEAR(In_COD))</f>
        <v>90.9</v>
      </c>
      <c r="AI110" s="28" t="n">
        <f aca="false">In_PPA_Price*(1+In_PPA_Esc)^(AI$7-YEAR(In_COD))</f>
        <v>90.9</v>
      </c>
      <c r="AJ110" s="28" t="n">
        <f aca="false">In_PPA_Price*(1+In_PPA_Esc)^(AJ$7-YEAR(In_COD))</f>
        <v>91.809</v>
      </c>
      <c r="AK110" s="28" t="n">
        <f aca="false">In_PPA_Price*(1+In_PPA_Esc)^(AK$7-YEAR(In_COD))</f>
        <v>91.809</v>
      </c>
      <c r="AL110" s="28" t="n">
        <f aca="false">In_PPA_Price*(1+In_PPA_Esc)^(AL$7-YEAR(In_COD))</f>
        <v>91.809</v>
      </c>
      <c r="AM110" s="28" t="n">
        <f aca="false">In_PPA_Price*(1+In_PPA_Esc)^(AM$7-YEAR(In_COD))</f>
        <v>91.809</v>
      </c>
      <c r="AN110" s="28" t="n">
        <f aca="false">In_PPA_Price*(1+In_PPA_Esc)^(AN$7-YEAR(In_COD))</f>
        <v>92.72709</v>
      </c>
      <c r="AO110" s="28" t="n">
        <f aca="false">In_PPA_Price*(1+In_PPA_Esc)^(AO$7-YEAR(In_COD))</f>
        <v>92.72709</v>
      </c>
      <c r="AP110" s="28" t="n">
        <f aca="false">In_PPA_Price*(1+In_PPA_Esc)^(AP$7-YEAR(In_COD))</f>
        <v>92.72709</v>
      </c>
      <c r="AQ110" s="28" t="n">
        <f aca="false">In_PPA_Price*(1+In_PPA_Esc)^(AQ$7-YEAR(In_COD))</f>
        <v>92.72709</v>
      </c>
      <c r="AR110" s="28" t="n">
        <f aca="false">In_PPA_Price*(1+In_PPA_Esc)^(AR$7-YEAR(In_COD))</f>
        <v>93.6543609</v>
      </c>
      <c r="AS110" s="28" t="n">
        <f aca="false">In_PPA_Price*(1+In_PPA_Esc)^(AS$7-YEAR(In_COD))</f>
        <v>93.6543609</v>
      </c>
      <c r="AT110" s="28" t="n">
        <f aca="false">In_PPA_Price*(1+In_PPA_Esc)^(AT$7-YEAR(In_COD))</f>
        <v>93.6543609</v>
      </c>
      <c r="AU110" s="28" t="n">
        <f aca="false">In_PPA_Price*(1+In_PPA_Esc)^(AU$7-YEAR(In_COD))</f>
        <v>93.6543609</v>
      </c>
      <c r="AV110" s="28" t="n">
        <f aca="false">In_PPA_Price*(1+In_PPA_Esc)^(AV$7-YEAR(In_COD))</f>
        <v>94.590904509</v>
      </c>
      <c r="AW110" s="28" t="n">
        <f aca="false">In_PPA_Price*(1+In_PPA_Esc)^(AW$7-YEAR(In_COD))</f>
        <v>94.590904509</v>
      </c>
      <c r="AX110" s="28" t="n">
        <f aca="false">In_PPA_Price*(1+In_PPA_Esc)^(AX$7-YEAR(In_COD))</f>
        <v>94.590904509</v>
      </c>
      <c r="AY110" s="28" t="n">
        <f aca="false">In_PPA_Price*(1+In_PPA_Esc)^(AY$7-YEAR(In_COD))</f>
        <v>94.590904509</v>
      </c>
      <c r="AZ110" s="28" t="n">
        <f aca="false">In_PPA_Price*(1+In_PPA_Esc)^(AZ$7-YEAR(In_COD))</f>
        <v>95.53681355409</v>
      </c>
      <c r="BA110" s="28" t="n">
        <f aca="false">In_PPA_Price*(1+In_PPA_Esc)^(BA$7-YEAR(In_COD))</f>
        <v>95.53681355409</v>
      </c>
      <c r="BB110" s="28" t="n">
        <f aca="false">In_PPA_Price*(1+In_PPA_Esc)^(BB$7-YEAR(In_COD))</f>
        <v>95.53681355409</v>
      </c>
      <c r="BC110" s="28" t="n">
        <f aca="false">In_PPA_Price*(1+In_PPA_Esc)^(BC$7-YEAR(In_COD))</f>
        <v>95.53681355409</v>
      </c>
      <c r="BD110" s="28" t="n">
        <f aca="false">In_PPA_Price*(1+In_PPA_Esc)^(BD$7-YEAR(In_COD))</f>
        <v>96.4921816896309</v>
      </c>
      <c r="BE110" s="28" t="n">
        <f aca="false">In_PPA_Price*(1+In_PPA_Esc)^(BE$7-YEAR(In_COD))</f>
        <v>96.4921816896309</v>
      </c>
      <c r="BF110" s="28" t="n">
        <f aca="false">In_PPA_Price*(1+In_PPA_Esc)^(BF$7-YEAR(In_COD))</f>
        <v>96.4921816896309</v>
      </c>
      <c r="BG110" s="28" t="n">
        <f aca="false">In_PPA_Price*(1+In_PPA_Esc)^(BG$7-YEAR(In_COD))</f>
        <v>96.4921816896309</v>
      </c>
      <c r="BH110" s="28" t="n">
        <f aca="false">In_PPA_Price*(1+In_PPA_Esc)^(BH$7-YEAR(In_COD))</f>
        <v>97.4571035065272</v>
      </c>
      <c r="BI110" s="28" t="n">
        <f aca="false">In_PPA_Price*(1+In_PPA_Esc)^(BI$7-YEAR(In_COD))</f>
        <v>97.4571035065272</v>
      </c>
      <c r="BJ110" s="28" t="n">
        <f aca="false">In_PPA_Price*(1+In_PPA_Esc)^(BJ$7-YEAR(In_COD))</f>
        <v>97.4571035065272</v>
      </c>
      <c r="BK110" s="28" t="n">
        <f aca="false">In_PPA_Price*(1+In_PPA_Esc)^(BK$7-YEAR(In_COD))</f>
        <v>97.4571035065272</v>
      </c>
      <c r="BL110" s="28" t="n">
        <f aca="false">In_PPA_Price*(1+In_PPA_Esc)^(BL$7-YEAR(In_COD))</f>
        <v>98.4316745415925</v>
      </c>
      <c r="BM110" s="28" t="n">
        <f aca="false">In_PPA_Price*(1+In_PPA_Esc)^(BM$7-YEAR(In_COD))</f>
        <v>98.4316745415925</v>
      </c>
      <c r="BN110" s="28" t="n">
        <f aca="false">In_PPA_Price*(1+In_PPA_Esc)^(BN$7-YEAR(In_COD))</f>
        <v>98.4316745415925</v>
      </c>
      <c r="BO110" s="28" t="n">
        <f aca="false">In_PPA_Price*(1+In_PPA_Esc)^(BO$7-YEAR(In_COD))</f>
        <v>98.4316745415925</v>
      </c>
      <c r="BP110" s="28" t="n">
        <f aca="false">In_PPA_Price*(1+In_PPA_Esc)^(BP$7-YEAR(In_COD))</f>
        <v>99.4159912870084</v>
      </c>
      <c r="BQ110" s="28" t="n">
        <f aca="false">In_PPA_Price*(1+In_PPA_Esc)^(BQ$7-YEAR(In_COD))</f>
        <v>99.4159912870084</v>
      </c>
      <c r="BR110" s="28" t="n">
        <f aca="false">In_PPA_Price*(1+In_PPA_Esc)^(BR$7-YEAR(In_COD))</f>
        <v>99.4159912870084</v>
      </c>
      <c r="BS110" s="28" t="n">
        <f aca="false">In_PPA_Price*(1+In_PPA_Esc)^(BS$7-YEAR(In_COD))</f>
        <v>99.4159912870084</v>
      </c>
      <c r="BT110" s="28" t="n">
        <f aca="false">In_PPA_Price*(1+In_PPA_Esc)^(BT$7-YEAR(In_COD))</f>
        <v>100.410151199878</v>
      </c>
      <c r="BU110" s="28" t="n">
        <f aca="false">In_PPA_Price*(1+In_PPA_Esc)^(BU$7-YEAR(In_COD))</f>
        <v>100.410151199878</v>
      </c>
      <c r="BV110" s="28" t="n">
        <f aca="false">In_PPA_Price*(1+In_PPA_Esc)^(BV$7-YEAR(In_COD))</f>
        <v>100.410151199878</v>
      </c>
      <c r="BW110" s="28" t="n">
        <f aca="false">In_PPA_Price*(1+In_PPA_Esc)^(BW$7-YEAR(In_COD))</f>
        <v>100.410151199878</v>
      </c>
      <c r="BX110" s="28" t="n">
        <f aca="false">In_PPA_Price*(1+In_PPA_Esc)^(BX$7-YEAR(In_COD))</f>
        <v>101.414252711877</v>
      </c>
      <c r="BY110" s="28" t="n">
        <f aca="false">In_PPA_Price*(1+In_PPA_Esc)^(BY$7-YEAR(In_COD))</f>
        <v>101.414252711877</v>
      </c>
      <c r="BZ110" s="28" t="n">
        <f aca="false">In_PPA_Price*(1+In_PPA_Esc)^(BZ$7-YEAR(In_COD))</f>
        <v>101.414252711877</v>
      </c>
      <c r="CA110" s="28" t="n">
        <f aca="false">In_PPA_Price*(1+In_PPA_Esc)^(CA$7-YEAR(In_COD))</f>
        <v>101.414252711877</v>
      </c>
      <c r="CB110" s="28" t="n">
        <f aca="false">In_PPA_Price*(1+In_PPA_Esc)^(CB$7-YEAR(In_COD))</f>
        <v>102.428395238996</v>
      </c>
      <c r="CC110" s="28" t="n">
        <f aca="false">In_PPA_Price*(1+In_PPA_Esc)^(CC$7-YEAR(In_COD))</f>
        <v>102.428395238996</v>
      </c>
      <c r="CD110" s="28" t="n">
        <f aca="false">In_PPA_Price*(1+In_PPA_Esc)^(CD$7-YEAR(In_COD))</f>
        <v>102.428395238996</v>
      </c>
      <c r="CE110" s="28" t="n">
        <f aca="false">In_PPA_Price*(1+In_PPA_Esc)^(CE$7-YEAR(In_COD))</f>
        <v>102.428395238996</v>
      </c>
      <c r="CF110" s="28" t="n">
        <f aca="false">In_PPA_Price*(1+In_PPA_Esc)^(CF$7-YEAR(In_COD))</f>
        <v>103.452679191386</v>
      </c>
      <c r="CG110" s="28" t="n">
        <f aca="false">In_PPA_Price*(1+In_PPA_Esc)^(CG$7-YEAR(In_COD))</f>
        <v>103.452679191386</v>
      </c>
      <c r="CH110" s="28" t="n">
        <f aca="false">In_PPA_Price*(1+In_PPA_Esc)^(CH$7-YEAR(In_COD))</f>
        <v>103.452679191386</v>
      </c>
      <c r="CI110" s="28" t="n">
        <f aca="false">In_PPA_Price*(1+In_PPA_Esc)^(CI$7-YEAR(In_COD))</f>
        <v>103.452679191386</v>
      </c>
      <c r="CJ110" s="28" t="n">
        <f aca="false">In_PPA_Price*(1+In_PPA_Esc)^(CJ$7-YEAR(In_COD))</f>
        <v>104.4872059833</v>
      </c>
      <c r="CK110" s="28" t="n">
        <f aca="false">In_PPA_Price*(1+In_PPA_Esc)^(CK$7-YEAR(In_COD))</f>
        <v>104.4872059833</v>
      </c>
      <c r="CL110" s="28" t="n">
        <f aca="false">In_PPA_Price*(1+In_PPA_Esc)^(CL$7-YEAR(In_COD))</f>
        <v>104.4872059833</v>
      </c>
      <c r="CM110" s="28" t="n">
        <f aca="false">In_PPA_Price*(1+In_PPA_Esc)^(CM$7-YEAR(In_COD))</f>
        <v>104.4872059833</v>
      </c>
      <c r="CN110" s="28" t="n">
        <f aca="false">In_PPA_Price*(1+In_PPA_Esc)^(CN$7-YEAR(In_COD))</f>
        <v>105.532078043133</v>
      </c>
      <c r="CO110" s="28" t="n">
        <f aca="false">In_PPA_Price*(1+In_PPA_Esc)^(CO$7-YEAR(In_COD))</f>
        <v>105.532078043133</v>
      </c>
      <c r="CP110" s="28" t="n">
        <f aca="false">In_PPA_Price*(1+In_PPA_Esc)^(CP$7-YEAR(In_COD))</f>
        <v>105.532078043133</v>
      </c>
      <c r="CQ110" s="28" t="n">
        <f aca="false">In_PPA_Price*(1+In_PPA_Esc)^(CQ$7-YEAR(In_COD))</f>
        <v>105.532078043133</v>
      </c>
      <c r="CR110" s="28" t="n">
        <f aca="false">In_PPA_Price*(1+In_PPA_Esc)^(CR$7-YEAR(In_COD))</f>
        <v>106.587398823564</v>
      </c>
      <c r="CS110" s="28" t="n">
        <f aca="false">In_PPA_Price*(1+In_PPA_Esc)^(CS$7-YEAR(In_COD))</f>
        <v>106.587398823564</v>
      </c>
      <c r="CT110" s="28" t="n">
        <f aca="false">In_PPA_Price*(1+In_PPA_Esc)^(CT$7-YEAR(In_COD))</f>
        <v>106.587398823564</v>
      </c>
      <c r="CU110" s="28" t="n">
        <f aca="false">In_PPA_Price*(1+In_PPA_Esc)^(CU$7-YEAR(In_COD))</f>
        <v>106.587398823564</v>
      </c>
      <c r="CV110" s="28" t="n">
        <f aca="false">In_PPA_Price*(1+In_PPA_Esc)^(CV$7-YEAR(In_COD))</f>
        <v>107.6532728118</v>
      </c>
      <c r="CW110" s="28" t="n">
        <f aca="false">In_PPA_Price*(1+In_PPA_Esc)^(CW$7-YEAR(In_COD))</f>
        <v>107.6532728118</v>
      </c>
      <c r="CX110" s="28" t="n">
        <f aca="false">In_PPA_Price*(1+In_PPA_Esc)^(CX$7-YEAR(In_COD))</f>
        <v>107.6532728118</v>
      </c>
      <c r="CY110" s="28" t="n">
        <f aca="false">In_PPA_Price*(1+In_PPA_Esc)^(CY$7-YEAR(In_COD))</f>
        <v>107.6532728118</v>
      </c>
      <c r="CZ110" s="28" t="n">
        <f aca="false">In_PPA_Price*(1+In_PPA_Esc)^(CZ$7-YEAR(In_COD))</f>
        <v>108.729805539918</v>
      </c>
      <c r="DA110" s="28" t="n">
        <f aca="false">In_PPA_Price*(1+In_PPA_Esc)^(DA$7-YEAR(In_COD))</f>
        <v>108.729805539918</v>
      </c>
      <c r="DB110" s="28" t="n">
        <f aca="false">In_PPA_Price*(1+In_PPA_Esc)^(DB$7-YEAR(In_COD))</f>
        <v>108.729805539918</v>
      </c>
      <c r="DC110" s="28" t="n">
        <f aca="false">In_PPA_Price*(1+In_PPA_Esc)^(DC$7-YEAR(In_COD))</f>
        <v>108.729805539918</v>
      </c>
      <c r="DD110" s="28" t="n">
        <f aca="false">In_PPA_Price*(1+In_PPA_Esc)^(DD$7-YEAR(In_COD))</f>
        <v>109.817103595317</v>
      </c>
      <c r="DE110" s="28" t="n">
        <f aca="false">In_PPA_Price*(1+In_PPA_Esc)^(DE$7-YEAR(In_COD))</f>
        <v>109.817103595317</v>
      </c>
      <c r="DF110" s="28" t="n">
        <f aca="false">In_PPA_Price*(1+In_PPA_Esc)^(DF$7-YEAR(In_COD))</f>
        <v>109.817103595317</v>
      </c>
      <c r="DG110" s="28" t="n">
        <f aca="false">In_PPA_Price*(1+In_PPA_Esc)^(DG$7-YEAR(In_COD))</f>
        <v>109.817103595317</v>
      </c>
      <c r="DH110" s="28" t="n">
        <f aca="false">In_PPA_Price*(1+In_PPA_Esc)^(DH$7-YEAR(In_COD))</f>
        <v>110.91527463127</v>
      </c>
      <c r="DI110" s="28" t="n">
        <f aca="false">In_PPA_Price*(1+In_PPA_Esc)^(DI$7-YEAR(In_COD))</f>
        <v>110.91527463127</v>
      </c>
      <c r="DJ110" s="28" t="n">
        <f aca="false">In_PPA_Price*(1+In_PPA_Esc)^(DJ$7-YEAR(In_COD))</f>
        <v>110.91527463127</v>
      </c>
      <c r="DK110" s="28" t="n">
        <f aca="false">In_PPA_Price*(1+In_PPA_Esc)^(DK$7-YEAR(In_COD))</f>
        <v>110.91527463127</v>
      </c>
      <c r="DL110" s="28" t="n">
        <f aca="false">In_PPA_Price*(1+In_PPA_Esc)^(DL$7-YEAR(In_COD))</f>
        <v>112.024427377583</v>
      </c>
      <c r="DM110" s="28" t="n">
        <f aca="false">In_PPA_Price*(1+In_PPA_Esc)^(DM$7-YEAR(In_COD))</f>
        <v>112.024427377583</v>
      </c>
      <c r="DN110" s="28" t="n">
        <f aca="false">In_PPA_Price*(1+In_PPA_Esc)^(DN$7-YEAR(In_COD))</f>
        <v>112.024427377583</v>
      </c>
      <c r="DO110" s="28" t="n">
        <f aca="false">In_PPA_Price*(1+In_PPA_Esc)^(DO$7-YEAR(In_COD))</f>
        <v>112.024427377583</v>
      </c>
      <c r="DP110" s="28" t="n">
        <f aca="false">In_PPA_Price*(1+In_PPA_Esc)^(DP$7-YEAR(In_COD))</f>
        <v>113.144671651359</v>
      </c>
      <c r="DQ110" s="28" t="n">
        <f aca="false">In_PPA_Price*(1+In_PPA_Esc)^(DQ$7-YEAR(In_COD))</f>
        <v>113.144671651359</v>
      </c>
      <c r="DR110" s="28" t="n">
        <f aca="false">In_PPA_Price*(1+In_PPA_Esc)^(DR$7-YEAR(In_COD))</f>
        <v>113.144671651359</v>
      </c>
      <c r="DS110" s="28" t="n">
        <f aca="false">In_PPA_Price*(1+In_PPA_Esc)^(DS$7-YEAR(In_COD))</f>
        <v>113.144671651359</v>
      </c>
      <c r="DT110" s="28" t="n">
        <f aca="false">In_PPA_Price*(1+In_PPA_Esc)^(DT$7-YEAR(In_COD))</f>
        <v>114.276118367872</v>
      </c>
      <c r="DU110" s="28" t="n">
        <f aca="false">In_PPA_Price*(1+In_PPA_Esc)^(DU$7-YEAR(In_COD))</f>
        <v>114.276118367872</v>
      </c>
      <c r="DV110" s="28" t="n">
        <f aca="false">In_PPA_Price*(1+In_PPA_Esc)^(DV$7-YEAR(In_COD))</f>
        <v>114.276118367872</v>
      </c>
      <c r="DW110" s="28" t="n">
        <f aca="false">In_PPA_Price*(1+In_PPA_Esc)^(DW$7-YEAR(In_COD))</f>
        <v>114.276118367872</v>
      </c>
      <c r="DX110" s="28" t="n">
        <f aca="false">In_PPA_Price*(1+In_PPA_Esc)^(DX$7-YEAR(In_COD))</f>
        <v>115.418879551551</v>
      </c>
      <c r="DY110" s="28" t="n">
        <f aca="false">In_PPA_Price*(1+In_PPA_Esc)^(DY$7-YEAR(In_COD))</f>
        <v>115.418879551551</v>
      </c>
      <c r="DZ110" s="28" t="n">
        <f aca="false">In_PPA_Price*(1+In_PPA_Esc)^(DZ$7-YEAR(In_COD))</f>
        <v>115.418879551551</v>
      </c>
      <c r="EA110" s="28" t="n">
        <f aca="false">In_PPA_Price*(1+In_PPA_Esc)^(EA$7-YEAR(In_COD))</f>
        <v>115.418879551551</v>
      </c>
      <c r="EB110" s="28" t="n">
        <f aca="false">In_PPA_Price*(1+In_PPA_Esc)^(EB$7-YEAR(In_COD))</f>
        <v>116.573068347067</v>
      </c>
      <c r="EC110" s="28" t="n">
        <f aca="false">In_PPA_Price*(1+In_PPA_Esc)^(EC$7-YEAR(In_COD))</f>
        <v>116.573068347067</v>
      </c>
      <c r="ED110" s="28" t="n">
        <f aca="false">In_PPA_Price*(1+In_PPA_Esc)^(ED$7-YEAR(In_COD))</f>
        <v>116.573068347067</v>
      </c>
      <c r="EE110" s="28" t="n">
        <f aca="false">In_PPA_Price*(1+In_PPA_Esc)^(EE$7-YEAR(In_COD))</f>
        <v>116.573068347067</v>
      </c>
      <c r="EF110" s="28" t="n">
        <f aca="false">In_PPA_Price*(1+In_PPA_Esc)^(EF$7-YEAR(In_COD))</f>
        <v>117.738799030537</v>
      </c>
      <c r="EG110" s="28" t="n">
        <f aca="false">In_PPA_Price*(1+In_PPA_Esc)^(EG$7-YEAR(In_COD))</f>
        <v>117.738799030537</v>
      </c>
      <c r="EH110" s="28" t="n">
        <f aca="false">In_PPA_Price*(1+In_PPA_Esc)^(EH$7-YEAR(In_COD))</f>
        <v>117.738799030537</v>
      </c>
      <c r="EI110" s="28" t="n">
        <f aca="false">In_PPA_Price*(1+In_PPA_Esc)^(EI$7-YEAR(In_COD))</f>
        <v>117.738799030537</v>
      </c>
      <c r="EJ110" s="28" t="n">
        <f aca="false">In_PPA_Price*(1+In_PPA_Esc)^(EJ$7-YEAR(In_COD))</f>
        <v>118.916187020843</v>
      </c>
      <c r="EK110" s="28" t="n">
        <f aca="false">In_PPA_Price*(1+In_PPA_Esc)^(EK$7-YEAR(In_COD))</f>
        <v>118.916187020843</v>
      </c>
      <c r="EL110" s="28" t="n">
        <f aca="false">In_PPA_Price*(1+In_PPA_Esc)^(EL$7-YEAR(In_COD))</f>
        <v>118.916187020843</v>
      </c>
      <c r="EM110" s="28" t="n">
        <f aca="false">In_PPA_Price*(1+In_PPA_Esc)^(EM$7-YEAR(In_COD))</f>
        <v>118.916187020843</v>
      </c>
      <c r="EN110" s="28" t="n">
        <f aca="false">In_PPA_Price*(1+In_PPA_Esc)^(EN$7-YEAR(In_COD))</f>
        <v>120.105348891051</v>
      </c>
      <c r="EO110" s="28" t="n">
        <f aca="false">In_PPA_Price*(1+In_PPA_Esc)^(EO$7-YEAR(In_COD))</f>
        <v>120.105348891051</v>
      </c>
      <c r="EP110" s="28" t="n">
        <f aca="false">In_PPA_Price*(1+In_PPA_Esc)^(EP$7-YEAR(In_COD))</f>
        <v>120.105348891051</v>
      </c>
      <c r="EQ110" s="28" t="n">
        <f aca="false">In_PPA_Price*(1+In_PPA_Esc)^(EQ$7-YEAR(In_COD))</f>
        <v>120.105348891051</v>
      </c>
      <c r="ER110" s="28" t="n">
        <f aca="false">In_PPA_Price*(1+In_PPA_Esc)^(ER$7-YEAR(In_COD))</f>
        <v>121.306402379962</v>
      </c>
      <c r="ES110" s="28" t="n">
        <f aca="false">In_PPA_Price*(1+In_PPA_Esc)^(ES$7-YEAR(In_COD))</f>
        <v>121.306402379962</v>
      </c>
      <c r="ET110" s="28" t="n">
        <f aca="false">In_PPA_Price*(1+In_PPA_Esc)^(ET$7-YEAR(In_COD))</f>
        <v>121.306402379962</v>
      </c>
    </row>
    <row r="111" customFormat="false" ht="15" hidden="false" customHeight="false" outlineLevel="0" collapsed="false">
      <c r="C111" s="0" t="s">
        <v>557</v>
      </c>
      <c r="D111" s="11" t="s">
        <v>492</v>
      </c>
      <c r="I111" s="33" t="n">
        <f aca="false">SUM(J111:ET111)</f>
        <v>6931492.24461103</v>
      </c>
      <c r="J111" s="33" t="n">
        <f aca="false">$F24*In_P50_Hours*(1-In_Curtailment)*(1-$E27)*(1-In_Degradation)^(J108-1)*J15*J$6</f>
        <v>0</v>
      </c>
      <c r="K111" s="33" t="n">
        <f aca="false">$F24*In_P50_Hours*(1-In_Curtailment)*(1-$E27)*(1-In_Degradation)^(K108-1)*K15*K$6</f>
        <v>0</v>
      </c>
      <c r="L111" s="33" t="n">
        <f aca="false">$F24*In_P50_Hours*(1-In_Curtailment)*(1-$E27)*(1-In_Degradation)^(L108-1)*L15*L$6</f>
        <v>0</v>
      </c>
      <c r="M111" s="33" t="n">
        <f aca="false">$F24*In_P50_Hours*(1-In_Curtailment)*(1-$E27)*(1-In_Degradation)^(M108-1)*M15*M$6</f>
        <v>0</v>
      </c>
      <c r="N111" s="33" t="n">
        <f aca="false">$F24*In_P50_Hours*(1-In_Curtailment)*(1-$E27)*(1-In_Degradation)^(N108-1)*N15*N$6</f>
        <v>0</v>
      </c>
      <c r="O111" s="33" t="n">
        <f aca="false">$F24*In_P50_Hours*(1-In_Curtailment)*(1-$E27)*(1-In_Degradation)^(O108-1)*O15*O$6</f>
        <v>0</v>
      </c>
      <c r="P111" s="33" t="n">
        <f aca="false">$F24*In_P50_Hours*(1-In_Curtailment)*(1-$E27)*(1-In_Degradation)^(P108-1)*P15*P$6</f>
        <v>0</v>
      </c>
      <c r="Q111" s="33" t="n">
        <f aca="false">$F24*In_P50_Hours*(1-In_Curtailment)*(1-$E27)*(1-In_Degradation)^(Q108-1)*Q15*Q$6</f>
        <v>0</v>
      </c>
      <c r="R111" s="33" t="n">
        <f aca="false">$F24*In_P50_Hours*(1-In_Curtailment)*(1-$E27)*(1-In_Degradation)^(R108-1)*R15*R$6</f>
        <v>0</v>
      </c>
      <c r="S111" s="33" t="n">
        <f aca="false">$F24*In_P50_Hours*(1-In_Curtailment)*(1-$E27)*(1-In_Degradation)^(S108-1)*S15*S$6</f>
        <v>0</v>
      </c>
      <c r="T111" s="33" t="n">
        <f aca="false">$F24*In_P50_Hours*(1-In_Curtailment)*(1-$E27)*(1-In_Degradation)^(T108-1)*T15*T$6</f>
        <v>0</v>
      </c>
      <c r="U111" s="33" t="n">
        <f aca="false">$F24*In_P50_Hours*(1-In_Curtailment)*(1-$E27)*(1-In_Degradation)^(U108-1)*U15*U$6</f>
        <v>0</v>
      </c>
      <c r="V111" s="33" t="n">
        <f aca="false">$F24*In_P50_Hours*(1-In_Curtailment)*(1-$E27)*(1-In_Degradation)^(V108-1)*V15*V$6</f>
        <v>0</v>
      </c>
      <c r="W111" s="33" t="n">
        <f aca="false">$F24*In_P50_Hours*(1-In_Curtailment)*(1-$E27)*(1-In_Degradation)^(W108-1)*W15*W$6</f>
        <v>0</v>
      </c>
      <c r="X111" s="33" t="n">
        <f aca="false">$F24*In_P50_Hours*(1-In_Curtailment)*(1-$E27)*(1-In_Degradation)^(X108-1)*X15*X$6</f>
        <v>0</v>
      </c>
      <c r="Y111" s="33" t="n">
        <f aca="false">$F24*In_P50_Hours*(1-In_Curtailment)*(1-$E27)*(1-In_Degradation)^(Y108-1)*Y15*Y$6</f>
        <v>0</v>
      </c>
      <c r="Z111" s="33" t="n">
        <f aca="false">$F24*In_P50_Hours*(1-In_Curtailment)*(1-$E27)*(1-In_Degradation)^(Z108-1)*Z15*Z$6</f>
        <v>0</v>
      </c>
      <c r="AA111" s="33" t="n">
        <f aca="false">$F24*In_P50_Hours*(1-In_Curtailment)*(1-$E27)*(1-In_Degradation)^(AA108-1)*AA15*AA$6</f>
        <v>0</v>
      </c>
      <c r="AB111" s="33" t="n">
        <f aca="false">$F24*In_P50_Hours*(1-In_Curtailment)*(1-$E27)*(1-In_Degradation)^(AB108-1)*AB15*AB$6</f>
        <v>0</v>
      </c>
      <c r="AC111" s="33" t="n">
        <f aca="false">$F24*In_P50_Hours*(1-In_Curtailment)*(1-$E27)*(1-In_Degradation)^(AC108-1)*AC15*AC$6</f>
        <v>0</v>
      </c>
      <c r="AD111" s="33" t="n">
        <f aca="false">$F24*In_P50_Hours*(1-In_Curtailment)*(1-$E27)*(1-In_Degradation)^(AD108-1)*AD15*AD$6</f>
        <v>0</v>
      </c>
      <c r="AE111" s="33" t="n">
        <f aca="false">$F24*In_P50_Hours*(1-In_Curtailment)*(1-$E27)*(1-In_Degradation)^(AE108-1)*AE15*AE$6</f>
        <v>60765.3698630137</v>
      </c>
      <c r="AF111" s="33" t="n">
        <f aca="false">$F24*In_P50_Hours*(1-In_Curtailment)*(1-$E27)*(1-In_Degradation)^(AF108-1)*AF15*AF$6</f>
        <v>60104.8767123288</v>
      </c>
      <c r="AG111" s="33" t="n">
        <f aca="false">$F24*In_P50_Hours*(1-In_Curtailment)*(1-$E27)*(1-In_Degradation)^(AG108-1)*AG15*AG$6</f>
        <v>60104.8767123288</v>
      </c>
      <c r="AH111" s="33" t="n">
        <f aca="false">$F24*In_P50_Hours*(1-In_Curtailment)*(1-$E27)*(1-In_Degradation)^(AH108-1)*AH15*AH$6</f>
        <v>60765.3698630137</v>
      </c>
      <c r="AI111" s="33" t="n">
        <f aca="false">$F24*In_P50_Hours*(1-In_Curtailment)*(1-$E27)*(1-In_Degradation)^(AI108-1)*AI15*AI$6</f>
        <v>60583.0737534247</v>
      </c>
      <c r="AJ111" s="33" t="n">
        <f aca="false">$F24*In_P50_Hours*(1-In_Curtailment)*(1-$E27)*(1-In_Degradation)^(AJ108-1)*AJ15*AJ$6</f>
        <v>59266.0504109589</v>
      </c>
      <c r="AK111" s="33" t="n">
        <f aca="false">$F24*In_P50_Hours*(1-In_Curtailment)*(1-$E27)*(1-In_Degradation)^(AK108-1)*AK15*AK$6</f>
        <v>59924.5620821918</v>
      </c>
      <c r="AL111" s="33" t="n">
        <f aca="false">$F24*In_P50_Hours*(1-In_Curtailment)*(1-$E27)*(1-In_Degradation)^(AL108-1)*AL15*AL$6</f>
        <v>60583.0737534247</v>
      </c>
      <c r="AM111" s="33" t="n">
        <f aca="false">$F24*In_P50_Hours*(1-In_Curtailment)*(1-$E27)*(1-In_Degradation)^(AM108-1)*AM15*AM$6</f>
        <v>60401.3245321644</v>
      </c>
      <c r="AN111" s="33" t="n">
        <f aca="false">$F24*In_P50_Hours*(1-In_Curtailment)*(1-$E27)*(1-In_Degradation)^(AN108-1)*AN15*AN$6</f>
        <v>59088.252259726</v>
      </c>
      <c r="AO111" s="33" t="n">
        <f aca="false">$F24*In_P50_Hours*(1-In_Curtailment)*(1-$E27)*(1-In_Degradation)^(AO108-1)*AO15*AO$6</f>
        <v>59744.7883959452</v>
      </c>
      <c r="AP111" s="33" t="n">
        <f aca="false">$F24*In_P50_Hours*(1-In_Curtailment)*(1-$E27)*(1-In_Degradation)^(AP108-1)*AP15*AP$6</f>
        <v>60401.3245321644</v>
      </c>
      <c r="AQ111" s="33" t="n">
        <f aca="false">$F24*In_P50_Hours*(1-In_Curtailment)*(1-$E27)*(1-In_Degradation)^(AQ108-1)*AQ15*AQ$6</f>
        <v>60220.1205585679</v>
      </c>
      <c r="AR111" s="33" t="n">
        <f aca="false">$F24*In_P50_Hours*(1-In_Curtailment)*(1-$E27)*(1-In_Degradation)^(AR108-1)*AR15*AR$6</f>
        <v>58910.9875029468</v>
      </c>
      <c r="AS111" s="33" t="n">
        <f aca="false">$F24*In_P50_Hours*(1-In_Curtailment)*(1-$E27)*(1-In_Degradation)^(AS108-1)*AS15*AS$6</f>
        <v>59565.5540307574</v>
      </c>
      <c r="AT111" s="33" t="n">
        <f aca="false">$F24*In_P50_Hours*(1-In_Curtailment)*(1-$E27)*(1-In_Degradation)^(AT108-1)*AT15*AT$6</f>
        <v>60220.1205585679</v>
      </c>
      <c r="AU111" s="33" t="n">
        <f aca="false">$F24*In_P50_Hours*(1-In_Curtailment)*(1-$E27)*(1-In_Degradation)^(AU108-1)*AU15*AU$6</f>
        <v>60039.4601968922</v>
      </c>
      <c r="AV111" s="33" t="n">
        <f aca="false">$F24*In_P50_Hours*(1-In_Curtailment)*(1-$E27)*(1-In_Degradation)^(AV108-1)*AV15*AV$6</f>
        <v>59386.8573686651</v>
      </c>
      <c r="AW111" s="33" t="n">
        <f aca="false">$F24*In_P50_Hours*(1-In_Curtailment)*(1-$E27)*(1-In_Degradation)^(AW108-1)*AW15*AW$6</f>
        <v>59386.8573686651</v>
      </c>
      <c r="AX111" s="33" t="n">
        <f aca="false">$F24*In_P50_Hours*(1-In_Curtailment)*(1-$E27)*(1-In_Degradation)^(AX108-1)*AX15*AX$6</f>
        <v>60039.4601968922</v>
      </c>
      <c r="AY111" s="33" t="n">
        <f aca="false">$F24*In_P50_Hours*(1-In_Curtailment)*(1-$E27)*(1-In_Degradation)^(AY108-1)*AY15*AY$6</f>
        <v>59859.3418163015</v>
      </c>
      <c r="AZ111" s="33" t="n">
        <f aca="false">$F24*In_P50_Hours*(1-In_Curtailment)*(1-$E27)*(1-In_Degradation)^(AZ108-1)*AZ15*AZ$6</f>
        <v>58558.0517768167</v>
      </c>
      <c r="BA111" s="33" t="n">
        <f aca="false">$F24*In_P50_Hours*(1-In_Curtailment)*(1-$E27)*(1-In_Degradation)^(BA108-1)*BA15*BA$6</f>
        <v>59208.6967965591</v>
      </c>
      <c r="BB111" s="33" t="n">
        <f aca="false">$F24*In_P50_Hours*(1-In_Curtailment)*(1-$E27)*(1-In_Degradation)^(BB108-1)*BB15*BB$6</f>
        <v>59859.3418163015</v>
      </c>
      <c r="BC111" s="33" t="n">
        <f aca="false">$F24*In_P50_Hours*(1-In_Curtailment)*(1-$E27)*(1-In_Degradation)^(BC108-1)*BC15*BC$6</f>
        <v>59679.7637908526</v>
      </c>
      <c r="BD111" s="33" t="n">
        <f aca="false">$F24*In_P50_Hours*(1-In_Curtailment)*(1-$E27)*(1-In_Degradation)^(BD108-1)*BD15*BD$6</f>
        <v>58382.3776214862</v>
      </c>
      <c r="BE111" s="33" t="n">
        <f aca="false">$F24*In_P50_Hours*(1-In_Curtailment)*(1-$E27)*(1-In_Degradation)^(BE108-1)*BE15*BE$6</f>
        <v>59031.0707061694</v>
      </c>
      <c r="BF111" s="33" t="n">
        <f aca="false">$F24*In_P50_Hours*(1-In_Curtailment)*(1-$E27)*(1-In_Degradation)^(BF108-1)*BF15*BF$6</f>
        <v>59679.7637908526</v>
      </c>
      <c r="BG111" s="33" t="n">
        <f aca="false">$F24*In_P50_Hours*(1-In_Curtailment)*(1-$E27)*(1-In_Degradation)^(BG108-1)*BG15*BG$6</f>
        <v>59500.7244994801</v>
      </c>
      <c r="BH111" s="33" t="n">
        <f aca="false">$F24*In_P50_Hours*(1-In_Curtailment)*(1-$E27)*(1-In_Degradation)^(BH108-1)*BH15*BH$6</f>
        <v>58207.2304886218</v>
      </c>
      <c r="BI111" s="33" t="n">
        <f aca="false">$F24*In_P50_Hours*(1-In_Curtailment)*(1-$E27)*(1-In_Degradation)^(BI108-1)*BI15*BI$6</f>
        <v>58853.9774940509</v>
      </c>
      <c r="BJ111" s="33" t="n">
        <f aca="false">$F24*In_P50_Hours*(1-In_Curtailment)*(1-$E27)*(1-In_Degradation)^(BJ108-1)*BJ15*BJ$6</f>
        <v>59500.7244994801</v>
      </c>
      <c r="BK111" s="33" t="n">
        <f aca="false">$F24*In_P50_Hours*(1-In_Curtailment)*(1-$E27)*(1-In_Degradation)^(BK108-1)*BK15*BK$6</f>
        <v>59322.2223259816</v>
      </c>
      <c r="BL111" s="33" t="n">
        <f aca="false">$F24*In_P50_Hours*(1-In_Curtailment)*(1-$E27)*(1-In_Degradation)^(BL108-1)*BL15*BL$6</f>
        <v>58677.4155615688</v>
      </c>
      <c r="BM111" s="33" t="n">
        <f aca="false">$F24*In_P50_Hours*(1-In_Curtailment)*(1-$E27)*(1-In_Degradation)^(BM108-1)*BM15*BM$6</f>
        <v>58677.4155615688</v>
      </c>
      <c r="BN111" s="33" t="n">
        <f aca="false">$F24*In_P50_Hours*(1-In_Curtailment)*(1-$E27)*(1-In_Degradation)^(BN108-1)*BN15*BN$6</f>
        <v>59322.2223259816</v>
      </c>
      <c r="BO111" s="33" t="n">
        <f aca="false">$F24*In_P50_Hours*(1-In_Curtailment)*(1-$E27)*(1-In_Degradation)^(BO108-1)*BO15*BO$6</f>
        <v>59144.2556590037</v>
      </c>
      <c r="BP111" s="33" t="n">
        <f aca="false">$F24*In_P50_Hours*(1-In_Curtailment)*(1-$E27)*(1-In_Degradation)^(BP108-1)*BP15*BP$6</f>
        <v>57858.5109707644</v>
      </c>
      <c r="BQ111" s="33" t="n">
        <f aca="false">$F24*In_P50_Hours*(1-In_Curtailment)*(1-$E27)*(1-In_Degradation)^(BQ108-1)*BQ15*BQ$6</f>
        <v>58501.3833148841</v>
      </c>
      <c r="BR111" s="33" t="n">
        <f aca="false">$F24*In_P50_Hours*(1-In_Curtailment)*(1-$E27)*(1-In_Degradation)^(BR108-1)*BR15*BR$6</f>
        <v>59144.2556590037</v>
      </c>
      <c r="BS111" s="33" t="n">
        <f aca="false">$F24*In_P50_Hours*(1-In_Curtailment)*(1-$E27)*(1-In_Degradation)^(BS108-1)*BS15*BS$6</f>
        <v>58966.8228920267</v>
      </c>
      <c r="BT111" s="33" t="n">
        <f aca="false">$F24*In_P50_Hours*(1-In_Curtailment)*(1-$E27)*(1-In_Degradation)^(BT108-1)*BT15*BT$6</f>
        <v>57684.9354378522</v>
      </c>
      <c r="BU111" s="33" t="n">
        <f aca="false">$F24*In_P50_Hours*(1-In_Curtailment)*(1-$E27)*(1-In_Degradation)^(BU108-1)*BU15*BU$6</f>
        <v>58325.8791649394</v>
      </c>
      <c r="BV111" s="33" t="n">
        <f aca="false">$F24*In_P50_Hours*(1-In_Curtailment)*(1-$E27)*(1-In_Degradation)^(BV108-1)*BV15*BV$6</f>
        <v>58966.8228920267</v>
      </c>
      <c r="BW111" s="33" t="n">
        <f aca="false">$F24*In_P50_Hours*(1-In_Curtailment)*(1-$E27)*(1-In_Degradation)^(BW108-1)*BW15*BW$6</f>
        <v>58789.9224233506</v>
      </c>
      <c r="BX111" s="33" t="n">
        <f aca="false">$F24*In_P50_Hours*(1-In_Curtailment)*(1-$E27)*(1-In_Degradation)^(BX108-1)*BX15*BX$6</f>
        <v>57511.8806315386</v>
      </c>
      <c r="BY111" s="33" t="n">
        <f aca="false">$F24*In_P50_Hours*(1-In_Curtailment)*(1-$E27)*(1-In_Degradation)^(BY108-1)*BY15*BY$6</f>
        <v>58150.9015274446</v>
      </c>
      <c r="BZ111" s="33" t="n">
        <f aca="false">$F24*In_P50_Hours*(1-In_Curtailment)*(1-$E27)*(1-In_Degradation)^(BZ108-1)*BZ15*BZ$6</f>
        <v>58789.9224233506</v>
      </c>
      <c r="CA111" s="33" t="n">
        <f aca="false">$F24*In_P50_Hours*(1-In_Curtailment)*(1-$E27)*(1-In_Degradation)^(CA108-1)*CA15*CA$6</f>
        <v>58613.5526560805</v>
      </c>
      <c r="CB111" s="33" t="n">
        <f aca="false">$F24*In_P50_Hours*(1-In_Curtailment)*(1-$E27)*(1-In_Degradation)^(CB108-1)*CB15*CB$6</f>
        <v>57976.4488228623</v>
      </c>
      <c r="CC111" s="33" t="n">
        <f aca="false">$F24*In_P50_Hours*(1-In_Curtailment)*(1-$E27)*(1-In_Degradation)^(CC108-1)*CC15*CC$6</f>
        <v>57976.4488228623</v>
      </c>
      <c r="CD111" s="33" t="n">
        <f aca="false">$F24*In_P50_Hours*(1-In_Curtailment)*(1-$E27)*(1-In_Degradation)^(CD108-1)*CD15*CD$6</f>
        <v>58613.5526560805</v>
      </c>
      <c r="CE111" s="33" t="n">
        <f aca="false">$F24*In_P50_Hours*(1-In_Curtailment)*(1-$E27)*(1-In_Degradation)^(CE108-1)*CE15*CE$6</f>
        <v>58437.7119981123</v>
      </c>
      <c r="CF111" s="33" t="n">
        <f aca="false">$F24*In_P50_Hours*(1-In_Curtailment)*(1-$E27)*(1-In_Degradation)^(CF108-1)*CF15*CF$6</f>
        <v>57167.326954675</v>
      </c>
      <c r="CG111" s="33" t="n">
        <f aca="false">$F24*In_P50_Hours*(1-In_Curtailment)*(1-$E27)*(1-In_Degradation)^(CG108-1)*CG15*CG$6</f>
        <v>57802.5194763937</v>
      </c>
      <c r="CH111" s="33" t="n">
        <f aca="false">$F24*In_P50_Hours*(1-In_Curtailment)*(1-$E27)*(1-In_Degradation)^(CH108-1)*CH15*CH$6</f>
        <v>58437.7119981123</v>
      </c>
      <c r="CI111" s="33" t="n">
        <f aca="false">$F24*In_P50_Hours*(1-In_Curtailment)*(1-$E27)*(1-In_Degradation)^(CI108-1)*CI15*CI$6</f>
        <v>58262.398862118</v>
      </c>
      <c r="CJ111" s="33" t="n">
        <f aca="false">$F24*In_P50_Hours*(1-In_Curtailment)*(1-$E27)*(1-In_Degradation)^(CJ108-1)*CJ15*CJ$6</f>
        <v>56995.824973811</v>
      </c>
      <c r="CK111" s="33" t="n">
        <f aca="false">$F24*In_P50_Hours*(1-In_Curtailment)*(1-$E27)*(1-In_Degradation)^(CK108-1)*CK15*CK$6</f>
        <v>57629.1119179645</v>
      </c>
      <c r="CL111" s="33" t="n">
        <f aca="false">$F24*In_P50_Hours*(1-In_Curtailment)*(1-$E27)*(1-In_Degradation)^(CL108-1)*CL15*CL$6</f>
        <v>58262.398862118</v>
      </c>
      <c r="CM111" s="33" t="n">
        <f aca="false">$F24*In_P50_Hours*(1-In_Curtailment)*(1-$E27)*(1-In_Degradation)^(CM108-1)*CM15*CM$6</f>
        <v>58087.6116655316</v>
      </c>
      <c r="CN111" s="33" t="n">
        <f aca="false">$F24*In_P50_Hours*(1-In_Curtailment)*(1-$E27)*(1-In_Degradation)^(CN108-1)*CN15*CN$6</f>
        <v>56824.8374988896</v>
      </c>
      <c r="CO111" s="33" t="n">
        <f aca="false">$F24*In_P50_Hours*(1-In_Curtailment)*(1-$E27)*(1-In_Degradation)^(CO108-1)*CO15*CO$6</f>
        <v>57456.2245822106</v>
      </c>
      <c r="CP111" s="33" t="n">
        <f aca="false">$F24*In_P50_Hours*(1-In_Curtailment)*(1-$E27)*(1-In_Degradation)^(CP108-1)*CP15*CP$6</f>
        <v>58087.6116655316</v>
      </c>
      <c r="CQ111" s="33" t="n">
        <f aca="false">$F24*In_P50_Hours*(1-In_Curtailment)*(1-$E27)*(1-In_Degradation)^(CQ108-1)*CQ15*CQ$6</f>
        <v>57913.348830535</v>
      </c>
      <c r="CR111" s="33" t="n">
        <f aca="false">$F24*In_P50_Hours*(1-In_Curtailment)*(1-$E27)*(1-In_Degradation)^(CR108-1)*CR15*CR$6</f>
        <v>57283.855908464</v>
      </c>
      <c r="CS111" s="33" t="n">
        <f aca="false">$F24*In_P50_Hours*(1-In_Curtailment)*(1-$E27)*(1-In_Degradation)^(CS108-1)*CS15*CS$6</f>
        <v>57283.855908464</v>
      </c>
      <c r="CT111" s="33" t="n">
        <f aca="false">$F24*In_P50_Hours*(1-In_Curtailment)*(1-$E27)*(1-In_Degradation)^(CT108-1)*CT15*CT$6</f>
        <v>57913.348830535</v>
      </c>
      <c r="CU111" s="33" t="n">
        <f aca="false">$F24*In_P50_Hours*(1-In_Curtailment)*(1-$E27)*(1-In_Degradation)^(CU108-1)*CU15*CU$6</f>
        <v>57739.6087840434</v>
      </c>
      <c r="CV111" s="33" t="n">
        <f aca="false">$F24*In_P50_Hours*(1-In_Curtailment)*(1-$E27)*(1-In_Degradation)^(CV108-1)*CV15*CV$6</f>
        <v>56484.3998974337</v>
      </c>
      <c r="CW111" s="33" t="n">
        <f aca="false">$F24*In_P50_Hours*(1-In_Curtailment)*(1-$E27)*(1-In_Degradation)^(CW108-1)*CW15*CW$6</f>
        <v>57112.0043407386</v>
      </c>
      <c r="CX111" s="33" t="n">
        <f aca="false">$F24*In_P50_Hours*(1-In_Curtailment)*(1-$E27)*(1-In_Degradation)^(CX108-1)*CX15*CX$6</f>
        <v>57739.6087840434</v>
      </c>
      <c r="CY111" s="33" t="n">
        <f aca="false">$F24*In_P50_Hours*(1-In_Curtailment)*(1-$E27)*(1-In_Degradation)^(CY108-1)*CY15*CY$6</f>
        <v>57566.3899576913</v>
      </c>
      <c r="CZ111" s="33" t="n">
        <f aca="false">$F24*In_P50_Hours*(1-In_Curtailment)*(1-$E27)*(1-In_Degradation)^(CZ108-1)*CZ15*CZ$6</f>
        <v>56314.9466977414</v>
      </c>
      <c r="DA111" s="33" t="n">
        <f aca="false">$F24*In_P50_Hours*(1-In_Curtailment)*(1-$E27)*(1-In_Degradation)^(DA108-1)*DA15*DA$6</f>
        <v>56940.6683277164</v>
      </c>
      <c r="DB111" s="33" t="n">
        <f aca="false">$F24*In_P50_Hours*(1-In_Curtailment)*(1-$E27)*(1-In_Degradation)^(DB108-1)*DB15*DB$6</f>
        <v>57566.3899576913</v>
      </c>
      <c r="DC111" s="33" t="n">
        <f aca="false">$F24*In_P50_Hours*(1-In_Curtailment)*(1-$E27)*(1-In_Degradation)^(DC108-1)*DC15*DC$6</f>
        <v>57393.6907878182</v>
      </c>
      <c r="DD111" s="33" t="n">
        <f aca="false">$F24*In_P50_Hours*(1-In_Curtailment)*(1-$E27)*(1-In_Degradation)^(DD108-1)*DD15*DD$6</f>
        <v>56146.0018576482</v>
      </c>
      <c r="DE111" s="33" t="n">
        <f aca="false">$F24*In_P50_Hours*(1-In_Curtailment)*(1-$E27)*(1-In_Degradation)^(DE108-1)*DE15*DE$6</f>
        <v>56769.8463227332</v>
      </c>
      <c r="DF111" s="33" t="n">
        <f aca="false">$F24*In_P50_Hours*(1-In_Curtailment)*(1-$E27)*(1-In_Degradation)^(DF108-1)*DF15*DF$6</f>
        <v>57393.6907878182</v>
      </c>
      <c r="DG111" s="33" t="n">
        <f aca="false">$F24*In_P50_Hours*(1-In_Curtailment)*(1-$E27)*(1-In_Degradation)^(DG108-1)*DG15*DG$6</f>
        <v>57221.5097154547</v>
      </c>
      <c r="DH111" s="33" t="n">
        <f aca="false">$F24*In_P50_Hours*(1-In_Curtailment)*(1-$E27)*(1-In_Degradation)^(DH108-1)*DH15*DH$6</f>
        <v>56599.536783765</v>
      </c>
      <c r="DI111" s="33" t="n">
        <f aca="false">$F24*In_P50_Hours*(1-In_Curtailment)*(1-$E27)*(1-In_Degradation)^(DI108-1)*DI15*DI$6</f>
        <v>56599.536783765</v>
      </c>
      <c r="DJ111" s="33" t="n">
        <f aca="false">$F24*In_P50_Hours*(1-In_Curtailment)*(1-$E27)*(1-In_Degradation)^(DJ108-1)*DJ15*DJ$6</f>
        <v>57221.5097154547</v>
      </c>
      <c r="DK111" s="33" t="n">
        <f aca="false">$F24*In_P50_Hours*(1-In_Curtailment)*(1-$E27)*(1-In_Degradation)^(DK108-1)*DK15*DK$6</f>
        <v>57049.8451863084</v>
      </c>
      <c r="DL111" s="33" t="n">
        <f aca="false">$F24*In_P50_Hours*(1-In_Curtailment)*(1-$E27)*(1-In_Degradation)^(DL108-1)*DL15*DL$6</f>
        <v>55809.6311605191</v>
      </c>
      <c r="DM111" s="33" t="n">
        <f aca="false">$F24*In_P50_Hours*(1-In_Curtailment)*(1-$E27)*(1-In_Degradation)^(DM108-1)*DM15*DM$6</f>
        <v>56429.7381734137</v>
      </c>
      <c r="DN111" s="33" t="n">
        <f aca="false">$F24*In_P50_Hours*(1-In_Curtailment)*(1-$E27)*(1-In_Degradation)^(DN108-1)*DN15*DN$6</f>
        <v>57049.8451863084</v>
      </c>
      <c r="DO111" s="33" t="n">
        <f aca="false">$F24*In_P50_Hours*(1-In_Curtailment)*(1-$E27)*(1-In_Degradation)^(DO108-1)*DO15*DO$6</f>
        <v>56878.6956507494</v>
      </c>
      <c r="DP111" s="33" t="n">
        <f aca="false">$F24*In_P50_Hours*(1-In_Curtailment)*(1-$E27)*(1-In_Degradation)^(DP108-1)*DP15*DP$6</f>
        <v>55642.2022670375</v>
      </c>
      <c r="DQ111" s="33" t="n">
        <f aca="false">$F24*In_P50_Hours*(1-In_Curtailment)*(1-$E27)*(1-In_Degradation)^(DQ108-1)*DQ15*DQ$6</f>
        <v>56260.4489588935</v>
      </c>
      <c r="DR111" s="33" t="n">
        <f aca="false">$F24*In_P50_Hours*(1-In_Curtailment)*(1-$E27)*(1-In_Degradation)^(DR108-1)*DR15*DR$6</f>
        <v>56878.6956507494</v>
      </c>
      <c r="DS111" s="33" t="n">
        <f aca="false">$F24*In_P50_Hours*(1-In_Curtailment)*(1-$E27)*(1-In_Degradation)^(DS108-1)*DS15*DS$6</f>
        <v>56708.0595637972</v>
      </c>
      <c r="DT111" s="33" t="n">
        <f aca="false">$F24*In_P50_Hours*(1-In_Curtailment)*(1-$E27)*(1-In_Degradation)^(DT108-1)*DT15*DT$6</f>
        <v>55475.2756602364</v>
      </c>
      <c r="DU111" s="33" t="n">
        <f aca="false">$F24*In_P50_Hours*(1-In_Curtailment)*(1-$E27)*(1-In_Degradation)^(DU108-1)*DU15*DU$6</f>
        <v>56091.6676120168</v>
      </c>
      <c r="DV111" s="33" t="n">
        <f aca="false">$F24*In_P50_Hours*(1-In_Curtailment)*(1-$E27)*(1-In_Degradation)^(DV108-1)*DV15*DV$6</f>
        <v>56708.0595637972</v>
      </c>
      <c r="DW111" s="33" t="n">
        <f aca="false">$F24*In_P50_Hours*(1-In_Curtailment)*(1-$E27)*(1-In_Degradation)^(DW108-1)*DW15*DW$6</f>
        <v>56537.9353851058</v>
      </c>
      <c r="DX111" s="33" t="n">
        <f aca="false">$F24*In_P50_Hours*(1-In_Curtailment)*(1-$E27)*(1-In_Degradation)^(DX108-1)*DX15*DX$6</f>
        <v>55923.3926091807</v>
      </c>
      <c r="DY111" s="33" t="n">
        <f aca="false">$F24*In_P50_Hours*(1-In_Curtailment)*(1-$E27)*(1-In_Degradation)^(DY108-1)*DY15*DY$6</f>
        <v>55923.3926091807</v>
      </c>
      <c r="DZ111" s="33" t="n">
        <f aca="false">$F24*In_P50_Hours*(1-In_Curtailment)*(1-$E27)*(1-In_Degradation)^(DZ108-1)*DZ15*DZ$6</f>
        <v>56537.9353851058</v>
      </c>
      <c r="EA111" s="33" t="n">
        <f aca="false">$F24*In_P50_Hours*(1-In_Curtailment)*(1-$E27)*(1-In_Degradation)^(EA108-1)*EA15*EA$6</f>
        <v>56368.3215789505</v>
      </c>
      <c r="EB111" s="33" t="n">
        <f aca="false">$F24*In_P50_Hours*(1-In_Curtailment)*(1-$E27)*(1-In_Degradation)^(EB108-1)*EB15*EB$6</f>
        <v>55142.9232837559</v>
      </c>
      <c r="EC111" s="33" t="n">
        <f aca="false">$F24*In_P50_Hours*(1-In_Curtailment)*(1-$E27)*(1-In_Degradation)^(EC108-1)*EC15*EC$6</f>
        <v>55755.6224313532</v>
      </c>
      <c r="ED111" s="33" t="n">
        <f aca="false">$F24*In_P50_Hours*(1-In_Curtailment)*(1-$E27)*(1-In_Degradation)^(ED108-1)*ED15*ED$6</f>
        <v>56368.3215789505</v>
      </c>
      <c r="EE111" s="33" t="n">
        <f aca="false">$F24*In_P50_Hours*(1-In_Curtailment)*(1-$E27)*(1-In_Degradation)^(EE108-1)*EE15*EE$6</f>
        <v>56199.2166142136</v>
      </c>
      <c r="EF111" s="33" t="n">
        <f aca="false">$F24*In_P50_Hours*(1-In_Curtailment)*(1-$E27)*(1-In_Degradation)^(EF108-1)*EF15*EF$6</f>
        <v>54977.4945139046</v>
      </c>
      <c r="EG111" s="33" t="n">
        <f aca="false">$F24*In_P50_Hours*(1-In_Curtailment)*(1-$E27)*(1-In_Degradation)^(EG108-1)*EG15*EG$6</f>
        <v>55588.3555640591</v>
      </c>
      <c r="EH111" s="33" t="n">
        <f aca="false">$F24*In_P50_Hours*(1-In_Curtailment)*(1-$E27)*(1-In_Degradation)^(EH108-1)*EH15*EH$6</f>
        <v>56199.2166142136</v>
      </c>
      <c r="EI111" s="33" t="n">
        <f aca="false">$F24*In_P50_Hours*(1-In_Curtailment)*(1-$E27)*(1-In_Degradation)^(EI108-1)*EI15*EI$6</f>
        <v>56030.618964371</v>
      </c>
      <c r="EJ111" s="33" t="n">
        <f aca="false">$F24*In_P50_Hours*(1-In_Curtailment)*(1-$E27)*(1-In_Degradation)^(EJ108-1)*EJ15*EJ$6</f>
        <v>54812.5620303629</v>
      </c>
      <c r="EK111" s="33" t="n">
        <f aca="false">$F24*In_P50_Hours*(1-In_Curtailment)*(1-$E27)*(1-In_Degradation)^(EK108-1)*EK15*EK$6</f>
        <v>55421.590497367</v>
      </c>
      <c r="EL111" s="33" t="n">
        <f aca="false">$F24*In_P50_Hours*(1-In_Curtailment)*(1-$E27)*(1-In_Degradation)^(EL108-1)*EL15*EL$6</f>
        <v>56030.618964371</v>
      </c>
      <c r="EM111" s="33" t="n">
        <f aca="false">$F24*In_P50_Hours*(1-In_Curtailment)*(1-$E27)*(1-In_Degradation)^(EM108-1)*EM15*EM$6</f>
        <v>55862.5271074779</v>
      </c>
      <c r="EN111" s="33" t="n">
        <f aca="false">$F24*In_P50_Hours*(1-In_Curtailment)*(1-$E27)*(1-In_Degradation)^(EN108-1)*EN15*EN$6</f>
        <v>55255.3257258749</v>
      </c>
      <c r="EO111" s="33" t="n">
        <f aca="false">$F24*In_P50_Hours*(1-In_Curtailment)*(1-$E27)*(1-In_Degradation)^(EO108-1)*EO15*EO$6</f>
        <v>55255.3257258749</v>
      </c>
      <c r="EP111" s="33" t="n">
        <f aca="false">$F24*In_P50_Hours*(1-In_Curtailment)*(1-$E27)*(1-In_Degradation)^(EP108-1)*EP15*EP$6</f>
        <v>55862.5271074779</v>
      </c>
      <c r="EQ111" s="33" t="n">
        <f aca="false">$F24*In_P50_Hours*(1-In_Curtailment)*(1-$E27)*(1-In_Degradation)^(EQ108-1)*EQ15*EQ$6</f>
        <v>55694.9395261554</v>
      </c>
      <c r="ER111" s="33" t="n">
        <f aca="false">$F24*In_P50_Hours*(1-In_Curtailment)*(1-$E27)*(1-In_Degradation)^(ER108-1)*ER15*ER$6</f>
        <v>54484.179971239</v>
      </c>
      <c r="ES111" s="33" t="n">
        <f aca="false">$F24*In_P50_Hours*(1-In_Curtailment)*(1-$E27)*(1-In_Degradation)^(ES108-1)*ES15*ES$6</f>
        <v>55089.5597486972</v>
      </c>
      <c r="ET111" s="33" t="n">
        <f aca="false">$F24*In_P50_Hours*(1-In_Curtailment)*(1-$E27)*(1-In_Degradation)^(ET108-1)*ET15*ET$6</f>
        <v>55694.9395261554</v>
      </c>
    </row>
    <row r="112" customFormat="false" ht="15" hidden="false" customHeight="false" outlineLevel="0" collapsed="false">
      <c r="C112" s="0" t="s">
        <v>558</v>
      </c>
      <c r="D112" s="11" t="s">
        <v>247</v>
      </c>
      <c r="I112" s="33" t="n">
        <f aca="false">SUM(J112:ET112)</f>
        <v>727113.739439716</v>
      </c>
      <c r="J112" s="33" t="n">
        <f aca="false">J111*J110/Thousand</f>
        <v>0</v>
      </c>
      <c r="K112" s="33" t="n">
        <f aca="false">K111*K110/Thousand</f>
        <v>0</v>
      </c>
      <c r="L112" s="33" t="n">
        <f aca="false">L111*L110/Thousand</f>
        <v>0</v>
      </c>
      <c r="M112" s="33" t="n">
        <f aca="false">M111*M110/Thousand</f>
        <v>0</v>
      </c>
      <c r="N112" s="33" t="n">
        <f aca="false">N111*N110/Thousand</f>
        <v>0</v>
      </c>
      <c r="O112" s="33" t="n">
        <f aca="false">O111*O110/Thousand</f>
        <v>0</v>
      </c>
      <c r="P112" s="33" t="n">
        <f aca="false">P111*P110/Thousand</f>
        <v>0</v>
      </c>
      <c r="Q112" s="33" t="n">
        <f aca="false">Q111*Q110/Thousand</f>
        <v>0</v>
      </c>
      <c r="R112" s="33" t="n">
        <f aca="false">R111*R110/Thousand</f>
        <v>0</v>
      </c>
      <c r="S112" s="33" t="n">
        <f aca="false">S111*S110/Thousand</f>
        <v>0</v>
      </c>
      <c r="T112" s="33" t="n">
        <f aca="false">T111*T110/Thousand</f>
        <v>0</v>
      </c>
      <c r="U112" s="33" t="n">
        <f aca="false">U111*U110/Thousand</f>
        <v>0</v>
      </c>
      <c r="V112" s="33" t="n">
        <f aca="false">V111*V110/Thousand</f>
        <v>0</v>
      </c>
      <c r="W112" s="33" t="n">
        <f aca="false">W111*W110/Thousand</f>
        <v>0</v>
      </c>
      <c r="X112" s="33" t="n">
        <f aca="false">X111*X110/Thousand</f>
        <v>0</v>
      </c>
      <c r="Y112" s="33" t="n">
        <f aca="false">Y111*Y110/Thousand</f>
        <v>0</v>
      </c>
      <c r="Z112" s="33" t="n">
        <f aca="false">Z111*Z110/Thousand</f>
        <v>0</v>
      </c>
      <c r="AA112" s="33" t="n">
        <f aca="false">AA111*AA110/Thousand</f>
        <v>0</v>
      </c>
      <c r="AB112" s="33" t="n">
        <f aca="false">AB111*AB110/Thousand</f>
        <v>0</v>
      </c>
      <c r="AC112" s="33" t="n">
        <f aca="false">AC111*AC110/Thousand</f>
        <v>0</v>
      </c>
      <c r="AD112" s="33" t="n">
        <f aca="false">AD111*AD110/Thousand</f>
        <v>0</v>
      </c>
      <c r="AE112" s="33" t="n">
        <f aca="false">AE111*AE110/Thousand</f>
        <v>5468.88328767123</v>
      </c>
      <c r="AF112" s="33" t="n">
        <f aca="false">AF111*AF110/Thousand</f>
        <v>5463.53329315069</v>
      </c>
      <c r="AG112" s="33" t="n">
        <f aca="false">AG111*AG110/Thousand</f>
        <v>5463.53329315069</v>
      </c>
      <c r="AH112" s="33" t="n">
        <f aca="false">AH111*AH110/Thousand</f>
        <v>5523.57212054795</v>
      </c>
      <c r="AI112" s="33" t="n">
        <f aca="false">AI111*AI110/Thousand</f>
        <v>5507.0014041863</v>
      </c>
      <c r="AJ112" s="33" t="n">
        <f aca="false">AJ111*AJ110/Thousand</f>
        <v>5441.15682217973</v>
      </c>
      <c r="AK112" s="33" t="n">
        <f aca="false">AK111*AK110/Thousand</f>
        <v>5501.61412020395</v>
      </c>
      <c r="AL112" s="33" t="n">
        <f aca="false">AL111*AL110/Thousand</f>
        <v>5562.07141822817</v>
      </c>
      <c r="AM112" s="33" t="n">
        <f aca="false">AM111*AM110/Thousand</f>
        <v>5545.38520397348</v>
      </c>
      <c r="AN112" s="33" t="n">
        <f aca="false">AN111*AN110/Thousand</f>
        <v>5479.08168523032</v>
      </c>
      <c r="AO112" s="33" t="n">
        <f aca="false">AO111*AO110/Thousand</f>
        <v>5539.96037062177</v>
      </c>
      <c r="AP112" s="33" t="n">
        <f aca="false">AP111*AP110/Thousand</f>
        <v>5600.83905601322</v>
      </c>
      <c r="AQ112" s="33" t="n">
        <f aca="false">AQ111*AQ110/Thousand</f>
        <v>5584.03653884518</v>
      </c>
      <c r="AR112" s="33" t="n">
        <f aca="false">AR111*AR110/Thousand</f>
        <v>5517.27088457637</v>
      </c>
      <c r="AS112" s="33" t="n">
        <f aca="false">AS111*AS110/Thousand</f>
        <v>5578.573894405</v>
      </c>
      <c r="AT112" s="33" t="n">
        <f aca="false">AT111*AT110/Thousand</f>
        <v>5639.87690423363</v>
      </c>
      <c r="AU112" s="33" t="n">
        <f aca="false">AU111*AU110/Thousand</f>
        <v>5622.95727352093</v>
      </c>
      <c r="AV112" s="33" t="n">
        <f aca="false">AV111*AV110/Thousand</f>
        <v>5617.456554449</v>
      </c>
      <c r="AW112" s="33" t="n">
        <f aca="false">AW111*AW110/Thousand</f>
        <v>5617.456554449</v>
      </c>
      <c r="AX112" s="33" t="n">
        <f aca="false">AX111*AX110/Thousand</f>
        <v>5679.18684625614</v>
      </c>
      <c r="AY112" s="33" t="n">
        <f aca="false">AY111*AY110/Thousand</f>
        <v>5662.14928571737</v>
      </c>
      <c r="AZ112" s="33" t="n">
        <f aca="false">AZ111*AZ110/Thousand</f>
        <v>5594.44967469249</v>
      </c>
      <c r="BA112" s="33" t="n">
        <f aca="false">BA111*BA110/Thousand</f>
        <v>5656.61022663352</v>
      </c>
      <c r="BB112" s="33" t="n">
        <f aca="false">BB111*BB110/Thousand</f>
        <v>5718.77077857454</v>
      </c>
      <c r="BC112" s="33" t="n">
        <f aca="false">BC111*BC110/Thousand</f>
        <v>5701.61446623882</v>
      </c>
      <c r="BD112" s="33" t="n">
        <f aca="false">BD111*BD110/Thousand</f>
        <v>5633.44298892509</v>
      </c>
      <c r="BE112" s="33" t="n">
        <f aca="false">BE111*BE110/Thousand</f>
        <v>5696.03679991315</v>
      </c>
      <c r="BF112" s="33" t="n">
        <f aca="false">BF111*BF110/Thousand</f>
        <v>5758.63061090121</v>
      </c>
      <c r="BG112" s="33" t="n">
        <f aca="false">BG111*BG110/Thousand</f>
        <v>5741.3547190685</v>
      </c>
      <c r="BH112" s="33" t="n">
        <f aca="false">BH111*BH110/Thousand</f>
        <v>5672.7080865579</v>
      </c>
      <c r="BI112" s="33" t="n">
        <f aca="false">BI111*BI110/Thousand</f>
        <v>5735.73817640854</v>
      </c>
      <c r="BJ112" s="33" t="n">
        <f aca="false">BJ111*BJ110/Thousand</f>
        <v>5798.76826625919</v>
      </c>
      <c r="BK112" s="33" t="n">
        <f aca="false">BK111*BK110/Thousand</f>
        <v>5781.37196146041</v>
      </c>
      <c r="BL112" s="33" t="n">
        <f aca="false">BL111*BL110/Thousand</f>
        <v>5775.71627149811</v>
      </c>
      <c r="BM112" s="33" t="n">
        <f aca="false">BM111*BM110/Thousand</f>
        <v>5775.71627149811</v>
      </c>
      <c r="BN112" s="33" t="n">
        <f aca="false">BN111*BN110/Thousand</f>
        <v>5839.18568107501</v>
      </c>
      <c r="BO112" s="33" t="n">
        <f aca="false">BO111*BO110/Thousand</f>
        <v>5821.66812403179</v>
      </c>
      <c r="BP112" s="33" t="n">
        <f aca="false">BP111*BP110/Thousand</f>
        <v>5752.0612225488</v>
      </c>
      <c r="BQ112" s="33" t="n">
        <f aca="false">BQ111*BQ110/Thousand</f>
        <v>5815.97301391045</v>
      </c>
      <c r="BR112" s="33" t="n">
        <f aca="false">BR111*BR110/Thousand</f>
        <v>5879.88480527211</v>
      </c>
      <c r="BS112" s="33" t="n">
        <f aca="false">BS111*BS110/Thousand</f>
        <v>5862.24515085629</v>
      </c>
      <c r="BT112" s="33" t="n">
        <f aca="false">BT111*BT110/Thousand</f>
        <v>5792.15308926996</v>
      </c>
      <c r="BU112" s="33" t="n">
        <f aca="false">BU111*BU110/Thousand</f>
        <v>5856.51034581741</v>
      </c>
      <c r="BV112" s="33" t="n">
        <f aca="false">BV111*BV110/Thousand</f>
        <v>5920.86760236485</v>
      </c>
      <c r="BW112" s="33" t="n">
        <f aca="false">BW111*BW110/Thousand</f>
        <v>5903.10499955776</v>
      </c>
      <c r="BX112" s="33" t="n">
        <f aca="false">BX111*BX110/Thousand</f>
        <v>5832.52439630218</v>
      </c>
      <c r="BY112" s="33" t="n">
        <f aca="false">BY111*BY110/Thousand</f>
        <v>5897.33022292776</v>
      </c>
      <c r="BZ112" s="33" t="n">
        <f aca="false">BZ111*BZ110/Thousand</f>
        <v>5962.13604955334</v>
      </c>
      <c r="CA112" s="33" t="n">
        <f aca="false">CA111*CA110/Thousand</f>
        <v>5944.24964140468</v>
      </c>
      <c r="CB112" s="33" t="n">
        <f aca="false">CB111*CB110/Thousand</f>
        <v>5938.43461458156</v>
      </c>
      <c r="CC112" s="33" t="n">
        <f aca="false">CC111*CC110/Thousand</f>
        <v>5938.43461458156</v>
      </c>
      <c r="CD112" s="33" t="n">
        <f aca="false">CD111*CD110/Thousand</f>
        <v>6003.69213781872</v>
      </c>
      <c r="CE112" s="33" t="n">
        <f aca="false">CE111*CE110/Thousand</f>
        <v>5985.68106140527</v>
      </c>
      <c r="CF112" s="33" t="n">
        <f aca="false">CF111*CF110/Thousand</f>
        <v>5914.11313567107</v>
      </c>
      <c r="CG112" s="33" t="n">
        <f aca="false">CG111*CG110/Thousand</f>
        <v>5979.8255038452</v>
      </c>
      <c r="CH112" s="33" t="n">
        <f aca="false">CH111*CH110/Thousand</f>
        <v>6045.53787201932</v>
      </c>
      <c r="CI112" s="33" t="n">
        <f aca="false">CI111*CI110/Thousand</f>
        <v>6027.40125840326</v>
      </c>
      <c r="CJ112" s="33" t="n">
        <f aca="false">CJ111*CJ110/Thousand</f>
        <v>5955.3345042267</v>
      </c>
      <c r="CK112" s="33" t="n">
        <f aca="false">CK111*CK110/Thousand</f>
        <v>6021.504887607</v>
      </c>
      <c r="CL112" s="33" t="n">
        <f aca="false">CL111*CL110/Thousand</f>
        <v>6087.67527098729</v>
      </c>
      <c r="CM112" s="33" t="n">
        <f aca="false">CM111*CM110/Thousand</f>
        <v>6069.41224517433</v>
      </c>
      <c r="CN112" s="33" t="n">
        <f aca="false">CN111*CN110/Thousand</f>
        <v>5996.84318572116</v>
      </c>
      <c r="CO112" s="33" t="n">
        <f aca="false">CO111*CO110/Thousand</f>
        <v>6063.47477667362</v>
      </c>
      <c r="CP112" s="33" t="n">
        <f aca="false">CP111*CP110/Thousand</f>
        <v>6130.10636762608</v>
      </c>
      <c r="CQ112" s="33" t="n">
        <f aca="false">CQ111*CQ110/Thousand</f>
        <v>6111.7160485232</v>
      </c>
      <c r="CR112" s="33" t="n">
        <f aca="false">CR111*CR110/Thousand</f>
        <v>6105.73719586703</v>
      </c>
      <c r="CS112" s="33" t="n">
        <f aca="false">CS111*CS110/Thousand</f>
        <v>6105.73719586703</v>
      </c>
      <c r="CT112" s="33" t="n">
        <f aca="false">CT111*CT110/Thousand</f>
        <v>6172.83320900843</v>
      </c>
      <c r="CU112" s="33" t="n">
        <f aca="false">CU111*CU110/Thousand</f>
        <v>6154.3147093814</v>
      </c>
      <c r="CV112" s="33" t="n">
        <f aca="false">CV111*CV110/Thousand</f>
        <v>6080.73051176923</v>
      </c>
      <c r="CW112" s="33" t="n">
        <f aca="false">CW111*CW110/Thousand</f>
        <v>6148.29418412223</v>
      </c>
      <c r="CX112" s="33" t="n">
        <f aca="false">CX111*CX110/Thousand</f>
        <v>6215.85785647522</v>
      </c>
      <c r="CY112" s="33" t="n">
        <f aca="false">CY111*CY110/Thousand</f>
        <v>6197.21028290579</v>
      </c>
      <c r="CZ112" s="33" t="n">
        <f aca="false">CZ111*CZ110/Thousand</f>
        <v>6123.11320343627</v>
      </c>
      <c r="DA112" s="33" t="n">
        <f aca="false">DA111*DA110/Thousand</f>
        <v>6191.14779458556</v>
      </c>
      <c r="DB112" s="33" t="n">
        <f aca="false">DB111*DB110/Thousand</f>
        <v>6259.18238573485</v>
      </c>
      <c r="DC112" s="33" t="n">
        <f aca="false">DC111*DC110/Thousand</f>
        <v>6240.40483857765</v>
      </c>
      <c r="DD112" s="33" t="n">
        <f aca="false">DD111*DD110/Thousand</f>
        <v>6165.79130246422</v>
      </c>
      <c r="DE112" s="33" t="n">
        <f aca="false">DE111*DE110/Thousand</f>
        <v>6234.30009471382</v>
      </c>
      <c r="DF112" s="33" t="n">
        <f aca="false">DF111*DF110/Thousand</f>
        <v>6302.80888696342</v>
      </c>
      <c r="DG112" s="33" t="n">
        <f aca="false">DG111*DG110/Thousand</f>
        <v>6283.90046030253</v>
      </c>
      <c r="DH112" s="33" t="n">
        <f aca="false">DH111*DH110/Thousand</f>
        <v>6277.75316637398</v>
      </c>
      <c r="DI112" s="33" t="n">
        <f aca="false">DI111*DI110/Thousand</f>
        <v>6277.75316637398</v>
      </c>
      <c r="DJ112" s="33" t="n">
        <f aca="false">DJ111*DJ110/Thousand</f>
        <v>6346.73946490556</v>
      </c>
      <c r="DK112" s="33" t="n">
        <f aca="false">DK111*DK110/Thousand</f>
        <v>6327.69924651084</v>
      </c>
      <c r="DL112" s="33" t="n">
        <f aca="false">DL111*DL110/Thousand</f>
        <v>6252.04197291125</v>
      </c>
      <c r="DM112" s="33" t="n">
        <f aca="false">DM111*DM110/Thousand</f>
        <v>6321.5091059436</v>
      </c>
      <c r="DN112" s="33" t="n">
        <f aca="false">DN111*DN110/Thousand</f>
        <v>6390.97623897595</v>
      </c>
      <c r="DO112" s="33" t="n">
        <f aca="false">DO111*DO110/Thousand</f>
        <v>6371.80331025902</v>
      </c>
      <c r="DP112" s="33" t="n">
        <f aca="false">DP111*DP110/Thousand</f>
        <v>6295.61870546244</v>
      </c>
      <c r="DQ112" s="33" t="n">
        <f aca="false">DQ111*DQ110/Thousand</f>
        <v>6365.57002441203</v>
      </c>
      <c r="DR112" s="33" t="n">
        <f aca="false">DR111*DR110/Thousand</f>
        <v>6435.52134336161</v>
      </c>
      <c r="DS112" s="33" t="n">
        <f aca="false">DS111*DS110/Thousand</f>
        <v>6416.21477933153</v>
      </c>
      <c r="DT112" s="33" t="n">
        <f aca="false">DT111*DT110/Thousand</f>
        <v>6339.49916783952</v>
      </c>
      <c r="DU112" s="33" t="n">
        <f aca="false">DU111*DU110/Thousand</f>
        <v>6409.93804748218</v>
      </c>
      <c r="DV112" s="33" t="n">
        <f aca="false">DV111*DV110/Thousand</f>
        <v>6480.37692712484</v>
      </c>
      <c r="DW112" s="33" t="n">
        <f aca="false">DW111*DW110/Thousand</f>
        <v>6460.93579634347</v>
      </c>
      <c r="DX112" s="33" t="n">
        <f aca="false">DX111*DX110/Thousand</f>
        <v>6454.61531567313</v>
      </c>
      <c r="DY112" s="33" t="n">
        <f aca="false">DY111*DY110/Thousand</f>
        <v>6454.61531567313</v>
      </c>
      <c r="DZ112" s="33" t="n">
        <f aca="false">DZ111*DZ110/Thousand</f>
        <v>6525.5451543069</v>
      </c>
      <c r="EA112" s="33" t="n">
        <f aca="false">EA111*EA110/Thousand</f>
        <v>6505.96851884398</v>
      </c>
      <c r="EB112" s="33" t="n">
        <f aca="false">EB111*EB110/Thousand</f>
        <v>6428.17976481433</v>
      </c>
      <c r="EC112" s="33" t="n">
        <f aca="false">EC111*EC110/Thousand</f>
        <v>6499.60398442337</v>
      </c>
      <c r="ED112" s="33" t="n">
        <f aca="false">ED111*ED110/Thousand</f>
        <v>6571.02820403242</v>
      </c>
      <c r="EE112" s="33" t="n">
        <f aca="false">EE111*EE110/Thousand</f>
        <v>6551.31511942033</v>
      </c>
      <c r="EF112" s="33" t="n">
        <f aca="false">EF111*EF110/Thousand</f>
        <v>6472.98417777508</v>
      </c>
      <c r="EG112" s="33" t="n">
        <f aca="false">EG111*EG110/Thousand</f>
        <v>6544.90622419481</v>
      </c>
      <c r="EH112" s="33" t="n">
        <f aca="false">EH111*EH110/Thousand</f>
        <v>6616.82827061453</v>
      </c>
      <c r="EI112" s="33" t="n">
        <f aca="false">EI111*EI110/Thousand</f>
        <v>6596.97778580269</v>
      </c>
      <c r="EJ112" s="33" t="n">
        <f aca="false">EJ111*EJ110/Thousand</f>
        <v>6518.10087749417</v>
      </c>
      <c r="EK112" s="33" t="n">
        <f aca="false">EK111*EK110/Thousand</f>
        <v>6590.52422057744</v>
      </c>
      <c r="EL112" s="33" t="n">
        <f aca="false">EL111*EL110/Thousand</f>
        <v>6662.94756366071</v>
      </c>
      <c r="EM112" s="33" t="n">
        <f aca="false">EM111*EM110/Thousand</f>
        <v>6642.95872096973</v>
      </c>
      <c r="EN112" s="33" t="n">
        <f aca="false">EN111*EN110/Thousand</f>
        <v>6636.46017439487</v>
      </c>
      <c r="EO112" s="33" t="n">
        <f aca="false">EO111*EO110/Thousand</f>
        <v>6636.46017439487</v>
      </c>
      <c r="EP112" s="33" t="n">
        <f aca="false">EP111*EP110/Thousand</f>
        <v>6709.38830817943</v>
      </c>
      <c r="EQ112" s="33" t="n">
        <f aca="false">EQ111*EQ110/Thousand</f>
        <v>6689.26014325489</v>
      </c>
      <c r="ER112" s="33" t="n">
        <f aca="false">ER111*ER110/Thousand</f>
        <v>6609.27985893336</v>
      </c>
      <c r="ES112" s="33" t="n">
        <f aca="false">ES111*ES110/Thousand</f>
        <v>6682.7163018104</v>
      </c>
      <c r="ET112" s="33" t="n">
        <f aca="false">ET111*ET110/Thousand</f>
        <v>6756.15274468744</v>
      </c>
    </row>
    <row r="113" customFormat="false" ht="15" hidden="false" customHeight="false" outlineLevel="0" collapsed="false">
      <c r="C113" s="0" t="s">
        <v>559</v>
      </c>
      <c r="D113" s="11" t="s">
        <v>247</v>
      </c>
      <c r="I113" s="33" t="n">
        <f aca="false">SUM(J113:ET113)</f>
        <v>-51382.5373327149</v>
      </c>
      <c r="J113" s="33" t="n">
        <f aca="false">-In_Var_Opex*J111*J109/Thousand</f>
        <v>-0</v>
      </c>
      <c r="K113" s="33" t="n">
        <f aca="false">-In_Var_Opex*K111*K109/Thousand</f>
        <v>-0</v>
      </c>
      <c r="L113" s="33" t="n">
        <f aca="false">-In_Var_Opex*L111*L109/Thousand</f>
        <v>-0</v>
      </c>
      <c r="M113" s="33" t="n">
        <f aca="false">-In_Var_Opex*M111*M109/Thousand</f>
        <v>-0</v>
      </c>
      <c r="N113" s="33" t="n">
        <f aca="false">-In_Var_Opex*N111*N109/Thousand</f>
        <v>-0</v>
      </c>
      <c r="O113" s="33" t="n">
        <f aca="false">-In_Var_Opex*O111*O109/Thousand</f>
        <v>-0</v>
      </c>
      <c r="P113" s="33" t="n">
        <f aca="false">-In_Var_Opex*P111*P109/Thousand</f>
        <v>-0</v>
      </c>
      <c r="Q113" s="33" t="n">
        <f aca="false">-In_Var_Opex*Q111*Q109/Thousand</f>
        <v>-0</v>
      </c>
      <c r="R113" s="33" t="n">
        <f aca="false">-In_Var_Opex*R111*R109/Thousand</f>
        <v>-0</v>
      </c>
      <c r="S113" s="33" t="n">
        <f aca="false">-In_Var_Opex*S111*S109/Thousand</f>
        <v>-0</v>
      </c>
      <c r="T113" s="33" t="n">
        <f aca="false">-In_Var_Opex*T111*T109/Thousand</f>
        <v>-0</v>
      </c>
      <c r="U113" s="33" t="n">
        <f aca="false">-In_Var_Opex*U111*U109/Thousand</f>
        <v>-0</v>
      </c>
      <c r="V113" s="33" t="n">
        <f aca="false">-In_Var_Opex*V111*V109/Thousand</f>
        <v>-0</v>
      </c>
      <c r="W113" s="33" t="n">
        <f aca="false">-In_Var_Opex*W111*W109/Thousand</f>
        <v>-0</v>
      </c>
      <c r="X113" s="33" t="n">
        <f aca="false">-In_Var_Opex*X111*X109/Thousand</f>
        <v>-0</v>
      </c>
      <c r="Y113" s="33" t="n">
        <f aca="false">-In_Var_Opex*Y111*Y109/Thousand</f>
        <v>-0</v>
      </c>
      <c r="Z113" s="33" t="n">
        <f aca="false">-In_Var_Opex*Z111*Z109/Thousand</f>
        <v>-0</v>
      </c>
      <c r="AA113" s="33" t="n">
        <f aca="false">-In_Var_Opex*AA111*AA109/Thousand</f>
        <v>-0</v>
      </c>
      <c r="AB113" s="33" t="n">
        <f aca="false">-In_Var_Opex*AB111*AB109/Thousand</f>
        <v>-0</v>
      </c>
      <c r="AC113" s="33" t="n">
        <f aca="false">-In_Var_Opex*AC111*AC109/Thousand</f>
        <v>-0</v>
      </c>
      <c r="AD113" s="33" t="n">
        <f aca="false">-In_Var_Opex*AD111*AD109/Thousand</f>
        <v>-0</v>
      </c>
      <c r="AE113" s="33" t="n">
        <f aca="false">-In_Var_Opex*AE111*AE109/Thousand</f>
        <v>-303.826849315069</v>
      </c>
      <c r="AF113" s="33" t="n">
        <f aca="false">-In_Var_Opex*AF111*AF109/Thousand</f>
        <v>-308.037493150685</v>
      </c>
      <c r="AG113" s="33" t="n">
        <f aca="false">-In_Var_Opex*AG111*AG109/Thousand</f>
        <v>-308.037493150685</v>
      </c>
      <c r="AH113" s="33" t="n">
        <f aca="false">-In_Var_Opex*AH111*AH109/Thousand</f>
        <v>-311.422520547945</v>
      </c>
      <c r="AI113" s="33" t="n">
        <f aca="false">-In_Var_Opex*AI111*AI109/Thousand</f>
        <v>-310.488252986301</v>
      </c>
      <c r="AJ113" s="33" t="n">
        <f aca="false">-In_Var_Opex*AJ111*AJ109/Thousand</f>
        <v>-311.331971065068</v>
      </c>
      <c r="AK113" s="33" t="n">
        <f aca="false">-In_Var_Opex*AK111*AK109/Thousand</f>
        <v>-314.791215188014</v>
      </c>
      <c r="AL113" s="33" t="n">
        <f aca="false">-In_Var_Opex*AL111*AL109/Thousand</f>
        <v>-318.250459310959</v>
      </c>
      <c r="AM113" s="33" t="n">
        <f aca="false">-In_Var_Opex*AM111*AM109/Thousand</f>
        <v>-317.295707933026</v>
      </c>
      <c r="AN113" s="33" t="n">
        <f aca="false">-In_Var_Opex*AN111*AN109/Thousand</f>
        <v>-318.15792453067</v>
      </c>
      <c r="AO113" s="33" t="n">
        <f aca="false">-In_Var_Opex*AO111*AO109/Thousand</f>
        <v>-321.693012581011</v>
      </c>
      <c r="AP113" s="33" t="n">
        <f aca="false">-In_Var_Opex*AP111*AP109/Thousand</f>
        <v>-325.228100631352</v>
      </c>
      <c r="AQ113" s="33" t="n">
        <f aca="false">-In_Var_Opex*AQ111*AQ109/Thousand</f>
        <v>-324.252416329458</v>
      </c>
      <c r="AR113" s="33" t="n">
        <f aca="false">-In_Var_Opex*AR111*AR109/Thousand</f>
        <v>-325.133537026005</v>
      </c>
      <c r="AS113" s="33" t="n">
        <f aca="false">-In_Var_Opex*AS111*AS109/Thousand</f>
        <v>-328.746131881849</v>
      </c>
      <c r="AT113" s="33" t="n">
        <f aca="false">-In_Var_Opex*AT111*AT109/Thousand</f>
        <v>-332.358726737694</v>
      </c>
      <c r="AU113" s="33" t="n">
        <f aca="false">-In_Var_Opex*AU111*AU109/Thousand</f>
        <v>-331.361650557481</v>
      </c>
      <c r="AV113" s="33" t="n">
        <f aca="false">-In_Var_Opex*AV111*AV109/Thousand</f>
        <v>-335.953890823359</v>
      </c>
      <c r="AW113" s="33" t="n">
        <f aca="false">-In_Var_Opex*AW111*AW109/Thousand</f>
        <v>-335.953890823359</v>
      </c>
      <c r="AX113" s="33" t="n">
        <f aca="false">-In_Var_Opex*AX111*AX109/Thousand</f>
        <v>-339.645691821418</v>
      </c>
      <c r="AY113" s="33" t="n">
        <f aca="false">-In_Var_Opex*AY111*AY109/Thousand</f>
        <v>-338.626754745954</v>
      </c>
      <c r="AZ113" s="33" t="n">
        <f aca="false">-In_Var_Opex*AZ111*AZ109/Thousand</f>
        <v>-339.54693614472</v>
      </c>
      <c r="BA113" s="33" t="n">
        <f aca="false">-In_Var_Opex*BA111*BA109/Thousand</f>
        <v>-343.319679879661</v>
      </c>
      <c r="BB113" s="33" t="n">
        <f aca="false">-In_Var_Opex*BB111*BB109/Thousand</f>
        <v>-347.092423614602</v>
      </c>
      <c r="BC113" s="33" t="n">
        <f aca="false">-In_Var_Opex*BC111*BC109/Thousand</f>
        <v>-346.051146343759</v>
      </c>
      <c r="BD113" s="33" t="n">
        <f aca="false">-In_Var_Opex*BD111*BD109/Thousand</f>
        <v>-346.991502719693</v>
      </c>
      <c r="BE113" s="33" t="n">
        <f aca="false">-In_Var_Opex*BE111*BE109/Thousand</f>
        <v>-350.846963861023</v>
      </c>
      <c r="BF113" s="33" t="n">
        <f aca="false">-In_Var_Opex*BF111*BF109/Thousand</f>
        <v>-354.702425002353</v>
      </c>
      <c r="BG113" s="33" t="n">
        <f aca="false">-In_Var_Opex*BG111*BG109/Thousand</f>
        <v>-353.638317727346</v>
      </c>
      <c r="BH113" s="33" t="n">
        <f aca="false">-In_Var_Opex*BH111*BH109/Thousand</f>
        <v>-354.599291416822</v>
      </c>
      <c r="BI113" s="33" t="n">
        <f aca="false">-In_Var_Opex*BI111*BI109/Thousand</f>
        <v>-358.539283543675</v>
      </c>
      <c r="BJ113" s="33" t="n">
        <f aca="false">-In_Var_Opex*BJ111*BJ109/Thousand</f>
        <v>-362.479275670529</v>
      </c>
      <c r="BK113" s="33" t="n">
        <f aca="false">-In_Var_Opex*BK111*BK109/Thousand</f>
        <v>-361.391837843517</v>
      </c>
      <c r="BL113" s="33" t="n">
        <f aca="false">-In_Var_Opex*BL111*BL109/Thousand</f>
        <v>-366.400257335371</v>
      </c>
      <c r="BM113" s="33" t="n">
        <f aca="false">-In_Var_Opex*BM111*BM109/Thousand</f>
        <v>-366.400257335371</v>
      </c>
      <c r="BN113" s="33" t="n">
        <f aca="false">-In_Var_Opex*BN111*BN109/Thousand</f>
        <v>-370.426633789605</v>
      </c>
      <c r="BO113" s="33" t="n">
        <f aca="false">-In_Var_Opex*BO111*BO109/Thousand</f>
        <v>-369.315353888237</v>
      </c>
      <c r="BP113" s="33" t="n">
        <f aca="false">-In_Var_Opex*BP111*BP109/Thousand</f>
        <v>-370.318928219455</v>
      </c>
      <c r="BQ113" s="33" t="n">
        <f aca="false">-In_Var_Opex*BQ111*BQ109/Thousand</f>
        <v>-374.433582977449</v>
      </c>
      <c r="BR113" s="33" t="n">
        <f aca="false">-In_Var_Opex*BR111*BR109/Thousand</f>
        <v>-378.548237735442</v>
      </c>
      <c r="BS113" s="33" t="n">
        <f aca="false">-In_Var_Opex*BS111*BS109/Thousand</f>
        <v>-377.412593022236</v>
      </c>
      <c r="BT113" s="33" t="n">
        <f aca="false">-In_Var_Opex*BT111*BT109/Thousand</f>
        <v>-378.438170720666</v>
      </c>
      <c r="BU113" s="33" t="n">
        <f aca="false">-In_Var_Opex*BU111*BU109/Thousand</f>
        <v>-382.643039284229</v>
      </c>
      <c r="BV113" s="33" t="n">
        <f aca="false">-In_Var_Opex*BV111*BV109/Thousand</f>
        <v>-386.847907847792</v>
      </c>
      <c r="BW113" s="33" t="n">
        <f aca="false">-In_Var_Opex*BW111*BW109/Thousand</f>
        <v>-385.687364124249</v>
      </c>
      <c r="BX113" s="33" t="n">
        <f aca="false">-In_Var_Opex*BX111*BX109/Thousand</f>
        <v>-386.735427613717</v>
      </c>
      <c r="BY113" s="33" t="n">
        <f aca="false">-In_Var_Opex*BY111*BY109/Thousand</f>
        <v>-391.032487920536</v>
      </c>
      <c r="BZ113" s="33" t="n">
        <f aca="false">-In_Var_Opex*BZ111*BZ109/Thousand</f>
        <v>-395.329548227355</v>
      </c>
      <c r="CA113" s="33" t="n">
        <f aca="false">-In_Var_Opex*CA111*CA109/Thousand</f>
        <v>-394.143559582673</v>
      </c>
      <c r="CB113" s="33" t="n">
        <f aca="false">-In_Var_Opex*CB111*CB109/Thousand</f>
        <v>-399.605875218193</v>
      </c>
      <c r="CC113" s="33" t="n">
        <f aca="false">-In_Var_Opex*CC111*CC109/Thousand</f>
        <v>-399.605875218193</v>
      </c>
      <c r="CD113" s="33" t="n">
        <f aca="false">-In_Var_Opex*CD111*CD109/Thousand</f>
        <v>-403.99714857224</v>
      </c>
      <c r="CE113" s="33" t="n">
        <f aca="false">-In_Var_Opex*CE111*CE109/Thousand</f>
        <v>-402.785157126523</v>
      </c>
      <c r="CF113" s="33" t="n">
        <f aca="false">-In_Var_Opex*CF111*CF109/Thousand</f>
        <v>-403.879682010019</v>
      </c>
      <c r="CG113" s="33" t="n">
        <f aca="false">-In_Var_Opex*CG111*CG109/Thousand</f>
        <v>-408.367234032352</v>
      </c>
      <c r="CH113" s="33" t="n">
        <f aca="false">-In_Var_Opex*CH111*CH109/Thousand</f>
        <v>-412.854786054686</v>
      </c>
      <c r="CI113" s="33" t="n">
        <f aca="false">-In_Var_Opex*CI111*CI109/Thousand</f>
        <v>-411.616221696522</v>
      </c>
      <c r="CJ113" s="33" t="n">
        <f aca="false">-In_Var_Opex*CJ111*CJ109/Thousand</f>
        <v>-412.734744038088</v>
      </c>
      <c r="CK113" s="33" t="n">
        <f aca="false">-In_Var_Opex*CK111*CK109/Thousand</f>
        <v>-417.320685638512</v>
      </c>
      <c r="CL113" s="33" t="n">
        <f aca="false">-In_Var_Opex*CL111*CL109/Thousand</f>
        <v>-421.906627238935</v>
      </c>
      <c r="CM113" s="33" t="n">
        <f aca="false">-In_Var_Opex*CM111*CM109/Thousand</f>
        <v>-420.640907357218</v>
      </c>
      <c r="CN113" s="33" t="n">
        <f aca="false">-In_Var_Opex*CN111*CN109/Thousand</f>
        <v>-421.783953301123</v>
      </c>
      <c r="CO113" s="33" t="n">
        <f aca="false">-In_Var_Opex*CO111*CO109/Thousand</f>
        <v>-426.470441671136</v>
      </c>
      <c r="CP113" s="33" t="n">
        <f aca="false">-In_Var_Opex*CP111*CP109/Thousand</f>
        <v>-431.156930041149</v>
      </c>
      <c r="CQ113" s="33" t="n">
        <f aca="false">-In_Var_Opex*CQ111*CQ109/Thousand</f>
        <v>-429.863459251025</v>
      </c>
      <c r="CR113" s="33" t="n">
        <f aca="false">-In_Var_Opex*CR111*CR109/Thousand</f>
        <v>-435.820806104776</v>
      </c>
      <c r="CS113" s="33" t="n">
        <f aca="false">-In_Var_Opex*CS111*CS109/Thousand</f>
        <v>-435.820806104776</v>
      </c>
      <c r="CT113" s="33" t="n">
        <f aca="false">-In_Var_Opex*CT111*CT109/Thousand</f>
        <v>-440.610045732301</v>
      </c>
      <c r="CU113" s="33" t="n">
        <f aca="false">-In_Var_Opex*CU111*CU109/Thousand</f>
        <v>-439.288215595104</v>
      </c>
      <c r="CV113" s="33" t="n">
        <f aca="false">-In_Var_Opex*CV111*CV109/Thousand</f>
        <v>-440.481933572264</v>
      </c>
      <c r="CW113" s="33" t="n">
        <f aca="false">-In_Var_Opex*CW111*CW109/Thousand</f>
        <v>-445.376177278623</v>
      </c>
      <c r="CX113" s="33" t="n">
        <f aca="false">-In_Var_Opex*CX111*CX109/Thousand</f>
        <v>-450.270420984981</v>
      </c>
      <c r="CY113" s="33" t="n">
        <f aca="false">-In_Var_Opex*CY111*CY109/Thousand</f>
        <v>-448.919609722026</v>
      </c>
      <c r="CZ113" s="33" t="n">
        <f aca="false">-In_Var_Opex*CZ111*CZ109/Thousand</f>
        <v>-450.139499965836</v>
      </c>
      <c r="DA113" s="33" t="n">
        <f aca="false">-In_Var_Opex*DA111*DA109/Thousand</f>
        <v>-455.141049965457</v>
      </c>
      <c r="DB113" s="33" t="n">
        <f aca="false">-In_Var_Opex*DB111*DB109/Thousand</f>
        <v>-460.142599965077</v>
      </c>
      <c r="DC113" s="33" t="n">
        <f aca="false">-In_Var_Opex*DC111*DC109/Thousand</f>
        <v>-458.762172165182</v>
      </c>
      <c r="DD113" s="33" t="n">
        <f aca="false">-In_Var_Opex*DD111*DD109/Thousand</f>
        <v>-460.008808502587</v>
      </c>
      <c r="DE113" s="33" t="n">
        <f aca="false">-In_Var_Opex*DE111*DE109/Thousand</f>
        <v>-465.120017485949</v>
      </c>
      <c r="DF113" s="33" t="n">
        <f aca="false">-In_Var_Opex*DF111*DF109/Thousand</f>
        <v>-470.231226469311</v>
      </c>
      <c r="DG113" s="33" t="n">
        <f aca="false">-In_Var_Opex*DG111*DG109/Thousand</f>
        <v>-468.820532789903</v>
      </c>
      <c r="DH113" s="33" t="n">
        <f aca="false">-In_Var_Opex*DH111*DH109/Thousand</f>
        <v>-475.317773869328</v>
      </c>
      <c r="DI113" s="33" t="n">
        <f aca="false">-In_Var_Opex*DI111*DI109/Thousand</f>
        <v>-475.317773869328</v>
      </c>
      <c r="DJ113" s="33" t="n">
        <f aca="false">-In_Var_Opex*DJ111*DJ109/Thousand</f>
        <v>-480.541046109651</v>
      </c>
      <c r="DK113" s="33" t="n">
        <f aca="false">-In_Var_Opex*DK111*DK109/Thousand</f>
        <v>-479.099422971322</v>
      </c>
      <c r="DL113" s="33" t="n">
        <f aca="false">-In_Var_Opex*DL111*DL109/Thousand</f>
        <v>-480.401323577222</v>
      </c>
      <c r="DM113" s="33" t="n">
        <f aca="false">-In_Var_Opex*DM111*DM109/Thousand</f>
        <v>-485.739116061413</v>
      </c>
      <c r="DN113" s="33" t="n">
        <f aca="false">-In_Var_Opex*DN111*DN109/Thousand</f>
        <v>-491.076908545605</v>
      </c>
      <c r="DO113" s="33" t="n">
        <f aca="false">-In_Var_Opex*DO111*DO109/Thousand</f>
        <v>-489.603677819968</v>
      </c>
      <c r="DP113" s="33" t="n">
        <f aca="false">-In_Var_Opex*DP111*DP109/Thousand</f>
        <v>-490.934122596653</v>
      </c>
      <c r="DQ113" s="33" t="n">
        <f aca="false">-In_Var_Opex*DQ111*DQ109/Thousand</f>
        <v>-496.38894618106</v>
      </c>
      <c r="DR113" s="33" t="n">
        <f aca="false">-In_Var_Opex*DR111*DR109/Thousand</f>
        <v>-501.843769765467</v>
      </c>
      <c r="DS113" s="33" t="n">
        <f aca="false">-In_Var_Opex*DS111*DS109/Thousand</f>
        <v>-500.338238456171</v>
      </c>
      <c r="DT113" s="33" t="n">
        <f aca="false">-In_Var_Opex*DT111*DT109/Thousand</f>
        <v>-501.697853234584</v>
      </c>
      <c r="DU113" s="33" t="n">
        <f aca="false">-In_Var_Opex*DU111*DU109/Thousand</f>
        <v>-507.27227382608</v>
      </c>
      <c r="DV113" s="33" t="n">
        <f aca="false">-In_Var_Opex*DV111*DV109/Thousand</f>
        <v>-512.846694417575</v>
      </c>
      <c r="DW113" s="33" t="n">
        <f aca="false">-In_Var_Opex*DW111*DW109/Thousand</f>
        <v>-511.308154334322</v>
      </c>
      <c r="DX113" s="33" t="n">
        <f aca="false">-In_Var_Opex*DX111*DX109/Thousand</f>
        <v>-518.394218429716</v>
      </c>
      <c r="DY113" s="33" t="n">
        <f aca="false">-In_Var_Opex*DY111*DY109/Thousand</f>
        <v>-518.394218429716</v>
      </c>
      <c r="DZ113" s="33" t="n">
        <f aca="false">-In_Var_Opex*DZ111*DZ109/Thousand</f>
        <v>-524.09085819268</v>
      </c>
      <c r="EA113" s="33" t="n">
        <f aca="false">-In_Var_Opex*EA111*EA109/Thousand</f>
        <v>-522.518585618102</v>
      </c>
      <c r="EB113" s="33" t="n">
        <f aca="false">-In_Var_Opex*EB111*EB109/Thousand</f>
        <v>-523.938473079021</v>
      </c>
      <c r="EC113" s="33" t="n">
        <f aca="false">-In_Var_Opex*EC111*EC109/Thousand</f>
        <v>-529.760011668788</v>
      </c>
      <c r="ED113" s="33" t="n">
        <f aca="false">-In_Var_Opex*ED111*ED109/Thousand</f>
        <v>-535.581550258555</v>
      </c>
      <c r="EE113" s="33" t="n">
        <f aca="false">-In_Var_Opex*EE111*EE109/Thousand</f>
        <v>-533.974805607779</v>
      </c>
      <c r="EF113" s="33" t="n">
        <f aca="false">-In_Var_Opex*EF111*EF109/Thousand</f>
        <v>-535.425824101278</v>
      </c>
      <c r="EG113" s="33" t="n">
        <f aca="false">-In_Var_Opex*EG111*EG109/Thousand</f>
        <v>-541.374999924626</v>
      </c>
      <c r="EH113" s="33" t="n">
        <f aca="false">-In_Var_Opex*EH111*EH109/Thousand</f>
        <v>-547.324175747974</v>
      </c>
      <c r="EI113" s="33" t="n">
        <f aca="false">-In_Var_Opex*EI111*EI109/Thousand</f>
        <v>-545.68220322073</v>
      </c>
      <c r="EJ113" s="33" t="n">
        <f aca="false">-In_Var_Opex*EJ111*EJ109/Thousand</f>
        <v>-547.165035294699</v>
      </c>
      <c r="EK113" s="33" t="n">
        <f aca="false">-In_Var_Opex*EK111*EK109/Thousand</f>
        <v>-553.244646797973</v>
      </c>
      <c r="EL113" s="33" t="n">
        <f aca="false">-In_Var_Opex*EL111*EL109/Thousand</f>
        <v>-559.324258301248</v>
      </c>
      <c r="EM113" s="33" t="n">
        <f aca="false">-In_Var_Opex*EM111*EM109/Thousand</f>
        <v>-557.646285526344</v>
      </c>
      <c r="EN113" s="33" t="n">
        <f aca="false">-In_Var_Opex*EN111*EN109/Thousand</f>
        <v>-565.374535679019</v>
      </c>
      <c r="EO113" s="33" t="n">
        <f aca="false">-In_Var_Opex*EO111*EO109/Thousand</f>
        <v>-565.374535679019</v>
      </c>
      <c r="EP113" s="33" t="n">
        <f aca="false">-In_Var_Opex*EP111*EP109/Thousand</f>
        <v>-571.587442664503</v>
      </c>
      <c r="EQ113" s="33" t="n">
        <f aca="false">-In_Var_Opex*EQ111*EQ109/Thousand</f>
        <v>-569.872680336509</v>
      </c>
      <c r="ER113" s="33" t="n">
        <f aca="false">-In_Var_Opex*ER111*ER109/Thousand</f>
        <v>-571.421247402641</v>
      </c>
      <c r="ES113" s="33" t="n">
        <f aca="false">-In_Var_Opex*ES111*ES109/Thousand</f>
        <v>-577.770372373781</v>
      </c>
      <c r="ET113" s="33" t="n">
        <f aca="false">-In_Var_Opex*ET111*ET109/Thousand</f>
        <v>-584.119497344922</v>
      </c>
    </row>
    <row r="114" customFormat="false" ht="15" hidden="false" customHeight="false" outlineLevel="0" collapsed="false">
      <c r="C114" s="0" t="s">
        <v>560</v>
      </c>
      <c r="D114" s="11" t="s">
        <v>247</v>
      </c>
      <c r="I114" s="33" t="n">
        <f aca="false">SUM(J114:ET114)</f>
        <v>-105177.037405926</v>
      </c>
      <c r="J114" s="33" t="n">
        <f aca="false">-(In_Fixed_Opex*$F24+In_Admin)*J109*J15*J$6</f>
        <v>-0</v>
      </c>
      <c r="K114" s="33" t="n">
        <f aca="false">-(In_Fixed_Opex*$F24+In_Admin)*K109*K15*K$6</f>
        <v>-0</v>
      </c>
      <c r="L114" s="33" t="n">
        <f aca="false">-(In_Fixed_Opex*$F24+In_Admin)*L109*L15*L$6</f>
        <v>-0</v>
      </c>
      <c r="M114" s="33" t="n">
        <f aca="false">-(In_Fixed_Opex*$F24+In_Admin)*M109*M15*M$6</f>
        <v>-0</v>
      </c>
      <c r="N114" s="33" t="n">
        <f aca="false">-(In_Fixed_Opex*$F24+In_Admin)*N109*N15*N$6</f>
        <v>-0</v>
      </c>
      <c r="O114" s="33" t="n">
        <f aca="false">-(In_Fixed_Opex*$F24+In_Admin)*O109*O15*O$6</f>
        <v>-0</v>
      </c>
      <c r="P114" s="33" t="n">
        <f aca="false">-(In_Fixed_Opex*$F24+In_Admin)*P109*P15*P$6</f>
        <v>-0</v>
      </c>
      <c r="Q114" s="33" t="n">
        <f aca="false">-(In_Fixed_Opex*$F24+In_Admin)*Q109*Q15*Q$6</f>
        <v>-0</v>
      </c>
      <c r="R114" s="33" t="n">
        <f aca="false">-(In_Fixed_Opex*$F24+In_Admin)*R109*R15*R$6</f>
        <v>-0</v>
      </c>
      <c r="S114" s="33" t="n">
        <f aca="false">-(In_Fixed_Opex*$F24+In_Admin)*S109*S15*S$6</f>
        <v>-0</v>
      </c>
      <c r="T114" s="33" t="n">
        <f aca="false">-(In_Fixed_Opex*$F24+In_Admin)*T109*T15*T$6</f>
        <v>-0</v>
      </c>
      <c r="U114" s="33" t="n">
        <f aca="false">-(In_Fixed_Opex*$F24+In_Admin)*U109*U15*U$6</f>
        <v>-0</v>
      </c>
      <c r="V114" s="33" t="n">
        <f aca="false">-(In_Fixed_Opex*$F24+In_Admin)*V109*V15*V$6</f>
        <v>-0</v>
      </c>
      <c r="W114" s="33" t="n">
        <f aca="false">-(In_Fixed_Opex*$F24+In_Admin)*W109*W15*W$6</f>
        <v>-0</v>
      </c>
      <c r="X114" s="33" t="n">
        <f aca="false">-(In_Fixed_Opex*$F24+In_Admin)*X109*X15*X$6</f>
        <v>-0</v>
      </c>
      <c r="Y114" s="33" t="n">
        <f aca="false">-(In_Fixed_Opex*$F24+In_Admin)*Y109*Y15*Y$6</f>
        <v>-0</v>
      </c>
      <c r="Z114" s="33" t="n">
        <f aca="false">-(In_Fixed_Opex*$F24+In_Admin)*Z109*Z15*Z$6</f>
        <v>-0</v>
      </c>
      <c r="AA114" s="33" t="n">
        <f aca="false">-(In_Fixed_Opex*$F24+In_Admin)*AA109*AA15*AA$6</f>
        <v>-0</v>
      </c>
      <c r="AB114" s="33" t="n">
        <f aca="false">-(In_Fixed_Opex*$F24+In_Admin)*AB109*AB15*AB$6</f>
        <v>-0</v>
      </c>
      <c r="AC114" s="33" t="n">
        <f aca="false">-(In_Fixed_Opex*$F24+In_Admin)*AC109*AC15*AC$6</f>
        <v>-0</v>
      </c>
      <c r="AD114" s="33" t="n">
        <f aca="false">-(In_Fixed_Opex*$F24+In_Admin)*AD109*AD15*AD$6</f>
        <v>-0</v>
      </c>
      <c r="AE114" s="33" t="n">
        <f aca="false">-(In_Fixed_Opex*$F24+In_Admin)*AE109*AE15*AE$6</f>
        <v>-592.328767123288</v>
      </c>
      <c r="AF114" s="33" t="n">
        <f aca="false">-(In_Fixed_Opex*$F24+In_Admin)*AF109*AF15*AF$6</f>
        <v>-600.537671232877</v>
      </c>
      <c r="AG114" s="33" t="n">
        <f aca="false">-(In_Fixed_Opex*$F24+In_Admin)*AG109*AG15*AG$6</f>
        <v>-600.537671232877</v>
      </c>
      <c r="AH114" s="33" t="n">
        <f aca="false">-(In_Fixed_Opex*$F24+In_Admin)*AH109*AH15*AH$6</f>
        <v>-607.13698630137</v>
      </c>
      <c r="AI114" s="33" t="n">
        <f aca="false">-(In_Fixed_Opex*$F24+In_Admin)*AI109*AI15*AI$6</f>
        <v>-607.13698630137</v>
      </c>
      <c r="AJ114" s="33" t="n">
        <f aca="false">-(In_Fixed_Opex*$F24+In_Admin)*AJ109*AJ15*AJ$6</f>
        <v>-608.786815068493</v>
      </c>
      <c r="AK114" s="33" t="n">
        <f aca="false">-(In_Fixed_Opex*$F24+In_Admin)*AK109*AK15*AK$6</f>
        <v>-615.551113013699</v>
      </c>
      <c r="AL114" s="33" t="n">
        <f aca="false">-(In_Fixed_Opex*$F24+In_Admin)*AL109*AL15*AL$6</f>
        <v>-622.315410958904</v>
      </c>
      <c r="AM114" s="33" t="n">
        <f aca="false">-(In_Fixed_Opex*$F24+In_Admin)*AM109*AM15*AM$6</f>
        <v>-622.315410958904</v>
      </c>
      <c r="AN114" s="33" t="n">
        <f aca="false">-(In_Fixed_Opex*$F24+In_Admin)*AN109*AN15*AN$6</f>
        <v>-624.006485445205</v>
      </c>
      <c r="AO114" s="33" t="n">
        <f aca="false">-(In_Fixed_Opex*$F24+In_Admin)*AO109*AO15*AO$6</f>
        <v>-630.939890839041</v>
      </c>
      <c r="AP114" s="33" t="n">
        <f aca="false">-(In_Fixed_Opex*$F24+In_Admin)*AP109*AP15*AP$6</f>
        <v>-637.873296232877</v>
      </c>
      <c r="AQ114" s="33" t="n">
        <f aca="false">-(In_Fixed_Opex*$F24+In_Admin)*AQ109*AQ15*AQ$6</f>
        <v>-637.873296232877</v>
      </c>
      <c r="AR114" s="33" t="n">
        <f aca="false">-(In_Fixed_Opex*$F24+In_Admin)*AR109*AR15*AR$6</f>
        <v>-639.606647581335</v>
      </c>
      <c r="AS114" s="33" t="n">
        <f aca="false">-(In_Fixed_Opex*$F24+In_Admin)*AS109*AS15*AS$6</f>
        <v>-646.713388110017</v>
      </c>
      <c r="AT114" s="33" t="n">
        <f aca="false">-(In_Fixed_Opex*$F24+In_Admin)*AT109*AT15*AT$6</f>
        <v>-653.820128638698</v>
      </c>
      <c r="AU114" s="33" t="n">
        <f aca="false">-(In_Fixed_Opex*$F24+In_Admin)*AU109*AU15*AU$6</f>
        <v>-653.820128638698</v>
      </c>
      <c r="AV114" s="33" t="n">
        <f aca="false">-(In_Fixed_Opex*$F24+In_Admin)*AV109*AV15*AV$6</f>
        <v>-662.881222812767</v>
      </c>
      <c r="AW114" s="33" t="n">
        <f aca="false">-(In_Fixed_Opex*$F24+In_Admin)*AW109*AW15*AW$6</f>
        <v>-662.881222812767</v>
      </c>
      <c r="AX114" s="33" t="n">
        <f aca="false">-(In_Fixed_Opex*$F24+In_Admin)*AX109*AX15*AX$6</f>
        <v>-670.165631854666</v>
      </c>
      <c r="AY114" s="33" t="n">
        <f aca="false">-(In_Fixed_Opex*$F24+In_Admin)*AY109*AY15*AY$6</f>
        <v>-670.165631854666</v>
      </c>
      <c r="AZ114" s="33" t="n">
        <f aca="false">-(In_Fixed_Opex*$F24+In_Admin)*AZ109*AZ15*AZ$6</f>
        <v>-671.98673411514</v>
      </c>
      <c r="BA114" s="33" t="n">
        <f aca="false">-(In_Fixed_Opex*$F24+In_Admin)*BA109*BA15*BA$6</f>
        <v>-679.453253383086</v>
      </c>
      <c r="BB114" s="33" t="n">
        <f aca="false">-(In_Fixed_Opex*$F24+In_Admin)*BB109*BB15*BB$6</f>
        <v>-686.919772651032</v>
      </c>
      <c r="BC114" s="33" t="n">
        <f aca="false">-(In_Fixed_Opex*$F24+In_Admin)*BC109*BC15*BC$6</f>
        <v>-686.919772651032</v>
      </c>
      <c r="BD114" s="33" t="n">
        <f aca="false">-(In_Fixed_Opex*$F24+In_Admin)*BD109*BD15*BD$6</f>
        <v>-688.786402468019</v>
      </c>
      <c r="BE114" s="33" t="n">
        <f aca="false">-(In_Fixed_Opex*$F24+In_Admin)*BE109*BE15*BE$6</f>
        <v>-696.439584717664</v>
      </c>
      <c r="BF114" s="33" t="n">
        <f aca="false">-(In_Fixed_Opex*$F24+In_Admin)*BF109*BF15*BF$6</f>
        <v>-704.092766967308</v>
      </c>
      <c r="BG114" s="33" t="n">
        <f aca="false">-(In_Fixed_Opex*$F24+In_Admin)*BG109*BG15*BG$6</f>
        <v>-704.092766967308</v>
      </c>
      <c r="BH114" s="33" t="n">
        <f aca="false">-(In_Fixed_Opex*$F24+In_Admin)*BH109*BH15*BH$6</f>
        <v>-706.006062529719</v>
      </c>
      <c r="BI114" s="33" t="n">
        <f aca="false">-(In_Fixed_Opex*$F24+In_Admin)*BI109*BI15*BI$6</f>
        <v>-713.850574335605</v>
      </c>
      <c r="BJ114" s="33" t="n">
        <f aca="false">-(In_Fixed_Opex*$F24+In_Admin)*BJ109*BJ15*BJ$6</f>
        <v>-721.695086141491</v>
      </c>
      <c r="BK114" s="33" t="n">
        <f aca="false">-(In_Fixed_Opex*$F24+In_Admin)*BK109*BK15*BK$6</f>
        <v>-721.695086141491</v>
      </c>
      <c r="BL114" s="33" t="n">
        <f aca="false">-(In_Fixed_Opex*$F24+In_Admin)*BL109*BL15*BL$6</f>
        <v>-731.696838693995</v>
      </c>
      <c r="BM114" s="33" t="n">
        <f aca="false">-(In_Fixed_Opex*$F24+In_Admin)*BM109*BM15*BM$6</f>
        <v>-731.696838693995</v>
      </c>
      <c r="BN114" s="33" t="n">
        <f aca="false">-(In_Fixed_Opex*$F24+In_Admin)*BN109*BN15*BN$6</f>
        <v>-739.737463295028</v>
      </c>
      <c r="BO114" s="33" t="n">
        <f aca="false">-(In_Fixed_Opex*$F24+In_Admin)*BO109*BO15*BO$6</f>
        <v>-739.737463295028</v>
      </c>
      <c r="BP114" s="33" t="n">
        <f aca="false">-(In_Fixed_Opex*$F24+In_Admin)*BP109*BP15*BP$6</f>
        <v>-741.747619445286</v>
      </c>
      <c r="BQ114" s="33" t="n">
        <f aca="false">-(In_Fixed_Opex*$F24+In_Admin)*BQ109*BQ15*BQ$6</f>
        <v>-749.989259661345</v>
      </c>
      <c r="BR114" s="33" t="n">
        <f aca="false">-(In_Fixed_Opex*$F24+In_Admin)*BR109*BR15*BR$6</f>
        <v>-758.230899877404</v>
      </c>
      <c r="BS114" s="33" t="n">
        <f aca="false">-(In_Fixed_Opex*$F24+In_Admin)*BS109*BS15*BS$6</f>
        <v>-758.230899877404</v>
      </c>
      <c r="BT114" s="33" t="n">
        <f aca="false">-(In_Fixed_Opex*$F24+In_Admin)*BT109*BT15*BT$6</f>
        <v>-760.291309931418</v>
      </c>
      <c r="BU114" s="33" t="n">
        <f aca="false">-(In_Fixed_Opex*$F24+In_Admin)*BU109*BU15*BU$6</f>
        <v>-768.738991152879</v>
      </c>
      <c r="BV114" s="33" t="n">
        <f aca="false">-(In_Fixed_Opex*$F24+In_Admin)*BV109*BV15*BV$6</f>
        <v>-777.186672374339</v>
      </c>
      <c r="BW114" s="33" t="n">
        <f aca="false">-(In_Fixed_Opex*$F24+In_Admin)*BW109*BW15*BW$6</f>
        <v>-777.186672374339</v>
      </c>
      <c r="BX114" s="33" t="n">
        <f aca="false">-(In_Fixed_Opex*$F24+In_Admin)*BX109*BX15*BX$6</f>
        <v>-779.298592679704</v>
      </c>
      <c r="BY114" s="33" t="n">
        <f aca="false">-(In_Fixed_Opex*$F24+In_Admin)*BY109*BY15*BY$6</f>
        <v>-787.9574659317</v>
      </c>
      <c r="BZ114" s="33" t="n">
        <f aca="false">-(In_Fixed_Opex*$F24+In_Admin)*BZ109*BZ15*BZ$6</f>
        <v>-796.616339183697</v>
      </c>
      <c r="CA114" s="33" t="n">
        <f aca="false">-(In_Fixed_Opex*$F24+In_Admin)*CA109*CA15*CA$6</f>
        <v>-796.616339183697</v>
      </c>
      <c r="CB114" s="33" t="n">
        <f aca="false">-(In_Fixed_Opex*$F24+In_Admin)*CB109*CB15*CB$6</f>
        <v>-807.656402579993</v>
      </c>
      <c r="CC114" s="33" t="n">
        <f aca="false">-(In_Fixed_Opex*$F24+In_Admin)*CC109*CC15*CC$6</f>
        <v>-807.656402579993</v>
      </c>
      <c r="CD114" s="33" t="n">
        <f aca="false">-(In_Fixed_Opex*$F24+In_Admin)*CD109*CD15*CD$6</f>
        <v>-816.53174766329</v>
      </c>
      <c r="CE114" s="33" t="n">
        <f aca="false">-(In_Fixed_Opex*$F24+In_Admin)*CE109*CE15*CE$6</f>
        <v>-816.53174766329</v>
      </c>
      <c r="CF114" s="33" t="n">
        <f aca="false">-(In_Fixed_Opex*$F24+In_Admin)*CF109*CF15*CF$6</f>
        <v>-818.750583934114</v>
      </c>
      <c r="CG114" s="33" t="n">
        <f aca="false">-(In_Fixed_Opex*$F24+In_Admin)*CG109*CG15*CG$6</f>
        <v>-827.847812644493</v>
      </c>
      <c r="CH114" s="33" t="n">
        <f aca="false">-(In_Fixed_Opex*$F24+In_Admin)*CH109*CH15*CH$6</f>
        <v>-836.945041354872</v>
      </c>
      <c r="CI114" s="33" t="n">
        <f aca="false">-(In_Fixed_Opex*$F24+In_Admin)*CI109*CI15*CI$6</f>
        <v>-836.945041354872</v>
      </c>
      <c r="CJ114" s="33" t="n">
        <f aca="false">-(In_Fixed_Opex*$F24+In_Admin)*CJ109*CJ15*CJ$6</f>
        <v>-839.219348532466</v>
      </c>
      <c r="CK114" s="33" t="n">
        <f aca="false">-(In_Fixed_Opex*$F24+In_Admin)*CK109*CK15*CK$6</f>
        <v>-848.544007960605</v>
      </c>
      <c r="CL114" s="33" t="n">
        <f aca="false">-(In_Fixed_Opex*$F24+In_Admin)*CL109*CL15*CL$6</f>
        <v>-857.868667388743</v>
      </c>
      <c r="CM114" s="33" t="n">
        <f aca="false">-(In_Fixed_Opex*$F24+In_Admin)*CM109*CM15*CM$6</f>
        <v>-857.868667388743</v>
      </c>
      <c r="CN114" s="33" t="n">
        <f aca="false">-(In_Fixed_Opex*$F24+In_Admin)*CN109*CN15*CN$6</f>
        <v>-860.199832245778</v>
      </c>
      <c r="CO114" s="33" t="n">
        <f aca="false">-(In_Fixed_Opex*$F24+In_Admin)*CO109*CO15*CO$6</f>
        <v>-869.75760815962</v>
      </c>
      <c r="CP114" s="33" t="n">
        <f aca="false">-(In_Fixed_Opex*$F24+In_Admin)*CP109*CP15*CP$6</f>
        <v>-879.315384073462</v>
      </c>
      <c r="CQ114" s="33" t="n">
        <f aca="false">-(In_Fixed_Opex*$F24+In_Admin)*CQ109*CQ15*CQ$6</f>
        <v>-879.315384073462</v>
      </c>
      <c r="CR114" s="33" t="n">
        <f aca="false">-(In_Fixed_Opex*$F24+In_Admin)*CR109*CR15*CR$6</f>
        <v>-891.50154836361</v>
      </c>
      <c r="CS114" s="33" t="n">
        <f aca="false">-(In_Fixed_Opex*$F24+In_Admin)*CS109*CS15*CS$6</f>
        <v>-891.50154836361</v>
      </c>
      <c r="CT114" s="33" t="n">
        <f aca="false">-(In_Fixed_Opex*$F24+In_Admin)*CT109*CT15*CT$6</f>
        <v>-901.298268675298</v>
      </c>
      <c r="CU114" s="33" t="n">
        <f aca="false">-(In_Fixed_Opex*$F24+In_Admin)*CU109*CU15*CU$6</f>
        <v>-901.298268675298</v>
      </c>
      <c r="CV114" s="33" t="n">
        <f aca="false">-(In_Fixed_Opex*$F24+In_Admin)*CV109*CV15*CV$6</f>
        <v>-903.74744875322</v>
      </c>
      <c r="CW114" s="33" t="n">
        <f aca="false">-(In_Fixed_Opex*$F24+In_Admin)*CW109*CW15*CW$6</f>
        <v>-913.789087072701</v>
      </c>
      <c r="CX114" s="33" t="n">
        <f aca="false">-(In_Fixed_Opex*$F24+In_Admin)*CX109*CX15*CX$6</f>
        <v>-923.830725392181</v>
      </c>
      <c r="CY114" s="33" t="n">
        <f aca="false">-(In_Fixed_Opex*$F24+In_Admin)*CY109*CY15*CY$6</f>
        <v>-923.830725392181</v>
      </c>
      <c r="CZ114" s="33" t="n">
        <f aca="false">-(In_Fixed_Opex*$F24+In_Admin)*CZ109*CZ15*CZ$6</f>
        <v>-926.341134972051</v>
      </c>
      <c r="DA114" s="33" t="n">
        <f aca="false">-(In_Fixed_Opex*$F24+In_Admin)*DA109*DA15*DA$6</f>
        <v>-936.633814249518</v>
      </c>
      <c r="DB114" s="33" t="n">
        <f aca="false">-(In_Fixed_Opex*$F24+In_Admin)*DB109*DB15*DB$6</f>
        <v>-946.926493526985</v>
      </c>
      <c r="DC114" s="33" t="n">
        <f aca="false">-(In_Fixed_Opex*$F24+In_Admin)*DC109*DC15*DC$6</f>
        <v>-946.926493526985</v>
      </c>
      <c r="DD114" s="33" t="n">
        <f aca="false">-(In_Fixed_Opex*$F24+In_Admin)*DD109*DD15*DD$6</f>
        <v>-949.499663346352</v>
      </c>
      <c r="DE114" s="33" t="n">
        <f aca="false">-(In_Fixed_Opex*$F24+In_Admin)*DE109*DE15*DE$6</f>
        <v>-960.049659605756</v>
      </c>
      <c r="DF114" s="33" t="n">
        <f aca="false">-(In_Fixed_Opex*$F24+In_Admin)*DF109*DF15*DF$6</f>
        <v>-970.59965586516</v>
      </c>
      <c r="DG114" s="33" t="n">
        <f aca="false">-(In_Fixed_Opex*$F24+In_Admin)*DG109*DG15*DG$6</f>
        <v>-970.59965586516</v>
      </c>
      <c r="DH114" s="33" t="n">
        <f aca="false">-(In_Fixed_Opex*$F24+In_Admin)*DH109*DH15*DH$6</f>
        <v>-984.0509010959</v>
      </c>
      <c r="DI114" s="33" t="n">
        <f aca="false">-(In_Fixed_Opex*$F24+In_Admin)*DI109*DI15*DI$6</f>
        <v>-984.0509010959</v>
      </c>
      <c r="DJ114" s="33" t="n">
        <f aca="false">-(In_Fixed_Opex*$F24+In_Admin)*DJ109*DJ15*DJ$6</f>
        <v>-994.864647261789</v>
      </c>
      <c r="DK114" s="33" t="n">
        <f aca="false">-(In_Fixed_Opex*$F24+In_Admin)*DK109*DK15*DK$6</f>
        <v>-994.864647261789</v>
      </c>
      <c r="DL114" s="33" t="n">
        <f aca="false">-(In_Fixed_Opex*$F24+In_Admin)*DL109*DL15*DL$6</f>
        <v>-997.568083803261</v>
      </c>
      <c r="DM114" s="33" t="n">
        <f aca="false">-(In_Fixed_Opex*$F24+In_Admin)*DM109*DM15*DM$6</f>
        <v>-1008.6521736233</v>
      </c>
      <c r="DN114" s="33" t="n">
        <f aca="false">-(In_Fixed_Opex*$F24+In_Admin)*DN109*DN15*DN$6</f>
        <v>-1019.73626344333</v>
      </c>
      <c r="DO114" s="33" t="n">
        <f aca="false">-(In_Fixed_Opex*$F24+In_Admin)*DO109*DO15*DO$6</f>
        <v>-1019.73626344333</v>
      </c>
      <c r="DP114" s="33" t="n">
        <f aca="false">-(In_Fixed_Opex*$F24+In_Admin)*DP109*DP15*DP$6</f>
        <v>-1022.50728589834</v>
      </c>
      <c r="DQ114" s="33" t="n">
        <f aca="false">-(In_Fixed_Opex*$F24+In_Admin)*DQ109*DQ15*DQ$6</f>
        <v>-1033.86847796388</v>
      </c>
      <c r="DR114" s="33" t="n">
        <f aca="false">-(In_Fixed_Opex*$F24+In_Admin)*DR109*DR15*DR$6</f>
        <v>-1045.22967002942</v>
      </c>
      <c r="DS114" s="33" t="n">
        <f aca="false">-(In_Fixed_Opex*$F24+In_Admin)*DS109*DS15*DS$6</f>
        <v>-1045.22967002942</v>
      </c>
      <c r="DT114" s="33" t="n">
        <f aca="false">-(In_Fixed_Opex*$F24+In_Admin)*DT109*DT15*DT$6</f>
        <v>-1048.0699680458</v>
      </c>
      <c r="DU114" s="33" t="n">
        <f aca="false">-(In_Fixed_Opex*$F24+In_Admin)*DU109*DU15*DU$6</f>
        <v>-1059.71518991298</v>
      </c>
      <c r="DV114" s="33" t="n">
        <f aca="false">-(In_Fixed_Opex*$F24+In_Admin)*DV109*DV15*DV$6</f>
        <v>-1071.36041178015</v>
      </c>
      <c r="DW114" s="33" t="n">
        <f aca="false">-(In_Fixed_Opex*$F24+In_Admin)*DW109*DW15*DW$6</f>
        <v>-1071.36041178015</v>
      </c>
      <c r="DX114" s="33" t="n">
        <f aca="false">-(In_Fixed_Opex*$F24+In_Admin)*DX109*DX15*DX$6</f>
        <v>-1086.2080696608</v>
      </c>
      <c r="DY114" s="33" t="n">
        <f aca="false">-(In_Fixed_Opex*$F24+In_Admin)*DY109*DY15*DY$6</f>
        <v>-1086.2080696608</v>
      </c>
      <c r="DZ114" s="33" t="n">
        <f aca="false">-(In_Fixed_Opex*$F24+In_Admin)*DZ109*DZ15*DZ$6</f>
        <v>-1098.14442207466</v>
      </c>
      <c r="EA114" s="33" t="n">
        <f aca="false">-(In_Fixed_Opex*$F24+In_Admin)*EA109*EA15*EA$6</f>
        <v>-1098.14442207466</v>
      </c>
      <c r="EB114" s="33" t="n">
        <f aca="false">-(In_Fixed_Opex*$F24+In_Admin)*EB109*EB15*EB$6</f>
        <v>-1101.12851017812</v>
      </c>
      <c r="EC114" s="33" t="n">
        <f aca="false">-(In_Fixed_Opex*$F24+In_Admin)*EC109*EC15*EC$6</f>
        <v>-1113.36327140232</v>
      </c>
      <c r="ED114" s="33" t="n">
        <f aca="false">-(In_Fixed_Opex*$F24+In_Admin)*ED109*ED15*ED$6</f>
        <v>-1125.59803262652</v>
      </c>
      <c r="EE114" s="33" t="n">
        <f aca="false">-(In_Fixed_Opex*$F24+In_Admin)*EE109*EE15*EE$6</f>
        <v>-1125.59803262652</v>
      </c>
      <c r="EF114" s="33" t="n">
        <f aca="false">-(In_Fixed_Opex*$F24+In_Admin)*EF109*EF15*EF$6</f>
        <v>-1128.65672293257</v>
      </c>
      <c r="EG114" s="33" t="n">
        <f aca="false">-(In_Fixed_Opex*$F24+In_Admin)*EG109*EG15*EG$6</f>
        <v>-1141.19735318738</v>
      </c>
      <c r="EH114" s="33" t="n">
        <f aca="false">-(In_Fixed_Opex*$F24+In_Admin)*EH109*EH15*EH$6</f>
        <v>-1153.73798344218</v>
      </c>
      <c r="EI114" s="33" t="n">
        <f aca="false">-(In_Fixed_Opex*$F24+In_Admin)*EI109*EI15*EI$6</f>
        <v>-1153.73798344218</v>
      </c>
      <c r="EJ114" s="33" t="n">
        <f aca="false">-(In_Fixed_Opex*$F24+In_Admin)*EJ109*EJ15*EJ$6</f>
        <v>-1156.87314100589</v>
      </c>
      <c r="EK114" s="33" t="n">
        <f aca="false">-(In_Fixed_Opex*$F24+In_Admin)*EK109*EK15*EK$6</f>
        <v>-1169.72728701706</v>
      </c>
      <c r="EL114" s="33" t="n">
        <f aca="false">-(In_Fixed_Opex*$F24+In_Admin)*EL109*EL15*EL$6</f>
        <v>-1182.58143302824</v>
      </c>
      <c r="EM114" s="33" t="n">
        <f aca="false">-(In_Fixed_Opex*$F24+In_Admin)*EM109*EM15*EM$6</f>
        <v>-1182.58143302824</v>
      </c>
      <c r="EN114" s="33" t="n">
        <f aca="false">-(In_Fixed_Opex*$F24+In_Admin)*EN109*EN15*EN$6</f>
        <v>-1198.97046919249</v>
      </c>
      <c r="EO114" s="33" t="n">
        <f aca="false">-(In_Fixed_Opex*$F24+In_Admin)*EO109*EO15*EO$6</f>
        <v>-1198.97046919249</v>
      </c>
      <c r="EP114" s="33" t="n">
        <f aca="false">-(In_Fixed_Opex*$F24+In_Admin)*EP109*EP15*EP$6</f>
        <v>-1212.14596885395</v>
      </c>
      <c r="EQ114" s="33" t="n">
        <f aca="false">-(In_Fixed_Opex*$F24+In_Admin)*EQ109*EQ15*EQ$6</f>
        <v>-1212.14596885395</v>
      </c>
      <c r="ER114" s="33" t="n">
        <f aca="false">-(In_Fixed_Opex*$F24+In_Admin)*ER109*ER15*ER$6</f>
        <v>-1215.43984376931</v>
      </c>
      <c r="ES114" s="33" t="n">
        <f aca="false">-(In_Fixed_Opex*$F24+In_Admin)*ES109*ES15*ES$6</f>
        <v>-1228.9447309223</v>
      </c>
      <c r="ET114" s="33" t="n">
        <f aca="false">-(In_Fixed_Opex*$F24+In_Admin)*ET109*ET15*ET$6</f>
        <v>-1242.44961807529</v>
      </c>
    </row>
    <row r="115" customFormat="false" ht="15" hidden="false" customHeight="false" outlineLevel="0" collapsed="false">
      <c r="C115" s="0" t="s">
        <v>561</v>
      </c>
      <c r="D115" s="11" t="s">
        <v>247</v>
      </c>
      <c r="I115" s="33" t="n">
        <f aca="false">SUM(J115:ET115)</f>
        <v>-14015.8951421437</v>
      </c>
      <c r="J115" s="33" t="n">
        <f aca="false">-In_Lease*$F24*J109*J16*J$6</f>
        <v>-0</v>
      </c>
      <c r="K115" s="33" t="n">
        <f aca="false">-In_Lease*$F24*K109*K16*K$6</f>
        <v>-0</v>
      </c>
      <c r="L115" s="33" t="n">
        <f aca="false">-In_Lease*$F24*L109*L16*L$6</f>
        <v>-0</v>
      </c>
      <c r="M115" s="33" t="n">
        <f aca="false">-In_Lease*$F24*M109*M16*M$6</f>
        <v>-0</v>
      </c>
      <c r="N115" s="33" t="n">
        <f aca="false">-In_Lease*$F24*N109*N16*N$6</f>
        <v>-0</v>
      </c>
      <c r="O115" s="33" t="n">
        <f aca="false">-In_Lease*$F24*O109*O16*O$6</f>
        <v>-0</v>
      </c>
      <c r="P115" s="33" t="n">
        <f aca="false">-In_Lease*$F24*P109*P16*P$6</f>
        <v>-0</v>
      </c>
      <c r="Q115" s="33" t="n">
        <f aca="false">-In_Lease*$F24*Q109*Q16*Q$6</f>
        <v>-0</v>
      </c>
      <c r="R115" s="33" t="n">
        <f aca="false">-In_Lease*$F24*R109*R16*R$6</f>
        <v>-0</v>
      </c>
      <c r="S115" s="33" t="n">
        <f aca="false">-In_Lease*$F24*S109*S16*S$6</f>
        <v>-0</v>
      </c>
      <c r="T115" s="33" t="n">
        <f aca="false">-In_Lease*$F24*T109*T16*T$6</f>
        <v>-0</v>
      </c>
      <c r="U115" s="33" t="n">
        <f aca="false">-In_Lease*$F24*U109*U16*U$6</f>
        <v>-0</v>
      </c>
      <c r="V115" s="33" t="n">
        <f aca="false">-In_Lease*$F24*V109*V16*V$6</f>
        <v>-0</v>
      </c>
      <c r="W115" s="33" t="n">
        <f aca="false">-In_Lease*$F24*W109*W16*W$6</f>
        <v>-71.9728146162183</v>
      </c>
      <c r="X115" s="33" t="n">
        <f aca="false">-In_Lease*$F24*X109*X16*X$6</f>
        <v>-72.1683929168059</v>
      </c>
      <c r="Y115" s="33" t="n">
        <f aca="false">-In_Lease*$F24*Y109*Y16*Y$6</f>
        <v>-72.9702639492148</v>
      </c>
      <c r="Z115" s="33" t="n">
        <f aca="false">-In_Lease*$F24*Z109*Z16*Z$6</f>
        <v>-73.7721349816238</v>
      </c>
      <c r="AA115" s="33" t="n">
        <f aca="false">-In_Lease*$F24*AA109*AA16*AA$6</f>
        <v>-73.7721349816238</v>
      </c>
      <c r="AB115" s="33" t="n">
        <f aca="false">-In_Lease*$F24*AB109*AB16*AB$6</f>
        <v>-73.972602739726</v>
      </c>
      <c r="AC115" s="33" t="n">
        <f aca="false">-In_Lease*$F24*AC109*AC16*AC$6</f>
        <v>-74.7945205479452</v>
      </c>
      <c r="AD115" s="33" t="n">
        <f aca="false">-In_Lease*$F24*AD109*AD16*AD$6</f>
        <v>-75.6164383561644</v>
      </c>
      <c r="AE115" s="33" t="n">
        <f aca="false">-In_Lease*$F24*AE109*AE16*AE$6</f>
        <v>-75.6164383561644</v>
      </c>
      <c r="AF115" s="33" t="n">
        <f aca="false">-In_Lease*$F24*AF109*AF16*AF$6</f>
        <v>-76.6643835616438</v>
      </c>
      <c r="AG115" s="33" t="n">
        <f aca="false">-In_Lease*$F24*AG109*AG16*AG$6</f>
        <v>-76.6643835616438</v>
      </c>
      <c r="AH115" s="33" t="n">
        <f aca="false">-In_Lease*$F24*AH109*AH16*AH$6</f>
        <v>-77.5068493150685</v>
      </c>
      <c r="AI115" s="33" t="n">
        <f aca="false">-In_Lease*$F24*AI109*AI16*AI$6</f>
        <v>-77.5068493150685</v>
      </c>
      <c r="AJ115" s="33" t="n">
        <f aca="false">-In_Lease*$F24*AJ109*AJ16*AJ$6</f>
        <v>-77.7174657534247</v>
      </c>
      <c r="AK115" s="33" t="n">
        <f aca="false">-In_Lease*$F24*AK109*AK16*AK$6</f>
        <v>-78.5809931506849</v>
      </c>
      <c r="AL115" s="33" t="n">
        <f aca="false">-In_Lease*$F24*AL109*AL16*AL$6</f>
        <v>-79.4445205479452</v>
      </c>
      <c r="AM115" s="33" t="n">
        <f aca="false">-In_Lease*$F24*AM109*AM16*AM$6</f>
        <v>-79.4445205479452</v>
      </c>
      <c r="AN115" s="33" t="n">
        <f aca="false">-In_Lease*$F24*AN109*AN16*AN$6</f>
        <v>-79.6604023972602</v>
      </c>
      <c r="AO115" s="33" t="n">
        <f aca="false">-In_Lease*$F24*AO109*AO16*AO$6</f>
        <v>-80.545517979452</v>
      </c>
      <c r="AP115" s="33" t="n">
        <f aca="false">-In_Lease*$F24*AP109*AP16*AP$6</f>
        <v>-81.4306335616438</v>
      </c>
      <c r="AQ115" s="33" t="n">
        <f aca="false">-In_Lease*$F24*AQ109*AQ16*AQ$6</f>
        <v>-81.4306335616438</v>
      </c>
      <c r="AR115" s="33" t="n">
        <f aca="false">-In_Lease*$F24*AR109*AR16*AR$6</f>
        <v>-81.6519124571917</v>
      </c>
      <c r="AS115" s="33" t="n">
        <f aca="false">-In_Lease*$F24*AS109*AS16*AS$6</f>
        <v>-82.5591559289383</v>
      </c>
      <c r="AT115" s="33" t="n">
        <f aca="false">-In_Lease*$F24*AT109*AT16*AT$6</f>
        <v>-83.4663994006849</v>
      </c>
      <c r="AU115" s="33" t="n">
        <f aca="false">-In_Lease*$F24*AU109*AU16*AU$6</f>
        <v>-83.4663994006849</v>
      </c>
      <c r="AV115" s="33" t="n">
        <f aca="false">-In_Lease*$F24*AV109*AV16*AV$6</f>
        <v>-84.6231348271618</v>
      </c>
      <c r="AW115" s="33" t="n">
        <f aca="false">-In_Lease*$F24*AW109*AW16*AW$6</f>
        <v>-84.6231348271618</v>
      </c>
      <c r="AX115" s="33" t="n">
        <f aca="false">-In_Lease*$F24*AX109*AX16*AX$6</f>
        <v>-85.553059385702</v>
      </c>
      <c r="AY115" s="33" t="n">
        <f aca="false">-In_Lease*$F24*AY109*AY16*AY$6</f>
        <v>-85.553059385702</v>
      </c>
      <c r="AZ115" s="33" t="n">
        <f aca="false">-In_Lease*$F24*AZ109*AZ16*AZ$6</f>
        <v>-85.7855405253371</v>
      </c>
      <c r="BA115" s="33" t="n">
        <f aca="false">-In_Lease*$F24*BA109*BA16*BA$6</f>
        <v>-86.7387131978408</v>
      </c>
      <c r="BB115" s="33" t="n">
        <f aca="false">-In_Lease*$F24*BB109*BB16*BB$6</f>
        <v>-87.6918858703446</v>
      </c>
      <c r="BC115" s="33" t="n">
        <f aca="false">-In_Lease*$F24*BC109*BC16*BC$6</f>
        <v>-87.6918858703446</v>
      </c>
      <c r="BD115" s="33" t="n">
        <f aca="false">-In_Lease*$F24*BD109*BD16*BD$6</f>
        <v>-87.9301790384705</v>
      </c>
      <c r="BE115" s="33" t="n">
        <f aca="false">-In_Lease*$F24*BE109*BE16*BE$6</f>
        <v>-88.9071810277869</v>
      </c>
      <c r="BF115" s="33" t="n">
        <f aca="false">-In_Lease*$F24*BF109*BF16*BF$6</f>
        <v>-89.8841830171032</v>
      </c>
      <c r="BG115" s="33" t="n">
        <f aca="false">-In_Lease*$F24*BG109*BG16*BG$6</f>
        <v>-89.8841830171032</v>
      </c>
      <c r="BH115" s="33" t="n">
        <f aca="false">-In_Lease*$F24*BH109*BH16*BH$6</f>
        <v>-90.1284335144322</v>
      </c>
      <c r="BI115" s="33" t="n">
        <f aca="false">-In_Lease*$F24*BI109*BI16*BI$6</f>
        <v>-91.1298605534815</v>
      </c>
      <c r="BJ115" s="33" t="n">
        <f aca="false">-In_Lease*$F24*BJ109*BJ16*BJ$6</f>
        <v>-92.1312875925307</v>
      </c>
      <c r="BK115" s="33" t="n">
        <f aca="false">-In_Lease*$F24*BK109*BK16*BK$6</f>
        <v>-92.1312875925307</v>
      </c>
      <c r="BL115" s="33" t="n">
        <f aca="false">-In_Lease*$F24*BL109*BL16*BL$6</f>
        <v>-93.4081070673185</v>
      </c>
      <c r="BM115" s="33" t="n">
        <f aca="false">-In_Lease*$F24*BM109*BM16*BM$6</f>
        <v>-93.4081070673185</v>
      </c>
      <c r="BN115" s="33" t="n">
        <f aca="false">-In_Lease*$F24*BN109*BN16*BN$6</f>
        <v>-94.434569782344</v>
      </c>
      <c r="BO115" s="33" t="n">
        <f aca="false">-In_Lease*$F24*BO109*BO16*BO$6</f>
        <v>-94.434569782344</v>
      </c>
      <c r="BP115" s="33" t="n">
        <f aca="false">-In_Lease*$F24*BP109*BP16*BP$6</f>
        <v>-94.6911854611004</v>
      </c>
      <c r="BQ115" s="33" t="n">
        <f aca="false">-In_Lease*$F24*BQ109*BQ16*BQ$6</f>
        <v>-95.7433097440015</v>
      </c>
      <c r="BR115" s="33" t="n">
        <f aca="false">-In_Lease*$F24*BR109*BR16*BR$6</f>
        <v>-96.7954340269026</v>
      </c>
      <c r="BS115" s="33" t="n">
        <f aca="false">-In_Lease*$F24*BS109*BS16*BS$6</f>
        <v>-96.7954340269026</v>
      </c>
      <c r="BT115" s="33" t="n">
        <f aca="false">-In_Lease*$F24*BT109*BT16*BT$6</f>
        <v>-97.0584650976279</v>
      </c>
      <c r="BU115" s="33" t="n">
        <f aca="false">-In_Lease*$F24*BU109*BU16*BU$6</f>
        <v>-98.1368924876015</v>
      </c>
      <c r="BV115" s="33" t="n">
        <f aca="false">-In_Lease*$F24*BV109*BV16*BV$6</f>
        <v>-99.2153198775752</v>
      </c>
      <c r="BW115" s="33" t="n">
        <f aca="false">-In_Lease*$F24*BW109*BW16*BW$6</f>
        <v>-99.2153198775752</v>
      </c>
      <c r="BX115" s="33" t="n">
        <f aca="false">-In_Lease*$F24*BX109*BX16*BX$6</f>
        <v>-99.4849267250686</v>
      </c>
      <c r="BY115" s="33" t="n">
        <f aca="false">-In_Lease*$F24*BY109*BY16*BY$6</f>
        <v>-100.590314799792</v>
      </c>
      <c r="BZ115" s="33" t="n">
        <f aca="false">-In_Lease*$F24*BZ109*BZ16*BZ$6</f>
        <v>-101.695702874515</v>
      </c>
      <c r="CA115" s="33" t="n">
        <f aca="false">-In_Lease*$F24*CA109*CA16*CA$6</f>
        <v>-101.695702874515</v>
      </c>
      <c r="CB115" s="33" t="n">
        <f aca="false">-In_Lease*$F24*CB109*CB16*CB$6</f>
        <v>-103.105072669786</v>
      </c>
      <c r="CC115" s="33" t="n">
        <f aca="false">-In_Lease*$F24*CC109*CC16*CC$6</f>
        <v>-103.105072669786</v>
      </c>
      <c r="CD115" s="33" t="n">
        <f aca="false">-In_Lease*$F24*CD109*CD16*CD$6</f>
        <v>-104.238095446377</v>
      </c>
      <c r="CE115" s="33" t="n">
        <f aca="false">-In_Lease*$F24*CE109*CE16*CE$6</f>
        <v>-104.238095446377</v>
      </c>
      <c r="CF115" s="33" t="n">
        <f aca="false">-In_Lease*$F24*CF109*CF16*CF$6</f>
        <v>-104.521351140525</v>
      </c>
      <c r="CG115" s="33" t="n">
        <f aca="false">-In_Lease*$F24*CG109*CG16*CG$6</f>
        <v>-105.682699486531</v>
      </c>
      <c r="CH115" s="33" t="n">
        <f aca="false">-In_Lease*$F24*CH109*CH16*CH$6</f>
        <v>-106.844047832537</v>
      </c>
      <c r="CI115" s="33" t="n">
        <f aca="false">-In_Lease*$F24*CI109*CI16*CI$6</f>
        <v>-106.844047832537</v>
      </c>
      <c r="CJ115" s="33" t="n">
        <f aca="false">-In_Lease*$F24*CJ109*CJ16*CJ$6</f>
        <v>-107.134384919038</v>
      </c>
      <c r="CK115" s="33" t="n">
        <f aca="false">-In_Lease*$F24*CK109*CK16*CK$6</f>
        <v>-108.324766973694</v>
      </c>
      <c r="CL115" s="33" t="n">
        <f aca="false">-In_Lease*$F24*CL109*CL16*CL$6</f>
        <v>-109.51514902835</v>
      </c>
      <c r="CM115" s="33" t="n">
        <f aca="false">-In_Lease*$F24*CM109*CM16*CM$6</f>
        <v>-109.51514902835</v>
      </c>
      <c r="CN115" s="33" t="n">
        <f aca="false">-In_Lease*$F24*CN109*CN16*CN$6</f>
        <v>-109.812744542014</v>
      </c>
      <c r="CO115" s="33" t="n">
        <f aca="false">-In_Lease*$F24*CO109*CO16*CO$6</f>
        <v>-111.032886148037</v>
      </c>
      <c r="CP115" s="33" t="n">
        <f aca="false">-In_Lease*$F24*CP109*CP16*CP$6</f>
        <v>-112.253027754059</v>
      </c>
      <c r="CQ115" s="33" t="n">
        <f aca="false">-In_Lease*$F24*CQ109*CQ16*CQ$6</f>
        <v>-112.253027754059</v>
      </c>
      <c r="CR115" s="33" t="n">
        <f aca="false">-In_Lease*$F24*CR109*CR16*CR$6</f>
        <v>-113.808708301737</v>
      </c>
      <c r="CS115" s="33" t="n">
        <f aca="false">-In_Lease*$F24*CS109*CS16*CS$6</f>
        <v>-113.808708301737</v>
      </c>
      <c r="CT115" s="33" t="n">
        <f aca="false">-In_Lease*$F24*CT109*CT16*CT$6</f>
        <v>-115.05935344791</v>
      </c>
      <c r="CU115" s="33" t="n">
        <f aca="false">-In_Lease*$F24*CU109*CU16*CU$6</f>
        <v>-115.05935344791</v>
      </c>
      <c r="CV115" s="33" t="n">
        <f aca="false">-In_Lease*$F24*CV109*CV16*CV$6</f>
        <v>-115.372014734454</v>
      </c>
      <c r="CW115" s="33" t="n">
        <f aca="false">-In_Lease*$F24*CW109*CW16*CW$6</f>
        <v>-116.653926009281</v>
      </c>
      <c r="CX115" s="33" t="n">
        <f aca="false">-In_Lease*$F24*CX109*CX16*CX$6</f>
        <v>-117.935837284108</v>
      </c>
      <c r="CY115" s="33" t="n">
        <f aca="false">-In_Lease*$F24*CY109*CY16*CY$6</f>
        <v>-117.935837284108</v>
      </c>
      <c r="CZ115" s="33" t="n">
        <f aca="false">-In_Lease*$F24*CZ109*CZ16*CZ$6</f>
        <v>-118.256315102815</v>
      </c>
      <c r="DA115" s="33" t="n">
        <f aca="false">-In_Lease*$F24*DA109*DA16*DA$6</f>
        <v>-119.570274159513</v>
      </c>
      <c r="DB115" s="33" t="n">
        <f aca="false">-In_Lease*$F24*DB109*DB16*DB$6</f>
        <v>-120.884233216211</v>
      </c>
      <c r="DC115" s="33" t="n">
        <f aca="false">-In_Lease*$F24*DC109*DC16*DC$6</f>
        <v>-120.884233216211</v>
      </c>
      <c r="DD115" s="33" t="n">
        <f aca="false">-In_Lease*$F24*DD109*DD16*DD$6</f>
        <v>-121.212722980385</v>
      </c>
      <c r="DE115" s="33" t="n">
        <f aca="false">-In_Lease*$F24*DE109*DE16*DE$6</f>
        <v>-122.559531013501</v>
      </c>
      <c r="DF115" s="33" t="n">
        <f aca="false">-In_Lease*$F24*DF109*DF16*DF$6</f>
        <v>-123.906339046616</v>
      </c>
      <c r="DG115" s="33" t="n">
        <f aca="false">-In_Lease*$F24*DG109*DG16*DG$6</f>
        <v>-123.906339046616</v>
      </c>
      <c r="DH115" s="33" t="n">
        <f aca="false">-In_Lease*$F24*DH109*DH16*DH$6</f>
        <v>-125.623519288838</v>
      </c>
      <c r="DI115" s="33" t="n">
        <f aca="false">-In_Lease*$F24*DI109*DI16*DI$6</f>
        <v>-125.623519288838</v>
      </c>
      <c r="DJ115" s="33" t="n">
        <f aca="false">-In_Lease*$F24*DJ109*DJ16*DJ$6</f>
        <v>-127.003997522782</v>
      </c>
      <c r="DK115" s="33" t="n">
        <f aca="false">-In_Lease*$F24*DK109*DK16*DK$6</f>
        <v>-127.003997522782</v>
      </c>
      <c r="DL115" s="33" t="n">
        <f aca="false">-In_Lease*$F24*DL109*DL16*DL$6</f>
        <v>-127.349117081267</v>
      </c>
      <c r="DM115" s="33" t="n">
        <f aca="false">-In_Lease*$F24*DM109*DM16*DM$6</f>
        <v>-128.764107271059</v>
      </c>
      <c r="DN115" s="33" t="n">
        <f aca="false">-In_Lease*$F24*DN109*DN16*DN$6</f>
        <v>-130.179097460851</v>
      </c>
      <c r="DO115" s="33" t="n">
        <f aca="false">-In_Lease*$F24*DO109*DO16*DO$6</f>
        <v>-130.179097460851</v>
      </c>
      <c r="DP115" s="33" t="n">
        <f aca="false">-In_Lease*$F24*DP109*DP16*DP$6</f>
        <v>-130.532845008299</v>
      </c>
      <c r="DQ115" s="33" t="n">
        <f aca="false">-In_Lease*$F24*DQ109*DQ16*DQ$6</f>
        <v>-131.983209952836</v>
      </c>
      <c r="DR115" s="33" t="n">
        <f aca="false">-In_Lease*$F24*DR109*DR16*DR$6</f>
        <v>-133.433574897372</v>
      </c>
      <c r="DS115" s="33" t="n">
        <f aca="false">-In_Lease*$F24*DS109*DS16*DS$6</f>
        <v>-133.433574897372</v>
      </c>
      <c r="DT115" s="33" t="n">
        <f aca="false">-In_Lease*$F24*DT109*DT16*DT$6</f>
        <v>-133.796166133506</v>
      </c>
      <c r="DU115" s="33" t="n">
        <f aca="false">-In_Lease*$F24*DU109*DU16*DU$6</f>
        <v>-135.282790201657</v>
      </c>
      <c r="DV115" s="33" t="n">
        <f aca="false">-In_Lease*$F24*DV109*DV16*DV$6</f>
        <v>-136.769414269807</v>
      </c>
      <c r="DW115" s="33" t="n">
        <f aca="false">-In_Lease*$F24*DW109*DW16*DW$6</f>
        <v>-136.769414269807</v>
      </c>
      <c r="DX115" s="33" t="n">
        <f aca="false">-In_Lease*$F24*DX109*DX16*DX$6</f>
        <v>-138.664859956698</v>
      </c>
      <c r="DY115" s="33" t="n">
        <f aca="false">-In_Lease*$F24*DY109*DY16*DY$6</f>
        <v>-138.664859956698</v>
      </c>
      <c r="DZ115" s="33" t="n">
        <f aca="false">-In_Lease*$F24*DZ109*DZ16*DZ$6</f>
        <v>-140.188649626552</v>
      </c>
      <c r="EA115" s="33" t="n">
        <f aca="false">-In_Lease*$F24*EA109*EA16*EA$6</f>
        <v>-140.188649626552</v>
      </c>
      <c r="EB115" s="33" t="n">
        <f aca="false">-In_Lease*$F24*EB109*EB16*EB$6</f>
        <v>-140.569597044015</v>
      </c>
      <c r="EC115" s="33" t="n">
        <f aca="false">-In_Lease*$F24*EC109*EC16*EC$6</f>
        <v>-142.131481455615</v>
      </c>
      <c r="ED115" s="33" t="n">
        <f aca="false">-In_Lease*$F24*ED109*ED16*ED$6</f>
        <v>-143.693365867216</v>
      </c>
      <c r="EE115" s="33" t="n">
        <f aca="false">-In_Lease*$F24*EE109*EE16*EE$6</f>
        <v>-143.693365867216</v>
      </c>
      <c r="EF115" s="33" t="n">
        <f aca="false">-In_Lease*$F24*EF109*EF16*EF$6</f>
        <v>-144.083836970116</v>
      </c>
      <c r="EG115" s="33" t="n">
        <f aca="false">-In_Lease*$F24*EG109*EG16*EG$6</f>
        <v>-145.684768492006</v>
      </c>
      <c r="EH115" s="33" t="n">
        <f aca="false">-In_Lease*$F24*EH109*EH16*EH$6</f>
        <v>-147.285700013896</v>
      </c>
      <c r="EI115" s="33" t="n">
        <f aca="false">-In_Lease*$F24*EI109*EI16*EI$6</f>
        <v>-147.285700013896</v>
      </c>
      <c r="EJ115" s="33" t="n">
        <f aca="false">-In_Lease*$F24*EJ109*EJ16*EJ$6</f>
        <v>-147.685932894368</v>
      </c>
      <c r="EK115" s="33" t="n">
        <f aca="false">-In_Lease*$F24*EK109*EK16*EK$6</f>
        <v>-149.326887704306</v>
      </c>
      <c r="EL115" s="33" t="n">
        <f aca="false">-In_Lease*$F24*EL109*EL16*EL$6</f>
        <v>-150.967842514243</v>
      </c>
      <c r="EM115" s="33" t="n">
        <f aca="false">-In_Lease*$F24*EM109*EM16*EM$6</f>
        <v>-150.967842514243</v>
      </c>
      <c r="EN115" s="33" t="n">
        <f aca="false">-In_Lease*$F24*EN109*EN16*EN$6</f>
        <v>-153.060059896914</v>
      </c>
      <c r="EO115" s="33" t="n">
        <f aca="false">-In_Lease*$F24*EO109*EO16*EO$6</f>
        <v>-153.060059896914</v>
      </c>
      <c r="EP115" s="33" t="n">
        <f aca="false">-In_Lease*$F24*EP109*EP16*EP$6</f>
        <v>-154.742038577099</v>
      </c>
      <c r="EQ115" s="33" t="n">
        <f aca="false">-In_Lease*$F24*EQ109*EQ16*EQ$6</f>
        <v>-154.742038577099</v>
      </c>
      <c r="ER115" s="33" t="n">
        <f aca="false">-In_Lease*$F24*ER109*ER16*ER$6</f>
        <v>-155.162533247146</v>
      </c>
      <c r="ES115" s="33" t="n">
        <f aca="false">-In_Lease*$F24*ES109*ES16*ES$6</f>
        <v>-156.886561394336</v>
      </c>
      <c r="ET115" s="33" t="n">
        <f aca="false">-In_Lease*$F24*ET109*ET16*ET$6</f>
        <v>-158.610589541527</v>
      </c>
    </row>
    <row r="116" customFormat="false" ht="15" hidden="false" customHeight="false" outlineLevel="0" collapsed="false">
      <c r="C116" s="0" t="s">
        <v>562</v>
      </c>
      <c r="D116" s="11" t="s">
        <v>247</v>
      </c>
      <c r="I116" s="33" t="n">
        <f aca="false">SUM(J116:ET116)</f>
        <v>-15269.388528234</v>
      </c>
      <c r="J116" s="33" t="n">
        <f aca="false">-J112*(In_MEKH+In_HIPA)</f>
        <v>-0</v>
      </c>
      <c r="K116" s="33" t="n">
        <f aca="false">-K112*(In_MEKH+In_HIPA)</f>
        <v>-0</v>
      </c>
      <c r="L116" s="33" t="n">
        <f aca="false">-L112*(In_MEKH+In_HIPA)</f>
        <v>-0</v>
      </c>
      <c r="M116" s="33" t="n">
        <f aca="false">-M112*(In_MEKH+In_HIPA)</f>
        <v>-0</v>
      </c>
      <c r="N116" s="33" t="n">
        <f aca="false">-N112*(In_MEKH+In_HIPA)</f>
        <v>-0</v>
      </c>
      <c r="O116" s="33" t="n">
        <f aca="false">-O112*(In_MEKH+In_HIPA)</f>
        <v>-0</v>
      </c>
      <c r="P116" s="33" t="n">
        <f aca="false">-P112*(In_MEKH+In_HIPA)</f>
        <v>-0</v>
      </c>
      <c r="Q116" s="33" t="n">
        <f aca="false">-Q112*(In_MEKH+In_HIPA)</f>
        <v>-0</v>
      </c>
      <c r="R116" s="33" t="n">
        <f aca="false">-R112*(In_MEKH+In_HIPA)</f>
        <v>-0</v>
      </c>
      <c r="S116" s="33" t="n">
        <f aca="false">-S112*(In_MEKH+In_HIPA)</f>
        <v>-0</v>
      </c>
      <c r="T116" s="33" t="n">
        <f aca="false">-T112*(In_MEKH+In_HIPA)</f>
        <v>-0</v>
      </c>
      <c r="U116" s="33" t="n">
        <f aca="false">-U112*(In_MEKH+In_HIPA)</f>
        <v>-0</v>
      </c>
      <c r="V116" s="33" t="n">
        <f aca="false">-V112*(In_MEKH+In_HIPA)</f>
        <v>-0</v>
      </c>
      <c r="W116" s="33" t="n">
        <f aca="false">-W112*(In_MEKH+In_HIPA)</f>
        <v>-0</v>
      </c>
      <c r="X116" s="33" t="n">
        <f aca="false">-X112*(In_MEKH+In_HIPA)</f>
        <v>-0</v>
      </c>
      <c r="Y116" s="33" t="n">
        <f aca="false">-Y112*(In_MEKH+In_HIPA)</f>
        <v>-0</v>
      </c>
      <c r="Z116" s="33" t="n">
        <f aca="false">-Z112*(In_MEKH+In_HIPA)</f>
        <v>-0</v>
      </c>
      <c r="AA116" s="33" t="n">
        <f aca="false">-AA112*(In_MEKH+In_HIPA)</f>
        <v>-0</v>
      </c>
      <c r="AB116" s="33" t="n">
        <f aca="false">-AB112*(In_MEKH+In_HIPA)</f>
        <v>-0</v>
      </c>
      <c r="AC116" s="33" t="n">
        <f aca="false">-AC112*(In_MEKH+In_HIPA)</f>
        <v>-0</v>
      </c>
      <c r="AD116" s="33" t="n">
        <f aca="false">-AD112*(In_MEKH+In_HIPA)</f>
        <v>-0</v>
      </c>
      <c r="AE116" s="33" t="n">
        <f aca="false">-AE112*(In_MEKH+In_HIPA)</f>
        <v>-114.846549041096</v>
      </c>
      <c r="AF116" s="33" t="n">
        <f aca="false">-AF112*(In_MEKH+In_HIPA)</f>
        <v>-114.734199156164</v>
      </c>
      <c r="AG116" s="33" t="n">
        <f aca="false">-AG112*(In_MEKH+In_HIPA)</f>
        <v>-114.734199156164</v>
      </c>
      <c r="AH116" s="33" t="n">
        <f aca="false">-AH112*(In_MEKH+In_HIPA)</f>
        <v>-115.995014531507</v>
      </c>
      <c r="AI116" s="33" t="n">
        <f aca="false">-AI112*(In_MEKH+In_HIPA)</f>
        <v>-115.647029487912</v>
      </c>
      <c r="AJ116" s="33" t="n">
        <f aca="false">-AJ112*(In_MEKH+In_HIPA)</f>
        <v>-114.264293265774</v>
      </c>
      <c r="AK116" s="33" t="n">
        <f aca="false">-AK112*(In_MEKH+In_HIPA)</f>
        <v>-115.533896524283</v>
      </c>
      <c r="AL116" s="33" t="n">
        <f aca="false">-AL112*(In_MEKH+In_HIPA)</f>
        <v>-116.803499782791</v>
      </c>
      <c r="AM116" s="33" t="n">
        <f aca="false">-AM112*(In_MEKH+In_HIPA)</f>
        <v>-116.453089283443</v>
      </c>
      <c r="AN116" s="33" t="n">
        <f aca="false">-AN112*(In_MEKH+In_HIPA)</f>
        <v>-115.060715389837</v>
      </c>
      <c r="AO116" s="33" t="n">
        <f aca="false">-AO112*(In_MEKH+In_HIPA)</f>
        <v>-116.339167783057</v>
      </c>
      <c r="AP116" s="33" t="n">
        <f aca="false">-AP112*(In_MEKH+In_HIPA)</f>
        <v>-117.617620176278</v>
      </c>
      <c r="AQ116" s="33" t="n">
        <f aca="false">-AQ112*(In_MEKH+In_HIPA)</f>
        <v>-117.264767315749</v>
      </c>
      <c r="AR116" s="33" t="n">
        <f aca="false">-AR112*(In_MEKH+In_HIPA)</f>
        <v>-115.862688576104</v>
      </c>
      <c r="AS116" s="33" t="n">
        <f aca="false">-AS112*(In_MEKH+In_HIPA)</f>
        <v>-117.150051782505</v>
      </c>
      <c r="AT116" s="33" t="n">
        <f aca="false">-AT112*(In_MEKH+In_HIPA)</f>
        <v>-118.437414988906</v>
      </c>
      <c r="AU116" s="33" t="n">
        <f aca="false">-AU112*(In_MEKH+In_HIPA)</f>
        <v>-118.082102743939</v>
      </c>
      <c r="AV116" s="33" t="n">
        <f aca="false">-AV112*(In_MEKH+In_HIPA)</f>
        <v>-117.966587643429</v>
      </c>
      <c r="AW116" s="33" t="n">
        <f aca="false">-AW112*(In_MEKH+In_HIPA)</f>
        <v>-117.966587643429</v>
      </c>
      <c r="AX116" s="33" t="n">
        <f aca="false">-AX112*(In_MEKH+In_HIPA)</f>
        <v>-119.262923771379</v>
      </c>
      <c r="AY116" s="33" t="n">
        <f aca="false">-AY112*(In_MEKH+In_HIPA)</f>
        <v>-118.905135000065</v>
      </c>
      <c r="AZ116" s="33" t="n">
        <f aca="false">-AZ112*(In_MEKH+In_HIPA)</f>
        <v>-117.483443168542</v>
      </c>
      <c r="BA116" s="33" t="n">
        <f aca="false">-BA112*(In_MEKH+In_HIPA)</f>
        <v>-118.788814759304</v>
      </c>
      <c r="BB116" s="33" t="n">
        <f aca="false">-BB112*(In_MEKH+In_HIPA)</f>
        <v>-120.094186350065</v>
      </c>
      <c r="BC116" s="33" t="n">
        <f aca="false">-BC112*(In_MEKH+In_HIPA)</f>
        <v>-119.733903791015</v>
      </c>
      <c r="BD116" s="33" t="n">
        <f aca="false">-BD112*(In_MEKH+In_HIPA)</f>
        <v>-118.302302767427</v>
      </c>
      <c r="BE116" s="33" t="n">
        <f aca="false">-BE112*(In_MEKH+In_HIPA)</f>
        <v>-119.616772798176</v>
      </c>
      <c r="BF116" s="33" t="n">
        <f aca="false">-BF112*(In_MEKH+In_HIPA)</f>
        <v>-120.931242828925</v>
      </c>
      <c r="BG116" s="33" t="n">
        <f aca="false">-BG112*(In_MEKH+In_HIPA)</f>
        <v>-120.568449100439</v>
      </c>
      <c r="BH116" s="33" t="n">
        <f aca="false">-BH112*(In_MEKH+In_HIPA)</f>
        <v>-119.126869817716</v>
      </c>
      <c r="BI116" s="33" t="n">
        <f aca="false">-BI112*(In_MEKH+In_HIPA)</f>
        <v>-120.450501704579</v>
      </c>
      <c r="BJ116" s="33" t="n">
        <f aca="false">-BJ112*(In_MEKH+In_HIPA)</f>
        <v>-121.774133591443</v>
      </c>
      <c r="BK116" s="33" t="n">
        <f aca="false">-BK112*(In_MEKH+In_HIPA)</f>
        <v>-121.408811190669</v>
      </c>
      <c r="BL116" s="33" t="n">
        <f aca="false">-BL112*(In_MEKH+In_HIPA)</f>
        <v>-121.29004170146</v>
      </c>
      <c r="BM116" s="33" t="n">
        <f aca="false">-BM112*(In_MEKH+In_HIPA)</f>
        <v>-121.29004170146</v>
      </c>
      <c r="BN116" s="33" t="n">
        <f aca="false">-BN112*(In_MEKH+In_HIPA)</f>
        <v>-122.622899302575</v>
      </c>
      <c r="BO116" s="33" t="n">
        <f aca="false">-BO112*(In_MEKH+In_HIPA)</f>
        <v>-122.255030604668</v>
      </c>
      <c r="BP116" s="33" t="n">
        <f aca="false">-BP112*(In_MEKH+In_HIPA)</f>
        <v>-120.793285673525</v>
      </c>
      <c r="BQ116" s="33" t="n">
        <f aca="false">-BQ112*(In_MEKH+In_HIPA)</f>
        <v>-122.13543329212</v>
      </c>
      <c r="BR116" s="33" t="n">
        <f aca="false">-BR112*(In_MEKH+In_HIPA)</f>
        <v>-123.477580910714</v>
      </c>
      <c r="BS116" s="33" t="n">
        <f aca="false">-BS112*(In_MEKH+In_HIPA)</f>
        <v>-123.107148167982</v>
      </c>
      <c r="BT116" s="33" t="n">
        <f aca="false">-BT112*(In_MEKH+In_HIPA)</f>
        <v>-121.635214874669</v>
      </c>
      <c r="BU116" s="33" t="n">
        <f aca="false">-BU112*(In_MEKH+In_HIPA)</f>
        <v>-122.986717262166</v>
      </c>
      <c r="BV116" s="33" t="n">
        <f aca="false">-BV112*(In_MEKH+In_HIPA)</f>
        <v>-124.338219649662</v>
      </c>
      <c r="BW116" s="33" t="n">
        <f aca="false">-BW112*(In_MEKH+In_HIPA)</f>
        <v>-123.965204990713</v>
      </c>
      <c r="BX116" s="33" t="n">
        <f aca="false">-BX112*(In_MEKH+In_HIPA)</f>
        <v>-122.483012322346</v>
      </c>
      <c r="BY116" s="33" t="n">
        <f aca="false">-BY112*(In_MEKH+In_HIPA)</f>
        <v>-123.843934681483</v>
      </c>
      <c r="BZ116" s="33" t="n">
        <f aca="false">-BZ112*(In_MEKH+In_HIPA)</f>
        <v>-125.20485704062</v>
      </c>
      <c r="CA116" s="33" t="n">
        <f aca="false">-CA112*(In_MEKH+In_HIPA)</f>
        <v>-124.829242469498</v>
      </c>
      <c r="CB116" s="33" t="n">
        <f aca="false">-CB112*(In_MEKH+In_HIPA)</f>
        <v>-124.707126906213</v>
      </c>
      <c r="CC116" s="33" t="n">
        <f aca="false">-CC112*(In_MEKH+In_HIPA)</f>
        <v>-124.707126906213</v>
      </c>
      <c r="CD116" s="33" t="n">
        <f aca="false">-CD112*(In_MEKH+In_HIPA)</f>
        <v>-126.077534894193</v>
      </c>
      <c r="CE116" s="33" t="n">
        <f aca="false">-CE112*(In_MEKH+In_HIPA)</f>
        <v>-125.699302289511</v>
      </c>
      <c r="CF116" s="33" t="n">
        <f aca="false">-CF112*(In_MEKH+In_HIPA)</f>
        <v>-124.196375849093</v>
      </c>
      <c r="CG116" s="33" t="n">
        <f aca="false">-CG112*(In_MEKH+In_HIPA)</f>
        <v>-125.576335580749</v>
      </c>
      <c r="CH116" s="33" t="n">
        <f aca="false">-CH112*(In_MEKH+In_HIPA)</f>
        <v>-126.956295312406</v>
      </c>
      <c r="CI116" s="33" t="n">
        <f aca="false">-CI112*(In_MEKH+In_HIPA)</f>
        <v>-126.575426426469</v>
      </c>
      <c r="CJ116" s="33" t="n">
        <f aca="false">-CJ112*(In_MEKH+In_HIPA)</f>
        <v>-125.062024588761</v>
      </c>
      <c r="CK116" s="33" t="n">
        <f aca="false">-CK112*(In_MEKH+In_HIPA)</f>
        <v>-126.451602639747</v>
      </c>
      <c r="CL116" s="33" t="n">
        <f aca="false">-CL112*(In_MEKH+In_HIPA)</f>
        <v>-127.841180690733</v>
      </c>
      <c r="CM116" s="33" t="n">
        <f aca="false">-CM112*(In_MEKH+In_HIPA)</f>
        <v>-127.457657148661</v>
      </c>
      <c r="CN116" s="33" t="n">
        <f aca="false">-CN112*(In_MEKH+In_HIPA)</f>
        <v>-125.933706900144</v>
      </c>
      <c r="CO116" s="33" t="n">
        <f aca="false">-CO112*(In_MEKH+In_HIPA)</f>
        <v>-127.332970310146</v>
      </c>
      <c r="CP116" s="33" t="n">
        <f aca="false">-CP112*(In_MEKH+In_HIPA)</f>
        <v>-128.732233720148</v>
      </c>
      <c r="CQ116" s="33" t="n">
        <f aca="false">-CQ112*(In_MEKH+In_HIPA)</f>
        <v>-128.346037018987</v>
      </c>
      <c r="CR116" s="33" t="n">
        <f aca="false">-CR112*(In_MEKH+In_HIPA)</f>
        <v>-128.220481113208</v>
      </c>
      <c r="CS116" s="33" t="n">
        <f aca="false">-CS112*(In_MEKH+In_HIPA)</f>
        <v>-128.220481113208</v>
      </c>
      <c r="CT116" s="33" t="n">
        <f aca="false">-CT112*(In_MEKH+In_HIPA)</f>
        <v>-129.629497389177</v>
      </c>
      <c r="CU116" s="33" t="n">
        <f aca="false">-CU112*(In_MEKH+In_HIPA)</f>
        <v>-129.240608897009</v>
      </c>
      <c r="CV116" s="33" t="n">
        <f aca="false">-CV112*(In_MEKH+In_HIPA)</f>
        <v>-127.695340747154</v>
      </c>
      <c r="CW116" s="33" t="n">
        <f aca="false">-CW112*(In_MEKH+In_HIPA)</f>
        <v>-129.114177866567</v>
      </c>
      <c r="CX116" s="33" t="n">
        <f aca="false">-CX112*(In_MEKH+In_HIPA)</f>
        <v>-130.53301498598</v>
      </c>
      <c r="CY116" s="33" t="n">
        <f aca="false">-CY112*(In_MEKH+In_HIPA)</f>
        <v>-130.141415941022</v>
      </c>
      <c r="CZ116" s="33" t="n">
        <f aca="false">-CZ112*(In_MEKH+In_HIPA)</f>
        <v>-128.585377272162</v>
      </c>
      <c r="DA116" s="33" t="n">
        <f aca="false">-DA112*(In_MEKH+In_HIPA)</f>
        <v>-130.014103686297</v>
      </c>
      <c r="DB116" s="33" t="n">
        <f aca="false">-DB112*(In_MEKH+In_HIPA)</f>
        <v>-131.442830100432</v>
      </c>
      <c r="DC116" s="33" t="n">
        <f aca="false">-DC112*(In_MEKH+In_HIPA)</f>
        <v>-131.048501610131</v>
      </c>
      <c r="DD116" s="33" t="n">
        <f aca="false">-DD112*(In_MEKH+In_HIPA)</f>
        <v>-129.481617351749</v>
      </c>
      <c r="DE116" s="33" t="n">
        <f aca="false">-DE112*(In_MEKH+In_HIPA)</f>
        <v>-130.92030198899</v>
      </c>
      <c r="DF116" s="33" t="n">
        <f aca="false">-DF112*(In_MEKH+In_HIPA)</f>
        <v>-132.358986626232</v>
      </c>
      <c r="DG116" s="33" t="n">
        <f aca="false">-DG112*(In_MEKH+In_HIPA)</f>
        <v>-131.961909666353</v>
      </c>
      <c r="DH116" s="33" t="n">
        <f aca="false">-DH112*(In_MEKH+In_HIPA)</f>
        <v>-131.832816493854</v>
      </c>
      <c r="DI116" s="33" t="n">
        <f aca="false">-DI112*(In_MEKH+In_HIPA)</f>
        <v>-131.832816493854</v>
      </c>
      <c r="DJ116" s="33" t="n">
        <f aca="false">-DJ112*(In_MEKH+In_HIPA)</f>
        <v>-133.281528763017</v>
      </c>
      <c r="DK116" s="33" t="n">
        <f aca="false">-DK112*(In_MEKH+In_HIPA)</f>
        <v>-132.881684176728</v>
      </c>
      <c r="DL116" s="33" t="n">
        <f aca="false">-DL112*(In_MEKH+In_HIPA)</f>
        <v>-131.292881431136</v>
      </c>
      <c r="DM116" s="33" t="n">
        <f aca="false">-DM112*(In_MEKH+In_HIPA)</f>
        <v>-132.751691224816</v>
      </c>
      <c r="DN116" s="33" t="n">
        <f aca="false">-DN112*(In_MEKH+In_HIPA)</f>
        <v>-134.210501018495</v>
      </c>
      <c r="DO116" s="33" t="n">
        <f aca="false">-DO112*(In_MEKH+In_HIPA)</f>
        <v>-133.807869515439</v>
      </c>
      <c r="DP116" s="33" t="n">
        <f aca="false">-DP112*(In_MEKH+In_HIPA)</f>
        <v>-132.207992814711</v>
      </c>
      <c r="DQ116" s="33" t="n">
        <f aca="false">-DQ112*(In_MEKH+In_HIPA)</f>
        <v>-133.676970512653</v>
      </c>
      <c r="DR116" s="33" t="n">
        <f aca="false">-DR112*(In_MEKH+In_HIPA)</f>
        <v>-135.145948210594</v>
      </c>
      <c r="DS116" s="33" t="n">
        <f aca="false">-DS112*(In_MEKH+In_HIPA)</f>
        <v>-134.740510365962</v>
      </c>
      <c r="DT116" s="33" t="n">
        <f aca="false">-DT112*(In_MEKH+In_HIPA)</f>
        <v>-133.12948252463</v>
      </c>
      <c r="DU116" s="33" t="n">
        <f aca="false">-DU112*(In_MEKH+In_HIPA)</f>
        <v>-134.608698997126</v>
      </c>
      <c r="DV116" s="33" t="n">
        <f aca="false">-DV112*(In_MEKH+In_HIPA)</f>
        <v>-136.087915469622</v>
      </c>
      <c r="DW116" s="33" t="n">
        <f aca="false">-DW112*(In_MEKH+In_HIPA)</f>
        <v>-135.679651723213</v>
      </c>
      <c r="DX116" s="33" t="n">
        <f aca="false">-DX112*(In_MEKH+In_HIPA)</f>
        <v>-135.546921629136</v>
      </c>
      <c r="DY116" s="33" t="n">
        <f aca="false">-DY112*(In_MEKH+In_HIPA)</f>
        <v>-135.546921629136</v>
      </c>
      <c r="DZ116" s="33" t="n">
        <f aca="false">-DZ112*(In_MEKH+In_HIPA)</f>
        <v>-137.036448240445</v>
      </c>
      <c r="EA116" s="33" t="n">
        <f aca="false">-EA112*(In_MEKH+In_HIPA)</f>
        <v>-136.625338895724</v>
      </c>
      <c r="EB116" s="33" t="n">
        <f aca="false">-EB112*(In_MEKH+In_HIPA)</f>
        <v>-134.991775061101</v>
      </c>
      <c r="EC116" s="33" t="n">
        <f aca="false">-EC112*(In_MEKH+In_HIPA)</f>
        <v>-136.491683672891</v>
      </c>
      <c r="ED116" s="33" t="n">
        <f aca="false">-ED112*(In_MEKH+In_HIPA)</f>
        <v>-137.991592284681</v>
      </c>
      <c r="EE116" s="33" t="n">
        <f aca="false">-EE112*(In_MEKH+In_HIPA)</f>
        <v>-137.577617507827</v>
      </c>
      <c r="EF116" s="33" t="n">
        <f aca="false">-EF112*(In_MEKH+In_HIPA)</f>
        <v>-135.932667733277</v>
      </c>
      <c r="EG116" s="33" t="n">
        <f aca="false">-EG112*(In_MEKH+In_HIPA)</f>
        <v>-137.443030708091</v>
      </c>
      <c r="EH116" s="33" t="n">
        <f aca="false">-EH112*(In_MEKH+In_HIPA)</f>
        <v>-138.953393682905</v>
      </c>
      <c r="EI116" s="33" t="n">
        <f aca="false">-EI112*(In_MEKH+In_HIPA)</f>
        <v>-138.536533501856</v>
      </c>
      <c r="EJ116" s="33" t="n">
        <f aca="false">-EJ112*(In_MEKH+In_HIPA)</f>
        <v>-136.880118427378</v>
      </c>
      <c r="EK116" s="33" t="n">
        <f aca="false">-EK112*(In_MEKH+In_HIPA)</f>
        <v>-138.401008632126</v>
      </c>
      <c r="EL116" s="33" t="n">
        <f aca="false">-EL112*(In_MEKH+In_HIPA)</f>
        <v>-139.921898836875</v>
      </c>
      <c r="EM116" s="33" t="n">
        <f aca="false">-EM112*(In_MEKH+In_HIPA)</f>
        <v>-139.502133140364</v>
      </c>
      <c r="EN116" s="33" t="n">
        <f aca="false">-EN112*(In_MEKH+In_HIPA)</f>
        <v>-139.365663662292</v>
      </c>
      <c r="EO116" s="33" t="n">
        <f aca="false">-EO112*(In_MEKH+In_HIPA)</f>
        <v>-139.365663662292</v>
      </c>
      <c r="EP116" s="33" t="n">
        <f aca="false">-EP112*(In_MEKH+In_HIPA)</f>
        <v>-140.897154471768</v>
      </c>
      <c r="EQ116" s="33" t="n">
        <f aca="false">-EQ112*(In_MEKH+In_HIPA)</f>
        <v>-140.474463008353</v>
      </c>
      <c r="ER116" s="33" t="n">
        <f aca="false">-ER112*(In_MEKH+In_HIPA)</f>
        <v>-138.794877037601</v>
      </c>
      <c r="ES116" s="33" t="n">
        <f aca="false">-ES112*(In_MEKH+In_HIPA)</f>
        <v>-140.337042338018</v>
      </c>
      <c r="ET116" s="33" t="n">
        <f aca="false">-ET112*(In_MEKH+In_HIPA)</f>
        <v>-141.879207638436</v>
      </c>
    </row>
    <row r="117" customFormat="false" ht="15" hidden="false" customHeight="false" outlineLevel="0" collapsed="false">
      <c r="C117" s="0" t="s">
        <v>383</v>
      </c>
      <c r="D117" s="11" t="s">
        <v>247</v>
      </c>
      <c r="I117" s="33" t="n">
        <f aca="false">SUM(J117:ET117)</f>
        <v>-8565.12918101122</v>
      </c>
      <c r="J117" s="33" t="n">
        <f aca="false">In_Opex_Contingency*(J113+J114+J115-J112*In_MEKH)</f>
        <v>-0</v>
      </c>
      <c r="K117" s="33" t="n">
        <f aca="false">In_Opex_Contingency*(K113+K114+K115-K112*In_MEKH)</f>
        <v>-0</v>
      </c>
      <c r="L117" s="33" t="n">
        <f aca="false">In_Opex_Contingency*(L113+L114+L115-L112*In_MEKH)</f>
        <v>-0</v>
      </c>
      <c r="M117" s="33" t="n">
        <f aca="false">In_Opex_Contingency*(M113+M114+M115-M112*In_MEKH)</f>
        <v>-0</v>
      </c>
      <c r="N117" s="33" t="n">
        <f aca="false">In_Opex_Contingency*(N113+N114+N115-N112*In_MEKH)</f>
        <v>-0</v>
      </c>
      <c r="O117" s="33" t="n">
        <f aca="false">In_Opex_Contingency*(O113+O114+O115-O112*In_MEKH)</f>
        <v>-0</v>
      </c>
      <c r="P117" s="33" t="n">
        <f aca="false">In_Opex_Contingency*(P113+P114+P115-P112*In_MEKH)</f>
        <v>-0</v>
      </c>
      <c r="Q117" s="33" t="n">
        <f aca="false">In_Opex_Contingency*(Q113+Q114+Q115-Q112*In_MEKH)</f>
        <v>-0</v>
      </c>
      <c r="R117" s="33" t="n">
        <f aca="false">In_Opex_Contingency*(R113+R114+R115-R112*In_MEKH)</f>
        <v>-0</v>
      </c>
      <c r="S117" s="33" t="n">
        <f aca="false">In_Opex_Contingency*(S113+S114+S115-S112*In_MEKH)</f>
        <v>-0</v>
      </c>
      <c r="T117" s="33" t="n">
        <f aca="false">In_Opex_Contingency*(T113+T114+T115-T112*In_MEKH)</f>
        <v>-0</v>
      </c>
      <c r="U117" s="33" t="n">
        <f aca="false">In_Opex_Contingency*(U113+U114+U115-U112*In_MEKH)</f>
        <v>-0</v>
      </c>
      <c r="V117" s="33" t="n">
        <f aca="false">In_Opex_Contingency*(V113+V114+V115-V112*In_MEKH)</f>
        <v>-0</v>
      </c>
      <c r="W117" s="33" t="n">
        <f aca="false">In_Opex_Contingency*(W113+W114+W115-W112*In_MEKH)</f>
        <v>-3.59864073081092</v>
      </c>
      <c r="X117" s="33" t="n">
        <f aca="false">In_Opex_Contingency*(X113+X114+X115-X112*In_MEKH)</f>
        <v>-3.60841964584029</v>
      </c>
      <c r="Y117" s="33" t="n">
        <f aca="false">In_Opex_Contingency*(Y113+Y114+Y115-Y112*In_MEKH)</f>
        <v>-3.64851319746074</v>
      </c>
      <c r="Z117" s="33" t="n">
        <f aca="false">In_Opex_Contingency*(Z113+Z114+Z115-Z112*In_MEKH)</f>
        <v>-3.68860674908119</v>
      </c>
      <c r="AA117" s="33" t="n">
        <f aca="false">In_Opex_Contingency*(AA113+AA114+AA115-AA112*In_MEKH)</f>
        <v>-3.68860674908119</v>
      </c>
      <c r="AB117" s="33" t="n">
        <f aca="false">In_Opex_Contingency*(AB113+AB114+AB115-AB112*In_MEKH)</f>
        <v>-3.6986301369863</v>
      </c>
      <c r="AC117" s="33" t="n">
        <f aca="false">In_Opex_Contingency*(AC113+AC114+AC115-AC112*In_MEKH)</f>
        <v>-3.73972602739726</v>
      </c>
      <c r="AD117" s="33" t="n">
        <f aca="false">In_Opex_Contingency*(AD113+AD114+AD115-AD112*In_MEKH)</f>
        <v>-3.78082191780822</v>
      </c>
      <c r="AE117" s="33" t="n">
        <f aca="false">In_Opex_Contingency*(AE113+AE114+AE115-AE112*In_MEKH)</f>
        <v>-48.8620469041096</v>
      </c>
      <c r="AF117" s="33" t="n">
        <f aca="false">In_Opex_Contingency*(AF113+AF114+AF115-AF112*In_MEKH)</f>
        <v>-49.5351540619178</v>
      </c>
      <c r="AG117" s="33" t="n">
        <f aca="false">In_Opex_Contingency*(AG113+AG114+AG115-AG112*In_MEKH)</f>
        <v>-49.5351540619178</v>
      </c>
      <c r="AH117" s="33" t="n">
        <f aca="false">In_Opex_Contingency*(AH113+AH114+AH115-AH112*In_MEKH)</f>
        <v>-50.0794964142466</v>
      </c>
      <c r="AI117" s="33" t="n">
        <f aca="false">In_Opex_Contingency*(AI113+AI114+AI115-AI112*In_MEKH)</f>
        <v>-50.0319545003463</v>
      </c>
      <c r="AJ117" s="33" t="n">
        <f aca="false">In_Opex_Contingency*(AJ113+AJ114+AJ115-AJ112*In_MEKH)</f>
        <v>-50.1638704354583</v>
      </c>
      <c r="AK117" s="33" t="n">
        <f aca="false">In_Opex_Contingency*(AK113+AK114+AK115-AK112*In_MEKH)</f>
        <v>-50.7212467736301</v>
      </c>
      <c r="AL117" s="33" t="n">
        <f aca="false">In_Opex_Contingency*(AL113+AL114+AL115-AL112*In_MEKH)</f>
        <v>-51.2786231118018</v>
      </c>
      <c r="AM117" s="33" t="n">
        <f aca="false">In_Opex_Contingency*(AM113+AM114+AM115-AM112*In_MEKH)</f>
        <v>-51.2300512321924</v>
      </c>
      <c r="AN117" s="33" t="n">
        <f aca="false">In_Opex_Contingency*(AN113+AN114+AN115-AN112*In_MEKH)</f>
        <v>-51.3651947029183</v>
      </c>
      <c r="AO117" s="33" t="n">
        <f aca="false">In_Opex_Contingency*(AO113+AO114+AO115-AO112*In_MEKH)</f>
        <v>-51.9359190885063</v>
      </c>
      <c r="AP117" s="33" t="n">
        <f aca="false">In_Opex_Contingency*(AP113+AP114+AP115-AP112*In_MEKH)</f>
        <v>-52.5066434740943</v>
      </c>
      <c r="AQ117" s="33" t="n">
        <f aca="false">In_Opex_Contingency*(AQ113+AQ114+AQ115-AQ112*In_MEKH)</f>
        <v>-52.4570191331412</v>
      </c>
      <c r="AR117" s="33" t="n">
        <f aca="false">In_Opex_Contingency*(AR113+AR114+AR115-AR112*In_MEKH)</f>
        <v>-52.5954683974554</v>
      </c>
      <c r="AS117" s="33" t="n">
        <f aca="false">In_Opex_Contingency*(AS113+AS114+AS115-AS112*In_MEKH)</f>
        <v>-53.1798624907605</v>
      </c>
      <c r="AT117" s="33" t="n">
        <f aca="false">In_Opex_Contingency*(AT113+AT114+AT115-AT112*In_MEKH)</f>
        <v>-53.7642565840656</v>
      </c>
      <c r="AU117" s="33" t="n">
        <f aca="false">In_Opex_Contingency*(AU113+AU114+AU115-AU112*In_MEKH)</f>
        <v>-53.7135567935193</v>
      </c>
      <c r="AV117" s="33" t="n">
        <f aca="false">In_Opex_Contingency*(AV113+AV114+AV115-AV112*In_MEKH)</f>
        <v>-54.4537852508869</v>
      </c>
      <c r="AW117" s="33" t="n">
        <f aca="false">In_Opex_Contingency*(AW113+AW114+AW115-AW112*In_MEKH)</f>
        <v>-54.4537852508869</v>
      </c>
      <c r="AX117" s="33" t="n">
        <f aca="false">In_Opex_Contingency*(AX113+AX114+AX115-AX112*In_MEKH)</f>
        <v>-55.0521784954021</v>
      </c>
      <c r="AY117" s="33" t="n">
        <f aca="false">In_Opex_Contingency*(AY113+AY114+AY115-AY112*In_MEKH)</f>
        <v>-55.0003797636019</v>
      </c>
      <c r="AZ117" s="33" t="n">
        <f aca="false">In_Opex_Contingency*(AZ113+AZ114+AZ115-AZ112*In_MEKH)</f>
        <v>-55.1456830229945</v>
      </c>
      <c r="BA117" s="33" t="n">
        <f aca="false">In_Opex_Contingency*(BA113+BA114+BA115-BA112*In_MEKH)</f>
        <v>-55.7584128343611</v>
      </c>
      <c r="BB117" s="33" t="n">
        <f aca="false">In_Opex_Contingency*(BB113+BB114+BB115-BB112*In_MEKH)</f>
        <v>-56.3711426457277</v>
      </c>
      <c r="BC117" s="33" t="n">
        <f aca="false">In_Opex_Contingency*(BC113+BC114+BC115-BC112*In_MEKH)</f>
        <v>-56.3182209665687</v>
      </c>
      <c r="BD117" s="33" t="n">
        <f aca="false">In_Opex_Contingency*(BD113+BD114+BD115-BD112*In_MEKH)</f>
        <v>-56.4670763607554</v>
      </c>
      <c r="BE117" s="33" t="n">
        <f aca="false">In_Opex_Contingency*(BE113+BE114+BE115-BE112*In_MEKH)</f>
        <v>-57.0944883203193</v>
      </c>
      <c r="BF117" s="33" t="n">
        <f aca="false">In_Opex_Contingency*(BF113+BF114+BF115-BF112*In_MEKH)</f>
        <v>-57.7219002798833</v>
      </c>
      <c r="BG117" s="33" t="n">
        <f aca="false">In_Opex_Contingency*(BG113+BG114+BG115-BG112*In_MEKH)</f>
        <v>-57.6678311215413</v>
      </c>
      <c r="BH117" s="33" t="n">
        <f aca="false">In_Opex_Contingency*(BH113+BH114+BH115-BH112*In_MEKH)</f>
        <v>-57.8203247773766</v>
      </c>
      <c r="BI117" s="33" t="n">
        <f aca="false">In_Opex_Contingency*(BI113+BI114+BI115-BI112*In_MEKH)</f>
        <v>-58.4627728304585</v>
      </c>
      <c r="BJ117" s="33" t="n">
        <f aca="false">In_Opex_Contingency*(BJ113+BJ114+BJ115-BJ112*In_MEKH)</f>
        <v>-59.1052208835405</v>
      </c>
      <c r="BK117" s="33" t="n">
        <f aca="false">In_Opex_Contingency*(BK113+BK114+BK115-BK112*In_MEKH)</f>
        <v>-59.04997917695</v>
      </c>
      <c r="BL117" s="33" t="n">
        <f aca="false">In_Opex_Contingency*(BL113+BL114+BL115-BL112*In_MEKH)</f>
        <v>-59.8640459684091</v>
      </c>
      <c r="BM117" s="33" t="n">
        <f aca="false">In_Opex_Contingency*(BM113+BM114+BM115-BM112*In_MEKH)</f>
        <v>-59.8640459684091</v>
      </c>
      <c r="BN117" s="33" t="n">
        <f aca="false">In_Opex_Contingency*(BN113+BN114+BN115-BN112*In_MEKH)</f>
        <v>-60.5218926274026</v>
      </c>
      <c r="BO117" s="33" t="n">
        <f aca="false">In_Opex_Contingency*(BO113+BO114+BO115-BO112*In_MEKH)</f>
        <v>-60.465452754482</v>
      </c>
      <c r="BP117" s="33" t="n">
        <f aca="false">In_Opex_Contingency*(BP113+BP114+BP115-BP112*In_MEKH)</f>
        <v>-60.6254897174195</v>
      </c>
      <c r="BQ117" s="33" t="n">
        <f aca="false">In_Opex_Contingency*(BQ113+BQ114+BQ115-BQ112*In_MEKH)</f>
        <v>-61.2991062698353</v>
      </c>
      <c r="BR117" s="33" t="n">
        <f aca="false">In_Opex_Contingency*(BR113+BR114+BR115-BR112*In_MEKH)</f>
        <v>-61.972722822251</v>
      </c>
      <c r="BS117" s="33" t="n">
        <f aca="false">In_Opex_Contingency*(BS113+BS114+BS115-BS112*In_MEKH)</f>
        <v>-61.9150586038699</v>
      </c>
      <c r="BT117" s="33" t="n">
        <f aca="false">In_Opex_Contingency*(BT113+BT114+BT115-BT112*In_MEKH)</f>
        <v>-62.0790049419491</v>
      </c>
      <c r="BU117" s="33" t="n">
        <f aca="false">In_Opex_Contingency*(BU113+BU114+BU115-BU112*In_MEKH)</f>
        <v>-62.7687716635263</v>
      </c>
      <c r="BV117" s="33" t="n">
        <f aca="false">In_Opex_Contingency*(BV113+BV114+BV115-BV112*In_MEKH)</f>
        <v>-63.4585383851035</v>
      </c>
      <c r="BW117" s="33" t="n">
        <f aca="false">In_Opex_Contingency*(BW113+BW114+BW115-BW112*In_MEKH)</f>
        <v>-63.399623068786</v>
      </c>
      <c r="BX117" s="33" t="n">
        <f aca="false">In_Opex_Contingency*(BX113+BX114+BX115-BX112*In_MEKH)</f>
        <v>-63.5675735707396</v>
      </c>
      <c r="BY117" s="33" t="n">
        <f aca="false">In_Opex_Contingency*(BY113+BY114+BY115-BY112*In_MEKH)</f>
        <v>-64.2738799437478</v>
      </c>
      <c r="BZ117" s="33" t="n">
        <f aca="false">In_Opex_Contingency*(BZ113+BZ114+BZ115-BZ112*In_MEKH)</f>
        <v>-64.980186316756</v>
      </c>
      <c r="CA117" s="33" t="n">
        <f aca="false">In_Opex_Contingency*(CA113+CA114+CA115-CA112*In_MEKH)</f>
        <v>-64.9199925641145</v>
      </c>
      <c r="CB117" s="33" t="n">
        <f aca="false">In_Opex_Contingency*(CB113+CB114+CB115-CB112*In_MEKH)</f>
        <v>-65.8152892541277</v>
      </c>
      <c r="CC117" s="33" t="n">
        <f aca="false">In_Opex_Contingency*(CC113+CC114+CC115-CC112*In_MEKH)</f>
        <v>-65.8152892541277</v>
      </c>
      <c r="CD117" s="33" t="n">
        <f aca="false">In_Opex_Contingency*(CD113+CD114+CD115-CD112*In_MEKH)</f>
        <v>-66.5385341909863</v>
      </c>
      <c r="CE117" s="33" t="n">
        <f aca="false">In_Opex_Contingency*(CE113+CE114+CE115-CE112*In_MEKH)</f>
        <v>-66.4770340648798</v>
      </c>
      <c r="CF117" s="33" t="n">
        <f aca="false">In_Opex_Contingency*(CF113+CF114+CF115-CF112*In_MEKH)</f>
        <v>-66.6532865110164</v>
      </c>
      <c r="CG117" s="33" t="n">
        <f aca="false">In_Opex_Contingency*(CG113+CG114+CG115-CG112*In_MEKH)</f>
        <v>-67.3938785833611</v>
      </c>
      <c r="CH117" s="33" t="n">
        <f aca="false">In_Opex_Contingency*(CH113+CH114+CH115-CH112*In_MEKH)</f>
        <v>-68.1344706557057</v>
      </c>
      <c r="CI117" s="33" t="n">
        <f aca="false">In_Opex_Contingency*(CI113+CI114+CI115-CI112*In_MEKH)</f>
        <v>-68.0716356071167</v>
      </c>
      <c r="CJ117" s="33" t="n">
        <f aca="false">In_Opex_Contingency*(CJ113+CJ114+CJ115-CJ112*In_MEKH)</f>
        <v>-68.252190599691</v>
      </c>
      <c r="CK117" s="33" t="n">
        <f aca="false">In_Opex_Contingency*(CK113+CK114+CK115-CK112*In_MEKH)</f>
        <v>-69.0105482730209</v>
      </c>
      <c r="CL117" s="33" t="n">
        <f aca="false">In_Opex_Contingency*(CL113+CL114+CL115-CL112*In_MEKH)</f>
        <v>-69.7689059463508</v>
      </c>
      <c r="CM117" s="33" t="n">
        <f aca="false">In_Opex_Contingency*(CM113+CM114+CM115-CM112*In_MEKH)</f>
        <v>-69.7047068009743</v>
      </c>
      <c r="CN117" s="33" t="n">
        <f aca="false">In_Opex_Contingency*(CN113+CN114+CN115-CN112*In_MEKH)</f>
        <v>-69.8896686637318</v>
      </c>
      <c r="CO117" s="33" t="n">
        <f aca="false">In_Opex_Contingency*(CO113+CO114+CO115-CO112*In_MEKH)</f>
        <v>-70.6662205377733</v>
      </c>
      <c r="CP117" s="33" t="n">
        <f aca="false">In_Opex_Contingency*(CP113+CP114+CP115-CP112*In_MEKH)</f>
        <v>-71.4427724118148</v>
      </c>
      <c r="CQ117" s="33" t="n">
        <f aca="false">In_Opex_Contingency*(CQ113+CQ114+CQ115-CQ112*In_MEKH)</f>
        <v>-71.3771793563535</v>
      </c>
      <c r="CR117" s="33" t="n">
        <f aca="false">In_Opex_Contingency*(CR113+CR114+CR115-CR112*In_MEKH)</f>
        <v>-72.3618399982995</v>
      </c>
      <c r="CS117" s="33" t="n">
        <f aca="false">In_Opex_Contingency*(CS113+CS114+CS115-CS112*In_MEKH)</f>
        <v>-72.3618399982995</v>
      </c>
      <c r="CT117" s="33" t="n">
        <f aca="false">In_Opex_Contingency*(CT113+CT114+CT115-CT112*In_MEKH)</f>
        <v>-73.1570250532259</v>
      </c>
      <c r="CU117" s="33" t="n">
        <f aca="false">In_Opex_Contingency*(CU113+CU114+CU115-CU112*In_MEKH)</f>
        <v>-73.0900076213847</v>
      </c>
      <c r="CV117" s="33" t="n">
        <f aca="false">In_Opex_Contingency*(CV113+CV114+CV115-CV112*In_MEKH)</f>
        <v>-73.2841063785854</v>
      </c>
      <c r="CW117" s="33" t="n">
        <f aca="false">In_Opex_Contingency*(CW113+CW114+CW115-CW112*In_MEKH)</f>
        <v>-74.0983742272363</v>
      </c>
      <c r="CX117" s="33" t="n">
        <f aca="false">In_Opex_Contingency*(CX113+CX114+CX115-CX112*In_MEKH)</f>
        <v>-74.9126420758873</v>
      </c>
      <c r="CY117" s="33" t="n">
        <f aca="false">In_Opex_Contingency*(CY113+CY114+CY115-CY112*In_MEKH)</f>
        <v>-74.8441691340611</v>
      </c>
      <c r="CZ117" s="33" t="n">
        <f aca="false">In_Opex_Contingency*(CZ113+CZ114+CZ115-CZ112*In_MEKH)</f>
        <v>-75.0430031622069</v>
      </c>
      <c r="DA117" s="33" t="n">
        <f aca="false">In_Opex_Contingency*(DA113+DA114+DA115-DA112*In_MEKH)</f>
        <v>-75.8768143084537</v>
      </c>
      <c r="DB117" s="33" t="n">
        <f aca="false">In_Opex_Contingency*(DB113+DB114+DB115-DB112*In_MEKH)</f>
        <v>-76.7106254547004</v>
      </c>
      <c r="DC117" s="33" t="n">
        <f aca="false">In_Opex_Contingency*(DC113+DC114+DC115-DC112*In_MEKH)</f>
        <v>-76.6406651873478</v>
      </c>
      <c r="DD117" s="33" t="n">
        <f aca="false">In_Opex_Contingency*(DD113+DD114+DD115-DD112*In_MEKH)</f>
        <v>-76.8443493065894</v>
      </c>
      <c r="DE117" s="33" t="n">
        <f aca="false">In_Opex_Contingency*(DE113+DE114+DE115-DE112*In_MEKH)</f>
        <v>-77.698175409996</v>
      </c>
      <c r="DF117" s="33" t="n">
        <f aca="false">In_Opex_Contingency*(DF113+DF114+DF115-DF112*In_MEKH)</f>
        <v>-78.5520015134025</v>
      </c>
      <c r="DG117" s="33" t="n">
        <f aca="false">In_Opex_Contingency*(DG113+DG114+DG115-DG112*In_MEKH)</f>
        <v>-78.4805214080991</v>
      </c>
      <c r="DH117" s="33" t="n">
        <f aca="false">In_Opex_Contingency*(DH113+DH114+DH115-DH112*In_MEKH)</f>
        <v>-79.563497371022</v>
      </c>
      <c r="DI117" s="33" t="n">
        <f aca="false">In_Opex_Contingency*(DI113+DI114+DI115-DI112*In_MEKH)</f>
        <v>-79.563497371022</v>
      </c>
      <c r="DJ117" s="33" t="n">
        <f aca="false">In_Opex_Contingency*(DJ113+DJ114+DJ115-DJ112*In_MEKH)</f>
        <v>-80.4378215179563</v>
      </c>
      <c r="DK117" s="33" t="n">
        <f aca="false">In_Opex_Contingency*(DK113+DK114+DK115-DK112*In_MEKH)</f>
        <v>-80.3647883501201</v>
      </c>
      <c r="DL117" s="33" t="n">
        <f aca="false">In_Opex_Contingency*(DL113+DL114+DL115-DL112*In_MEKH)</f>
        <v>-80.5785283217331</v>
      </c>
      <c r="DM117" s="33" t="n">
        <f aca="false">In_Opex_Contingency*(DM113+DM114+DM115-DM112*In_MEKH)</f>
        <v>-81.4738453030857</v>
      </c>
      <c r="DN117" s="33" t="n">
        <f aca="false">In_Opex_Contingency*(DN113+DN114+DN115-DN112*In_MEKH)</f>
        <v>-82.3691622844383</v>
      </c>
      <c r="DO117" s="33" t="n">
        <f aca="false">In_Opex_Contingency*(DO113+DO114+DO115-DO112*In_MEKH)</f>
        <v>-82.2945421017206</v>
      </c>
      <c r="DP117" s="33" t="n">
        <f aca="false">In_Opex_Contingency*(DP113+DP114+DP115-DP112*In_MEKH)</f>
        <v>-82.5134936104378</v>
      </c>
      <c r="DQ117" s="33" t="n">
        <f aca="false">In_Opex_Contingency*(DQ113+DQ114+DQ115-DQ112*In_MEKH)</f>
        <v>-83.4303102061093</v>
      </c>
      <c r="DR117" s="33" t="n">
        <f aca="false">In_Opex_Contingency*(DR113+DR114+DR115-DR112*In_MEKH)</f>
        <v>-84.3471268017809</v>
      </c>
      <c r="DS117" s="33" t="n">
        <f aca="false">In_Opex_Contingency*(DS113+DS114+DS115-DS112*In_MEKH)</f>
        <v>-84.2708849081146</v>
      </c>
      <c r="DT117" s="33" t="n">
        <f aca="false">In_Opex_Contingency*(DT113+DT114+DT115-DT112*In_MEKH)</f>
        <v>-84.4951743290865</v>
      </c>
      <c r="DU117" s="33" t="n">
        <f aca="false">In_Opex_Contingency*(DU113+DU114+DU115-DU112*In_MEKH)</f>
        <v>-85.4340095994097</v>
      </c>
      <c r="DV117" s="33" t="n">
        <f aca="false">In_Opex_Contingency*(DV113+DV114+DV115-DV112*In_MEKH)</f>
        <v>-86.3728448697329</v>
      </c>
      <c r="DW117" s="33" t="n">
        <f aca="false">In_Opex_Contingency*(DW113+DW114+DW115-DW112*In_MEKH)</f>
        <v>-86.2949458090312</v>
      </c>
      <c r="DX117" s="33" t="n">
        <f aca="false">In_Opex_Contingency*(DX113+DX114+DX115-DX112*In_MEKH)</f>
        <v>-87.4860881681444</v>
      </c>
      <c r="DY117" s="33" t="n">
        <f aca="false">In_Opex_Contingency*(DY113+DY114+DY115-DY112*In_MEKH)</f>
        <v>-87.4860881681444</v>
      </c>
      <c r="DZ117" s="33" t="n">
        <f aca="false">In_Opex_Contingency*(DZ113+DZ114+DZ115-DZ112*In_MEKH)</f>
        <v>-88.4474737524097</v>
      </c>
      <c r="EA117" s="33" t="n">
        <f aca="false">In_Opex_Contingency*(EA113+EA114+EA115-EA112*In_MEKH)</f>
        <v>-88.3678812919077</v>
      </c>
      <c r="EB117" s="33" t="n">
        <f aca="false">In_Opex_Contingency*(EB113+EB114+EB115-EB112*In_MEKH)</f>
        <v>-88.6032380032985</v>
      </c>
      <c r="EC117" s="33" t="n">
        <f aca="false">In_Opex_Contingency*(EC113+EC114+EC115-EC112*In_MEKH)</f>
        <v>-89.5877184255573</v>
      </c>
      <c r="ED117" s="33" t="n">
        <f aca="false">In_Opex_Contingency*(ED113+ED114+ED115-ED112*In_MEKH)</f>
        <v>-90.5721988478162</v>
      </c>
      <c r="EE117" s="33" t="n">
        <f aca="false">In_Opex_Contingency*(EE113+EE114+EE115-EE112*In_MEKH)</f>
        <v>-90.4908759610468</v>
      </c>
      <c r="EF117" s="33" t="n">
        <f aca="false">In_Opex_Contingency*(EF113+EF114+EF115-EF112*In_MEKH)</f>
        <v>-90.731968409087</v>
      </c>
      <c r="EG117" s="33" t="n">
        <f aca="false">In_Opex_Contingency*(EG113+EG114+EG115-EG112*In_MEKH)</f>
        <v>-91.7401013914103</v>
      </c>
      <c r="EH117" s="33" t="n">
        <f aca="false">In_Opex_Contingency*(EH113+EH114+EH115-EH112*In_MEKH)</f>
        <v>-92.7482343737334</v>
      </c>
      <c r="EI117" s="33" t="n">
        <f aca="false">In_Opex_Contingency*(EI113+EI114+EI115-EI112*In_MEKH)</f>
        <v>-92.6651432231306</v>
      </c>
      <c r="EJ117" s="33" t="n">
        <f aca="false">In_Opex_Contingency*(EJ113+EJ114+EJ115-EJ112*In_MEKH)</f>
        <v>-92.9121105036224</v>
      </c>
      <c r="EK117" s="33" t="n">
        <f aca="false">In_Opex_Contingency*(EK113+EK114+EK115-EK112*In_MEKH)</f>
        <v>-93.944467286996</v>
      </c>
      <c r="EL117" s="33" t="n">
        <f aca="false">In_Opex_Contingency*(EL113+EL114+EL115-EL112*In_MEKH)</f>
        <v>-94.9768240703696</v>
      </c>
      <c r="EM117" s="33" t="n">
        <f aca="false">In_Opex_Contingency*(EM113+EM114+EM115-EM112*In_MEKH)</f>
        <v>-94.8919259894898</v>
      </c>
      <c r="EN117" s="33" t="n">
        <f aca="false">In_Opex_Contingency*(EN113+EN114+EN115-EN112*In_MEKH)</f>
        <v>-96.2020762471408</v>
      </c>
      <c r="EO117" s="33" t="n">
        <f aca="false">In_Opex_Contingency*(EO113+EO114+EO115-EO112*In_MEKH)</f>
        <v>-96.2020762471408</v>
      </c>
      <c r="EP117" s="33" t="n">
        <f aca="false">In_Opex_Contingency*(EP113+EP114+EP115-EP112*In_MEKH)</f>
        <v>-97.2592419201863</v>
      </c>
      <c r="EQ117" s="33" t="n">
        <f aca="false">In_Opex_Contingency*(EQ113+EQ114+EQ115-EQ112*In_MEKH)</f>
        <v>-97.1724973955404</v>
      </c>
      <c r="ER117" s="33" t="n">
        <f aca="false">In_Opex_Contingency*(ER113+ER114+ER115-ER112*In_MEKH)</f>
        <v>-97.4316452139015</v>
      </c>
      <c r="ES117" s="33" t="n">
        <f aca="false">In_Opex_Contingency*(ES113+ES114+ES115-ES112*In_MEKH)</f>
        <v>-98.5142190496114</v>
      </c>
      <c r="ET117" s="33" t="n">
        <f aca="false">In_Opex_Contingency*(ET113+ET114+ET115-ET112*In_MEKH)</f>
        <v>-99.5967928853215</v>
      </c>
    </row>
    <row r="118" customFormat="false" ht="15" hidden="false" customHeight="false" outlineLevel="0" collapsed="false">
      <c r="C118" s="0" t="s">
        <v>31</v>
      </c>
      <c r="D118" s="11" t="s">
        <v>247</v>
      </c>
      <c r="I118" s="33" t="n">
        <f aca="false">SUM(J118:ET118)</f>
        <v>-20794.4767338331</v>
      </c>
      <c r="J118" s="33" t="n">
        <f aca="false">-$E31*J111/Thousand</f>
        <v>-0</v>
      </c>
      <c r="K118" s="33" t="n">
        <f aca="false">-$E31*K111/Thousand</f>
        <v>-0</v>
      </c>
      <c r="L118" s="33" t="n">
        <f aca="false">-$E31*L111/Thousand</f>
        <v>-0</v>
      </c>
      <c r="M118" s="33" t="n">
        <f aca="false">-$E31*M111/Thousand</f>
        <v>-0</v>
      </c>
      <c r="N118" s="33" t="n">
        <f aca="false">-$E31*N111/Thousand</f>
        <v>-0</v>
      </c>
      <c r="O118" s="33" t="n">
        <f aca="false">-$E31*O111/Thousand</f>
        <v>-0</v>
      </c>
      <c r="P118" s="33" t="n">
        <f aca="false">-$E31*P111/Thousand</f>
        <v>-0</v>
      </c>
      <c r="Q118" s="33" t="n">
        <f aca="false">-$E31*Q111/Thousand</f>
        <v>-0</v>
      </c>
      <c r="R118" s="33" t="n">
        <f aca="false">-$E31*R111/Thousand</f>
        <v>-0</v>
      </c>
      <c r="S118" s="33" t="n">
        <f aca="false">-$E31*S111/Thousand</f>
        <v>-0</v>
      </c>
      <c r="T118" s="33" t="n">
        <f aca="false">-$E31*T111/Thousand</f>
        <v>-0</v>
      </c>
      <c r="U118" s="33" t="n">
        <f aca="false">-$E31*U111/Thousand</f>
        <v>-0</v>
      </c>
      <c r="V118" s="33" t="n">
        <f aca="false">-$E31*V111/Thousand</f>
        <v>-0</v>
      </c>
      <c r="W118" s="33" t="n">
        <f aca="false">-$E31*W111/Thousand</f>
        <v>-0</v>
      </c>
      <c r="X118" s="33" t="n">
        <f aca="false">-$E31*X111/Thousand</f>
        <v>-0</v>
      </c>
      <c r="Y118" s="33" t="n">
        <f aca="false">-$E31*Y111/Thousand</f>
        <v>-0</v>
      </c>
      <c r="Z118" s="33" t="n">
        <f aca="false">-$E31*Z111/Thousand</f>
        <v>-0</v>
      </c>
      <c r="AA118" s="33" t="n">
        <f aca="false">-$E31*AA111/Thousand</f>
        <v>-0</v>
      </c>
      <c r="AB118" s="33" t="n">
        <f aca="false">-$E31*AB111/Thousand</f>
        <v>-0</v>
      </c>
      <c r="AC118" s="33" t="n">
        <f aca="false">-$E31*AC111/Thousand</f>
        <v>-0</v>
      </c>
      <c r="AD118" s="33" t="n">
        <f aca="false">-$E31*AD111/Thousand</f>
        <v>-0</v>
      </c>
      <c r="AE118" s="33" t="n">
        <f aca="false">-$E31*AE111/Thousand</f>
        <v>-182.296109589041</v>
      </c>
      <c r="AF118" s="33" t="n">
        <f aca="false">-$E31*AF111/Thousand</f>
        <v>-180.314630136986</v>
      </c>
      <c r="AG118" s="33" t="n">
        <f aca="false">-$E31*AG111/Thousand</f>
        <v>-180.314630136986</v>
      </c>
      <c r="AH118" s="33" t="n">
        <f aca="false">-$E31*AH111/Thousand</f>
        <v>-182.296109589041</v>
      </c>
      <c r="AI118" s="33" t="n">
        <f aca="false">-$E31*AI111/Thousand</f>
        <v>-181.749221260274</v>
      </c>
      <c r="AJ118" s="33" t="n">
        <f aca="false">-$E31*AJ111/Thousand</f>
        <v>-177.798151232877</v>
      </c>
      <c r="AK118" s="33" t="n">
        <f aca="false">-$E31*AK111/Thousand</f>
        <v>-179.773686246575</v>
      </c>
      <c r="AL118" s="33" t="n">
        <f aca="false">-$E31*AL111/Thousand</f>
        <v>-181.749221260274</v>
      </c>
      <c r="AM118" s="33" t="n">
        <f aca="false">-$E31*AM111/Thousand</f>
        <v>-181.203973596493</v>
      </c>
      <c r="AN118" s="33" t="n">
        <f aca="false">-$E31*AN111/Thousand</f>
        <v>-177.264756779178</v>
      </c>
      <c r="AO118" s="33" t="n">
        <f aca="false">-$E31*AO111/Thousand</f>
        <v>-179.234365187836</v>
      </c>
      <c r="AP118" s="33" t="n">
        <f aca="false">-$E31*AP111/Thousand</f>
        <v>-181.203973596493</v>
      </c>
      <c r="AQ118" s="33" t="n">
        <f aca="false">-$E31*AQ111/Thousand</f>
        <v>-180.660361675704</v>
      </c>
      <c r="AR118" s="33" t="n">
        <f aca="false">-$E31*AR111/Thousand</f>
        <v>-176.732962508841</v>
      </c>
      <c r="AS118" s="33" t="n">
        <f aca="false">-$E31*AS111/Thousand</f>
        <v>-178.696662092272</v>
      </c>
      <c r="AT118" s="33" t="n">
        <f aca="false">-$E31*AT111/Thousand</f>
        <v>-180.660361675704</v>
      </c>
      <c r="AU118" s="33" t="n">
        <f aca="false">-$E31*AU111/Thousand</f>
        <v>-180.118380590677</v>
      </c>
      <c r="AV118" s="33" t="n">
        <f aca="false">-$E31*AV111/Thousand</f>
        <v>-178.160572105995</v>
      </c>
      <c r="AW118" s="33" t="n">
        <f aca="false">-$E31*AW111/Thousand</f>
        <v>-178.160572105995</v>
      </c>
      <c r="AX118" s="33" t="n">
        <f aca="false">-$E31*AX111/Thousand</f>
        <v>-180.118380590677</v>
      </c>
      <c r="AY118" s="33" t="n">
        <f aca="false">-$E31*AY111/Thousand</f>
        <v>-179.578025448905</v>
      </c>
      <c r="AZ118" s="33" t="n">
        <f aca="false">-$E31*AZ111/Thousand</f>
        <v>-175.67415533045</v>
      </c>
      <c r="BA118" s="33" t="n">
        <f aca="false">-$E31*BA111/Thousand</f>
        <v>-177.626090389677</v>
      </c>
      <c r="BB118" s="33" t="n">
        <f aca="false">-$E31*BB111/Thousand</f>
        <v>-179.578025448905</v>
      </c>
      <c r="BC118" s="33" t="n">
        <f aca="false">-$E31*BC111/Thousand</f>
        <v>-179.039291372558</v>
      </c>
      <c r="BD118" s="33" t="n">
        <f aca="false">-$E31*BD111/Thousand</f>
        <v>-175.147132864459</v>
      </c>
      <c r="BE118" s="33" t="n">
        <f aca="false">-$E31*BE111/Thousand</f>
        <v>-177.093212118508</v>
      </c>
      <c r="BF118" s="33" t="n">
        <f aca="false">-$E31*BF111/Thousand</f>
        <v>-179.039291372558</v>
      </c>
      <c r="BG118" s="33" t="n">
        <f aca="false">-$E31*BG111/Thousand</f>
        <v>-178.50217349844</v>
      </c>
      <c r="BH118" s="33" t="n">
        <f aca="false">-$E31*BH111/Thousand</f>
        <v>-174.621691465865</v>
      </c>
      <c r="BI118" s="33" t="n">
        <f aca="false">-$E31*BI111/Thousand</f>
        <v>-176.561932482153</v>
      </c>
      <c r="BJ118" s="33" t="n">
        <f aca="false">-$E31*BJ111/Thousand</f>
        <v>-178.50217349844</v>
      </c>
      <c r="BK118" s="33" t="n">
        <f aca="false">-$E31*BK111/Thousand</f>
        <v>-177.966666977945</v>
      </c>
      <c r="BL118" s="33" t="n">
        <f aca="false">-$E31*BL111/Thousand</f>
        <v>-176.032246684706</v>
      </c>
      <c r="BM118" s="33" t="n">
        <f aca="false">-$E31*BM111/Thousand</f>
        <v>-176.032246684706</v>
      </c>
      <c r="BN118" s="33" t="n">
        <f aca="false">-$E31*BN111/Thousand</f>
        <v>-177.966666977945</v>
      </c>
      <c r="BO118" s="33" t="n">
        <f aca="false">-$E31*BO111/Thousand</f>
        <v>-177.432766977011</v>
      </c>
      <c r="BP118" s="33" t="n">
        <f aca="false">-$E31*BP111/Thousand</f>
        <v>-173.575532912293</v>
      </c>
      <c r="BQ118" s="33" t="n">
        <f aca="false">-$E31*BQ111/Thousand</f>
        <v>-175.504149944652</v>
      </c>
      <c r="BR118" s="33" t="n">
        <f aca="false">-$E31*BR111/Thousand</f>
        <v>-177.432766977011</v>
      </c>
      <c r="BS118" s="33" t="n">
        <f aca="false">-$E31*BS111/Thousand</f>
        <v>-176.90046867608</v>
      </c>
      <c r="BT118" s="33" t="n">
        <f aca="false">-$E31*BT111/Thousand</f>
        <v>-173.054806313556</v>
      </c>
      <c r="BU118" s="33" t="n">
        <f aca="false">-$E31*BU111/Thousand</f>
        <v>-174.977637494818</v>
      </c>
      <c r="BV118" s="33" t="n">
        <f aca="false">-$E31*BV111/Thousand</f>
        <v>-176.90046867608</v>
      </c>
      <c r="BW118" s="33" t="n">
        <f aca="false">-$E31*BW111/Thousand</f>
        <v>-176.369767270052</v>
      </c>
      <c r="BX118" s="33" t="n">
        <f aca="false">-$E31*BX111/Thousand</f>
        <v>-172.535641894616</v>
      </c>
      <c r="BY118" s="33" t="n">
        <f aca="false">-$E31*BY111/Thousand</f>
        <v>-174.452704582334</v>
      </c>
      <c r="BZ118" s="33" t="n">
        <f aca="false">-$E31*BZ111/Thousand</f>
        <v>-176.369767270052</v>
      </c>
      <c r="CA118" s="33" t="n">
        <f aca="false">-$E31*CA111/Thousand</f>
        <v>-175.840657968242</v>
      </c>
      <c r="CB118" s="33" t="n">
        <f aca="false">-$E31*CB111/Thousand</f>
        <v>-173.929346468587</v>
      </c>
      <c r="CC118" s="33" t="n">
        <f aca="false">-$E31*CC111/Thousand</f>
        <v>-173.929346468587</v>
      </c>
      <c r="CD118" s="33" t="n">
        <f aca="false">-$E31*CD111/Thousand</f>
        <v>-175.840657968242</v>
      </c>
      <c r="CE118" s="33" t="n">
        <f aca="false">-$E31*CE111/Thousand</f>
        <v>-175.313135994337</v>
      </c>
      <c r="CF118" s="33" t="n">
        <f aca="false">-$E31*CF111/Thousand</f>
        <v>-171.501980864025</v>
      </c>
      <c r="CG118" s="33" t="n">
        <f aca="false">-$E31*CG111/Thousand</f>
        <v>-173.407558429181</v>
      </c>
      <c r="CH118" s="33" t="n">
        <f aca="false">-$E31*CH111/Thousand</f>
        <v>-175.313135994337</v>
      </c>
      <c r="CI118" s="33" t="n">
        <f aca="false">-$E31*CI111/Thousand</f>
        <v>-174.787196586354</v>
      </c>
      <c r="CJ118" s="33" t="n">
        <f aca="false">-$E31*CJ111/Thousand</f>
        <v>-170.987474921433</v>
      </c>
      <c r="CK118" s="33" t="n">
        <f aca="false">-$E31*CK111/Thousand</f>
        <v>-172.887335753893</v>
      </c>
      <c r="CL118" s="33" t="n">
        <f aca="false">-$E31*CL111/Thousand</f>
        <v>-174.787196586354</v>
      </c>
      <c r="CM118" s="33" t="n">
        <f aca="false">-$E31*CM111/Thousand</f>
        <v>-174.262834996595</v>
      </c>
      <c r="CN118" s="33" t="n">
        <f aca="false">-$E31*CN111/Thousand</f>
        <v>-170.474512496669</v>
      </c>
      <c r="CO118" s="33" t="n">
        <f aca="false">-$E31*CO111/Thousand</f>
        <v>-172.368673746632</v>
      </c>
      <c r="CP118" s="33" t="n">
        <f aca="false">-$E31*CP111/Thousand</f>
        <v>-174.262834996595</v>
      </c>
      <c r="CQ118" s="33" t="n">
        <f aca="false">-$E31*CQ111/Thousand</f>
        <v>-173.740046491605</v>
      </c>
      <c r="CR118" s="33" t="n">
        <f aca="false">-$E31*CR111/Thousand</f>
        <v>-171.851567725392</v>
      </c>
      <c r="CS118" s="33" t="n">
        <f aca="false">-$E31*CS111/Thousand</f>
        <v>-171.851567725392</v>
      </c>
      <c r="CT118" s="33" t="n">
        <f aca="false">-$E31*CT111/Thousand</f>
        <v>-173.740046491605</v>
      </c>
      <c r="CU118" s="33" t="n">
        <f aca="false">-$E31*CU111/Thousand</f>
        <v>-173.21882635213</v>
      </c>
      <c r="CV118" s="33" t="n">
        <f aca="false">-$E31*CV111/Thousand</f>
        <v>-169.453199692301</v>
      </c>
      <c r="CW118" s="33" t="n">
        <f aca="false">-$E31*CW111/Thousand</f>
        <v>-171.336013022216</v>
      </c>
      <c r="CX118" s="33" t="n">
        <f aca="false">-$E31*CX111/Thousand</f>
        <v>-173.21882635213</v>
      </c>
      <c r="CY118" s="33" t="n">
        <f aca="false">-$E31*CY111/Thousand</f>
        <v>-172.699169873074</v>
      </c>
      <c r="CZ118" s="33" t="n">
        <f aca="false">-$E31*CZ111/Thousand</f>
        <v>-168.944840093224</v>
      </c>
      <c r="DA118" s="33" t="n">
        <f aca="false">-$E31*DA111/Thousand</f>
        <v>-170.822004983149</v>
      </c>
      <c r="DB118" s="33" t="n">
        <f aca="false">-$E31*DB111/Thousand</f>
        <v>-172.699169873074</v>
      </c>
      <c r="DC118" s="33" t="n">
        <f aca="false">-$E31*DC111/Thousand</f>
        <v>-172.181072363455</v>
      </c>
      <c r="DD118" s="33" t="n">
        <f aca="false">-$E31*DD111/Thousand</f>
        <v>-168.438005572945</v>
      </c>
      <c r="DE118" s="33" t="n">
        <f aca="false">-$E31*DE111/Thousand</f>
        <v>-170.3095389682</v>
      </c>
      <c r="DF118" s="33" t="n">
        <f aca="false">-$E31*DF111/Thousand</f>
        <v>-172.181072363455</v>
      </c>
      <c r="DG118" s="33" t="n">
        <f aca="false">-$E31*DG111/Thousand</f>
        <v>-171.664529146364</v>
      </c>
      <c r="DH118" s="33" t="n">
        <f aca="false">-$E31*DH111/Thousand</f>
        <v>-169.798610351295</v>
      </c>
      <c r="DI118" s="33" t="n">
        <f aca="false">-$E31*DI111/Thousand</f>
        <v>-169.798610351295</v>
      </c>
      <c r="DJ118" s="33" t="n">
        <f aca="false">-$E31*DJ111/Thousand</f>
        <v>-171.664529146364</v>
      </c>
      <c r="DK118" s="33" t="n">
        <f aca="false">-$E31*DK111/Thousand</f>
        <v>-171.149535558925</v>
      </c>
      <c r="DL118" s="33" t="n">
        <f aca="false">-$E31*DL111/Thousand</f>
        <v>-167.428893481557</v>
      </c>
      <c r="DM118" s="33" t="n">
        <f aca="false">-$E31*DM111/Thousand</f>
        <v>-169.289214520241</v>
      </c>
      <c r="DN118" s="33" t="n">
        <f aca="false">-$E31*DN111/Thousand</f>
        <v>-171.149535558925</v>
      </c>
      <c r="DO118" s="33" t="n">
        <f aca="false">-$E31*DO111/Thousand</f>
        <v>-170.636086952248</v>
      </c>
      <c r="DP118" s="33" t="n">
        <f aca="false">-$E31*DP111/Thousand</f>
        <v>-166.926606801112</v>
      </c>
      <c r="DQ118" s="33" t="n">
        <f aca="false">-$E31*DQ111/Thousand</f>
        <v>-168.78134687668</v>
      </c>
      <c r="DR118" s="33" t="n">
        <f aca="false">-$E31*DR111/Thousand</f>
        <v>-170.636086952248</v>
      </c>
      <c r="DS118" s="33" t="n">
        <f aca="false">-$E31*DS111/Thousand</f>
        <v>-170.124178691392</v>
      </c>
      <c r="DT118" s="33" t="n">
        <f aca="false">-$E31*DT111/Thousand</f>
        <v>-166.425826980709</v>
      </c>
      <c r="DU118" s="33" t="n">
        <f aca="false">-$E31*DU111/Thousand</f>
        <v>-168.27500283605</v>
      </c>
      <c r="DV118" s="33" t="n">
        <f aca="false">-$E31*DV111/Thousand</f>
        <v>-170.124178691392</v>
      </c>
      <c r="DW118" s="33" t="n">
        <f aca="false">-$E31*DW111/Thousand</f>
        <v>-169.613806155317</v>
      </c>
      <c r="DX118" s="33" t="n">
        <f aca="false">-$E31*DX111/Thousand</f>
        <v>-167.770177827542</v>
      </c>
      <c r="DY118" s="33" t="n">
        <f aca="false">-$E31*DY111/Thousand</f>
        <v>-167.770177827542</v>
      </c>
      <c r="DZ118" s="33" t="n">
        <f aca="false">-$E31*DZ111/Thousand</f>
        <v>-169.613806155317</v>
      </c>
      <c r="EA118" s="33" t="n">
        <f aca="false">-$E31*EA111/Thousand</f>
        <v>-169.104964736851</v>
      </c>
      <c r="EB118" s="33" t="n">
        <f aca="false">-$E31*EB111/Thousand</f>
        <v>-165.428769851268</v>
      </c>
      <c r="EC118" s="33" t="n">
        <f aca="false">-$E31*EC111/Thousand</f>
        <v>-167.26686729406</v>
      </c>
      <c r="ED118" s="33" t="n">
        <f aca="false">-$E31*ED111/Thousand</f>
        <v>-169.104964736851</v>
      </c>
      <c r="EE118" s="33" t="n">
        <f aca="false">-$E31*EE111/Thousand</f>
        <v>-168.597649842641</v>
      </c>
      <c r="EF118" s="33" t="n">
        <f aca="false">-$E31*EF111/Thousand</f>
        <v>-164.932483541714</v>
      </c>
      <c r="EG118" s="33" t="n">
        <f aca="false">-$E31*EG111/Thousand</f>
        <v>-166.765066692177</v>
      </c>
      <c r="EH118" s="33" t="n">
        <f aca="false">-$E31*EH111/Thousand</f>
        <v>-168.597649842641</v>
      </c>
      <c r="EI118" s="33" t="n">
        <f aca="false">-$E31*EI111/Thousand</f>
        <v>-168.091856893113</v>
      </c>
      <c r="EJ118" s="33" t="n">
        <f aca="false">-$E31*EJ111/Thousand</f>
        <v>-164.437686091089</v>
      </c>
      <c r="EK118" s="33" t="n">
        <f aca="false">-$E31*EK111/Thousand</f>
        <v>-166.264771492101</v>
      </c>
      <c r="EL118" s="33" t="n">
        <f aca="false">-$E31*EL111/Thousand</f>
        <v>-168.091856893113</v>
      </c>
      <c r="EM118" s="33" t="n">
        <f aca="false">-$E31*EM111/Thousand</f>
        <v>-167.587581322434</v>
      </c>
      <c r="EN118" s="33" t="n">
        <f aca="false">-$E31*EN111/Thousand</f>
        <v>-165.765977177625</v>
      </c>
      <c r="EO118" s="33" t="n">
        <f aca="false">-$E31*EO111/Thousand</f>
        <v>-165.765977177625</v>
      </c>
      <c r="EP118" s="33" t="n">
        <f aca="false">-$E31*EP111/Thousand</f>
        <v>-167.587581322434</v>
      </c>
      <c r="EQ118" s="33" t="n">
        <f aca="false">-$E31*EQ111/Thousand</f>
        <v>-167.084818578466</v>
      </c>
      <c r="ER118" s="33" t="n">
        <f aca="false">-$E31*ER111/Thousand</f>
        <v>-163.452539913717</v>
      </c>
      <c r="ES118" s="33" t="n">
        <f aca="false">-$E31*ES111/Thousand</f>
        <v>-165.268679246092</v>
      </c>
      <c r="ET118" s="33" t="n">
        <f aca="false">-$E31*ET111/Thousand</f>
        <v>-167.084818578466</v>
      </c>
    </row>
    <row r="119" customFormat="false" ht="15" hidden="false" customHeight="false" outlineLevel="0" collapsed="false">
      <c r="C119" s="30" t="s">
        <v>563</v>
      </c>
      <c r="D119" s="11" t="s">
        <v>247</v>
      </c>
      <c r="I119" s="35" t="n">
        <f aca="false">SUM(J119:ET119)</f>
        <v>511909.275115853</v>
      </c>
      <c r="J119" s="35" t="n">
        <f aca="false">SUM(J112:J118)</f>
        <v>0</v>
      </c>
      <c r="K119" s="35" t="n">
        <f aca="false">SUM(K112:K118)</f>
        <v>0</v>
      </c>
      <c r="L119" s="35" t="n">
        <f aca="false">SUM(L112:L118)</f>
        <v>0</v>
      </c>
      <c r="M119" s="35" t="n">
        <f aca="false">SUM(M112:M118)</f>
        <v>0</v>
      </c>
      <c r="N119" s="35" t="n">
        <f aca="false">SUM(N112:N118)</f>
        <v>0</v>
      </c>
      <c r="O119" s="35" t="n">
        <f aca="false">SUM(O112:O118)</f>
        <v>0</v>
      </c>
      <c r="P119" s="35" t="n">
        <f aca="false">SUM(P112:P118)</f>
        <v>0</v>
      </c>
      <c r="Q119" s="35" t="n">
        <f aca="false">SUM(Q112:Q118)</f>
        <v>0</v>
      </c>
      <c r="R119" s="35" t="n">
        <f aca="false">SUM(R112:R118)</f>
        <v>0</v>
      </c>
      <c r="S119" s="35" t="n">
        <f aca="false">SUM(S112:S118)</f>
        <v>0</v>
      </c>
      <c r="T119" s="35" t="n">
        <f aca="false">SUM(T112:T118)</f>
        <v>0</v>
      </c>
      <c r="U119" s="35" t="n">
        <f aca="false">SUM(U112:U118)</f>
        <v>0</v>
      </c>
      <c r="V119" s="35" t="n">
        <f aca="false">SUM(V112:V118)</f>
        <v>0</v>
      </c>
      <c r="W119" s="35" t="n">
        <f aca="false">SUM(W112:W118)</f>
        <v>-75.5714553470293</v>
      </c>
      <c r="X119" s="35" t="n">
        <f aca="false">SUM(X112:X118)</f>
        <v>-75.7768125626462</v>
      </c>
      <c r="Y119" s="35" t="n">
        <f aca="false">SUM(Y112:Y118)</f>
        <v>-76.6187771466756</v>
      </c>
      <c r="Z119" s="35" t="n">
        <f aca="false">SUM(Z112:Z118)</f>
        <v>-77.460741730705</v>
      </c>
      <c r="AA119" s="35" t="n">
        <f aca="false">SUM(AA112:AA118)</f>
        <v>-77.460741730705</v>
      </c>
      <c r="AB119" s="35" t="n">
        <f aca="false">SUM(AB112:AB118)</f>
        <v>-77.6712328767123</v>
      </c>
      <c r="AC119" s="35" t="n">
        <f aca="false">SUM(AC112:AC118)</f>
        <v>-78.5342465753425</v>
      </c>
      <c r="AD119" s="35" t="n">
        <f aca="false">SUM(AD112:AD118)</f>
        <v>-79.3972602739726</v>
      </c>
      <c r="AE119" s="35" t="n">
        <f aca="false">SUM(AE112:AE118)</f>
        <v>4151.10652734247</v>
      </c>
      <c r="AF119" s="35" t="n">
        <f aca="false">SUM(AF112:AF118)</f>
        <v>4133.70976185041</v>
      </c>
      <c r="AG119" s="35" t="n">
        <f aca="false">SUM(AG112:AG118)</f>
        <v>4133.70976185041</v>
      </c>
      <c r="AH119" s="35" t="n">
        <f aca="false">SUM(AH112:AH118)</f>
        <v>4179.13514384877</v>
      </c>
      <c r="AI119" s="35" t="n">
        <f aca="false">SUM(AI112:AI118)</f>
        <v>4164.44111033503</v>
      </c>
      <c r="AJ119" s="35" t="n">
        <f aca="false">SUM(AJ112:AJ118)</f>
        <v>4101.09425535863</v>
      </c>
      <c r="AK119" s="35" t="n">
        <f aca="false">SUM(AK112:AK118)</f>
        <v>4146.66196930706</v>
      </c>
      <c r="AL119" s="35" t="n">
        <f aca="false">SUM(AL112:AL118)</f>
        <v>4192.22968325549</v>
      </c>
      <c r="AM119" s="35" t="n">
        <f aca="false">SUM(AM112:AM118)</f>
        <v>4177.44245042148</v>
      </c>
      <c r="AN119" s="35" t="n">
        <f aca="false">SUM(AN112:AN118)</f>
        <v>4113.56620598525</v>
      </c>
      <c r="AO119" s="35" t="n">
        <f aca="false">SUM(AO112:AO118)</f>
        <v>4159.27249716287</v>
      </c>
      <c r="AP119" s="35" t="n">
        <f aca="false">SUM(AP112:AP118)</f>
        <v>4204.97878834048</v>
      </c>
      <c r="AQ119" s="35" t="n">
        <f aca="false">SUM(AQ112:AQ118)</f>
        <v>4190.09804459661</v>
      </c>
      <c r="AR119" s="35" t="n">
        <f aca="false">SUM(AR112:AR118)</f>
        <v>4125.68766802944</v>
      </c>
      <c r="AS119" s="35" t="n">
        <f aca="false">SUM(AS112:AS118)</f>
        <v>4171.52864211866</v>
      </c>
      <c r="AT119" s="35" t="n">
        <f aca="false">SUM(AT112:AT118)</f>
        <v>4217.36961620788</v>
      </c>
      <c r="AU119" s="35" t="n">
        <f aca="false">SUM(AU112:AU118)</f>
        <v>4202.39505479593</v>
      </c>
      <c r="AV119" s="35" t="n">
        <f aca="false">SUM(AV112:AV118)</f>
        <v>4183.41736098541</v>
      </c>
      <c r="AW119" s="35" t="n">
        <f aca="false">SUM(AW112:AW118)</f>
        <v>4183.41736098541</v>
      </c>
      <c r="AX119" s="35" t="n">
        <f aca="false">SUM(AX112:AX118)</f>
        <v>4229.38898033689</v>
      </c>
      <c r="AY119" s="35" t="n">
        <f aca="false">SUM(AY112:AY118)</f>
        <v>4214.32029951848</v>
      </c>
      <c r="AZ119" s="35" t="n">
        <f aca="false">SUM(AZ112:AZ118)</f>
        <v>4148.8271823853</v>
      </c>
      <c r="BA119" s="35" t="n">
        <f aca="false">SUM(BA112:BA118)</f>
        <v>4194.92526218958</v>
      </c>
      <c r="BB119" s="35" t="n">
        <f aca="false">SUM(BB112:BB118)</f>
        <v>4241.02334199387</v>
      </c>
      <c r="BC119" s="35" t="n">
        <f aca="false">SUM(BC112:BC118)</f>
        <v>4225.86024524354</v>
      </c>
      <c r="BD119" s="35" t="n">
        <f aca="false">SUM(BD112:BD118)</f>
        <v>4159.81839270627</v>
      </c>
      <c r="BE119" s="35" t="n">
        <f aca="false">SUM(BE112:BE118)</f>
        <v>4206.03859706967</v>
      </c>
      <c r="BF119" s="35" t="n">
        <f aca="false">SUM(BF112:BF118)</f>
        <v>4252.25880143308</v>
      </c>
      <c r="BG119" s="35" t="n">
        <f aca="false">SUM(BG112:BG118)</f>
        <v>4237.00099763633</v>
      </c>
      <c r="BH119" s="35" t="n">
        <f aca="false">SUM(BH112:BH118)</f>
        <v>4170.40541303597</v>
      </c>
      <c r="BI119" s="35" t="n">
        <f aca="false">SUM(BI112:BI118)</f>
        <v>4216.74325095859</v>
      </c>
      <c r="BJ119" s="35" t="n">
        <f aca="false">SUM(BJ112:BJ118)</f>
        <v>4263.08108888121</v>
      </c>
      <c r="BK119" s="35" t="n">
        <f aca="false">SUM(BK112:BK118)</f>
        <v>4247.72829253731</v>
      </c>
      <c r="BL119" s="35" t="n">
        <f aca="false">SUM(BL112:BL118)</f>
        <v>4227.02473404685</v>
      </c>
      <c r="BM119" s="35" t="n">
        <f aca="false">SUM(BM112:BM118)</f>
        <v>4227.02473404685</v>
      </c>
      <c r="BN119" s="35" t="n">
        <f aca="false">SUM(BN112:BN118)</f>
        <v>4273.47555530011</v>
      </c>
      <c r="BO119" s="35" t="n">
        <f aca="false">SUM(BO112:BO118)</f>
        <v>4258.02748673002</v>
      </c>
      <c r="BP119" s="35" t="n">
        <f aca="false">SUM(BP112:BP118)</f>
        <v>4190.30918111972</v>
      </c>
      <c r="BQ119" s="35" t="n">
        <f aca="false">SUM(BQ112:BQ118)</f>
        <v>4236.86817202105</v>
      </c>
      <c r="BR119" s="35" t="n">
        <f aca="false">SUM(BR112:BR118)</f>
        <v>4283.42716292238</v>
      </c>
      <c r="BS119" s="35" t="n">
        <f aca="false">SUM(BS112:BS118)</f>
        <v>4267.88354848182</v>
      </c>
      <c r="BT119" s="35" t="n">
        <f aca="false">SUM(BT112:BT118)</f>
        <v>4199.59611739008</v>
      </c>
      <c r="BU119" s="35" t="n">
        <f aca="false">SUM(BU112:BU118)</f>
        <v>4246.25829647219</v>
      </c>
      <c r="BV119" s="35" t="n">
        <f aca="false">SUM(BV112:BV118)</f>
        <v>4292.9204755543</v>
      </c>
      <c r="BW119" s="35" t="n">
        <f aca="false">SUM(BW112:BW118)</f>
        <v>4277.28104785204</v>
      </c>
      <c r="BX119" s="35" t="n">
        <f aca="false">SUM(BX112:BX118)</f>
        <v>4208.41922149599</v>
      </c>
      <c r="BY119" s="35" t="n">
        <f aca="false">SUM(BY112:BY118)</f>
        <v>4255.17943506817</v>
      </c>
      <c r="BZ119" s="35" t="n">
        <f aca="false">SUM(BZ112:BZ118)</f>
        <v>4301.93964864034</v>
      </c>
      <c r="CA119" s="35" t="n">
        <f aca="false">SUM(CA112:CA118)</f>
        <v>4286.20414676194</v>
      </c>
      <c r="CB119" s="35" t="n">
        <f aca="false">SUM(CB112:CB118)</f>
        <v>4263.61550148466</v>
      </c>
      <c r="CC119" s="35" t="n">
        <f aca="false">SUM(CC112:CC118)</f>
        <v>4263.61550148466</v>
      </c>
      <c r="CD119" s="35" t="n">
        <f aca="false">SUM(CD112:CD118)</f>
        <v>4310.4684190834</v>
      </c>
      <c r="CE119" s="35" t="n">
        <f aca="false">SUM(CE112:CE118)</f>
        <v>4294.63658882035</v>
      </c>
      <c r="CF119" s="35" t="n">
        <f aca="false">SUM(CF112:CF118)</f>
        <v>4224.60987536228</v>
      </c>
      <c r="CG119" s="35" t="n">
        <f aca="false">SUM(CG112:CG118)</f>
        <v>4271.54998508853</v>
      </c>
      <c r="CH119" s="35" t="n">
        <f aca="false">SUM(CH112:CH118)</f>
        <v>4318.49009481478</v>
      </c>
      <c r="CI119" s="35" t="n">
        <f aca="false">SUM(CI112:CI118)</f>
        <v>4302.56168889939</v>
      </c>
      <c r="CJ119" s="35" t="n">
        <f aca="false">SUM(CJ112:CJ118)</f>
        <v>4231.94433662722</v>
      </c>
      <c r="CK119" s="35" t="n">
        <f aca="false">SUM(CK112:CK118)</f>
        <v>4278.96594036753</v>
      </c>
      <c r="CL119" s="35" t="n">
        <f aca="false">SUM(CL112:CL118)</f>
        <v>4325.98754410783</v>
      </c>
      <c r="CM119" s="35" t="n">
        <f aca="false">SUM(CM112:CM118)</f>
        <v>4309.96232245379</v>
      </c>
      <c r="CN119" s="35" t="n">
        <f aca="false">SUM(CN112:CN118)</f>
        <v>4238.7487675717</v>
      </c>
      <c r="CO119" s="35" t="n">
        <f aca="false">SUM(CO112:CO118)</f>
        <v>4285.84597610028</v>
      </c>
      <c r="CP119" s="35" t="n">
        <f aca="false">SUM(CP112:CP118)</f>
        <v>4332.94318462885</v>
      </c>
      <c r="CQ119" s="35" t="n">
        <f aca="false">SUM(CQ112:CQ118)</f>
        <v>4316.82091457771</v>
      </c>
      <c r="CR119" s="35" t="n">
        <f aca="false">SUM(CR112:CR118)</f>
        <v>4292.17224426001</v>
      </c>
      <c r="CS119" s="35" t="n">
        <f aca="false">SUM(CS112:CS118)</f>
        <v>4292.17224426001</v>
      </c>
      <c r="CT119" s="35" t="n">
        <f aca="false">SUM(CT112:CT118)</f>
        <v>4339.33897221891</v>
      </c>
      <c r="CU119" s="35" t="n">
        <f aca="false">SUM(CU112:CU118)</f>
        <v>4323.11942879257</v>
      </c>
      <c r="CV119" s="35" t="n">
        <f aca="false">SUM(CV112:CV118)</f>
        <v>4250.69646789126</v>
      </c>
      <c r="CW119" s="35" t="n">
        <f aca="false">SUM(CW112:CW118)</f>
        <v>4297.9264286456</v>
      </c>
      <c r="CX119" s="35" t="n">
        <f aca="false">SUM(CX112:CX118)</f>
        <v>4345.15638939995</v>
      </c>
      <c r="CY119" s="35" t="n">
        <f aca="false">SUM(CY112:CY118)</f>
        <v>4328.83935555932</v>
      </c>
      <c r="CZ119" s="35" t="n">
        <f aca="false">SUM(CZ112:CZ118)</f>
        <v>4255.80303286797</v>
      </c>
      <c r="DA119" s="35" t="n">
        <f aca="false">SUM(DA112:DA118)</f>
        <v>4303.08973323317</v>
      </c>
      <c r="DB119" s="35" t="n">
        <f aca="false">SUM(DB112:DB118)</f>
        <v>4350.37643359837</v>
      </c>
      <c r="DC119" s="35" t="n">
        <f aca="false">SUM(DC112:DC118)</f>
        <v>4333.96170050834</v>
      </c>
      <c r="DD119" s="35" t="n">
        <f aca="false">SUM(DD112:DD118)</f>
        <v>4260.30613540361</v>
      </c>
      <c r="DE119" s="35" t="n">
        <f aca="false">SUM(DE112:DE118)</f>
        <v>4307.64287024143</v>
      </c>
      <c r="DF119" s="35" t="n">
        <f aca="false">SUM(DF112:DF118)</f>
        <v>4354.97960507925</v>
      </c>
      <c r="DG119" s="35" t="n">
        <f aca="false">SUM(DG112:DG118)</f>
        <v>4338.46697238004</v>
      </c>
      <c r="DH119" s="35" t="n">
        <f aca="false">SUM(DH112:DH118)</f>
        <v>4311.56604790374</v>
      </c>
      <c r="DI119" s="35" t="n">
        <f aca="false">SUM(DI112:DI118)</f>
        <v>4311.56604790374</v>
      </c>
      <c r="DJ119" s="35" t="n">
        <f aca="false">SUM(DJ112:DJ118)</f>
        <v>4358.945894584</v>
      </c>
      <c r="DK119" s="35" t="n">
        <f aca="false">SUM(DK112:DK118)</f>
        <v>4342.33517066918</v>
      </c>
      <c r="DL119" s="35" t="n">
        <f aca="false">SUM(DL112:DL118)</f>
        <v>4267.42314521508</v>
      </c>
      <c r="DM119" s="35" t="n">
        <f aca="false">SUM(DM112:DM118)</f>
        <v>4314.83895793969</v>
      </c>
      <c r="DN119" s="35" t="n">
        <f aca="false">SUM(DN112:DN118)</f>
        <v>4362.2547706643</v>
      </c>
      <c r="DO119" s="35" t="n">
        <f aca="false">SUM(DO112:DO118)</f>
        <v>4345.54577296546</v>
      </c>
      <c r="DP119" s="35" t="n">
        <f aca="false">SUM(DP112:DP118)</f>
        <v>4269.99635873289</v>
      </c>
      <c r="DQ119" s="35" t="n">
        <f aca="false">SUM(DQ112:DQ118)</f>
        <v>4317.44076271881</v>
      </c>
      <c r="DR119" s="35" t="n">
        <f aca="false">SUM(DR112:DR118)</f>
        <v>4364.88516670473</v>
      </c>
      <c r="DS119" s="35" t="n">
        <f aca="false">SUM(DS112:DS118)</f>
        <v>4348.0777219831</v>
      </c>
      <c r="DT119" s="35" t="n">
        <f aca="false">SUM(DT112:DT118)</f>
        <v>4271.8846965912</v>
      </c>
      <c r="DU119" s="35" t="n">
        <f aca="false">SUM(DU112:DU118)</f>
        <v>4319.35008210888</v>
      </c>
      <c r="DV119" s="35" t="n">
        <f aca="false">SUM(DV112:DV118)</f>
        <v>4366.81546762656</v>
      </c>
      <c r="DW119" s="35" t="n">
        <f aca="false">SUM(DW112:DW118)</f>
        <v>4349.90941227163</v>
      </c>
      <c r="DX119" s="35" t="n">
        <f aca="false">SUM(DX112:DX118)</f>
        <v>4320.54498000109</v>
      </c>
      <c r="DY119" s="35" t="n">
        <f aca="false">SUM(DY112:DY118)</f>
        <v>4320.54498000109</v>
      </c>
      <c r="DZ119" s="35" t="n">
        <f aca="false">SUM(DZ112:DZ118)</f>
        <v>4368.02349626484</v>
      </c>
      <c r="EA119" s="35" t="n">
        <f aca="false">SUM(EA112:EA118)</f>
        <v>4351.01867660019</v>
      </c>
      <c r="EB119" s="35" t="n">
        <f aca="false">SUM(EB112:EB118)</f>
        <v>4273.5194015975</v>
      </c>
      <c r="EC119" s="35" t="n">
        <f aca="false">SUM(EC112:EC118)</f>
        <v>4321.00295050414</v>
      </c>
      <c r="ED119" s="35" t="n">
        <f aca="false">SUM(ED112:ED118)</f>
        <v>4368.48649941078</v>
      </c>
      <c r="EE119" s="35" t="n">
        <f aca="false">SUM(EE112:EE118)</f>
        <v>4351.38277200729</v>
      </c>
      <c r="EF119" s="35" t="n">
        <f aca="false">SUM(EF112:EF118)</f>
        <v>4273.22067408704</v>
      </c>
      <c r="EG119" s="35" t="n">
        <f aca="false">SUM(EG112:EG118)</f>
        <v>4320.70090379912</v>
      </c>
      <c r="EH119" s="35" t="n">
        <f aca="false">SUM(EH112:EH118)</f>
        <v>4368.1811335112</v>
      </c>
      <c r="EI119" s="35" t="n">
        <f aca="false">SUM(EI112:EI118)</f>
        <v>4350.97836550777</v>
      </c>
      <c r="EJ119" s="35" t="n">
        <f aca="false">SUM(EJ112:EJ118)</f>
        <v>4272.14685327713</v>
      </c>
      <c r="EK119" s="35" t="n">
        <f aca="false">SUM(EK112:EK118)</f>
        <v>4319.61515164688</v>
      </c>
      <c r="EL119" s="35" t="n">
        <f aca="false">SUM(EL112:EL118)</f>
        <v>4367.08345001662</v>
      </c>
      <c r="EM119" s="35" t="n">
        <f aca="false">SUM(EM112:EM118)</f>
        <v>4349.78151944861</v>
      </c>
      <c r="EN119" s="35" t="n">
        <f aca="false">SUM(EN112:EN118)</f>
        <v>4317.72139253939</v>
      </c>
      <c r="EO119" s="35" t="n">
        <f aca="false">SUM(EO112:EO118)</f>
        <v>4317.72139253939</v>
      </c>
      <c r="EP119" s="35" t="n">
        <f aca="false">SUM(EP112:EP118)</f>
        <v>4365.16888036949</v>
      </c>
      <c r="EQ119" s="35" t="n">
        <f aca="false">SUM(EQ112:EQ118)</f>
        <v>4347.76767650498</v>
      </c>
      <c r="ER119" s="35" t="n">
        <f aca="false">SUM(ER112:ER118)</f>
        <v>4267.57717234905</v>
      </c>
      <c r="ES119" s="35" t="n">
        <f aca="false">SUM(ES112:ES118)</f>
        <v>4314.99469648626</v>
      </c>
      <c r="ET119" s="35" t="n">
        <f aca="false">SUM(ET112:ET118)</f>
        <v>4362.41222062347</v>
      </c>
    </row>
    <row r="121" customFormat="false" ht="15" hidden="false" customHeight="false" outlineLevel="0" collapsed="false">
      <c r="A121" s="9" t="s">
        <v>13</v>
      </c>
      <c r="B121" s="9"/>
      <c r="C121" s="9" t="s">
        <v>564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</row>
    <row r="122" customFormat="false" ht="15" hidden="false" customHeight="false" outlineLevel="0" collapsed="false">
      <c r="C122" s="0" t="s">
        <v>565</v>
      </c>
      <c r="D122" s="11" t="s">
        <v>247</v>
      </c>
      <c r="E122" s="33" t="n">
        <f aca="false">$I99-($I94+$I53+$I95+$I50)</f>
        <v>163950.691310322</v>
      </c>
      <c r="I122" s="33" t="n">
        <f aca="false">SUM(J122:ET122)</f>
        <v>-163950.691310322</v>
      </c>
      <c r="J122" s="33" t="n">
        <f aca="false">-$E122*J18</f>
        <v>-0</v>
      </c>
      <c r="K122" s="33" t="n">
        <f aca="false">-$E122*K18</f>
        <v>-0</v>
      </c>
      <c r="L122" s="33" t="n">
        <f aca="false">-$E122*L18</f>
        <v>-0</v>
      </c>
      <c r="M122" s="33" t="n">
        <f aca="false">-$E122*M18</f>
        <v>-0</v>
      </c>
      <c r="N122" s="33" t="n">
        <f aca="false">-$E122*N18</f>
        <v>-0</v>
      </c>
      <c r="O122" s="33" t="n">
        <f aca="false">-$E122*O18</f>
        <v>-0</v>
      </c>
      <c r="P122" s="33" t="n">
        <f aca="false">-$E122*P18</f>
        <v>-0</v>
      </c>
      <c r="Q122" s="33" t="n">
        <f aca="false">-$E122*Q18</f>
        <v>-0</v>
      </c>
      <c r="R122" s="33" t="n">
        <f aca="false">-$E122*R18</f>
        <v>-0</v>
      </c>
      <c r="S122" s="33" t="n">
        <f aca="false">-$E122*S18</f>
        <v>-0</v>
      </c>
      <c r="T122" s="33" t="n">
        <f aca="false">-$E122*T18</f>
        <v>-0</v>
      </c>
      <c r="U122" s="33" t="n">
        <f aca="false">-$E122*U18</f>
        <v>-0</v>
      </c>
      <c r="V122" s="33" t="n">
        <f aca="false">-$E122*V18</f>
        <v>-0</v>
      </c>
      <c r="W122" s="33" t="n">
        <f aca="false">-$E122*W18</f>
        <v>-0</v>
      </c>
      <c r="X122" s="33" t="n">
        <f aca="false">-$E122*X18</f>
        <v>-0</v>
      </c>
      <c r="Y122" s="33" t="n">
        <f aca="false">-$E122*Y18</f>
        <v>-0</v>
      </c>
      <c r="Z122" s="33" t="n">
        <f aca="false">-$E122*Z18</f>
        <v>-0</v>
      </c>
      <c r="AA122" s="33" t="n">
        <f aca="false">-$E122*AA18</f>
        <v>-0</v>
      </c>
      <c r="AB122" s="33" t="n">
        <f aca="false">-$E122*AB18</f>
        <v>-0</v>
      </c>
      <c r="AC122" s="33" t="n">
        <f aca="false">-$E122*AC18</f>
        <v>-0</v>
      </c>
      <c r="AD122" s="33" t="n">
        <f aca="false">-$E122*AD18</f>
        <v>-0</v>
      </c>
      <c r="AE122" s="33" t="n">
        <f aca="false">-$E122*AE18</f>
        <v>-2064.81363457216</v>
      </c>
      <c r="AF122" s="33" t="n">
        <f aca="false">-$E122*AF18</f>
        <v>-2042.37000810942</v>
      </c>
      <c r="AG122" s="33" t="n">
        <f aca="false">-$E122*AG18</f>
        <v>-2042.37000810942</v>
      </c>
      <c r="AH122" s="33" t="n">
        <f aca="false">-$E122*AH18</f>
        <v>-2064.81363457216</v>
      </c>
      <c r="AI122" s="33" t="n">
        <f aca="false">-$E122*AI18</f>
        <v>-2064.81363457216</v>
      </c>
      <c r="AJ122" s="33" t="n">
        <f aca="false">-$E122*AJ18</f>
        <v>-2019.92638164668</v>
      </c>
      <c r="AK122" s="33" t="n">
        <f aca="false">-$E122*AK18</f>
        <v>-2042.37000810942</v>
      </c>
      <c r="AL122" s="33" t="n">
        <f aca="false">-$E122*AL18</f>
        <v>-2064.81363457216</v>
      </c>
      <c r="AM122" s="33" t="n">
        <f aca="false">-$E122*AM18</f>
        <v>-2064.81363457216</v>
      </c>
      <c r="AN122" s="33" t="n">
        <f aca="false">-$E122*AN18</f>
        <v>-2019.92638164668</v>
      </c>
      <c r="AO122" s="33" t="n">
        <f aca="false">-$E122*AO18</f>
        <v>-2042.37000810942</v>
      </c>
      <c r="AP122" s="33" t="n">
        <f aca="false">-$E122*AP18</f>
        <v>-2064.81363457216</v>
      </c>
      <c r="AQ122" s="33" t="n">
        <f aca="false">-$E122*AQ18</f>
        <v>-2064.81363457216</v>
      </c>
      <c r="AR122" s="33" t="n">
        <f aca="false">-$E122*AR18</f>
        <v>-2019.92638164668</v>
      </c>
      <c r="AS122" s="33" t="n">
        <f aca="false">-$E122*AS18</f>
        <v>-2042.37000810942</v>
      </c>
      <c r="AT122" s="33" t="n">
        <f aca="false">-$E122*AT18</f>
        <v>-2064.81363457216</v>
      </c>
      <c r="AU122" s="33" t="n">
        <f aca="false">-$E122*AU18</f>
        <v>-2064.81363457216</v>
      </c>
      <c r="AV122" s="33" t="n">
        <f aca="false">-$E122*AV18</f>
        <v>-2042.37000810942</v>
      </c>
      <c r="AW122" s="33" t="n">
        <f aca="false">-$E122*AW18</f>
        <v>-2042.37000810942</v>
      </c>
      <c r="AX122" s="33" t="n">
        <f aca="false">-$E122*AX18</f>
        <v>-2064.81363457216</v>
      </c>
      <c r="AY122" s="33" t="n">
        <f aca="false">-$E122*AY18</f>
        <v>-2064.81363457216</v>
      </c>
      <c r="AZ122" s="33" t="n">
        <f aca="false">-$E122*AZ18</f>
        <v>-2019.92638164668</v>
      </c>
      <c r="BA122" s="33" t="n">
        <f aca="false">-$E122*BA18</f>
        <v>-2042.37000810942</v>
      </c>
      <c r="BB122" s="33" t="n">
        <f aca="false">-$E122*BB18</f>
        <v>-2064.81363457216</v>
      </c>
      <c r="BC122" s="33" t="n">
        <f aca="false">-$E122*BC18</f>
        <v>-2064.81363457216</v>
      </c>
      <c r="BD122" s="33" t="n">
        <f aca="false">-$E122*BD18</f>
        <v>-2019.92638164668</v>
      </c>
      <c r="BE122" s="33" t="n">
        <f aca="false">-$E122*BE18</f>
        <v>-2042.37000810942</v>
      </c>
      <c r="BF122" s="33" t="n">
        <f aca="false">-$E122*BF18</f>
        <v>-2064.81363457216</v>
      </c>
      <c r="BG122" s="33" t="n">
        <f aca="false">-$E122*BG18</f>
        <v>-2064.81363457216</v>
      </c>
      <c r="BH122" s="33" t="n">
        <f aca="false">-$E122*BH18</f>
        <v>-2019.92638164668</v>
      </c>
      <c r="BI122" s="33" t="n">
        <f aca="false">-$E122*BI18</f>
        <v>-2042.37000810942</v>
      </c>
      <c r="BJ122" s="33" t="n">
        <f aca="false">-$E122*BJ18</f>
        <v>-2064.81363457216</v>
      </c>
      <c r="BK122" s="33" t="n">
        <f aca="false">-$E122*BK18</f>
        <v>-2064.81363457216</v>
      </c>
      <c r="BL122" s="33" t="n">
        <f aca="false">-$E122*BL18</f>
        <v>-2042.37000810942</v>
      </c>
      <c r="BM122" s="33" t="n">
        <f aca="false">-$E122*BM18</f>
        <v>-2042.37000810942</v>
      </c>
      <c r="BN122" s="33" t="n">
        <f aca="false">-$E122*BN18</f>
        <v>-2064.81363457216</v>
      </c>
      <c r="BO122" s="33" t="n">
        <f aca="false">-$E122*BO18</f>
        <v>-2064.81363457216</v>
      </c>
      <c r="BP122" s="33" t="n">
        <f aca="false">-$E122*BP18</f>
        <v>-2019.92638164668</v>
      </c>
      <c r="BQ122" s="33" t="n">
        <f aca="false">-$E122*BQ18</f>
        <v>-2042.37000810942</v>
      </c>
      <c r="BR122" s="33" t="n">
        <f aca="false">-$E122*BR18</f>
        <v>-2064.81363457216</v>
      </c>
      <c r="BS122" s="33" t="n">
        <f aca="false">-$E122*BS18</f>
        <v>-2064.81363457216</v>
      </c>
      <c r="BT122" s="33" t="n">
        <f aca="false">-$E122*BT18</f>
        <v>-2019.92638164668</v>
      </c>
      <c r="BU122" s="33" t="n">
        <f aca="false">-$E122*BU18</f>
        <v>-2042.37000810942</v>
      </c>
      <c r="BV122" s="33" t="n">
        <f aca="false">-$E122*BV18</f>
        <v>-2064.81363457216</v>
      </c>
      <c r="BW122" s="33" t="n">
        <f aca="false">-$E122*BW18</f>
        <v>-2064.81363457216</v>
      </c>
      <c r="BX122" s="33" t="n">
        <f aca="false">-$E122*BX18</f>
        <v>-2019.92638164668</v>
      </c>
      <c r="BY122" s="33" t="n">
        <f aca="false">-$E122*BY18</f>
        <v>-2042.37000810942</v>
      </c>
      <c r="BZ122" s="33" t="n">
        <f aca="false">-$E122*BZ18</f>
        <v>-2064.81363457216</v>
      </c>
      <c r="CA122" s="33" t="n">
        <f aca="false">-$E122*CA18</f>
        <v>-2064.81363457216</v>
      </c>
      <c r="CB122" s="33" t="n">
        <f aca="false">-$E122*CB18</f>
        <v>-2042.37000810942</v>
      </c>
      <c r="CC122" s="33" t="n">
        <f aca="false">-$E122*CC18</f>
        <v>-2042.37000810942</v>
      </c>
      <c r="CD122" s="33" t="n">
        <f aca="false">-$E122*CD18</f>
        <v>-2064.81363457216</v>
      </c>
      <c r="CE122" s="33" t="n">
        <f aca="false">-$E122*CE18</f>
        <v>-2064.81363457216</v>
      </c>
      <c r="CF122" s="33" t="n">
        <f aca="false">-$E122*CF18</f>
        <v>-2019.92638164668</v>
      </c>
      <c r="CG122" s="33" t="n">
        <f aca="false">-$E122*CG18</f>
        <v>-2042.37000810942</v>
      </c>
      <c r="CH122" s="33" t="n">
        <f aca="false">-$E122*CH18</f>
        <v>-2064.81363457216</v>
      </c>
      <c r="CI122" s="33" t="n">
        <f aca="false">-$E122*CI18</f>
        <v>-2064.81363457216</v>
      </c>
      <c r="CJ122" s="33" t="n">
        <f aca="false">-$E122*CJ18</f>
        <v>-2019.92638164668</v>
      </c>
      <c r="CK122" s="33" t="n">
        <f aca="false">-$E122*CK18</f>
        <v>-2042.37000810942</v>
      </c>
      <c r="CL122" s="33" t="n">
        <f aca="false">-$E122*CL18</f>
        <v>-2064.81363457216</v>
      </c>
      <c r="CM122" s="33" t="n">
        <f aca="false">-$E122*CM18</f>
        <v>-2064.81363457216</v>
      </c>
      <c r="CN122" s="33" t="n">
        <f aca="false">-$E122*CN18</f>
        <v>-2019.92638164668</v>
      </c>
      <c r="CO122" s="33" t="n">
        <f aca="false">-$E122*CO18</f>
        <v>-2042.37000810942</v>
      </c>
      <c r="CP122" s="33" t="n">
        <f aca="false">-$E122*CP18</f>
        <v>-2064.81363457216</v>
      </c>
      <c r="CQ122" s="33" t="n">
        <f aca="false">-$E122*CQ18</f>
        <v>-2064.81363457216</v>
      </c>
      <c r="CR122" s="33" t="n">
        <f aca="false">-$E122*CR18</f>
        <v>-2042.37000810942</v>
      </c>
      <c r="CS122" s="33" t="n">
        <f aca="false">-$E122*CS18</f>
        <v>-2042.37000810942</v>
      </c>
      <c r="CT122" s="33" t="n">
        <f aca="false">-$E122*CT18</f>
        <v>-2064.81363457216</v>
      </c>
      <c r="CU122" s="33" t="n">
        <f aca="false">-$E122*CU18</f>
        <v>-2064.81363457216</v>
      </c>
      <c r="CV122" s="33" t="n">
        <f aca="false">-$E122*CV18</f>
        <v>-2019.92638164668</v>
      </c>
      <c r="CW122" s="33" t="n">
        <f aca="false">-$E122*CW18</f>
        <v>-2042.37000810942</v>
      </c>
      <c r="CX122" s="33" t="n">
        <f aca="false">-$E122*CX18</f>
        <v>-2064.81363457216</v>
      </c>
      <c r="CY122" s="33" t="n">
        <f aca="false">-$E122*CY18</f>
        <v>-2064.81363457216</v>
      </c>
      <c r="CZ122" s="33" t="n">
        <f aca="false">-$E122*CZ18</f>
        <v>-2019.92638164668</v>
      </c>
      <c r="DA122" s="33" t="n">
        <f aca="false">-$E122*DA18</f>
        <v>-2042.37000810942</v>
      </c>
      <c r="DB122" s="33" t="n">
        <f aca="false">-$E122*DB18</f>
        <v>-2064.81363457216</v>
      </c>
      <c r="DC122" s="33" t="n">
        <f aca="false">-$E122*DC18</f>
        <v>-2064.81363457216</v>
      </c>
      <c r="DD122" s="33" t="n">
        <f aca="false">-$E122*DD18</f>
        <v>-2019.92638164668</v>
      </c>
      <c r="DE122" s="33" t="n">
        <f aca="false">-$E122*DE18</f>
        <v>-2042.37000810942</v>
      </c>
      <c r="DF122" s="33" t="n">
        <f aca="false">-$E122*DF18</f>
        <v>-2064.81363457216</v>
      </c>
      <c r="DG122" s="33" t="n">
        <f aca="false">-$E122*DG18</f>
        <v>-0</v>
      </c>
      <c r="DH122" s="33" t="n">
        <f aca="false">-$E122*DH18</f>
        <v>-0</v>
      </c>
      <c r="DI122" s="33" t="n">
        <f aca="false">-$E122*DI18</f>
        <v>-0</v>
      </c>
      <c r="DJ122" s="33" t="n">
        <f aca="false">-$E122*DJ18</f>
        <v>-0</v>
      </c>
      <c r="DK122" s="33" t="n">
        <f aca="false">-$E122*DK18</f>
        <v>-0</v>
      </c>
      <c r="DL122" s="33" t="n">
        <f aca="false">-$E122*DL18</f>
        <v>-0</v>
      </c>
      <c r="DM122" s="33" t="n">
        <f aca="false">-$E122*DM18</f>
        <v>-0</v>
      </c>
      <c r="DN122" s="33" t="n">
        <f aca="false">-$E122*DN18</f>
        <v>-0</v>
      </c>
      <c r="DO122" s="33" t="n">
        <f aca="false">-$E122*DO18</f>
        <v>-0</v>
      </c>
      <c r="DP122" s="33" t="n">
        <f aca="false">-$E122*DP18</f>
        <v>-0</v>
      </c>
      <c r="DQ122" s="33" t="n">
        <f aca="false">-$E122*DQ18</f>
        <v>-0</v>
      </c>
      <c r="DR122" s="33" t="n">
        <f aca="false">-$E122*DR18</f>
        <v>-0</v>
      </c>
      <c r="DS122" s="33" t="n">
        <f aca="false">-$E122*DS18</f>
        <v>-0</v>
      </c>
      <c r="DT122" s="33" t="n">
        <f aca="false">-$E122*DT18</f>
        <v>-0</v>
      </c>
      <c r="DU122" s="33" t="n">
        <f aca="false">-$E122*DU18</f>
        <v>-0</v>
      </c>
      <c r="DV122" s="33" t="n">
        <f aca="false">-$E122*DV18</f>
        <v>-0</v>
      </c>
      <c r="DW122" s="33" t="n">
        <f aca="false">-$E122*DW18</f>
        <v>-0</v>
      </c>
      <c r="DX122" s="33" t="n">
        <f aca="false">-$E122*DX18</f>
        <v>-0</v>
      </c>
      <c r="DY122" s="33" t="n">
        <f aca="false">-$E122*DY18</f>
        <v>-0</v>
      </c>
      <c r="DZ122" s="33" t="n">
        <f aca="false">-$E122*DZ18</f>
        <v>-0</v>
      </c>
      <c r="EA122" s="33" t="n">
        <f aca="false">-$E122*EA18</f>
        <v>-0</v>
      </c>
      <c r="EB122" s="33" t="n">
        <f aca="false">-$E122*EB18</f>
        <v>-0</v>
      </c>
      <c r="EC122" s="33" t="n">
        <f aca="false">-$E122*EC18</f>
        <v>-0</v>
      </c>
      <c r="ED122" s="33" t="n">
        <f aca="false">-$E122*ED18</f>
        <v>-0</v>
      </c>
      <c r="EE122" s="33" t="n">
        <f aca="false">-$E122*EE18</f>
        <v>-0</v>
      </c>
      <c r="EF122" s="33" t="n">
        <f aca="false">-$E122*EF18</f>
        <v>-0</v>
      </c>
      <c r="EG122" s="33" t="n">
        <f aca="false">-$E122*EG18</f>
        <v>-0</v>
      </c>
      <c r="EH122" s="33" t="n">
        <f aca="false">-$E122*EH18</f>
        <v>-0</v>
      </c>
      <c r="EI122" s="33" t="n">
        <f aca="false">-$E122*EI18</f>
        <v>-0</v>
      </c>
      <c r="EJ122" s="33" t="n">
        <f aca="false">-$E122*EJ18</f>
        <v>-0</v>
      </c>
      <c r="EK122" s="33" t="n">
        <f aca="false">-$E122*EK18</f>
        <v>-0</v>
      </c>
      <c r="EL122" s="33" t="n">
        <f aca="false">-$E122*EL18</f>
        <v>-0</v>
      </c>
      <c r="EM122" s="33" t="n">
        <f aca="false">-$E122*EM18</f>
        <v>-0</v>
      </c>
      <c r="EN122" s="33" t="n">
        <f aca="false">-$E122*EN18</f>
        <v>-0</v>
      </c>
      <c r="EO122" s="33" t="n">
        <f aca="false">-$E122*EO18</f>
        <v>-0</v>
      </c>
      <c r="EP122" s="33" t="n">
        <f aca="false">-$E122*EP18</f>
        <v>-0</v>
      </c>
      <c r="EQ122" s="33" t="n">
        <f aca="false">-$E122*EQ18</f>
        <v>-0</v>
      </c>
      <c r="ER122" s="33" t="n">
        <f aca="false">-$E122*ER18</f>
        <v>-0</v>
      </c>
      <c r="ES122" s="33" t="n">
        <f aca="false">-$E122*ES18</f>
        <v>-0</v>
      </c>
      <c r="ET122" s="33" t="n">
        <f aca="false">-$E122*ET18</f>
        <v>-0</v>
      </c>
    </row>
    <row r="123" customFormat="false" ht="15" hidden="false" customHeight="false" outlineLevel="0" collapsed="false">
      <c r="C123" s="0" t="s">
        <v>566</v>
      </c>
      <c r="D123" s="11" t="s">
        <v>247</v>
      </c>
      <c r="I123" s="33" t="n">
        <f aca="false">SUM(J123:ET123)</f>
        <v>314710.729599994</v>
      </c>
      <c r="J123" s="33" t="n">
        <f aca="false">J119+J122+J102+J103+J104+J57</f>
        <v>0</v>
      </c>
      <c r="K123" s="33" t="n">
        <f aca="false">K119+K122+K102+K103+K104+K57</f>
        <v>-178.520547945205</v>
      </c>
      <c r="L123" s="33" t="n">
        <f aca="false">L119+L122+L102+L103+L104+L57</f>
        <v>-588.444520547945</v>
      </c>
      <c r="M123" s="33" t="n">
        <f aca="false">M119+M122+M102+M103+M104+M57</f>
        <v>-43.8356164383562</v>
      </c>
      <c r="N123" s="33" t="n">
        <f aca="false">N119+N122+N102+N103+N104+N57</f>
        <v>-43.8356164383562</v>
      </c>
      <c r="O123" s="33" t="n">
        <f aca="false">O119+O122+O102+O103+O104+O57</f>
        <v>-184.361643835616</v>
      </c>
      <c r="P123" s="33" t="n">
        <f aca="false">P119+P122+P102+P103+P104+P57</f>
        <v>-1290.04179480011</v>
      </c>
      <c r="Q123" s="33" t="n">
        <f aca="false">Q119+Q122+Q102+Q103+Q104+Q57</f>
        <v>-4.60958904109589</v>
      </c>
      <c r="R123" s="33" t="n">
        <f aca="false">R119+R122+R102+R103+R104+R57</f>
        <v>-164.091509980431</v>
      </c>
      <c r="S123" s="33" t="n">
        <f aca="false">S119+S122+S102+S103+S104+S57</f>
        <v>-317.226138697232</v>
      </c>
      <c r="T123" s="33" t="n">
        <f aca="false">T119+T122+T102+T103+T104+T57</f>
        <v>-304.657534246575</v>
      </c>
      <c r="U123" s="33" t="n">
        <f aca="false">U119+U122+U102+U103+U104+U57</f>
        <v>0</v>
      </c>
      <c r="V123" s="33" t="n">
        <f aca="false">V119+V122+V102+V103+V104+V57</f>
        <v>0</v>
      </c>
      <c r="W123" s="33" t="n">
        <f aca="false">W119+W122+W102+W103+W104+W57</f>
        <v>-1955.01413865224</v>
      </c>
      <c r="X123" s="33" t="n">
        <f aca="false">X119+X122+X102+X103+X104+X57</f>
        <v>-260.170263472354</v>
      </c>
      <c r="Y123" s="33" t="n">
        <f aca="false">Y119+Y122+Y102+Y103+Y104+Y57</f>
        <v>-236.760410897378</v>
      </c>
      <c r="Z123" s="33" t="n">
        <f aca="false">Z119+Z122+Z102+Z103+Z104+Z57</f>
        <v>-212.477081856929</v>
      </c>
      <c r="AA123" s="33" t="n">
        <f aca="false">AA119+AA122+AA102+AA103+AA104+AA57</f>
        <v>-185.296549490162</v>
      </c>
      <c r="AB123" s="33" t="n">
        <f aca="false">AB119+AB122+AB102+AB103+AB104+AB57</f>
        <v>-156.573132717387</v>
      </c>
      <c r="AC123" s="33" t="n">
        <f aca="false">AC119+AC122+AC102+AC103+AC104+AC57</f>
        <v>-132.0122009118</v>
      </c>
      <c r="AD123" s="33" t="n">
        <f aca="false">AD119+AD122+AD102+AD103+AD104+AD57</f>
        <v>-106.57779264074</v>
      </c>
      <c r="AE123" s="33" t="n">
        <f aca="false">AE119+AE122+AE102+AE103+AE104+AE57</f>
        <v>844.592147336478</v>
      </c>
      <c r="AF123" s="33" t="n">
        <f aca="false">AF119+AF122+AF102+AF103+AF104+AF57</f>
        <v>873.754592434829</v>
      </c>
      <c r="AG123" s="33" t="n">
        <f aca="false">AG119+AG122+AG102+AG103+AG104+AG57</f>
        <v>898.171621364089</v>
      </c>
      <c r="AH123" s="33" t="n">
        <f aca="false">AH119+AH122+AH102+AH103+AH104+AH57</f>
        <v>945.875618690579</v>
      </c>
      <c r="AI123" s="33" t="n">
        <f aca="false">AI119+AI122+AI102+AI103+AI104+AI57</f>
        <v>956.212854990103</v>
      </c>
      <c r="AJ123" s="33" t="n">
        <f aca="false">AJ119+AJ122+AJ102+AJ103+AJ104+AJ57</f>
        <v>963.097413625111</v>
      </c>
      <c r="AK123" s="33" t="n">
        <f aca="false">AK119+AK122+AK102+AK103+AK104+AK57</f>
        <v>1011.8824638053</v>
      </c>
      <c r="AL123" s="33" t="n">
        <f aca="false">AL119+AL122+AL102+AL103+AL104+AL57</f>
        <v>1060.98827601917</v>
      </c>
      <c r="AM123" s="33" t="n">
        <f aca="false">AM119+AM122+AM102+AM103+AM104+AM57</f>
        <v>1072.50753947244</v>
      </c>
      <c r="AN123" s="33" t="n">
        <f aca="false">AN119+AN122+AN102+AN103+AN104+AN57</f>
        <v>1080.15387545258</v>
      </c>
      <c r="AO123" s="33" t="n">
        <f aca="false">AO119+AO122+AO102+AO103+AO104+AO57</f>
        <v>1130.38480925196</v>
      </c>
      <c r="AP123" s="33" t="n">
        <f aca="false">AP119+AP122+AP102+AP103+AP104+AP57</f>
        <v>1180.9528464149</v>
      </c>
      <c r="AQ123" s="33" t="n">
        <f aca="false">AQ119+AQ122+AQ102+AQ103+AQ104+AQ57</f>
        <v>1193.7187922747</v>
      </c>
      <c r="AR123" s="33" t="n">
        <f aca="false">AR119+AR122+AR102+AR103+AR104+AR57</f>
        <v>1202.18794185673</v>
      </c>
      <c r="AS123" s="33" t="n">
        <f aca="false">AS119+AS122+AS102+AS103+AS104+AS57</f>
        <v>1253.92746612221</v>
      </c>
      <c r="AT123" s="33" t="n">
        <f aca="false">AT119+AT122+AT102+AT103+AT104+AT57</f>
        <v>1306.02126759569</v>
      </c>
      <c r="AU123" s="33" t="n">
        <f aca="false">AU119+AU122+AU102+AU103+AU104+AU57</f>
        <v>1320.10186570383</v>
      </c>
      <c r="AV123" s="33" t="n">
        <f aca="false">AV119+AV122+AV102+AV103+AV104+AV57</f>
        <v>1352.98614737013</v>
      </c>
      <c r="AW123" s="33" t="n">
        <f aca="false">AW119+AW122+AW102+AW103+AW104+AW57</f>
        <v>1382.7722257469</v>
      </c>
      <c r="AX123" s="33" t="n">
        <f aca="false">AX119+AX122+AX102+AX103+AX104+AX57</f>
        <v>1436.45862299212</v>
      </c>
      <c r="AY123" s="33" t="n">
        <f aca="false">AY119+AY122+AY102+AY103+AY104+AY57</f>
        <v>1451.92532658463</v>
      </c>
      <c r="AZ123" s="33" t="n">
        <f aca="false">AZ119+AZ122+AZ102+AZ103+AZ104+AZ57</f>
        <v>1462.236539093</v>
      </c>
      <c r="BA123" s="33" t="n">
        <f aca="false">BA119+BA122+BA102+BA103+BA104+BA57</f>
        <v>1517.19453260956</v>
      </c>
      <c r="BB123" s="33" t="n">
        <f aca="false">BB119+BB122+BB102+BB103+BB104+BB57</f>
        <v>1572.5438203783</v>
      </c>
      <c r="BC123" s="33" t="n">
        <f aca="false">BC119+BC122+BC102+BC103+BC104+BC57</f>
        <v>1589.47174348552</v>
      </c>
      <c r="BD123" s="33" t="n">
        <f aca="false">BD119+BD122+BD102+BD103+BD104+BD57</f>
        <v>1600.8093014795</v>
      </c>
      <c r="BE123" s="33" t="n">
        <f aca="false">BE119+BE122+BE102+BE103+BE104+BE57</f>
        <v>1657.484188956</v>
      </c>
      <c r="BF123" s="33" t="n">
        <f aca="false">BF119+BF122+BF102+BF103+BF104+BF57</f>
        <v>1714.57030530219</v>
      </c>
      <c r="BG123" s="33" t="n">
        <f aca="false">BG119+BG122+BG102+BG103+BG104+BG57</f>
        <v>1733.03840918154</v>
      </c>
      <c r="BH123" s="33" t="n">
        <f aca="false">BH119+BH122+BH102+BH103+BH104+BH57</f>
        <v>1745.47755902872</v>
      </c>
      <c r="BI123" s="33" t="n">
        <f aca="false">BI119+BI122+BI102+BI103+BI104+BI57</f>
        <v>1803.94609552968</v>
      </c>
      <c r="BJ123" s="33" t="n">
        <f aca="false">BJ119+BJ122+BJ102+BJ103+BJ104+BJ57</f>
        <v>1862.84681109366</v>
      </c>
      <c r="BK123" s="33" t="n">
        <f aca="false">BK119+BK122+BK102+BK103+BK104+BK57</f>
        <v>1882.93810015514</v>
      </c>
      <c r="BL123" s="33" t="n">
        <f aca="false">BL119+BL122+BL102+BL103+BL104+BL57</f>
        <v>1920.56530460039</v>
      </c>
      <c r="BM123" s="33" t="n">
        <f aca="false">BM119+BM122+BM102+BM103+BM104+BM57</f>
        <v>1956.90103027926</v>
      </c>
      <c r="BN123" s="33" t="n">
        <f aca="false">BN119+BN122+BN102+BN103+BN104+BN57</f>
        <v>2017.69814731964</v>
      </c>
      <c r="BO123" s="33" t="n">
        <f aca="false">BO119+BO122+BO102+BO103+BO104+BO57</f>
        <v>2039.49987502753</v>
      </c>
      <c r="BP123" s="33" t="n">
        <f aca="false">BP119+BP122+BP102+BP103+BP104+BP57</f>
        <v>2054.38424107417</v>
      </c>
      <c r="BQ123" s="33" t="n">
        <f aca="false">BQ119+BQ122+BQ102+BQ103+BQ104+BQ57</f>
        <v>2116.68646697836</v>
      </c>
      <c r="BR123" s="33" t="n">
        <f aca="false">BR119+BR122+BR102+BR103+BR104+BR57</f>
        <v>2179.46602865087</v>
      </c>
      <c r="BS123" s="33" t="n">
        <f aca="false">BS119+BS122+BS102+BS103+BS104+BS57</f>
        <v>2203.06991390965</v>
      </c>
      <c r="BT123" s="33" t="n">
        <f aca="false">BT119+BT122+BT102+BT103+BT104+BT57</f>
        <v>2179.6697357434</v>
      </c>
      <c r="BU123" s="33" t="n">
        <f aca="false">BU119+BU122+BU102+BU103+BU104+BU57</f>
        <v>2203.88828836277</v>
      </c>
      <c r="BV123" s="33" t="n">
        <f aca="false">BV119+BV122+BV102+BV103+BV104+BV57</f>
        <v>2228.10684098214</v>
      </c>
      <c r="BW123" s="33" t="n">
        <f aca="false">BW119+BW122+BW102+BW103+BW104+BW57</f>
        <v>2212.46741327988</v>
      </c>
      <c r="BX123" s="33" t="n">
        <f aca="false">BX119+BX122+BX102+BX103+BX104+BX57</f>
        <v>2188.49283984931</v>
      </c>
      <c r="BY123" s="33" t="n">
        <f aca="false">BY119+BY122+BY102+BY103+BY104+BY57</f>
        <v>2212.80942695874</v>
      </c>
      <c r="BZ123" s="33" t="n">
        <f aca="false">BZ119+BZ122+BZ102+BZ103+BZ104+BZ57</f>
        <v>2237.12601406818</v>
      </c>
      <c r="CA123" s="33" t="n">
        <f aca="false">CA119+CA122+CA102+CA103+CA104+CA57</f>
        <v>2221.39051218978</v>
      </c>
      <c r="CB123" s="33" t="n">
        <f aca="false">CB119+CB122+CB102+CB103+CB104+CB57</f>
        <v>2221.24549337524</v>
      </c>
      <c r="CC123" s="33" t="n">
        <f aca="false">CC119+CC122+CC102+CC103+CC104+CC57</f>
        <v>2221.24549337524</v>
      </c>
      <c r="CD123" s="33" t="n">
        <f aca="false">CD119+CD122+CD102+CD103+CD104+CD57</f>
        <v>2245.65478451123</v>
      </c>
      <c r="CE123" s="33" t="n">
        <f aca="false">CE119+CE122+CE102+CE103+CE104+CE57</f>
        <v>2229.82295424819</v>
      </c>
      <c r="CF123" s="33" t="n">
        <f aca="false">CF119+CF122+CF102+CF103+CF104+CF57</f>
        <v>2204.6834937156</v>
      </c>
      <c r="CG123" s="33" t="n">
        <f aca="false">CG119+CG122+CG102+CG103+CG104+CG57</f>
        <v>2229.17997697911</v>
      </c>
      <c r="CH123" s="33" t="n">
        <f aca="false">CH119+CH122+CH102+CH103+CH104+CH57</f>
        <v>2253.67646024261</v>
      </c>
      <c r="CI123" s="33" t="n">
        <f aca="false">CI119+CI122+CI102+CI103+CI104+CI57</f>
        <v>2237.74805432723</v>
      </c>
      <c r="CJ123" s="33" t="n">
        <f aca="false">CJ119+CJ122+CJ102+CJ103+CJ104+CJ57</f>
        <v>2212.01795498054</v>
      </c>
      <c r="CK123" s="33" t="n">
        <f aca="false">CK119+CK122+CK102+CK103+CK104+CK57</f>
        <v>2236.5959322581</v>
      </c>
      <c r="CL123" s="33" t="n">
        <f aca="false">CL119+CL122+CL102+CL103+CL104+CL57</f>
        <v>2261.17390953566</v>
      </c>
      <c r="CM123" s="33" t="n">
        <f aca="false">CM119+CM122+CM102+CM103+CM104+CM57</f>
        <v>2245.14868788163</v>
      </c>
      <c r="CN123" s="33" t="n">
        <f aca="false">CN119+CN122+CN102+CN103+CN104+CN57</f>
        <v>2218.82238592502</v>
      </c>
      <c r="CO123" s="33" t="n">
        <f aca="false">CO119+CO122+CO102+CO103+CO104+CO57</f>
        <v>2243.47596799085</v>
      </c>
      <c r="CP123" s="33" t="n">
        <f aca="false">CP119+CP122+CP102+CP103+CP104+CP57</f>
        <v>2268.12955005669</v>
      </c>
      <c r="CQ123" s="33" t="n">
        <f aca="false">CQ119+CQ122+CQ102+CQ103+CQ104+CQ57</f>
        <v>2252.00728000554</v>
      </c>
      <c r="CR123" s="33" t="n">
        <f aca="false">CR119+CR122+CR102+CR103+CR104+CR57</f>
        <v>2249.80223615059</v>
      </c>
      <c r="CS123" s="33" t="n">
        <f aca="false">CS119+CS122+CS102+CS103+CS104+CS57</f>
        <v>2249.80223615059</v>
      </c>
      <c r="CT123" s="33" t="n">
        <f aca="false">CT119+CT122+CT102+CT103+CT104+CT57</f>
        <v>2274.52533764675</v>
      </c>
      <c r="CU123" s="33" t="n">
        <f aca="false">CU119+CU122+CU102+CU103+CU104+CU57</f>
        <v>2258.3057942204</v>
      </c>
      <c r="CV123" s="33" t="n">
        <f aca="false">CV119+CV122+CV102+CV103+CV104+CV57</f>
        <v>2230.77008624457</v>
      </c>
      <c r="CW123" s="33" t="n">
        <f aca="false">CW119+CW122+CW102+CW103+CW104+CW57</f>
        <v>2255.55642053618</v>
      </c>
      <c r="CX123" s="33" t="n">
        <f aca="false">CX119+CX122+CX102+CX103+CX104+CX57</f>
        <v>2280.34275482779</v>
      </c>
      <c r="CY123" s="33" t="n">
        <f aca="false">CY119+CY122+CY102+CY103+CY104+CY57</f>
        <v>2264.02572098716</v>
      </c>
      <c r="CZ123" s="33" t="n">
        <f aca="false">CZ119+CZ122+CZ102+CZ103+CZ104+CZ57</f>
        <v>2235.87665122129</v>
      </c>
      <c r="DA123" s="33" t="n">
        <f aca="false">DA119+DA122+DA102+DA103+DA104+DA57</f>
        <v>2260.71972512375</v>
      </c>
      <c r="DB123" s="33" t="n">
        <f aca="false">DB119+DB122+DB102+DB103+DB104+DB57</f>
        <v>2285.56279902621</v>
      </c>
      <c r="DC123" s="33" t="n">
        <f aca="false">DC119+DC122+DC102+DC103+DC104+DC57</f>
        <v>2269.14806593617</v>
      </c>
      <c r="DD123" s="33" t="n">
        <f aca="false">DD119+DD122+DD102+DD103+DD104+DD57</f>
        <v>2240.37975375693</v>
      </c>
      <c r="DE123" s="33" t="n">
        <f aca="false">DE119+DE122+DE102+DE103+DE104+DE57</f>
        <v>2265.27286213201</v>
      </c>
      <c r="DF123" s="33" t="n">
        <f aca="false">DF119+DF122+DF102+DF103+DF104+DF57</f>
        <v>2290.16597050708</v>
      </c>
      <c r="DG123" s="33" t="n">
        <f aca="false">DG119+DG122+DG102+DG103+DG104+DG57</f>
        <v>4338.46697238004</v>
      </c>
      <c r="DH123" s="33" t="n">
        <f aca="false">DH119+DH122+DH102+DH103+DH104+DH57</f>
        <v>4311.56604790374</v>
      </c>
      <c r="DI123" s="33" t="n">
        <f aca="false">DI119+DI122+DI102+DI103+DI104+DI57</f>
        <v>4311.56604790374</v>
      </c>
      <c r="DJ123" s="33" t="n">
        <f aca="false">DJ119+DJ122+DJ102+DJ103+DJ104+DJ57</f>
        <v>4358.945894584</v>
      </c>
      <c r="DK123" s="33" t="n">
        <f aca="false">DK119+DK122+DK102+DK103+DK104+DK57</f>
        <v>4342.33517066918</v>
      </c>
      <c r="DL123" s="33" t="n">
        <f aca="false">DL119+DL122+DL102+DL103+DL104+DL57</f>
        <v>4267.42314521508</v>
      </c>
      <c r="DM123" s="33" t="n">
        <f aca="false">DM119+DM122+DM102+DM103+DM104+DM57</f>
        <v>4314.83895793969</v>
      </c>
      <c r="DN123" s="33" t="n">
        <f aca="false">DN119+DN122+DN102+DN103+DN104+DN57</f>
        <v>4362.2547706643</v>
      </c>
      <c r="DO123" s="33" t="n">
        <f aca="false">DO119+DO122+DO102+DO103+DO104+DO57</f>
        <v>4345.54577296546</v>
      </c>
      <c r="DP123" s="33" t="n">
        <f aca="false">DP119+DP122+DP102+DP103+DP104+DP57</f>
        <v>4269.99635873289</v>
      </c>
      <c r="DQ123" s="33" t="n">
        <f aca="false">DQ119+DQ122+DQ102+DQ103+DQ104+DQ57</f>
        <v>4317.44076271881</v>
      </c>
      <c r="DR123" s="33" t="n">
        <f aca="false">DR119+DR122+DR102+DR103+DR104+DR57</f>
        <v>4364.88516670473</v>
      </c>
      <c r="DS123" s="33" t="n">
        <f aca="false">DS119+DS122+DS102+DS103+DS104+DS57</f>
        <v>4348.0777219831</v>
      </c>
      <c r="DT123" s="33" t="n">
        <f aca="false">DT119+DT122+DT102+DT103+DT104+DT57</f>
        <v>4271.8846965912</v>
      </c>
      <c r="DU123" s="33" t="n">
        <f aca="false">DU119+DU122+DU102+DU103+DU104+DU57</f>
        <v>4319.35008210888</v>
      </c>
      <c r="DV123" s="33" t="n">
        <f aca="false">DV119+DV122+DV102+DV103+DV104+DV57</f>
        <v>4366.81546762656</v>
      </c>
      <c r="DW123" s="33" t="n">
        <f aca="false">DW119+DW122+DW102+DW103+DW104+DW57</f>
        <v>4349.90941227163</v>
      </c>
      <c r="DX123" s="33" t="n">
        <f aca="false">DX119+DX122+DX102+DX103+DX104+DX57</f>
        <v>4320.54498000109</v>
      </c>
      <c r="DY123" s="33" t="n">
        <f aca="false">DY119+DY122+DY102+DY103+DY104+DY57</f>
        <v>4320.54498000109</v>
      </c>
      <c r="DZ123" s="33" t="n">
        <f aca="false">DZ119+DZ122+DZ102+DZ103+DZ104+DZ57</f>
        <v>4368.02349626484</v>
      </c>
      <c r="EA123" s="33" t="n">
        <f aca="false">EA119+EA122+EA102+EA103+EA104+EA57</f>
        <v>4351.01867660019</v>
      </c>
      <c r="EB123" s="33" t="n">
        <f aca="false">EB119+EB122+EB102+EB103+EB104+EB57</f>
        <v>4273.5194015975</v>
      </c>
      <c r="EC123" s="33" t="n">
        <f aca="false">EC119+EC122+EC102+EC103+EC104+EC57</f>
        <v>4321.00295050414</v>
      </c>
      <c r="ED123" s="33" t="n">
        <f aca="false">ED119+ED122+ED102+ED103+ED104+ED57</f>
        <v>4368.48649941078</v>
      </c>
      <c r="EE123" s="33" t="n">
        <f aca="false">EE119+EE122+EE102+EE103+EE104+EE57</f>
        <v>4351.38277200729</v>
      </c>
      <c r="EF123" s="33" t="n">
        <f aca="false">EF119+EF122+EF102+EF103+EF104+EF57</f>
        <v>4273.22067408704</v>
      </c>
      <c r="EG123" s="33" t="n">
        <f aca="false">EG119+EG122+EG102+EG103+EG104+EG57</f>
        <v>4320.70090379912</v>
      </c>
      <c r="EH123" s="33" t="n">
        <f aca="false">EH119+EH122+EH102+EH103+EH104+EH57</f>
        <v>4368.1811335112</v>
      </c>
      <c r="EI123" s="33" t="n">
        <f aca="false">EI119+EI122+EI102+EI103+EI104+EI57</f>
        <v>4350.97836550777</v>
      </c>
      <c r="EJ123" s="33" t="n">
        <f aca="false">EJ119+EJ122+EJ102+EJ103+EJ104+EJ57</f>
        <v>4272.14685327713</v>
      </c>
      <c r="EK123" s="33" t="n">
        <f aca="false">EK119+EK122+EK102+EK103+EK104+EK57</f>
        <v>4319.61515164688</v>
      </c>
      <c r="EL123" s="33" t="n">
        <f aca="false">EL119+EL122+EL102+EL103+EL104+EL57</f>
        <v>4367.08345001662</v>
      </c>
      <c r="EM123" s="33" t="n">
        <f aca="false">EM119+EM122+EM102+EM103+EM104+EM57</f>
        <v>4349.78151944861</v>
      </c>
      <c r="EN123" s="33" t="n">
        <f aca="false">EN119+EN122+EN102+EN103+EN104+EN57</f>
        <v>4317.72139253939</v>
      </c>
      <c r="EO123" s="33" t="n">
        <f aca="false">EO119+EO122+EO102+EO103+EO104+EO57</f>
        <v>4317.72139253939</v>
      </c>
      <c r="EP123" s="33" t="n">
        <f aca="false">EP119+EP122+EP102+EP103+EP104+EP57</f>
        <v>4365.16888036949</v>
      </c>
      <c r="EQ123" s="33" t="n">
        <f aca="false">EQ119+EQ122+EQ102+EQ103+EQ104+EQ57</f>
        <v>4347.76767650498</v>
      </c>
      <c r="ER123" s="33" t="n">
        <f aca="false">ER119+ER122+ER102+ER103+ER104+ER57</f>
        <v>4267.57717234905</v>
      </c>
      <c r="ES123" s="33" t="n">
        <f aca="false">ES119+ES122+ES102+ES103+ES104+ES57</f>
        <v>4314.99469648626</v>
      </c>
      <c r="ET123" s="33" t="n">
        <f aca="false">ET119+ET122+ET102+ET103+ET104+ET57</f>
        <v>4362.41222062347</v>
      </c>
    </row>
    <row r="124" customFormat="false" ht="15" hidden="false" customHeight="false" outlineLevel="0" collapsed="false">
      <c r="C124" s="0" t="s">
        <v>567</v>
      </c>
      <c r="D124" s="11" t="s">
        <v>247</v>
      </c>
      <c r="J124" s="22" t="n">
        <f aca="false">I127</f>
        <v>0</v>
      </c>
      <c r="K124" s="22" t="n">
        <f aca="false">J127</f>
        <v>0</v>
      </c>
      <c r="L124" s="22" t="n">
        <f aca="false">K127</f>
        <v>178.520547945205</v>
      </c>
      <c r="M124" s="22" t="n">
        <f aca="false">L127</f>
        <v>766.965068493151</v>
      </c>
      <c r="N124" s="22" t="n">
        <f aca="false">M127</f>
        <v>810.800684931507</v>
      </c>
      <c r="O124" s="22" t="n">
        <f aca="false">N127</f>
        <v>854.636301369863</v>
      </c>
      <c r="P124" s="22" t="n">
        <f aca="false">O127</f>
        <v>1038.99794520548</v>
      </c>
      <c r="Q124" s="22" t="n">
        <f aca="false">P127</f>
        <v>2329.03974000559</v>
      </c>
      <c r="R124" s="22" t="n">
        <f aca="false">Q127</f>
        <v>2333.64932904669</v>
      </c>
      <c r="S124" s="22" t="n">
        <f aca="false">R127</f>
        <v>2497.74083902712</v>
      </c>
      <c r="T124" s="22" t="n">
        <f aca="false">S127</f>
        <v>2814.96697772435</v>
      </c>
      <c r="U124" s="22" t="n">
        <f aca="false">T127</f>
        <v>3119.62451197093</v>
      </c>
      <c r="V124" s="22" t="n">
        <f aca="false">U127</f>
        <v>3119.62451197093</v>
      </c>
      <c r="W124" s="22" t="n">
        <f aca="false">V127</f>
        <v>3119.62451197093</v>
      </c>
      <c r="X124" s="22" t="n">
        <f aca="false">W127</f>
        <v>5074.63865062317</v>
      </c>
      <c r="Y124" s="22" t="n">
        <f aca="false">X127</f>
        <v>5334.80891409552</v>
      </c>
      <c r="Z124" s="22" t="n">
        <f aca="false">Y127</f>
        <v>5571.5693249929</v>
      </c>
      <c r="AA124" s="22" t="n">
        <f aca="false">Z127</f>
        <v>5784.04640684983</v>
      </c>
      <c r="AB124" s="22" t="n">
        <f aca="false">AA127</f>
        <v>5969.34295633999</v>
      </c>
      <c r="AC124" s="22" t="n">
        <f aca="false">AB127</f>
        <v>6125.91608905738</v>
      </c>
      <c r="AD124" s="22" t="n">
        <f aca="false">AC127</f>
        <v>6257.92828996918</v>
      </c>
      <c r="AE124" s="22" t="n">
        <f aca="false">AD127</f>
        <v>6364.50608260992</v>
      </c>
      <c r="AF124" s="22" t="n">
        <f aca="false">AE127</f>
        <v>5519.91393527344</v>
      </c>
      <c r="AG124" s="22" t="n">
        <f aca="false">AF127</f>
        <v>4646.15934283861</v>
      </c>
      <c r="AH124" s="22" t="n">
        <f aca="false">AG127</f>
        <v>3747.98772147452</v>
      </c>
      <c r="AI124" s="22" t="n">
        <f aca="false">AH127</f>
        <v>2802.11210278394</v>
      </c>
      <c r="AJ124" s="22" t="n">
        <f aca="false">AI127</f>
        <v>1845.89924779384</v>
      </c>
      <c r="AK124" s="22" t="n">
        <f aca="false">AJ127</f>
        <v>882.801834168731</v>
      </c>
      <c r="AL124" s="22" t="n">
        <f aca="false">AK127</f>
        <v>0</v>
      </c>
      <c r="AM124" s="22" t="n">
        <f aca="false">AL127</f>
        <v>0</v>
      </c>
      <c r="AN124" s="22" t="n">
        <f aca="false">AM127</f>
        <v>0</v>
      </c>
      <c r="AO124" s="22" t="n">
        <f aca="false">AN127</f>
        <v>0</v>
      </c>
      <c r="AP124" s="22" t="n">
        <f aca="false">AO127</f>
        <v>0</v>
      </c>
      <c r="AQ124" s="22" t="n">
        <f aca="false">AP127</f>
        <v>0</v>
      </c>
      <c r="AR124" s="22" t="n">
        <f aca="false">AQ127</f>
        <v>0</v>
      </c>
      <c r="AS124" s="22" t="n">
        <f aca="false">AR127</f>
        <v>0</v>
      </c>
      <c r="AT124" s="22" t="n">
        <f aca="false">AS127</f>
        <v>0</v>
      </c>
      <c r="AU124" s="22" t="n">
        <f aca="false">AT127</f>
        <v>0</v>
      </c>
      <c r="AV124" s="22" t="n">
        <f aca="false">AU127</f>
        <v>0</v>
      </c>
      <c r="AW124" s="22" t="n">
        <f aca="false">AV127</f>
        <v>0</v>
      </c>
      <c r="AX124" s="22" t="n">
        <f aca="false">AW127</f>
        <v>0</v>
      </c>
      <c r="AY124" s="22" t="n">
        <f aca="false">AX127</f>
        <v>0</v>
      </c>
      <c r="AZ124" s="22" t="n">
        <f aca="false">AY127</f>
        <v>0</v>
      </c>
      <c r="BA124" s="22" t="n">
        <f aca="false">AZ127</f>
        <v>0</v>
      </c>
      <c r="BB124" s="22" t="n">
        <f aca="false">BA127</f>
        <v>0</v>
      </c>
      <c r="BC124" s="22" t="n">
        <f aca="false">BB127</f>
        <v>0</v>
      </c>
      <c r="BD124" s="22" t="n">
        <f aca="false">BC127</f>
        <v>0</v>
      </c>
      <c r="BE124" s="22" t="n">
        <f aca="false">BD127</f>
        <v>0</v>
      </c>
      <c r="BF124" s="22" t="n">
        <f aca="false">BE127</f>
        <v>0</v>
      </c>
      <c r="BG124" s="22" t="n">
        <f aca="false">BF127</f>
        <v>0</v>
      </c>
      <c r="BH124" s="22" t="n">
        <f aca="false">BG127</f>
        <v>0</v>
      </c>
      <c r="BI124" s="22" t="n">
        <f aca="false">BH127</f>
        <v>0</v>
      </c>
      <c r="BJ124" s="22" t="n">
        <f aca="false">BI127</f>
        <v>0</v>
      </c>
      <c r="BK124" s="22" t="n">
        <f aca="false">BJ127</f>
        <v>0</v>
      </c>
      <c r="BL124" s="22" t="n">
        <f aca="false">BK127</f>
        <v>0</v>
      </c>
      <c r="BM124" s="22" t="n">
        <f aca="false">BL127</f>
        <v>0</v>
      </c>
      <c r="BN124" s="22" t="n">
        <f aca="false">BM127</f>
        <v>0</v>
      </c>
      <c r="BO124" s="22" t="n">
        <f aca="false">BN127</f>
        <v>0</v>
      </c>
      <c r="BP124" s="22" t="n">
        <f aca="false">BO127</f>
        <v>0</v>
      </c>
      <c r="BQ124" s="22" t="n">
        <f aca="false">BP127</f>
        <v>0</v>
      </c>
      <c r="BR124" s="22" t="n">
        <f aca="false">BQ127</f>
        <v>0</v>
      </c>
      <c r="BS124" s="22" t="n">
        <f aca="false">BR127</f>
        <v>0</v>
      </c>
      <c r="BT124" s="22" t="n">
        <f aca="false">BS127</f>
        <v>0</v>
      </c>
      <c r="BU124" s="22" t="n">
        <f aca="false">BT127</f>
        <v>0</v>
      </c>
      <c r="BV124" s="22" t="n">
        <f aca="false">BU127</f>
        <v>0</v>
      </c>
      <c r="BW124" s="22" t="n">
        <f aca="false">BV127</f>
        <v>0</v>
      </c>
      <c r="BX124" s="22" t="n">
        <f aca="false">BW127</f>
        <v>0</v>
      </c>
      <c r="BY124" s="22" t="n">
        <f aca="false">BX127</f>
        <v>0</v>
      </c>
      <c r="BZ124" s="22" t="n">
        <f aca="false">BY127</f>
        <v>0</v>
      </c>
      <c r="CA124" s="22" t="n">
        <f aca="false">BZ127</f>
        <v>0</v>
      </c>
      <c r="CB124" s="22" t="n">
        <f aca="false">CA127</f>
        <v>0</v>
      </c>
      <c r="CC124" s="22" t="n">
        <f aca="false">CB127</f>
        <v>0</v>
      </c>
      <c r="CD124" s="22" t="n">
        <f aca="false">CC127</f>
        <v>0</v>
      </c>
      <c r="CE124" s="22" t="n">
        <f aca="false">CD127</f>
        <v>0</v>
      </c>
      <c r="CF124" s="22" t="n">
        <f aca="false">CE127</f>
        <v>0</v>
      </c>
      <c r="CG124" s="22" t="n">
        <f aca="false">CF127</f>
        <v>0</v>
      </c>
      <c r="CH124" s="22" t="n">
        <f aca="false">CG127</f>
        <v>0</v>
      </c>
      <c r="CI124" s="22" t="n">
        <f aca="false">CH127</f>
        <v>0</v>
      </c>
      <c r="CJ124" s="22" t="n">
        <f aca="false">CI127</f>
        <v>0</v>
      </c>
      <c r="CK124" s="22" t="n">
        <f aca="false">CJ127</f>
        <v>0</v>
      </c>
      <c r="CL124" s="22" t="n">
        <f aca="false">CK127</f>
        <v>0</v>
      </c>
      <c r="CM124" s="22" t="n">
        <f aca="false">CL127</f>
        <v>0</v>
      </c>
      <c r="CN124" s="22" t="n">
        <f aca="false">CM127</f>
        <v>0</v>
      </c>
      <c r="CO124" s="22" t="n">
        <f aca="false">CN127</f>
        <v>0</v>
      </c>
      <c r="CP124" s="22" t="n">
        <f aca="false">CO127</f>
        <v>0</v>
      </c>
      <c r="CQ124" s="22" t="n">
        <f aca="false">CP127</f>
        <v>0</v>
      </c>
      <c r="CR124" s="22" t="n">
        <f aca="false">CQ127</f>
        <v>0</v>
      </c>
      <c r="CS124" s="22" t="n">
        <f aca="false">CR127</f>
        <v>0</v>
      </c>
      <c r="CT124" s="22" t="n">
        <f aca="false">CS127</f>
        <v>0</v>
      </c>
      <c r="CU124" s="22" t="n">
        <f aca="false">CT127</f>
        <v>0</v>
      </c>
      <c r="CV124" s="22" t="n">
        <f aca="false">CU127</f>
        <v>0</v>
      </c>
      <c r="CW124" s="22" t="n">
        <f aca="false">CV127</f>
        <v>0</v>
      </c>
      <c r="CX124" s="22" t="n">
        <f aca="false">CW127</f>
        <v>0</v>
      </c>
      <c r="CY124" s="22" t="n">
        <f aca="false">CX127</f>
        <v>0</v>
      </c>
      <c r="CZ124" s="22" t="n">
        <f aca="false">CY127</f>
        <v>0</v>
      </c>
      <c r="DA124" s="22" t="n">
        <f aca="false">CZ127</f>
        <v>0</v>
      </c>
      <c r="DB124" s="22" t="n">
        <f aca="false">DA127</f>
        <v>0</v>
      </c>
      <c r="DC124" s="22" t="n">
        <f aca="false">DB127</f>
        <v>0</v>
      </c>
      <c r="DD124" s="22" t="n">
        <f aca="false">DC127</f>
        <v>0</v>
      </c>
      <c r="DE124" s="22" t="n">
        <f aca="false">DD127</f>
        <v>0</v>
      </c>
      <c r="DF124" s="22" t="n">
        <f aca="false">DE127</f>
        <v>0</v>
      </c>
      <c r="DG124" s="22" t="n">
        <f aca="false">DF127</f>
        <v>0</v>
      </c>
      <c r="DH124" s="22" t="n">
        <f aca="false">DG127</f>
        <v>0</v>
      </c>
      <c r="DI124" s="22" t="n">
        <f aca="false">DH127</f>
        <v>0</v>
      </c>
      <c r="DJ124" s="22" t="n">
        <f aca="false">DI127</f>
        <v>0</v>
      </c>
      <c r="DK124" s="22" t="n">
        <f aca="false">DJ127</f>
        <v>0</v>
      </c>
      <c r="DL124" s="22" t="n">
        <f aca="false">DK127</f>
        <v>0</v>
      </c>
      <c r="DM124" s="22" t="n">
        <f aca="false">DL127</f>
        <v>0</v>
      </c>
      <c r="DN124" s="22" t="n">
        <f aca="false">DM127</f>
        <v>0</v>
      </c>
      <c r="DO124" s="22" t="n">
        <f aca="false">DN127</f>
        <v>0</v>
      </c>
      <c r="DP124" s="22" t="n">
        <f aca="false">DO127</f>
        <v>0</v>
      </c>
      <c r="DQ124" s="22" t="n">
        <f aca="false">DP127</f>
        <v>0</v>
      </c>
      <c r="DR124" s="22" t="n">
        <f aca="false">DQ127</f>
        <v>0</v>
      </c>
      <c r="DS124" s="22" t="n">
        <f aca="false">DR127</f>
        <v>0</v>
      </c>
      <c r="DT124" s="22" t="n">
        <f aca="false">DS127</f>
        <v>0</v>
      </c>
      <c r="DU124" s="22" t="n">
        <f aca="false">DT127</f>
        <v>0</v>
      </c>
      <c r="DV124" s="22" t="n">
        <f aca="false">DU127</f>
        <v>0</v>
      </c>
      <c r="DW124" s="22" t="n">
        <f aca="false">DV127</f>
        <v>0</v>
      </c>
      <c r="DX124" s="22" t="n">
        <f aca="false">DW127</f>
        <v>0</v>
      </c>
      <c r="DY124" s="22" t="n">
        <f aca="false">DX127</f>
        <v>0</v>
      </c>
      <c r="DZ124" s="22" t="n">
        <f aca="false">DY127</f>
        <v>0</v>
      </c>
      <c r="EA124" s="22" t="n">
        <f aca="false">DZ127</f>
        <v>0</v>
      </c>
      <c r="EB124" s="22" t="n">
        <f aca="false">EA127</f>
        <v>0</v>
      </c>
      <c r="EC124" s="22" t="n">
        <f aca="false">EB127</f>
        <v>0</v>
      </c>
      <c r="ED124" s="22" t="n">
        <f aca="false">EC127</f>
        <v>0</v>
      </c>
      <c r="EE124" s="22" t="n">
        <f aca="false">ED127</f>
        <v>0</v>
      </c>
      <c r="EF124" s="22" t="n">
        <f aca="false">EE127</f>
        <v>0</v>
      </c>
      <c r="EG124" s="22" t="n">
        <f aca="false">EF127</f>
        <v>0</v>
      </c>
      <c r="EH124" s="22" t="n">
        <f aca="false">EG127</f>
        <v>0</v>
      </c>
      <c r="EI124" s="22" t="n">
        <f aca="false">EH127</f>
        <v>0</v>
      </c>
      <c r="EJ124" s="22" t="n">
        <f aca="false">EI127</f>
        <v>0</v>
      </c>
      <c r="EK124" s="22" t="n">
        <f aca="false">EJ127</f>
        <v>0</v>
      </c>
      <c r="EL124" s="22" t="n">
        <f aca="false">EK127</f>
        <v>0</v>
      </c>
      <c r="EM124" s="22" t="n">
        <f aca="false">EL127</f>
        <v>0</v>
      </c>
      <c r="EN124" s="22" t="n">
        <f aca="false">EM127</f>
        <v>0</v>
      </c>
      <c r="EO124" s="22" t="n">
        <f aca="false">EN127</f>
        <v>0</v>
      </c>
      <c r="EP124" s="22" t="n">
        <f aca="false">EO127</f>
        <v>0</v>
      </c>
      <c r="EQ124" s="22" t="n">
        <f aca="false">EP127</f>
        <v>0</v>
      </c>
      <c r="ER124" s="22" t="n">
        <f aca="false">EQ127</f>
        <v>0</v>
      </c>
      <c r="ES124" s="22" t="n">
        <f aca="false">ER127</f>
        <v>0</v>
      </c>
      <c r="ET124" s="22" t="n">
        <f aca="false">ES127</f>
        <v>0</v>
      </c>
    </row>
    <row r="125" customFormat="false" ht="15" hidden="false" customHeight="false" outlineLevel="0" collapsed="false">
      <c r="C125" s="0" t="s">
        <v>568</v>
      </c>
      <c r="D125" s="11" t="s">
        <v>247</v>
      </c>
      <c r="I125" s="33" t="n">
        <f aca="false">SUM(J125:ET125)</f>
        <v>6364.50608260992</v>
      </c>
      <c r="J125" s="33" t="n">
        <f aca="false">MAX(0,-J123)</f>
        <v>-0</v>
      </c>
      <c r="K125" s="33" t="n">
        <f aca="false">MAX(0,-K123)</f>
        <v>178.520547945205</v>
      </c>
      <c r="L125" s="33" t="n">
        <f aca="false">MAX(0,-L123)</f>
        <v>588.444520547945</v>
      </c>
      <c r="M125" s="33" t="n">
        <f aca="false">MAX(0,-M123)</f>
        <v>43.8356164383562</v>
      </c>
      <c r="N125" s="33" t="n">
        <f aca="false">MAX(0,-N123)</f>
        <v>43.8356164383562</v>
      </c>
      <c r="O125" s="33" t="n">
        <f aca="false">MAX(0,-O123)</f>
        <v>184.361643835616</v>
      </c>
      <c r="P125" s="33" t="n">
        <f aca="false">MAX(0,-P123)</f>
        <v>1290.04179480011</v>
      </c>
      <c r="Q125" s="33" t="n">
        <f aca="false">MAX(0,-Q123)</f>
        <v>4.60958904109589</v>
      </c>
      <c r="R125" s="33" t="n">
        <f aca="false">MAX(0,-R123)</f>
        <v>164.091509980431</v>
      </c>
      <c r="S125" s="33" t="n">
        <f aca="false">MAX(0,-S123)</f>
        <v>317.226138697232</v>
      </c>
      <c r="T125" s="33" t="n">
        <f aca="false">MAX(0,-T123)</f>
        <v>304.657534246575</v>
      </c>
      <c r="U125" s="33" t="n">
        <f aca="false">MAX(0,-U123)</f>
        <v>-0</v>
      </c>
      <c r="V125" s="33" t="n">
        <f aca="false">MAX(0,-V123)</f>
        <v>-0</v>
      </c>
      <c r="W125" s="33" t="n">
        <f aca="false">MAX(0,-W123)</f>
        <v>1955.01413865224</v>
      </c>
      <c r="X125" s="33" t="n">
        <f aca="false">MAX(0,-X123)</f>
        <v>260.170263472354</v>
      </c>
      <c r="Y125" s="33" t="n">
        <f aca="false">MAX(0,-Y123)</f>
        <v>236.760410897378</v>
      </c>
      <c r="Z125" s="33" t="n">
        <f aca="false">MAX(0,-Z123)</f>
        <v>212.477081856929</v>
      </c>
      <c r="AA125" s="33" t="n">
        <f aca="false">MAX(0,-AA123)</f>
        <v>185.296549490162</v>
      </c>
      <c r="AB125" s="33" t="n">
        <f aca="false">MAX(0,-AB123)</f>
        <v>156.573132717387</v>
      </c>
      <c r="AC125" s="33" t="n">
        <f aca="false">MAX(0,-AC123)</f>
        <v>132.0122009118</v>
      </c>
      <c r="AD125" s="33" t="n">
        <f aca="false">MAX(0,-AD123)</f>
        <v>106.57779264074</v>
      </c>
      <c r="AE125" s="33" t="n">
        <f aca="false">MAX(0,-AE123)</f>
        <v>0</v>
      </c>
      <c r="AF125" s="33" t="n">
        <f aca="false">MAX(0,-AF123)</f>
        <v>0</v>
      </c>
      <c r="AG125" s="33" t="n">
        <f aca="false">MAX(0,-AG123)</f>
        <v>0</v>
      </c>
      <c r="AH125" s="33" t="n">
        <f aca="false">MAX(0,-AH123)</f>
        <v>0</v>
      </c>
      <c r="AI125" s="33" t="n">
        <f aca="false">MAX(0,-AI123)</f>
        <v>0</v>
      </c>
      <c r="AJ125" s="33" t="n">
        <f aca="false">MAX(0,-AJ123)</f>
        <v>0</v>
      </c>
      <c r="AK125" s="33" t="n">
        <f aca="false">MAX(0,-AK123)</f>
        <v>0</v>
      </c>
      <c r="AL125" s="33" t="n">
        <f aca="false">MAX(0,-AL123)</f>
        <v>0</v>
      </c>
      <c r="AM125" s="33" t="n">
        <f aca="false">MAX(0,-AM123)</f>
        <v>0</v>
      </c>
      <c r="AN125" s="33" t="n">
        <f aca="false">MAX(0,-AN123)</f>
        <v>0</v>
      </c>
      <c r="AO125" s="33" t="n">
        <f aca="false">MAX(0,-AO123)</f>
        <v>0</v>
      </c>
      <c r="AP125" s="33" t="n">
        <f aca="false">MAX(0,-AP123)</f>
        <v>0</v>
      </c>
      <c r="AQ125" s="33" t="n">
        <f aca="false">MAX(0,-AQ123)</f>
        <v>0</v>
      </c>
      <c r="AR125" s="33" t="n">
        <f aca="false">MAX(0,-AR123)</f>
        <v>0</v>
      </c>
      <c r="AS125" s="33" t="n">
        <f aca="false">MAX(0,-AS123)</f>
        <v>0</v>
      </c>
      <c r="AT125" s="33" t="n">
        <f aca="false">MAX(0,-AT123)</f>
        <v>0</v>
      </c>
      <c r="AU125" s="33" t="n">
        <f aca="false">MAX(0,-AU123)</f>
        <v>0</v>
      </c>
      <c r="AV125" s="33" t="n">
        <f aca="false">MAX(0,-AV123)</f>
        <v>0</v>
      </c>
      <c r="AW125" s="33" t="n">
        <f aca="false">MAX(0,-AW123)</f>
        <v>0</v>
      </c>
      <c r="AX125" s="33" t="n">
        <f aca="false">MAX(0,-AX123)</f>
        <v>0</v>
      </c>
      <c r="AY125" s="33" t="n">
        <f aca="false">MAX(0,-AY123)</f>
        <v>0</v>
      </c>
      <c r="AZ125" s="33" t="n">
        <f aca="false">MAX(0,-AZ123)</f>
        <v>0</v>
      </c>
      <c r="BA125" s="33" t="n">
        <f aca="false">MAX(0,-BA123)</f>
        <v>0</v>
      </c>
      <c r="BB125" s="33" t="n">
        <f aca="false">MAX(0,-BB123)</f>
        <v>0</v>
      </c>
      <c r="BC125" s="33" t="n">
        <f aca="false">MAX(0,-BC123)</f>
        <v>0</v>
      </c>
      <c r="BD125" s="33" t="n">
        <f aca="false">MAX(0,-BD123)</f>
        <v>0</v>
      </c>
      <c r="BE125" s="33" t="n">
        <f aca="false">MAX(0,-BE123)</f>
        <v>0</v>
      </c>
      <c r="BF125" s="33" t="n">
        <f aca="false">MAX(0,-BF123)</f>
        <v>0</v>
      </c>
      <c r="BG125" s="33" t="n">
        <f aca="false">MAX(0,-BG123)</f>
        <v>0</v>
      </c>
      <c r="BH125" s="33" t="n">
        <f aca="false">MAX(0,-BH123)</f>
        <v>0</v>
      </c>
      <c r="BI125" s="33" t="n">
        <f aca="false">MAX(0,-BI123)</f>
        <v>0</v>
      </c>
      <c r="BJ125" s="33" t="n">
        <f aca="false">MAX(0,-BJ123)</f>
        <v>0</v>
      </c>
      <c r="BK125" s="33" t="n">
        <f aca="false">MAX(0,-BK123)</f>
        <v>0</v>
      </c>
      <c r="BL125" s="33" t="n">
        <f aca="false">MAX(0,-BL123)</f>
        <v>0</v>
      </c>
      <c r="BM125" s="33" t="n">
        <f aca="false">MAX(0,-BM123)</f>
        <v>0</v>
      </c>
      <c r="BN125" s="33" t="n">
        <f aca="false">MAX(0,-BN123)</f>
        <v>0</v>
      </c>
      <c r="BO125" s="33" t="n">
        <f aca="false">MAX(0,-BO123)</f>
        <v>0</v>
      </c>
      <c r="BP125" s="33" t="n">
        <f aca="false">MAX(0,-BP123)</f>
        <v>0</v>
      </c>
      <c r="BQ125" s="33" t="n">
        <f aca="false">MAX(0,-BQ123)</f>
        <v>0</v>
      </c>
      <c r="BR125" s="33" t="n">
        <f aca="false">MAX(0,-BR123)</f>
        <v>0</v>
      </c>
      <c r="BS125" s="33" t="n">
        <f aca="false">MAX(0,-BS123)</f>
        <v>0</v>
      </c>
      <c r="BT125" s="33" t="n">
        <f aca="false">MAX(0,-BT123)</f>
        <v>0</v>
      </c>
      <c r="BU125" s="33" t="n">
        <f aca="false">MAX(0,-BU123)</f>
        <v>0</v>
      </c>
      <c r="BV125" s="33" t="n">
        <f aca="false">MAX(0,-BV123)</f>
        <v>0</v>
      </c>
      <c r="BW125" s="33" t="n">
        <f aca="false">MAX(0,-BW123)</f>
        <v>0</v>
      </c>
      <c r="BX125" s="33" t="n">
        <f aca="false">MAX(0,-BX123)</f>
        <v>0</v>
      </c>
      <c r="BY125" s="33" t="n">
        <f aca="false">MAX(0,-BY123)</f>
        <v>0</v>
      </c>
      <c r="BZ125" s="33" t="n">
        <f aca="false">MAX(0,-BZ123)</f>
        <v>0</v>
      </c>
      <c r="CA125" s="33" t="n">
        <f aca="false">MAX(0,-CA123)</f>
        <v>0</v>
      </c>
      <c r="CB125" s="33" t="n">
        <f aca="false">MAX(0,-CB123)</f>
        <v>0</v>
      </c>
      <c r="CC125" s="33" t="n">
        <f aca="false">MAX(0,-CC123)</f>
        <v>0</v>
      </c>
      <c r="CD125" s="33" t="n">
        <f aca="false">MAX(0,-CD123)</f>
        <v>0</v>
      </c>
      <c r="CE125" s="33" t="n">
        <f aca="false">MAX(0,-CE123)</f>
        <v>0</v>
      </c>
      <c r="CF125" s="33" t="n">
        <f aca="false">MAX(0,-CF123)</f>
        <v>0</v>
      </c>
      <c r="CG125" s="33" t="n">
        <f aca="false">MAX(0,-CG123)</f>
        <v>0</v>
      </c>
      <c r="CH125" s="33" t="n">
        <f aca="false">MAX(0,-CH123)</f>
        <v>0</v>
      </c>
      <c r="CI125" s="33" t="n">
        <f aca="false">MAX(0,-CI123)</f>
        <v>0</v>
      </c>
      <c r="CJ125" s="33" t="n">
        <f aca="false">MAX(0,-CJ123)</f>
        <v>0</v>
      </c>
      <c r="CK125" s="33" t="n">
        <f aca="false">MAX(0,-CK123)</f>
        <v>0</v>
      </c>
      <c r="CL125" s="33" t="n">
        <f aca="false">MAX(0,-CL123)</f>
        <v>0</v>
      </c>
      <c r="CM125" s="33" t="n">
        <f aca="false">MAX(0,-CM123)</f>
        <v>0</v>
      </c>
      <c r="CN125" s="33" t="n">
        <f aca="false">MAX(0,-CN123)</f>
        <v>0</v>
      </c>
      <c r="CO125" s="33" t="n">
        <f aca="false">MAX(0,-CO123)</f>
        <v>0</v>
      </c>
      <c r="CP125" s="33" t="n">
        <f aca="false">MAX(0,-CP123)</f>
        <v>0</v>
      </c>
      <c r="CQ125" s="33" t="n">
        <f aca="false">MAX(0,-CQ123)</f>
        <v>0</v>
      </c>
      <c r="CR125" s="33" t="n">
        <f aca="false">MAX(0,-CR123)</f>
        <v>0</v>
      </c>
      <c r="CS125" s="33" t="n">
        <f aca="false">MAX(0,-CS123)</f>
        <v>0</v>
      </c>
      <c r="CT125" s="33" t="n">
        <f aca="false">MAX(0,-CT123)</f>
        <v>0</v>
      </c>
      <c r="CU125" s="33" t="n">
        <f aca="false">MAX(0,-CU123)</f>
        <v>0</v>
      </c>
      <c r="CV125" s="33" t="n">
        <f aca="false">MAX(0,-CV123)</f>
        <v>0</v>
      </c>
      <c r="CW125" s="33" t="n">
        <f aca="false">MAX(0,-CW123)</f>
        <v>0</v>
      </c>
      <c r="CX125" s="33" t="n">
        <f aca="false">MAX(0,-CX123)</f>
        <v>0</v>
      </c>
      <c r="CY125" s="33" t="n">
        <f aca="false">MAX(0,-CY123)</f>
        <v>0</v>
      </c>
      <c r="CZ125" s="33" t="n">
        <f aca="false">MAX(0,-CZ123)</f>
        <v>0</v>
      </c>
      <c r="DA125" s="33" t="n">
        <f aca="false">MAX(0,-DA123)</f>
        <v>0</v>
      </c>
      <c r="DB125" s="33" t="n">
        <f aca="false">MAX(0,-DB123)</f>
        <v>0</v>
      </c>
      <c r="DC125" s="33" t="n">
        <f aca="false">MAX(0,-DC123)</f>
        <v>0</v>
      </c>
      <c r="DD125" s="33" t="n">
        <f aca="false">MAX(0,-DD123)</f>
        <v>0</v>
      </c>
      <c r="DE125" s="33" t="n">
        <f aca="false">MAX(0,-DE123)</f>
        <v>0</v>
      </c>
      <c r="DF125" s="33" t="n">
        <f aca="false">MAX(0,-DF123)</f>
        <v>0</v>
      </c>
      <c r="DG125" s="33" t="n">
        <f aca="false">MAX(0,-DG123)</f>
        <v>0</v>
      </c>
      <c r="DH125" s="33" t="n">
        <f aca="false">MAX(0,-DH123)</f>
        <v>0</v>
      </c>
      <c r="DI125" s="33" t="n">
        <f aca="false">MAX(0,-DI123)</f>
        <v>0</v>
      </c>
      <c r="DJ125" s="33" t="n">
        <f aca="false">MAX(0,-DJ123)</f>
        <v>0</v>
      </c>
      <c r="DK125" s="33" t="n">
        <f aca="false">MAX(0,-DK123)</f>
        <v>0</v>
      </c>
      <c r="DL125" s="33" t="n">
        <f aca="false">MAX(0,-DL123)</f>
        <v>0</v>
      </c>
      <c r="DM125" s="33" t="n">
        <f aca="false">MAX(0,-DM123)</f>
        <v>0</v>
      </c>
      <c r="DN125" s="33" t="n">
        <f aca="false">MAX(0,-DN123)</f>
        <v>0</v>
      </c>
      <c r="DO125" s="33" t="n">
        <f aca="false">MAX(0,-DO123)</f>
        <v>0</v>
      </c>
      <c r="DP125" s="33" t="n">
        <f aca="false">MAX(0,-DP123)</f>
        <v>0</v>
      </c>
      <c r="DQ125" s="33" t="n">
        <f aca="false">MAX(0,-DQ123)</f>
        <v>0</v>
      </c>
      <c r="DR125" s="33" t="n">
        <f aca="false">MAX(0,-DR123)</f>
        <v>0</v>
      </c>
      <c r="DS125" s="33" t="n">
        <f aca="false">MAX(0,-DS123)</f>
        <v>0</v>
      </c>
      <c r="DT125" s="33" t="n">
        <f aca="false">MAX(0,-DT123)</f>
        <v>0</v>
      </c>
      <c r="DU125" s="33" t="n">
        <f aca="false">MAX(0,-DU123)</f>
        <v>0</v>
      </c>
      <c r="DV125" s="33" t="n">
        <f aca="false">MAX(0,-DV123)</f>
        <v>0</v>
      </c>
      <c r="DW125" s="33" t="n">
        <f aca="false">MAX(0,-DW123)</f>
        <v>0</v>
      </c>
      <c r="DX125" s="33" t="n">
        <f aca="false">MAX(0,-DX123)</f>
        <v>0</v>
      </c>
      <c r="DY125" s="33" t="n">
        <f aca="false">MAX(0,-DY123)</f>
        <v>0</v>
      </c>
      <c r="DZ125" s="33" t="n">
        <f aca="false">MAX(0,-DZ123)</f>
        <v>0</v>
      </c>
      <c r="EA125" s="33" t="n">
        <f aca="false">MAX(0,-EA123)</f>
        <v>0</v>
      </c>
      <c r="EB125" s="33" t="n">
        <f aca="false">MAX(0,-EB123)</f>
        <v>0</v>
      </c>
      <c r="EC125" s="33" t="n">
        <f aca="false">MAX(0,-EC123)</f>
        <v>0</v>
      </c>
      <c r="ED125" s="33" t="n">
        <f aca="false">MAX(0,-ED123)</f>
        <v>0</v>
      </c>
      <c r="EE125" s="33" t="n">
        <f aca="false">MAX(0,-EE123)</f>
        <v>0</v>
      </c>
      <c r="EF125" s="33" t="n">
        <f aca="false">MAX(0,-EF123)</f>
        <v>0</v>
      </c>
      <c r="EG125" s="33" t="n">
        <f aca="false">MAX(0,-EG123)</f>
        <v>0</v>
      </c>
      <c r="EH125" s="33" t="n">
        <f aca="false">MAX(0,-EH123)</f>
        <v>0</v>
      </c>
      <c r="EI125" s="33" t="n">
        <f aca="false">MAX(0,-EI123)</f>
        <v>0</v>
      </c>
      <c r="EJ125" s="33" t="n">
        <f aca="false">MAX(0,-EJ123)</f>
        <v>0</v>
      </c>
      <c r="EK125" s="33" t="n">
        <f aca="false">MAX(0,-EK123)</f>
        <v>0</v>
      </c>
      <c r="EL125" s="33" t="n">
        <f aca="false">MAX(0,-EL123)</f>
        <v>0</v>
      </c>
      <c r="EM125" s="33" t="n">
        <f aca="false">MAX(0,-EM123)</f>
        <v>0</v>
      </c>
      <c r="EN125" s="33" t="n">
        <f aca="false">MAX(0,-EN123)</f>
        <v>0</v>
      </c>
      <c r="EO125" s="33" t="n">
        <f aca="false">MAX(0,-EO123)</f>
        <v>0</v>
      </c>
      <c r="EP125" s="33" t="n">
        <f aca="false">MAX(0,-EP123)</f>
        <v>0</v>
      </c>
      <c r="EQ125" s="33" t="n">
        <f aca="false">MAX(0,-EQ123)</f>
        <v>0</v>
      </c>
      <c r="ER125" s="33" t="n">
        <f aca="false">MAX(0,-ER123)</f>
        <v>0</v>
      </c>
      <c r="ES125" s="33" t="n">
        <f aca="false">MAX(0,-ES123)</f>
        <v>0</v>
      </c>
      <c r="ET125" s="33" t="n">
        <f aca="false">MAX(0,-ET123)</f>
        <v>0</v>
      </c>
    </row>
    <row r="126" customFormat="false" ht="15" hidden="false" customHeight="false" outlineLevel="0" collapsed="false">
      <c r="C126" s="0" t="s">
        <v>569</v>
      </c>
      <c r="D126" s="11" t="s">
        <v>247</v>
      </c>
      <c r="I126" s="33" t="n">
        <f aca="false">SUM(J126:ET126)</f>
        <v>-6364.50608260992</v>
      </c>
      <c r="J126" s="33" t="n">
        <f aca="false">-MIN(J124,MAX(0,J123))</f>
        <v>-0</v>
      </c>
      <c r="K126" s="33" t="n">
        <f aca="false">-MIN(K124,MAX(0,K123))</f>
        <v>-0</v>
      </c>
      <c r="L126" s="33" t="n">
        <f aca="false">-MIN(L124,MAX(0,L123))</f>
        <v>-0</v>
      </c>
      <c r="M126" s="33" t="n">
        <f aca="false">-MIN(M124,MAX(0,M123))</f>
        <v>-0</v>
      </c>
      <c r="N126" s="33" t="n">
        <f aca="false">-MIN(N124,MAX(0,N123))</f>
        <v>-0</v>
      </c>
      <c r="O126" s="33" t="n">
        <f aca="false">-MIN(O124,MAX(0,O123))</f>
        <v>-0</v>
      </c>
      <c r="P126" s="33" t="n">
        <f aca="false">-MIN(P124,MAX(0,P123))</f>
        <v>-0</v>
      </c>
      <c r="Q126" s="33" t="n">
        <f aca="false">-MIN(Q124,MAX(0,Q123))</f>
        <v>-0</v>
      </c>
      <c r="R126" s="33" t="n">
        <f aca="false">-MIN(R124,MAX(0,R123))</f>
        <v>-0</v>
      </c>
      <c r="S126" s="33" t="n">
        <f aca="false">-MIN(S124,MAX(0,S123))</f>
        <v>-0</v>
      </c>
      <c r="T126" s="33" t="n">
        <f aca="false">-MIN(T124,MAX(0,T123))</f>
        <v>-0</v>
      </c>
      <c r="U126" s="33" t="n">
        <f aca="false">-MIN(U124,MAX(0,U123))</f>
        <v>-0</v>
      </c>
      <c r="V126" s="33" t="n">
        <f aca="false">-MIN(V124,MAX(0,V123))</f>
        <v>-0</v>
      </c>
      <c r="W126" s="33" t="n">
        <f aca="false">-MIN(W124,MAX(0,W123))</f>
        <v>-0</v>
      </c>
      <c r="X126" s="33" t="n">
        <f aca="false">-MIN(X124,MAX(0,X123))</f>
        <v>-0</v>
      </c>
      <c r="Y126" s="33" t="n">
        <f aca="false">-MIN(Y124,MAX(0,Y123))</f>
        <v>-0</v>
      </c>
      <c r="Z126" s="33" t="n">
        <f aca="false">-MIN(Z124,MAX(0,Z123))</f>
        <v>-0</v>
      </c>
      <c r="AA126" s="33" t="n">
        <f aca="false">-MIN(AA124,MAX(0,AA123))</f>
        <v>-0</v>
      </c>
      <c r="AB126" s="33" t="n">
        <f aca="false">-MIN(AB124,MAX(0,AB123))</f>
        <v>-0</v>
      </c>
      <c r="AC126" s="33" t="n">
        <f aca="false">-MIN(AC124,MAX(0,AC123))</f>
        <v>-0</v>
      </c>
      <c r="AD126" s="33" t="n">
        <f aca="false">-MIN(AD124,MAX(0,AD123))</f>
        <v>-0</v>
      </c>
      <c r="AE126" s="33" t="n">
        <f aca="false">-MIN(AE124,MAX(0,AE123))</f>
        <v>-844.592147336478</v>
      </c>
      <c r="AF126" s="33" t="n">
        <f aca="false">-MIN(AF124,MAX(0,AF123))</f>
        <v>-873.754592434829</v>
      </c>
      <c r="AG126" s="33" t="n">
        <f aca="false">-MIN(AG124,MAX(0,AG123))</f>
        <v>-898.171621364089</v>
      </c>
      <c r="AH126" s="33" t="n">
        <f aca="false">-MIN(AH124,MAX(0,AH123))</f>
        <v>-945.875618690579</v>
      </c>
      <c r="AI126" s="33" t="n">
        <f aca="false">-MIN(AI124,MAX(0,AI123))</f>
        <v>-956.212854990103</v>
      </c>
      <c r="AJ126" s="33" t="n">
        <f aca="false">-MIN(AJ124,MAX(0,AJ123))</f>
        <v>-963.097413625111</v>
      </c>
      <c r="AK126" s="33" t="n">
        <f aca="false">-MIN(AK124,MAX(0,AK123))</f>
        <v>-882.801834168731</v>
      </c>
      <c r="AL126" s="33" t="n">
        <f aca="false">-MIN(AL124,MAX(0,AL123))</f>
        <v>-0</v>
      </c>
      <c r="AM126" s="33" t="n">
        <f aca="false">-MIN(AM124,MAX(0,AM123))</f>
        <v>-0</v>
      </c>
      <c r="AN126" s="33" t="n">
        <f aca="false">-MIN(AN124,MAX(0,AN123))</f>
        <v>-0</v>
      </c>
      <c r="AO126" s="33" t="n">
        <f aca="false">-MIN(AO124,MAX(0,AO123))</f>
        <v>-0</v>
      </c>
      <c r="AP126" s="33" t="n">
        <f aca="false">-MIN(AP124,MAX(0,AP123))</f>
        <v>-0</v>
      </c>
      <c r="AQ126" s="33" t="n">
        <f aca="false">-MIN(AQ124,MAX(0,AQ123))</f>
        <v>-0</v>
      </c>
      <c r="AR126" s="33" t="n">
        <f aca="false">-MIN(AR124,MAX(0,AR123))</f>
        <v>-0</v>
      </c>
      <c r="AS126" s="33" t="n">
        <f aca="false">-MIN(AS124,MAX(0,AS123))</f>
        <v>-0</v>
      </c>
      <c r="AT126" s="33" t="n">
        <f aca="false">-MIN(AT124,MAX(0,AT123))</f>
        <v>-0</v>
      </c>
      <c r="AU126" s="33" t="n">
        <f aca="false">-MIN(AU124,MAX(0,AU123))</f>
        <v>-0</v>
      </c>
      <c r="AV126" s="33" t="n">
        <f aca="false">-MIN(AV124,MAX(0,AV123))</f>
        <v>-0</v>
      </c>
      <c r="AW126" s="33" t="n">
        <f aca="false">-MIN(AW124,MAX(0,AW123))</f>
        <v>-0</v>
      </c>
      <c r="AX126" s="33" t="n">
        <f aca="false">-MIN(AX124,MAX(0,AX123))</f>
        <v>-0</v>
      </c>
      <c r="AY126" s="33" t="n">
        <f aca="false">-MIN(AY124,MAX(0,AY123))</f>
        <v>-0</v>
      </c>
      <c r="AZ126" s="33" t="n">
        <f aca="false">-MIN(AZ124,MAX(0,AZ123))</f>
        <v>-0</v>
      </c>
      <c r="BA126" s="33" t="n">
        <f aca="false">-MIN(BA124,MAX(0,BA123))</f>
        <v>-0</v>
      </c>
      <c r="BB126" s="33" t="n">
        <f aca="false">-MIN(BB124,MAX(0,BB123))</f>
        <v>-0</v>
      </c>
      <c r="BC126" s="33" t="n">
        <f aca="false">-MIN(BC124,MAX(0,BC123))</f>
        <v>-0</v>
      </c>
      <c r="BD126" s="33" t="n">
        <f aca="false">-MIN(BD124,MAX(0,BD123))</f>
        <v>-0</v>
      </c>
      <c r="BE126" s="33" t="n">
        <f aca="false">-MIN(BE124,MAX(0,BE123))</f>
        <v>-0</v>
      </c>
      <c r="BF126" s="33" t="n">
        <f aca="false">-MIN(BF124,MAX(0,BF123))</f>
        <v>-0</v>
      </c>
      <c r="BG126" s="33" t="n">
        <f aca="false">-MIN(BG124,MAX(0,BG123))</f>
        <v>-0</v>
      </c>
      <c r="BH126" s="33" t="n">
        <f aca="false">-MIN(BH124,MAX(0,BH123))</f>
        <v>-0</v>
      </c>
      <c r="BI126" s="33" t="n">
        <f aca="false">-MIN(BI124,MAX(0,BI123))</f>
        <v>-0</v>
      </c>
      <c r="BJ126" s="33" t="n">
        <f aca="false">-MIN(BJ124,MAX(0,BJ123))</f>
        <v>-0</v>
      </c>
      <c r="BK126" s="33" t="n">
        <f aca="false">-MIN(BK124,MAX(0,BK123))</f>
        <v>-0</v>
      </c>
      <c r="BL126" s="33" t="n">
        <f aca="false">-MIN(BL124,MAX(0,BL123))</f>
        <v>-0</v>
      </c>
      <c r="BM126" s="33" t="n">
        <f aca="false">-MIN(BM124,MAX(0,BM123))</f>
        <v>-0</v>
      </c>
      <c r="BN126" s="33" t="n">
        <f aca="false">-MIN(BN124,MAX(0,BN123))</f>
        <v>-0</v>
      </c>
      <c r="BO126" s="33" t="n">
        <f aca="false">-MIN(BO124,MAX(0,BO123))</f>
        <v>-0</v>
      </c>
      <c r="BP126" s="33" t="n">
        <f aca="false">-MIN(BP124,MAX(0,BP123))</f>
        <v>-0</v>
      </c>
      <c r="BQ126" s="33" t="n">
        <f aca="false">-MIN(BQ124,MAX(0,BQ123))</f>
        <v>-0</v>
      </c>
      <c r="BR126" s="33" t="n">
        <f aca="false">-MIN(BR124,MAX(0,BR123))</f>
        <v>-0</v>
      </c>
      <c r="BS126" s="33" t="n">
        <f aca="false">-MIN(BS124,MAX(0,BS123))</f>
        <v>-0</v>
      </c>
      <c r="BT126" s="33" t="n">
        <f aca="false">-MIN(BT124,MAX(0,BT123))</f>
        <v>-0</v>
      </c>
      <c r="BU126" s="33" t="n">
        <f aca="false">-MIN(BU124,MAX(0,BU123))</f>
        <v>-0</v>
      </c>
      <c r="BV126" s="33" t="n">
        <f aca="false">-MIN(BV124,MAX(0,BV123))</f>
        <v>-0</v>
      </c>
      <c r="BW126" s="33" t="n">
        <f aca="false">-MIN(BW124,MAX(0,BW123))</f>
        <v>-0</v>
      </c>
      <c r="BX126" s="33" t="n">
        <f aca="false">-MIN(BX124,MAX(0,BX123))</f>
        <v>-0</v>
      </c>
      <c r="BY126" s="33" t="n">
        <f aca="false">-MIN(BY124,MAX(0,BY123))</f>
        <v>-0</v>
      </c>
      <c r="BZ126" s="33" t="n">
        <f aca="false">-MIN(BZ124,MAX(0,BZ123))</f>
        <v>-0</v>
      </c>
      <c r="CA126" s="33" t="n">
        <f aca="false">-MIN(CA124,MAX(0,CA123))</f>
        <v>-0</v>
      </c>
      <c r="CB126" s="33" t="n">
        <f aca="false">-MIN(CB124,MAX(0,CB123))</f>
        <v>-0</v>
      </c>
      <c r="CC126" s="33" t="n">
        <f aca="false">-MIN(CC124,MAX(0,CC123))</f>
        <v>-0</v>
      </c>
      <c r="CD126" s="33" t="n">
        <f aca="false">-MIN(CD124,MAX(0,CD123))</f>
        <v>-0</v>
      </c>
      <c r="CE126" s="33" t="n">
        <f aca="false">-MIN(CE124,MAX(0,CE123))</f>
        <v>-0</v>
      </c>
      <c r="CF126" s="33" t="n">
        <f aca="false">-MIN(CF124,MAX(0,CF123))</f>
        <v>-0</v>
      </c>
      <c r="CG126" s="33" t="n">
        <f aca="false">-MIN(CG124,MAX(0,CG123))</f>
        <v>-0</v>
      </c>
      <c r="CH126" s="33" t="n">
        <f aca="false">-MIN(CH124,MAX(0,CH123))</f>
        <v>-0</v>
      </c>
      <c r="CI126" s="33" t="n">
        <f aca="false">-MIN(CI124,MAX(0,CI123))</f>
        <v>-0</v>
      </c>
      <c r="CJ126" s="33" t="n">
        <f aca="false">-MIN(CJ124,MAX(0,CJ123))</f>
        <v>-0</v>
      </c>
      <c r="CK126" s="33" t="n">
        <f aca="false">-MIN(CK124,MAX(0,CK123))</f>
        <v>-0</v>
      </c>
      <c r="CL126" s="33" t="n">
        <f aca="false">-MIN(CL124,MAX(0,CL123))</f>
        <v>-0</v>
      </c>
      <c r="CM126" s="33" t="n">
        <f aca="false">-MIN(CM124,MAX(0,CM123))</f>
        <v>-0</v>
      </c>
      <c r="CN126" s="33" t="n">
        <f aca="false">-MIN(CN124,MAX(0,CN123))</f>
        <v>-0</v>
      </c>
      <c r="CO126" s="33" t="n">
        <f aca="false">-MIN(CO124,MAX(0,CO123))</f>
        <v>-0</v>
      </c>
      <c r="CP126" s="33" t="n">
        <f aca="false">-MIN(CP124,MAX(0,CP123))</f>
        <v>-0</v>
      </c>
      <c r="CQ126" s="33" t="n">
        <f aca="false">-MIN(CQ124,MAX(0,CQ123))</f>
        <v>-0</v>
      </c>
      <c r="CR126" s="33" t="n">
        <f aca="false">-MIN(CR124,MAX(0,CR123))</f>
        <v>-0</v>
      </c>
      <c r="CS126" s="33" t="n">
        <f aca="false">-MIN(CS124,MAX(0,CS123))</f>
        <v>-0</v>
      </c>
      <c r="CT126" s="33" t="n">
        <f aca="false">-MIN(CT124,MAX(0,CT123))</f>
        <v>-0</v>
      </c>
      <c r="CU126" s="33" t="n">
        <f aca="false">-MIN(CU124,MAX(0,CU123))</f>
        <v>-0</v>
      </c>
      <c r="CV126" s="33" t="n">
        <f aca="false">-MIN(CV124,MAX(0,CV123))</f>
        <v>-0</v>
      </c>
      <c r="CW126" s="33" t="n">
        <f aca="false">-MIN(CW124,MAX(0,CW123))</f>
        <v>-0</v>
      </c>
      <c r="CX126" s="33" t="n">
        <f aca="false">-MIN(CX124,MAX(0,CX123))</f>
        <v>-0</v>
      </c>
      <c r="CY126" s="33" t="n">
        <f aca="false">-MIN(CY124,MAX(0,CY123))</f>
        <v>-0</v>
      </c>
      <c r="CZ126" s="33" t="n">
        <f aca="false">-MIN(CZ124,MAX(0,CZ123))</f>
        <v>-0</v>
      </c>
      <c r="DA126" s="33" t="n">
        <f aca="false">-MIN(DA124,MAX(0,DA123))</f>
        <v>-0</v>
      </c>
      <c r="DB126" s="33" t="n">
        <f aca="false">-MIN(DB124,MAX(0,DB123))</f>
        <v>-0</v>
      </c>
      <c r="DC126" s="33" t="n">
        <f aca="false">-MIN(DC124,MAX(0,DC123))</f>
        <v>-0</v>
      </c>
      <c r="DD126" s="33" t="n">
        <f aca="false">-MIN(DD124,MAX(0,DD123))</f>
        <v>-0</v>
      </c>
      <c r="DE126" s="33" t="n">
        <f aca="false">-MIN(DE124,MAX(0,DE123))</f>
        <v>-0</v>
      </c>
      <c r="DF126" s="33" t="n">
        <f aca="false">-MIN(DF124,MAX(0,DF123))</f>
        <v>-0</v>
      </c>
      <c r="DG126" s="33" t="n">
        <f aca="false">-MIN(DG124,MAX(0,DG123))</f>
        <v>-0</v>
      </c>
      <c r="DH126" s="33" t="n">
        <f aca="false">-MIN(DH124,MAX(0,DH123))</f>
        <v>-0</v>
      </c>
      <c r="DI126" s="33" t="n">
        <f aca="false">-MIN(DI124,MAX(0,DI123))</f>
        <v>-0</v>
      </c>
      <c r="DJ126" s="33" t="n">
        <f aca="false">-MIN(DJ124,MAX(0,DJ123))</f>
        <v>-0</v>
      </c>
      <c r="DK126" s="33" t="n">
        <f aca="false">-MIN(DK124,MAX(0,DK123))</f>
        <v>-0</v>
      </c>
      <c r="DL126" s="33" t="n">
        <f aca="false">-MIN(DL124,MAX(0,DL123))</f>
        <v>-0</v>
      </c>
      <c r="DM126" s="33" t="n">
        <f aca="false">-MIN(DM124,MAX(0,DM123))</f>
        <v>-0</v>
      </c>
      <c r="DN126" s="33" t="n">
        <f aca="false">-MIN(DN124,MAX(0,DN123))</f>
        <v>-0</v>
      </c>
      <c r="DO126" s="33" t="n">
        <f aca="false">-MIN(DO124,MAX(0,DO123))</f>
        <v>-0</v>
      </c>
      <c r="DP126" s="33" t="n">
        <f aca="false">-MIN(DP124,MAX(0,DP123))</f>
        <v>-0</v>
      </c>
      <c r="DQ126" s="33" t="n">
        <f aca="false">-MIN(DQ124,MAX(0,DQ123))</f>
        <v>-0</v>
      </c>
      <c r="DR126" s="33" t="n">
        <f aca="false">-MIN(DR124,MAX(0,DR123))</f>
        <v>-0</v>
      </c>
      <c r="DS126" s="33" t="n">
        <f aca="false">-MIN(DS124,MAX(0,DS123))</f>
        <v>-0</v>
      </c>
      <c r="DT126" s="33" t="n">
        <f aca="false">-MIN(DT124,MAX(0,DT123))</f>
        <v>-0</v>
      </c>
      <c r="DU126" s="33" t="n">
        <f aca="false">-MIN(DU124,MAX(0,DU123))</f>
        <v>-0</v>
      </c>
      <c r="DV126" s="33" t="n">
        <f aca="false">-MIN(DV124,MAX(0,DV123))</f>
        <v>-0</v>
      </c>
      <c r="DW126" s="33" t="n">
        <f aca="false">-MIN(DW124,MAX(0,DW123))</f>
        <v>-0</v>
      </c>
      <c r="DX126" s="33" t="n">
        <f aca="false">-MIN(DX124,MAX(0,DX123))</f>
        <v>-0</v>
      </c>
      <c r="DY126" s="33" t="n">
        <f aca="false">-MIN(DY124,MAX(0,DY123))</f>
        <v>-0</v>
      </c>
      <c r="DZ126" s="33" t="n">
        <f aca="false">-MIN(DZ124,MAX(0,DZ123))</f>
        <v>-0</v>
      </c>
      <c r="EA126" s="33" t="n">
        <f aca="false">-MIN(EA124,MAX(0,EA123))</f>
        <v>-0</v>
      </c>
      <c r="EB126" s="33" t="n">
        <f aca="false">-MIN(EB124,MAX(0,EB123))</f>
        <v>-0</v>
      </c>
      <c r="EC126" s="33" t="n">
        <f aca="false">-MIN(EC124,MAX(0,EC123))</f>
        <v>-0</v>
      </c>
      <c r="ED126" s="33" t="n">
        <f aca="false">-MIN(ED124,MAX(0,ED123))</f>
        <v>-0</v>
      </c>
      <c r="EE126" s="33" t="n">
        <f aca="false">-MIN(EE124,MAX(0,EE123))</f>
        <v>-0</v>
      </c>
      <c r="EF126" s="33" t="n">
        <f aca="false">-MIN(EF124,MAX(0,EF123))</f>
        <v>-0</v>
      </c>
      <c r="EG126" s="33" t="n">
        <f aca="false">-MIN(EG124,MAX(0,EG123))</f>
        <v>-0</v>
      </c>
      <c r="EH126" s="33" t="n">
        <f aca="false">-MIN(EH124,MAX(0,EH123))</f>
        <v>-0</v>
      </c>
      <c r="EI126" s="33" t="n">
        <f aca="false">-MIN(EI124,MAX(0,EI123))</f>
        <v>-0</v>
      </c>
      <c r="EJ126" s="33" t="n">
        <f aca="false">-MIN(EJ124,MAX(0,EJ123))</f>
        <v>-0</v>
      </c>
      <c r="EK126" s="33" t="n">
        <f aca="false">-MIN(EK124,MAX(0,EK123))</f>
        <v>-0</v>
      </c>
      <c r="EL126" s="33" t="n">
        <f aca="false">-MIN(EL124,MAX(0,EL123))</f>
        <v>-0</v>
      </c>
      <c r="EM126" s="33" t="n">
        <f aca="false">-MIN(EM124,MAX(0,EM123))</f>
        <v>-0</v>
      </c>
      <c r="EN126" s="33" t="n">
        <f aca="false">-MIN(EN124,MAX(0,EN123))</f>
        <v>-0</v>
      </c>
      <c r="EO126" s="33" t="n">
        <f aca="false">-MIN(EO124,MAX(0,EO123))</f>
        <v>-0</v>
      </c>
      <c r="EP126" s="33" t="n">
        <f aca="false">-MIN(EP124,MAX(0,EP123))</f>
        <v>-0</v>
      </c>
      <c r="EQ126" s="33" t="n">
        <f aca="false">-MIN(EQ124,MAX(0,EQ123))</f>
        <v>-0</v>
      </c>
      <c r="ER126" s="33" t="n">
        <f aca="false">-MIN(ER124,MAX(0,ER123))</f>
        <v>-0</v>
      </c>
      <c r="ES126" s="33" t="n">
        <f aca="false">-MIN(ES124,MAX(0,ES123))</f>
        <v>-0</v>
      </c>
      <c r="ET126" s="33" t="n">
        <f aca="false">-MIN(ET124,MAX(0,ET123))</f>
        <v>-0</v>
      </c>
    </row>
    <row r="127" customFormat="false" ht="15" hidden="false" customHeight="false" outlineLevel="0" collapsed="false">
      <c r="C127" s="0" t="s">
        <v>570</v>
      </c>
      <c r="D127" s="11" t="s">
        <v>247</v>
      </c>
      <c r="I127" s="54"/>
      <c r="J127" s="33" t="n">
        <f aca="false">SUM(J124:J126)</f>
        <v>0</v>
      </c>
      <c r="K127" s="33" t="n">
        <f aca="false">SUM(K124:K126)</f>
        <v>178.520547945205</v>
      </c>
      <c r="L127" s="33" t="n">
        <f aca="false">SUM(L124:L126)</f>
        <v>766.965068493151</v>
      </c>
      <c r="M127" s="33" t="n">
        <f aca="false">SUM(M124:M126)</f>
        <v>810.800684931507</v>
      </c>
      <c r="N127" s="33" t="n">
        <f aca="false">SUM(N124:N126)</f>
        <v>854.636301369863</v>
      </c>
      <c r="O127" s="33" t="n">
        <f aca="false">SUM(O124:O126)</f>
        <v>1038.99794520548</v>
      </c>
      <c r="P127" s="33" t="n">
        <f aca="false">SUM(P124:P126)</f>
        <v>2329.03974000559</v>
      </c>
      <c r="Q127" s="33" t="n">
        <f aca="false">SUM(Q124:Q126)</f>
        <v>2333.64932904669</v>
      </c>
      <c r="R127" s="33" t="n">
        <f aca="false">SUM(R124:R126)</f>
        <v>2497.74083902712</v>
      </c>
      <c r="S127" s="33" t="n">
        <f aca="false">SUM(S124:S126)</f>
        <v>2814.96697772435</v>
      </c>
      <c r="T127" s="33" t="n">
        <f aca="false">SUM(T124:T126)</f>
        <v>3119.62451197093</v>
      </c>
      <c r="U127" s="33" t="n">
        <f aca="false">SUM(U124:U126)</f>
        <v>3119.62451197093</v>
      </c>
      <c r="V127" s="33" t="n">
        <f aca="false">SUM(V124:V126)</f>
        <v>3119.62451197093</v>
      </c>
      <c r="W127" s="33" t="n">
        <f aca="false">SUM(W124:W126)</f>
        <v>5074.63865062317</v>
      </c>
      <c r="X127" s="33" t="n">
        <f aca="false">SUM(X124:X126)</f>
        <v>5334.80891409552</v>
      </c>
      <c r="Y127" s="33" t="n">
        <f aca="false">SUM(Y124:Y126)</f>
        <v>5571.5693249929</v>
      </c>
      <c r="Z127" s="33" t="n">
        <f aca="false">SUM(Z124:Z126)</f>
        <v>5784.04640684983</v>
      </c>
      <c r="AA127" s="33" t="n">
        <f aca="false">SUM(AA124:AA126)</f>
        <v>5969.34295633999</v>
      </c>
      <c r="AB127" s="33" t="n">
        <f aca="false">SUM(AB124:AB126)</f>
        <v>6125.91608905738</v>
      </c>
      <c r="AC127" s="33" t="n">
        <f aca="false">SUM(AC124:AC126)</f>
        <v>6257.92828996918</v>
      </c>
      <c r="AD127" s="33" t="n">
        <f aca="false">SUM(AD124:AD126)</f>
        <v>6364.50608260992</v>
      </c>
      <c r="AE127" s="33" t="n">
        <f aca="false">SUM(AE124:AE126)</f>
        <v>5519.91393527344</v>
      </c>
      <c r="AF127" s="33" t="n">
        <f aca="false">SUM(AF124:AF126)</f>
        <v>4646.15934283861</v>
      </c>
      <c r="AG127" s="33" t="n">
        <f aca="false">SUM(AG124:AG126)</f>
        <v>3747.98772147452</v>
      </c>
      <c r="AH127" s="33" t="n">
        <f aca="false">SUM(AH124:AH126)</f>
        <v>2802.11210278394</v>
      </c>
      <c r="AI127" s="33" t="n">
        <f aca="false">SUM(AI124:AI126)</f>
        <v>1845.89924779384</v>
      </c>
      <c r="AJ127" s="33" t="n">
        <f aca="false">SUM(AJ124:AJ126)</f>
        <v>882.801834168731</v>
      </c>
      <c r="AK127" s="33" t="n">
        <f aca="false">SUM(AK124:AK126)</f>
        <v>0</v>
      </c>
      <c r="AL127" s="33" t="n">
        <f aca="false">SUM(AL124:AL126)</f>
        <v>0</v>
      </c>
      <c r="AM127" s="33" t="n">
        <f aca="false">SUM(AM124:AM126)</f>
        <v>0</v>
      </c>
      <c r="AN127" s="33" t="n">
        <f aca="false">SUM(AN124:AN126)</f>
        <v>0</v>
      </c>
      <c r="AO127" s="33" t="n">
        <f aca="false">SUM(AO124:AO126)</f>
        <v>0</v>
      </c>
      <c r="AP127" s="33" t="n">
        <f aca="false">SUM(AP124:AP126)</f>
        <v>0</v>
      </c>
      <c r="AQ127" s="33" t="n">
        <f aca="false">SUM(AQ124:AQ126)</f>
        <v>0</v>
      </c>
      <c r="AR127" s="33" t="n">
        <f aca="false">SUM(AR124:AR126)</f>
        <v>0</v>
      </c>
      <c r="AS127" s="33" t="n">
        <f aca="false">SUM(AS124:AS126)</f>
        <v>0</v>
      </c>
      <c r="AT127" s="33" t="n">
        <f aca="false">SUM(AT124:AT126)</f>
        <v>0</v>
      </c>
      <c r="AU127" s="33" t="n">
        <f aca="false">SUM(AU124:AU126)</f>
        <v>0</v>
      </c>
      <c r="AV127" s="33" t="n">
        <f aca="false">SUM(AV124:AV126)</f>
        <v>0</v>
      </c>
      <c r="AW127" s="33" t="n">
        <f aca="false">SUM(AW124:AW126)</f>
        <v>0</v>
      </c>
      <c r="AX127" s="33" t="n">
        <f aca="false">SUM(AX124:AX126)</f>
        <v>0</v>
      </c>
      <c r="AY127" s="33" t="n">
        <f aca="false">SUM(AY124:AY126)</f>
        <v>0</v>
      </c>
      <c r="AZ127" s="33" t="n">
        <f aca="false">SUM(AZ124:AZ126)</f>
        <v>0</v>
      </c>
      <c r="BA127" s="33" t="n">
        <f aca="false">SUM(BA124:BA126)</f>
        <v>0</v>
      </c>
      <c r="BB127" s="33" t="n">
        <f aca="false">SUM(BB124:BB126)</f>
        <v>0</v>
      </c>
      <c r="BC127" s="33" t="n">
        <f aca="false">SUM(BC124:BC126)</f>
        <v>0</v>
      </c>
      <c r="BD127" s="33" t="n">
        <f aca="false">SUM(BD124:BD126)</f>
        <v>0</v>
      </c>
      <c r="BE127" s="33" t="n">
        <f aca="false">SUM(BE124:BE126)</f>
        <v>0</v>
      </c>
      <c r="BF127" s="33" t="n">
        <f aca="false">SUM(BF124:BF126)</f>
        <v>0</v>
      </c>
      <c r="BG127" s="33" t="n">
        <f aca="false">SUM(BG124:BG126)</f>
        <v>0</v>
      </c>
      <c r="BH127" s="33" t="n">
        <f aca="false">SUM(BH124:BH126)</f>
        <v>0</v>
      </c>
      <c r="BI127" s="33" t="n">
        <f aca="false">SUM(BI124:BI126)</f>
        <v>0</v>
      </c>
      <c r="BJ127" s="33" t="n">
        <f aca="false">SUM(BJ124:BJ126)</f>
        <v>0</v>
      </c>
      <c r="BK127" s="33" t="n">
        <f aca="false">SUM(BK124:BK126)</f>
        <v>0</v>
      </c>
      <c r="BL127" s="33" t="n">
        <f aca="false">SUM(BL124:BL126)</f>
        <v>0</v>
      </c>
      <c r="BM127" s="33" t="n">
        <f aca="false">SUM(BM124:BM126)</f>
        <v>0</v>
      </c>
      <c r="BN127" s="33" t="n">
        <f aca="false">SUM(BN124:BN126)</f>
        <v>0</v>
      </c>
      <c r="BO127" s="33" t="n">
        <f aca="false">SUM(BO124:BO126)</f>
        <v>0</v>
      </c>
      <c r="BP127" s="33" t="n">
        <f aca="false">SUM(BP124:BP126)</f>
        <v>0</v>
      </c>
      <c r="BQ127" s="33" t="n">
        <f aca="false">SUM(BQ124:BQ126)</f>
        <v>0</v>
      </c>
      <c r="BR127" s="33" t="n">
        <f aca="false">SUM(BR124:BR126)</f>
        <v>0</v>
      </c>
      <c r="BS127" s="33" t="n">
        <f aca="false">SUM(BS124:BS126)</f>
        <v>0</v>
      </c>
      <c r="BT127" s="33" t="n">
        <f aca="false">SUM(BT124:BT126)</f>
        <v>0</v>
      </c>
      <c r="BU127" s="33" t="n">
        <f aca="false">SUM(BU124:BU126)</f>
        <v>0</v>
      </c>
      <c r="BV127" s="33" t="n">
        <f aca="false">SUM(BV124:BV126)</f>
        <v>0</v>
      </c>
      <c r="BW127" s="33" t="n">
        <f aca="false">SUM(BW124:BW126)</f>
        <v>0</v>
      </c>
      <c r="BX127" s="33" t="n">
        <f aca="false">SUM(BX124:BX126)</f>
        <v>0</v>
      </c>
      <c r="BY127" s="33" t="n">
        <f aca="false">SUM(BY124:BY126)</f>
        <v>0</v>
      </c>
      <c r="BZ127" s="33" t="n">
        <f aca="false">SUM(BZ124:BZ126)</f>
        <v>0</v>
      </c>
      <c r="CA127" s="33" t="n">
        <f aca="false">SUM(CA124:CA126)</f>
        <v>0</v>
      </c>
      <c r="CB127" s="33" t="n">
        <f aca="false">SUM(CB124:CB126)</f>
        <v>0</v>
      </c>
      <c r="CC127" s="33" t="n">
        <f aca="false">SUM(CC124:CC126)</f>
        <v>0</v>
      </c>
      <c r="CD127" s="33" t="n">
        <f aca="false">SUM(CD124:CD126)</f>
        <v>0</v>
      </c>
      <c r="CE127" s="33" t="n">
        <f aca="false">SUM(CE124:CE126)</f>
        <v>0</v>
      </c>
      <c r="CF127" s="33" t="n">
        <f aca="false">SUM(CF124:CF126)</f>
        <v>0</v>
      </c>
      <c r="CG127" s="33" t="n">
        <f aca="false">SUM(CG124:CG126)</f>
        <v>0</v>
      </c>
      <c r="CH127" s="33" t="n">
        <f aca="false">SUM(CH124:CH126)</f>
        <v>0</v>
      </c>
      <c r="CI127" s="33" t="n">
        <f aca="false">SUM(CI124:CI126)</f>
        <v>0</v>
      </c>
      <c r="CJ127" s="33" t="n">
        <f aca="false">SUM(CJ124:CJ126)</f>
        <v>0</v>
      </c>
      <c r="CK127" s="33" t="n">
        <f aca="false">SUM(CK124:CK126)</f>
        <v>0</v>
      </c>
      <c r="CL127" s="33" t="n">
        <f aca="false">SUM(CL124:CL126)</f>
        <v>0</v>
      </c>
      <c r="CM127" s="33" t="n">
        <f aca="false">SUM(CM124:CM126)</f>
        <v>0</v>
      </c>
      <c r="CN127" s="33" t="n">
        <f aca="false">SUM(CN124:CN126)</f>
        <v>0</v>
      </c>
      <c r="CO127" s="33" t="n">
        <f aca="false">SUM(CO124:CO126)</f>
        <v>0</v>
      </c>
      <c r="CP127" s="33" t="n">
        <f aca="false">SUM(CP124:CP126)</f>
        <v>0</v>
      </c>
      <c r="CQ127" s="33" t="n">
        <f aca="false">SUM(CQ124:CQ126)</f>
        <v>0</v>
      </c>
      <c r="CR127" s="33" t="n">
        <f aca="false">SUM(CR124:CR126)</f>
        <v>0</v>
      </c>
      <c r="CS127" s="33" t="n">
        <f aca="false">SUM(CS124:CS126)</f>
        <v>0</v>
      </c>
      <c r="CT127" s="33" t="n">
        <f aca="false">SUM(CT124:CT126)</f>
        <v>0</v>
      </c>
      <c r="CU127" s="33" t="n">
        <f aca="false">SUM(CU124:CU126)</f>
        <v>0</v>
      </c>
      <c r="CV127" s="33" t="n">
        <f aca="false">SUM(CV124:CV126)</f>
        <v>0</v>
      </c>
      <c r="CW127" s="33" t="n">
        <f aca="false">SUM(CW124:CW126)</f>
        <v>0</v>
      </c>
      <c r="CX127" s="33" t="n">
        <f aca="false">SUM(CX124:CX126)</f>
        <v>0</v>
      </c>
      <c r="CY127" s="33" t="n">
        <f aca="false">SUM(CY124:CY126)</f>
        <v>0</v>
      </c>
      <c r="CZ127" s="33" t="n">
        <f aca="false">SUM(CZ124:CZ126)</f>
        <v>0</v>
      </c>
      <c r="DA127" s="33" t="n">
        <f aca="false">SUM(DA124:DA126)</f>
        <v>0</v>
      </c>
      <c r="DB127" s="33" t="n">
        <f aca="false">SUM(DB124:DB126)</f>
        <v>0</v>
      </c>
      <c r="DC127" s="33" t="n">
        <f aca="false">SUM(DC124:DC126)</f>
        <v>0</v>
      </c>
      <c r="DD127" s="33" t="n">
        <f aca="false">SUM(DD124:DD126)</f>
        <v>0</v>
      </c>
      <c r="DE127" s="33" t="n">
        <f aca="false">SUM(DE124:DE126)</f>
        <v>0</v>
      </c>
      <c r="DF127" s="33" t="n">
        <f aca="false">SUM(DF124:DF126)</f>
        <v>0</v>
      </c>
      <c r="DG127" s="33" t="n">
        <f aca="false">SUM(DG124:DG126)</f>
        <v>0</v>
      </c>
      <c r="DH127" s="33" t="n">
        <f aca="false">SUM(DH124:DH126)</f>
        <v>0</v>
      </c>
      <c r="DI127" s="33" t="n">
        <f aca="false">SUM(DI124:DI126)</f>
        <v>0</v>
      </c>
      <c r="DJ127" s="33" t="n">
        <f aca="false">SUM(DJ124:DJ126)</f>
        <v>0</v>
      </c>
      <c r="DK127" s="33" t="n">
        <f aca="false">SUM(DK124:DK126)</f>
        <v>0</v>
      </c>
      <c r="DL127" s="33" t="n">
        <f aca="false">SUM(DL124:DL126)</f>
        <v>0</v>
      </c>
      <c r="DM127" s="33" t="n">
        <f aca="false">SUM(DM124:DM126)</f>
        <v>0</v>
      </c>
      <c r="DN127" s="33" t="n">
        <f aca="false">SUM(DN124:DN126)</f>
        <v>0</v>
      </c>
      <c r="DO127" s="33" t="n">
        <f aca="false">SUM(DO124:DO126)</f>
        <v>0</v>
      </c>
      <c r="DP127" s="33" t="n">
        <f aca="false">SUM(DP124:DP126)</f>
        <v>0</v>
      </c>
      <c r="DQ127" s="33" t="n">
        <f aca="false">SUM(DQ124:DQ126)</f>
        <v>0</v>
      </c>
      <c r="DR127" s="33" t="n">
        <f aca="false">SUM(DR124:DR126)</f>
        <v>0</v>
      </c>
      <c r="DS127" s="33" t="n">
        <f aca="false">SUM(DS124:DS126)</f>
        <v>0</v>
      </c>
      <c r="DT127" s="33" t="n">
        <f aca="false">SUM(DT124:DT126)</f>
        <v>0</v>
      </c>
      <c r="DU127" s="33" t="n">
        <f aca="false">SUM(DU124:DU126)</f>
        <v>0</v>
      </c>
      <c r="DV127" s="33" t="n">
        <f aca="false">SUM(DV124:DV126)</f>
        <v>0</v>
      </c>
      <c r="DW127" s="33" t="n">
        <f aca="false">SUM(DW124:DW126)</f>
        <v>0</v>
      </c>
      <c r="DX127" s="33" t="n">
        <f aca="false">SUM(DX124:DX126)</f>
        <v>0</v>
      </c>
      <c r="DY127" s="33" t="n">
        <f aca="false">SUM(DY124:DY126)</f>
        <v>0</v>
      </c>
      <c r="DZ127" s="33" t="n">
        <f aca="false">SUM(DZ124:DZ126)</f>
        <v>0</v>
      </c>
      <c r="EA127" s="33" t="n">
        <f aca="false">SUM(EA124:EA126)</f>
        <v>0</v>
      </c>
      <c r="EB127" s="33" t="n">
        <f aca="false">SUM(EB124:EB126)</f>
        <v>0</v>
      </c>
      <c r="EC127" s="33" t="n">
        <f aca="false">SUM(EC124:EC126)</f>
        <v>0</v>
      </c>
      <c r="ED127" s="33" t="n">
        <f aca="false">SUM(ED124:ED126)</f>
        <v>0</v>
      </c>
      <c r="EE127" s="33" t="n">
        <f aca="false">SUM(EE124:EE126)</f>
        <v>0</v>
      </c>
      <c r="EF127" s="33" t="n">
        <f aca="false">SUM(EF124:EF126)</f>
        <v>0</v>
      </c>
      <c r="EG127" s="33" t="n">
        <f aca="false">SUM(EG124:EG126)</f>
        <v>0</v>
      </c>
      <c r="EH127" s="33" t="n">
        <f aca="false">SUM(EH124:EH126)</f>
        <v>0</v>
      </c>
      <c r="EI127" s="33" t="n">
        <f aca="false">SUM(EI124:EI126)</f>
        <v>0</v>
      </c>
      <c r="EJ127" s="33" t="n">
        <f aca="false">SUM(EJ124:EJ126)</f>
        <v>0</v>
      </c>
      <c r="EK127" s="33" t="n">
        <f aca="false">SUM(EK124:EK126)</f>
        <v>0</v>
      </c>
      <c r="EL127" s="33" t="n">
        <f aca="false">SUM(EL124:EL126)</f>
        <v>0</v>
      </c>
      <c r="EM127" s="33" t="n">
        <f aca="false">SUM(EM124:EM126)</f>
        <v>0</v>
      </c>
      <c r="EN127" s="33" t="n">
        <f aca="false">SUM(EN124:EN126)</f>
        <v>0</v>
      </c>
      <c r="EO127" s="33" t="n">
        <f aca="false">SUM(EO124:EO126)</f>
        <v>0</v>
      </c>
      <c r="EP127" s="33" t="n">
        <f aca="false">SUM(EP124:EP126)</f>
        <v>0</v>
      </c>
      <c r="EQ127" s="33" t="n">
        <f aca="false">SUM(EQ124:EQ126)</f>
        <v>0</v>
      </c>
      <c r="ER127" s="33" t="n">
        <f aca="false">SUM(ER124:ER126)</f>
        <v>0</v>
      </c>
      <c r="ES127" s="33" t="n">
        <f aca="false">SUM(ES124:ES126)</f>
        <v>0</v>
      </c>
      <c r="ET127" s="33" t="n">
        <f aca="false">SUM(ET124:ET126)</f>
        <v>0</v>
      </c>
    </row>
    <row r="128" customFormat="false" ht="15" hidden="false" customHeight="false" outlineLevel="0" collapsed="false">
      <c r="C128" s="30" t="s">
        <v>244</v>
      </c>
      <c r="D128" s="11" t="s">
        <v>247</v>
      </c>
      <c r="I128" s="35" t="n">
        <f aca="false">SUM(J128:ET128)</f>
        <v>-28323.9656639994</v>
      </c>
      <c r="J128" s="35" t="n">
        <f aca="false">-In_CIT*(MAX(0,J123)+J126)</f>
        <v>-0</v>
      </c>
      <c r="K128" s="35" t="n">
        <f aca="false">-In_CIT*(MAX(0,K123)+K126)</f>
        <v>-0</v>
      </c>
      <c r="L128" s="35" t="n">
        <f aca="false">-In_CIT*(MAX(0,L123)+L126)</f>
        <v>-0</v>
      </c>
      <c r="M128" s="35" t="n">
        <f aca="false">-In_CIT*(MAX(0,M123)+M126)</f>
        <v>-0</v>
      </c>
      <c r="N128" s="35" t="n">
        <f aca="false">-In_CIT*(MAX(0,N123)+N126)</f>
        <v>-0</v>
      </c>
      <c r="O128" s="35" t="n">
        <f aca="false">-In_CIT*(MAX(0,O123)+O126)</f>
        <v>-0</v>
      </c>
      <c r="P128" s="35" t="n">
        <f aca="false">-In_CIT*(MAX(0,P123)+P126)</f>
        <v>-0</v>
      </c>
      <c r="Q128" s="35" t="n">
        <f aca="false">-In_CIT*(MAX(0,Q123)+Q126)</f>
        <v>-0</v>
      </c>
      <c r="R128" s="35" t="n">
        <f aca="false">-In_CIT*(MAX(0,R123)+R126)</f>
        <v>-0</v>
      </c>
      <c r="S128" s="35" t="n">
        <f aca="false">-In_CIT*(MAX(0,S123)+S126)</f>
        <v>-0</v>
      </c>
      <c r="T128" s="35" t="n">
        <f aca="false">-In_CIT*(MAX(0,T123)+T126)</f>
        <v>-0</v>
      </c>
      <c r="U128" s="35" t="n">
        <f aca="false">-In_CIT*(MAX(0,U123)+U126)</f>
        <v>-0</v>
      </c>
      <c r="V128" s="35" t="n">
        <f aca="false">-In_CIT*(MAX(0,V123)+V126)</f>
        <v>-0</v>
      </c>
      <c r="W128" s="35" t="n">
        <f aca="false">-In_CIT*(MAX(0,W123)+W126)</f>
        <v>-0</v>
      </c>
      <c r="X128" s="35" t="n">
        <f aca="false">-In_CIT*(MAX(0,X123)+X126)</f>
        <v>-0</v>
      </c>
      <c r="Y128" s="35" t="n">
        <f aca="false">-In_CIT*(MAX(0,Y123)+Y126)</f>
        <v>-0</v>
      </c>
      <c r="Z128" s="35" t="n">
        <f aca="false">-In_CIT*(MAX(0,Z123)+Z126)</f>
        <v>-0</v>
      </c>
      <c r="AA128" s="35" t="n">
        <f aca="false">-In_CIT*(MAX(0,AA123)+AA126)</f>
        <v>-0</v>
      </c>
      <c r="AB128" s="35" t="n">
        <f aca="false">-In_CIT*(MAX(0,AB123)+AB126)</f>
        <v>-0</v>
      </c>
      <c r="AC128" s="35" t="n">
        <f aca="false">-In_CIT*(MAX(0,AC123)+AC126)</f>
        <v>-0</v>
      </c>
      <c r="AD128" s="35" t="n">
        <f aca="false">-In_CIT*(MAX(0,AD123)+AD126)</f>
        <v>-0</v>
      </c>
      <c r="AE128" s="35" t="n">
        <f aca="false">-In_CIT*(MAX(0,AE123)+AE126)</f>
        <v>-0</v>
      </c>
      <c r="AF128" s="35" t="n">
        <f aca="false">-In_CIT*(MAX(0,AF123)+AF126)</f>
        <v>-0</v>
      </c>
      <c r="AG128" s="35" t="n">
        <f aca="false">-In_CIT*(MAX(0,AG123)+AG126)</f>
        <v>-0</v>
      </c>
      <c r="AH128" s="35" t="n">
        <f aca="false">-In_CIT*(MAX(0,AH123)+AH126)</f>
        <v>-0</v>
      </c>
      <c r="AI128" s="35" t="n">
        <f aca="false">-In_CIT*(MAX(0,AI123)+AI126)</f>
        <v>-0</v>
      </c>
      <c r="AJ128" s="35" t="n">
        <f aca="false">-In_CIT*(MAX(0,AJ123)+AJ126)</f>
        <v>-0</v>
      </c>
      <c r="AK128" s="35" t="n">
        <f aca="false">-In_CIT*(MAX(0,AK123)+AK126)</f>
        <v>-11.6172566672914</v>
      </c>
      <c r="AL128" s="35" t="n">
        <f aca="false">-In_CIT*(MAX(0,AL123)+AL126)</f>
        <v>-95.4889448417256</v>
      </c>
      <c r="AM128" s="35" t="n">
        <f aca="false">-In_CIT*(MAX(0,AM123)+AM126)</f>
        <v>-96.5256785525198</v>
      </c>
      <c r="AN128" s="35" t="n">
        <f aca="false">-In_CIT*(MAX(0,AN123)+AN126)</f>
        <v>-97.2138487907318</v>
      </c>
      <c r="AO128" s="35" t="n">
        <f aca="false">-In_CIT*(MAX(0,AO123)+AO126)</f>
        <v>-101.734632832676</v>
      </c>
      <c r="AP128" s="35" t="n">
        <f aca="false">-In_CIT*(MAX(0,AP123)+AP126)</f>
        <v>-106.285756177341</v>
      </c>
      <c r="AQ128" s="35" t="n">
        <f aca="false">-In_CIT*(MAX(0,AQ123)+AQ126)</f>
        <v>-107.434691304723</v>
      </c>
      <c r="AR128" s="35" t="n">
        <f aca="false">-In_CIT*(MAX(0,AR123)+AR126)</f>
        <v>-108.196914767106</v>
      </c>
      <c r="AS128" s="35" t="n">
        <f aca="false">-In_CIT*(MAX(0,AS123)+AS126)</f>
        <v>-112.853471950999</v>
      </c>
      <c r="AT128" s="35" t="n">
        <f aca="false">-In_CIT*(MAX(0,AT123)+AT126)</f>
        <v>-117.541914083612</v>
      </c>
      <c r="AU128" s="35" t="n">
        <f aca="false">-In_CIT*(MAX(0,AU123)+AU126)</f>
        <v>-118.809167913345</v>
      </c>
      <c r="AV128" s="35" t="n">
        <f aca="false">-In_CIT*(MAX(0,AV123)+AV126)</f>
        <v>-121.768753263312</v>
      </c>
      <c r="AW128" s="35" t="n">
        <f aca="false">-In_CIT*(MAX(0,AW123)+AW126)</f>
        <v>-124.449500317221</v>
      </c>
      <c r="AX128" s="35" t="n">
        <f aca="false">-In_CIT*(MAX(0,AX123)+AX126)</f>
        <v>-129.281276069291</v>
      </c>
      <c r="AY128" s="35" t="n">
        <f aca="false">-In_CIT*(MAX(0,AY123)+AY126)</f>
        <v>-130.673279392617</v>
      </c>
      <c r="AZ128" s="35" t="n">
        <f aca="false">-In_CIT*(MAX(0,AZ123)+AZ126)</f>
        <v>-131.60128851837</v>
      </c>
      <c r="BA128" s="35" t="n">
        <f aca="false">-In_CIT*(MAX(0,BA123)+BA126)</f>
        <v>-136.54750793486</v>
      </c>
      <c r="BB128" s="35" t="n">
        <f aca="false">-In_CIT*(MAX(0,BB123)+BB126)</f>
        <v>-141.528943834047</v>
      </c>
      <c r="BC128" s="35" t="n">
        <f aca="false">-In_CIT*(MAX(0,BC123)+BC126)</f>
        <v>-143.052456913697</v>
      </c>
      <c r="BD128" s="35" t="n">
        <f aca="false">-In_CIT*(MAX(0,BD123)+BD126)</f>
        <v>-144.072837133155</v>
      </c>
      <c r="BE128" s="35" t="n">
        <f aca="false">-In_CIT*(MAX(0,BE123)+BE126)</f>
        <v>-149.17357700604</v>
      </c>
      <c r="BF128" s="35" t="n">
        <f aca="false">-In_CIT*(MAX(0,BF123)+BF126)</f>
        <v>-154.311327477197</v>
      </c>
      <c r="BG128" s="35" t="n">
        <f aca="false">-In_CIT*(MAX(0,BG123)+BG126)</f>
        <v>-155.973456826339</v>
      </c>
      <c r="BH128" s="35" t="n">
        <f aca="false">-In_CIT*(MAX(0,BH123)+BH126)</f>
        <v>-157.092980312585</v>
      </c>
      <c r="BI128" s="35" t="n">
        <f aca="false">-In_CIT*(MAX(0,BI123)+BI126)</f>
        <v>-162.355148597671</v>
      </c>
      <c r="BJ128" s="35" t="n">
        <f aca="false">-In_CIT*(MAX(0,BJ123)+BJ126)</f>
        <v>-167.656212998429</v>
      </c>
      <c r="BK128" s="35" t="n">
        <f aca="false">-In_CIT*(MAX(0,BK123)+BK126)</f>
        <v>-169.464429013963</v>
      </c>
      <c r="BL128" s="35" t="n">
        <f aca="false">-In_CIT*(MAX(0,BL123)+BL126)</f>
        <v>-172.850877414035</v>
      </c>
      <c r="BM128" s="35" t="n">
        <f aca="false">-In_CIT*(MAX(0,BM123)+BM126)</f>
        <v>-176.121092725134</v>
      </c>
      <c r="BN128" s="35" t="n">
        <f aca="false">-In_CIT*(MAX(0,BN123)+BN126)</f>
        <v>-181.592833258768</v>
      </c>
      <c r="BO128" s="35" t="n">
        <f aca="false">-In_CIT*(MAX(0,BO123)+BO126)</f>
        <v>-183.554988752478</v>
      </c>
      <c r="BP128" s="35" t="n">
        <f aca="false">-In_CIT*(MAX(0,BP123)+BP126)</f>
        <v>-184.894581696676</v>
      </c>
      <c r="BQ128" s="35" t="n">
        <f aca="false">-In_CIT*(MAX(0,BQ123)+BQ126)</f>
        <v>-190.501782028053</v>
      </c>
      <c r="BR128" s="35" t="n">
        <f aca="false">-In_CIT*(MAX(0,BR123)+BR126)</f>
        <v>-196.151942578579</v>
      </c>
      <c r="BS128" s="35" t="n">
        <f aca="false">-In_CIT*(MAX(0,BS123)+BS126)</f>
        <v>-198.276292251869</v>
      </c>
      <c r="BT128" s="35" t="n">
        <f aca="false">-In_CIT*(MAX(0,BT123)+BT126)</f>
        <v>-196.170276216906</v>
      </c>
      <c r="BU128" s="35" t="n">
        <f aca="false">-In_CIT*(MAX(0,BU123)+BU126)</f>
        <v>-198.349945952649</v>
      </c>
      <c r="BV128" s="35" t="n">
        <f aca="false">-In_CIT*(MAX(0,BV123)+BV126)</f>
        <v>-200.529615688392</v>
      </c>
      <c r="BW128" s="35" t="n">
        <f aca="false">-In_CIT*(MAX(0,BW123)+BW126)</f>
        <v>-199.122067195189</v>
      </c>
      <c r="BX128" s="35" t="n">
        <f aca="false">-In_CIT*(MAX(0,BX123)+BX126)</f>
        <v>-196.964355586438</v>
      </c>
      <c r="BY128" s="35" t="n">
        <f aca="false">-In_CIT*(MAX(0,BY123)+BY126)</f>
        <v>-199.152848426287</v>
      </c>
      <c r="BZ128" s="35" t="n">
        <f aca="false">-In_CIT*(MAX(0,BZ123)+BZ126)</f>
        <v>-201.341341266136</v>
      </c>
      <c r="CA128" s="35" t="n">
        <f aca="false">-In_CIT*(MAX(0,CA123)+CA126)</f>
        <v>-199.92514609708</v>
      </c>
      <c r="CB128" s="35" t="n">
        <f aca="false">-In_CIT*(MAX(0,CB123)+CB126)</f>
        <v>-199.912094403772</v>
      </c>
      <c r="CC128" s="35" t="n">
        <f aca="false">-In_CIT*(MAX(0,CC123)+CC126)</f>
        <v>-199.912094403772</v>
      </c>
      <c r="CD128" s="35" t="n">
        <f aca="false">-In_CIT*(MAX(0,CD123)+CD126)</f>
        <v>-202.108930606011</v>
      </c>
      <c r="CE128" s="35" t="n">
        <f aca="false">-In_CIT*(MAX(0,CE123)+CE126)</f>
        <v>-200.684065882337</v>
      </c>
      <c r="CF128" s="35" t="n">
        <f aca="false">-In_CIT*(MAX(0,CF123)+CF126)</f>
        <v>-198.421514434404</v>
      </c>
      <c r="CG128" s="35" t="n">
        <f aca="false">-In_CIT*(MAX(0,CG123)+CG126)</f>
        <v>-200.62619792812</v>
      </c>
      <c r="CH128" s="35" t="n">
        <f aca="false">-In_CIT*(MAX(0,CH123)+CH126)</f>
        <v>-202.830881421835</v>
      </c>
      <c r="CI128" s="35" t="n">
        <f aca="false">-In_CIT*(MAX(0,CI123)+CI126)</f>
        <v>-201.397324889451</v>
      </c>
      <c r="CJ128" s="35" t="n">
        <f aca="false">-In_CIT*(MAX(0,CJ123)+CJ126)</f>
        <v>-199.081615948249</v>
      </c>
      <c r="CK128" s="35" t="n">
        <f aca="false">-In_CIT*(MAX(0,CK123)+CK126)</f>
        <v>-201.293633903229</v>
      </c>
      <c r="CL128" s="35" t="n">
        <f aca="false">-In_CIT*(MAX(0,CL123)+CL126)</f>
        <v>-203.50565185821</v>
      </c>
      <c r="CM128" s="35" t="n">
        <f aca="false">-In_CIT*(MAX(0,CM123)+CM126)</f>
        <v>-202.063381909346</v>
      </c>
      <c r="CN128" s="35" t="n">
        <f aca="false">-In_CIT*(MAX(0,CN123)+CN126)</f>
        <v>-199.694014733252</v>
      </c>
      <c r="CO128" s="35" t="n">
        <f aca="false">-In_CIT*(MAX(0,CO123)+CO126)</f>
        <v>-201.912837119177</v>
      </c>
      <c r="CP128" s="35" t="n">
        <f aca="false">-In_CIT*(MAX(0,CP123)+CP126)</f>
        <v>-204.131659505102</v>
      </c>
      <c r="CQ128" s="35" t="n">
        <f aca="false">-In_CIT*(MAX(0,CQ123)+CQ126)</f>
        <v>-202.680655200499</v>
      </c>
      <c r="CR128" s="35" t="n">
        <f aca="false">-In_CIT*(MAX(0,CR123)+CR126)</f>
        <v>-202.482201253553</v>
      </c>
      <c r="CS128" s="35" t="n">
        <f aca="false">-In_CIT*(MAX(0,CS123)+CS126)</f>
        <v>-202.482201253553</v>
      </c>
      <c r="CT128" s="35" t="n">
        <f aca="false">-In_CIT*(MAX(0,CT123)+CT126)</f>
        <v>-204.707280388207</v>
      </c>
      <c r="CU128" s="35" t="n">
        <f aca="false">-In_CIT*(MAX(0,CU123)+CU126)</f>
        <v>-203.247521479836</v>
      </c>
      <c r="CV128" s="35" t="n">
        <f aca="false">-In_CIT*(MAX(0,CV123)+CV126)</f>
        <v>-200.769307762012</v>
      </c>
      <c r="CW128" s="35" t="n">
        <f aca="false">-In_CIT*(MAX(0,CW123)+CW126)</f>
        <v>-203.000077848256</v>
      </c>
      <c r="CX128" s="35" t="n">
        <f aca="false">-In_CIT*(MAX(0,CX123)+CX126)</f>
        <v>-205.230847934501</v>
      </c>
      <c r="CY128" s="35" t="n">
        <f aca="false">-In_CIT*(MAX(0,CY123)+CY126)</f>
        <v>-203.762314888844</v>
      </c>
      <c r="CZ128" s="35" t="n">
        <f aca="false">-In_CIT*(MAX(0,CZ123)+CZ126)</f>
        <v>-201.228898609916</v>
      </c>
      <c r="DA128" s="35" t="n">
        <f aca="false">-In_CIT*(MAX(0,DA123)+DA126)</f>
        <v>-203.464775261138</v>
      </c>
      <c r="DB128" s="35" t="n">
        <f aca="false">-In_CIT*(MAX(0,DB123)+DB126)</f>
        <v>-205.700651912359</v>
      </c>
      <c r="DC128" s="35" t="n">
        <f aca="false">-In_CIT*(MAX(0,DC123)+DC126)</f>
        <v>-204.223325934256</v>
      </c>
      <c r="DD128" s="35" t="n">
        <f aca="false">-In_CIT*(MAX(0,DD123)+DD126)</f>
        <v>-201.634177838124</v>
      </c>
      <c r="DE128" s="35" t="n">
        <f aca="false">-In_CIT*(MAX(0,DE123)+DE126)</f>
        <v>-203.874557591881</v>
      </c>
      <c r="DF128" s="35" t="n">
        <f aca="false">-In_CIT*(MAX(0,DF123)+DF126)</f>
        <v>-206.114937345638</v>
      </c>
      <c r="DG128" s="35" t="n">
        <f aca="false">-In_CIT*(MAX(0,DG123)+DG126)</f>
        <v>-390.462027514203</v>
      </c>
      <c r="DH128" s="35" t="n">
        <f aca="false">-In_CIT*(MAX(0,DH123)+DH126)</f>
        <v>-388.040944311337</v>
      </c>
      <c r="DI128" s="35" t="n">
        <f aca="false">-In_CIT*(MAX(0,DI123)+DI126)</f>
        <v>-388.040944311337</v>
      </c>
      <c r="DJ128" s="35" t="n">
        <f aca="false">-In_CIT*(MAX(0,DJ123)+DJ126)</f>
        <v>-392.30513051256</v>
      </c>
      <c r="DK128" s="35" t="n">
        <f aca="false">-In_CIT*(MAX(0,DK123)+DK126)</f>
        <v>-390.810165360226</v>
      </c>
      <c r="DL128" s="35" t="n">
        <f aca="false">-In_CIT*(MAX(0,DL123)+DL126)</f>
        <v>-384.068083069357</v>
      </c>
      <c r="DM128" s="35" t="n">
        <f aca="false">-In_CIT*(MAX(0,DM123)+DM126)</f>
        <v>-388.335506214572</v>
      </c>
      <c r="DN128" s="35" t="n">
        <f aca="false">-In_CIT*(MAX(0,DN123)+DN126)</f>
        <v>-392.602929359787</v>
      </c>
      <c r="DO128" s="35" t="n">
        <f aca="false">-In_CIT*(MAX(0,DO123)+DO126)</f>
        <v>-391.099119566891</v>
      </c>
      <c r="DP128" s="35" t="n">
        <f aca="false">-In_CIT*(MAX(0,DP123)+DP126)</f>
        <v>-384.29967228596</v>
      </c>
      <c r="DQ128" s="35" t="n">
        <f aca="false">-In_CIT*(MAX(0,DQ123)+DQ126)</f>
        <v>-388.569668644693</v>
      </c>
      <c r="DR128" s="35" t="n">
        <f aca="false">-In_CIT*(MAX(0,DR123)+DR126)</f>
        <v>-392.839665003426</v>
      </c>
      <c r="DS128" s="35" t="n">
        <f aca="false">-In_CIT*(MAX(0,DS123)+DS126)</f>
        <v>-391.326994978479</v>
      </c>
      <c r="DT128" s="35" t="n">
        <f aca="false">-In_CIT*(MAX(0,DT123)+DT126)</f>
        <v>-384.469622693208</v>
      </c>
      <c r="DU128" s="35" t="n">
        <f aca="false">-In_CIT*(MAX(0,DU123)+DU126)</f>
        <v>-388.741507389799</v>
      </c>
      <c r="DV128" s="35" t="n">
        <f aca="false">-In_CIT*(MAX(0,DV123)+DV126)</f>
        <v>-393.013392086391</v>
      </c>
      <c r="DW128" s="35" t="n">
        <f aca="false">-In_CIT*(MAX(0,DW123)+DW126)</f>
        <v>-391.491847104446</v>
      </c>
      <c r="DX128" s="35" t="n">
        <f aca="false">-In_CIT*(MAX(0,DX123)+DX126)</f>
        <v>-388.849048200098</v>
      </c>
      <c r="DY128" s="35" t="n">
        <f aca="false">-In_CIT*(MAX(0,DY123)+DY126)</f>
        <v>-388.849048200098</v>
      </c>
      <c r="DZ128" s="35" t="n">
        <f aca="false">-In_CIT*(MAX(0,DZ123)+DZ126)</f>
        <v>-393.122114663836</v>
      </c>
      <c r="EA128" s="35" t="n">
        <f aca="false">-In_CIT*(MAX(0,EA123)+EA126)</f>
        <v>-391.591680894017</v>
      </c>
      <c r="EB128" s="35" t="n">
        <f aca="false">-In_CIT*(MAX(0,EB123)+EB126)</f>
        <v>-384.616746143775</v>
      </c>
      <c r="EC128" s="35" t="n">
        <f aca="false">-In_CIT*(MAX(0,EC123)+EC126)</f>
        <v>-388.890265545373</v>
      </c>
      <c r="ED128" s="35" t="n">
        <f aca="false">-In_CIT*(MAX(0,ED123)+ED126)</f>
        <v>-393.16378494697</v>
      </c>
      <c r="EE128" s="35" t="n">
        <f aca="false">-In_CIT*(MAX(0,EE123)+EE126)</f>
        <v>-391.624449480656</v>
      </c>
      <c r="EF128" s="35" t="n">
        <f aca="false">-In_CIT*(MAX(0,EF123)+EF126)</f>
        <v>-384.589860667834</v>
      </c>
      <c r="EG128" s="35" t="n">
        <f aca="false">-In_CIT*(MAX(0,EG123)+EG126)</f>
        <v>-388.86308134192</v>
      </c>
      <c r="EH128" s="35" t="n">
        <f aca="false">-In_CIT*(MAX(0,EH123)+EH126)</f>
        <v>-393.136302016008</v>
      </c>
      <c r="EI128" s="35" t="n">
        <f aca="false">-In_CIT*(MAX(0,EI123)+EI126)</f>
        <v>-391.5880528957</v>
      </c>
      <c r="EJ128" s="35" t="n">
        <f aca="false">-In_CIT*(MAX(0,EJ123)+EJ126)</f>
        <v>-384.493216794942</v>
      </c>
      <c r="EK128" s="35" t="n">
        <f aca="false">-In_CIT*(MAX(0,EK123)+EK126)</f>
        <v>-388.765363648219</v>
      </c>
      <c r="EL128" s="35" t="n">
        <f aca="false">-In_CIT*(MAX(0,EL123)+EL126)</f>
        <v>-393.037510501496</v>
      </c>
      <c r="EM128" s="35" t="n">
        <f aca="false">-In_CIT*(MAX(0,EM123)+EM126)</f>
        <v>-391.480336750375</v>
      </c>
      <c r="EN128" s="35" t="n">
        <f aca="false">-In_CIT*(MAX(0,EN123)+EN126)</f>
        <v>-388.594925328545</v>
      </c>
      <c r="EO128" s="35" t="n">
        <f aca="false">-In_CIT*(MAX(0,EO123)+EO126)</f>
        <v>-388.594925328545</v>
      </c>
      <c r="EP128" s="35" t="n">
        <f aca="false">-In_CIT*(MAX(0,EP123)+EP126)</f>
        <v>-392.865199233254</v>
      </c>
      <c r="EQ128" s="35" t="n">
        <f aca="false">-In_CIT*(MAX(0,EQ123)+EQ126)</f>
        <v>-391.299090885448</v>
      </c>
      <c r="ER128" s="35" t="n">
        <f aca="false">-In_CIT*(MAX(0,ER123)+ER126)</f>
        <v>-384.081945511414</v>
      </c>
      <c r="ES128" s="35" t="n">
        <f aca="false">-In_CIT*(MAX(0,ES123)+ES126)</f>
        <v>-388.349522683763</v>
      </c>
      <c r="ET128" s="35" t="n">
        <f aca="false">-In_CIT*(MAX(0,ET123)+ET126)</f>
        <v>-392.617099856112</v>
      </c>
    </row>
    <row r="130" customFormat="false" ht="15" hidden="false" customHeight="false" outlineLevel="0" collapsed="false">
      <c r="A130" s="9" t="s">
        <v>13</v>
      </c>
      <c r="B130" s="9"/>
      <c r="C130" s="9" t="s">
        <v>480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</row>
    <row r="131" customFormat="false" ht="15" hidden="false" customHeight="false" outlineLevel="0" collapsed="false">
      <c r="C131" s="30" t="s">
        <v>45</v>
      </c>
      <c r="D131" s="11" t="s">
        <v>247</v>
      </c>
      <c r="E131" s="35" t="n">
        <f aca="false">In_RtB_Premium*In_MVA</f>
        <v>15000</v>
      </c>
    </row>
    <row r="132" customFormat="false" ht="15" hidden="false" customHeight="false" outlineLevel="0" collapsed="false">
      <c r="A132" s="55"/>
      <c r="B132" s="55"/>
      <c r="C132" s="55" t="s">
        <v>571</v>
      </c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55"/>
      <c r="EB132" s="55"/>
      <c r="EC132" s="55"/>
      <c r="ED132" s="55"/>
      <c r="EE132" s="55"/>
      <c r="EF132" s="55"/>
      <c r="EG132" s="55"/>
      <c r="EH132" s="55"/>
      <c r="EI132" s="55"/>
      <c r="EJ132" s="55"/>
      <c r="EK132" s="55"/>
      <c r="EL132" s="55"/>
      <c r="EM132" s="55"/>
      <c r="EN132" s="55"/>
      <c r="EO132" s="55"/>
      <c r="EP132" s="55"/>
      <c r="EQ132" s="55"/>
      <c r="ER132" s="55"/>
      <c r="ES132" s="55"/>
      <c r="ET132" s="55"/>
    </row>
    <row r="133" customFormat="false" ht="15" hidden="false" customHeight="false" outlineLevel="0" collapsed="false">
      <c r="C133" s="0" t="s">
        <v>572</v>
      </c>
      <c r="D133" s="11" t="s">
        <v>247</v>
      </c>
      <c r="E133" s="33" t="n">
        <f aca="false">$E65+$E55</f>
        <v>21842.7086410959</v>
      </c>
      <c r="F133" s="33" t="n">
        <f aca="false">MAX(0,$E131+$E133)</f>
        <v>36842.7086410959</v>
      </c>
    </row>
    <row r="134" customFormat="false" ht="15" hidden="false" customHeight="false" outlineLevel="0" collapsed="false">
      <c r="C134" s="0" t="s">
        <v>573</v>
      </c>
      <c r="D134" s="11" t="s">
        <v>247</v>
      </c>
      <c r="E134" s="22" t="n">
        <f aca="false">In_Sale_Costs</f>
        <v>500</v>
      </c>
      <c r="F134" s="33" t="n">
        <f aca="false">MIN($E134,$F133)</f>
        <v>500</v>
      </c>
    </row>
    <row r="135" customFormat="false" ht="15" hidden="false" customHeight="false" outlineLevel="0" collapsed="false">
      <c r="C135" s="0" t="s">
        <v>574</v>
      </c>
      <c r="D135" s="11" t="s">
        <v>247</v>
      </c>
      <c r="E135" s="33" t="n">
        <f aca="false">$E65</f>
        <v>21412.2641205479</v>
      </c>
      <c r="F135" s="33" t="n">
        <f aca="false">MIN($E135,$F133-SUM($F134:$F134))</f>
        <v>21412.2641205479</v>
      </c>
    </row>
    <row r="136" customFormat="false" ht="15" hidden="false" customHeight="false" outlineLevel="0" collapsed="false">
      <c r="C136" s="0" t="s">
        <v>575</v>
      </c>
      <c r="D136" s="11" t="s">
        <v>247</v>
      </c>
      <c r="E136" s="33" t="n">
        <f aca="false">$E68</f>
        <v>1564.53664418093</v>
      </c>
      <c r="F136" s="33" t="n">
        <f aca="false">MIN($E136,$F133-SUM($F134:$F135))</f>
        <v>1564.53664418093</v>
      </c>
    </row>
    <row r="137" customFormat="false" ht="15" hidden="false" customHeight="false" outlineLevel="0" collapsed="false">
      <c r="C137" s="0" t="s">
        <v>576</v>
      </c>
      <c r="D137" s="11" t="s">
        <v>247</v>
      </c>
      <c r="E137" s="33" t="n">
        <f aca="false">$E55</f>
        <v>430.444520547945</v>
      </c>
      <c r="F137" s="33" t="n">
        <f aca="false">MIN($E137,$F133-SUM($F134:$F136))</f>
        <v>430.444520547945</v>
      </c>
    </row>
    <row r="138" customFormat="false" ht="15" hidden="false" customHeight="false" outlineLevel="0" collapsed="false">
      <c r="C138" s="0" t="s">
        <v>577</v>
      </c>
      <c r="D138" s="11" t="s">
        <v>247</v>
      </c>
      <c r="E138" s="33" t="n">
        <f aca="false">$E79</f>
        <v>3119.62451197093</v>
      </c>
      <c r="F138" s="33" t="n">
        <f aca="false">MIN($E138,$F133-SUM($F134:$F137))</f>
        <v>3119.62451197093</v>
      </c>
    </row>
    <row r="139" customFormat="false" ht="15" hidden="false" customHeight="false" outlineLevel="0" collapsed="false">
      <c r="C139" s="0" t="s">
        <v>578</v>
      </c>
      <c r="D139" s="11" t="s">
        <v>247</v>
      </c>
      <c r="E139" s="33" t="n">
        <f aca="false">$E73</f>
        <v>1120.48016110676</v>
      </c>
      <c r="F139" s="33" t="n">
        <f aca="false">MIN($E139,$F133-SUM($F134:$F138))</f>
        <v>1120.48016110676</v>
      </c>
    </row>
    <row r="140" customFormat="false" ht="15" hidden="false" customHeight="false" outlineLevel="0" collapsed="false">
      <c r="C140" s="0" t="s">
        <v>579</v>
      </c>
      <c r="D140" s="11" t="s">
        <v>247</v>
      </c>
      <c r="E140" s="33" t="n">
        <f aca="false">MIN(In_DSA_Cap,In_DSA_Rate*YEARFRAC(In_Signing_Date,$E12,0))*$E24</f>
        <v>1200.65972222222</v>
      </c>
      <c r="F140" s="33" t="n">
        <f aca="false">MIN($E140,$F133-SUM($F134:$F139))</f>
        <v>1200.65972222222</v>
      </c>
    </row>
    <row r="141" customFormat="false" ht="15" hidden="false" customHeight="false" outlineLevel="0" collapsed="false">
      <c r="C141" s="30" t="s">
        <v>161</v>
      </c>
      <c r="D141" s="11" t="s">
        <v>247</v>
      </c>
      <c r="F141" s="35" t="n">
        <f aca="false">MAX(0,$F133-SUM($E134:$E140))</f>
        <v>7494.69896051916</v>
      </c>
    </row>
    <row r="142" customFormat="false" ht="15" hidden="false" customHeight="false" outlineLevel="0" collapsed="false">
      <c r="C142" s="30" t="s">
        <v>580</v>
      </c>
      <c r="D142" s="11" t="s">
        <v>247</v>
      </c>
      <c r="F142" s="35" t="n">
        <f aca="false">SUM($F135:$F139)+In_FEP_Share*$F141</f>
        <v>32893.6392307179</v>
      </c>
    </row>
    <row r="143" customFormat="false" ht="15" hidden="false" customHeight="false" outlineLevel="0" collapsed="false">
      <c r="C143" s="0" t="s">
        <v>581</v>
      </c>
      <c r="D143" s="11" t="s">
        <v>247</v>
      </c>
      <c r="F143" s="33" t="n">
        <f aca="false">$F140+(1-In_FEP_Share)*$F141</f>
        <v>3449.06941037797</v>
      </c>
    </row>
    <row r="144" customFormat="false" ht="15" hidden="false" customHeight="false" outlineLevel="0" collapsed="false">
      <c r="A144" s="55"/>
      <c r="B144" s="55"/>
      <c r="C144" s="55" t="s">
        <v>582</v>
      </c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55"/>
      <c r="EB144" s="55"/>
      <c r="EC144" s="55"/>
      <c r="ED144" s="55"/>
      <c r="EE144" s="55"/>
      <c r="EF144" s="55"/>
      <c r="EG144" s="55"/>
      <c r="EH144" s="55"/>
      <c r="EI144" s="55"/>
      <c r="EJ144" s="55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</row>
    <row r="145" customFormat="false" ht="15" hidden="false" customHeight="false" outlineLevel="0" collapsed="false">
      <c r="C145" s="0" t="s">
        <v>583</v>
      </c>
      <c r="D145" s="11" t="s">
        <v>247</v>
      </c>
      <c r="E145" s="33" t="n">
        <f aca="false">$F135+$F137</f>
        <v>21842.7086410959</v>
      </c>
      <c r="F145" s="33" t="n">
        <f aca="false">In_FEP_Share*$F141</f>
        <v>5246.28927236341</v>
      </c>
    </row>
    <row r="146" customFormat="false" ht="15" hidden="false" customHeight="false" outlineLevel="0" collapsed="false">
      <c r="C146" s="0" t="s">
        <v>584</v>
      </c>
      <c r="D146" s="11" t="s">
        <v>247</v>
      </c>
      <c r="E146" s="33" t="n">
        <f aca="false">$E55-$E57-$E47</f>
        <v>-2697.39916950517</v>
      </c>
    </row>
    <row r="147" customFormat="false" ht="15" hidden="false" customHeight="false" outlineLevel="0" collapsed="false">
      <c r="C147" s="30" t="s">
        <v>585</v>
      </c>
      <c r="D147" s="11" t="s">
        <v>247</v>
      </c>
      <c r="E147" s="35" t="n">
        <f aca="false">$F136+$F138+$F139</f>
        <v>5804.64131725861</v>
      </c>
      <c r="F147" s="35" t="n">
        <f aca="false">$E147+$F145+$E146</f>
        <v>8353.53142011685</v>
      </c>
    </row>
    <row r="148" customFormat="false" ht="15" hidden="false" customHeight="false" outlineLevel="0" collapsed="false">
      <c r="C148" s="0" t="s">
        <v>586</v>
      </c>
      <c r="D148" s="11" t="s">
        <v>247</v>
      </c>
      <c r="E148" s="33" t="n">
        <f aca="false">(1-In_FEP_Share)*$F141</f>
        <v>2248.40968815575</v>
      </c>
    </row>
    <row r="149" customFormat="false" ht="15" hidden="false" customHeight="false" outlineLevel="0" collapsed="false">
      <c r="C149" s="0" t="s">
        <v>587</v>
      </c>
      <c r="D149" s="11" t="s">
        <v>27</v>
      </c>
      <c r="E149" s="32" t="n">
        <f aca="false">$F147/$E24</f>
        <v>55.3214001332242</v>
      </c>
      <c r="F149" s="32" t="n">
        <f aca="false">$F143/$E24</f>
        <v>22.8415192740263</v>
      </c>
    </row>
    <row r="150" customFormat="false" ht="15" hidden="false" customHeight="false" outlineLevel="0" collapsed="false">
      <c r="A150" s="55"/>
      <c r="B150" s="55"/>
      <c r="C150" s="55" t="s">
        <v>588</v>
      </c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</row>
    <row r="151" customFormat="false" ht="15" hidden="false" customHeight="false" outlineLevel="0" collapsed="false">
      <c r="C151" s="0" t="s">
        <v>589</v>
      </c>
      <c r="D151" s="11" t="s">
        <v>247</v>
      </c>
      <c r="E151" s="33" t="n">
        <f aca="false">-In_CIT*MAX(0,$I151-In_FEP_Share*$F141)</f>
        <v>-128.61785929143</v>
      </c>
      <c r="I151" s="33" t="n">
        <f aca="false">SUM(J151:ET151)</f>
        <v>6675.37659782375</v>
      </c>
      <c r="J151" s="33" t="n">
        <f aca="false">(J60+J53)*(J$4&lt;=$E12)+$F142*J12</f>
        <v>-400</v>
      </c>
      <c r="K151" s="33" t="n">
        <f aca="false">(K60+K53)*(K$4&lt;=$E12)+$F142*K12</f>
        <v>-1437.78053818728</v>
      </c>
      <c r="L151" s="33" t="n">
        <f aca="false">(L60+L53)*(L$4&lt;=$E12)+$F142*L12</f>
        <v>-691.910911990993</v>
      </c>
      <c r="M151" s="33" t="n">
        <f aca="false">(M60+M53)*(M$4&lt;=$E12)+$F142*M12</f>
        <v>-148.451634452993</v>
      </c>
      <c r="N151" s="33" t="n">
        <f aca="false">(N60+N53)*(N$4&lt;=$E12)+$F142*N12</f>
        <v>-149.601261024582</v>
      </c>
      <c r="O151" s="33" t="n">
        <f aca="false">(O60+O53)*(O$4&lt;=$E12)+$F142*O12</f>
        <v>-290.127288421843</v>
      </c>
      <c r="P151" s="33" t="n">
        <f aca="false">(P60+P53)*(P$4&lt;=$E12)+$F142*P12</f>
        <v>-1394.65781281475</v>
      </c>
      <c r="Q151" s="33" t="n">
        <f aca="false">(Q60+Q53)*(Q$4&lt;=$E12)+$F142*Q12</f>
        <v>-109.225607055733</v>
      </c>
      <c r="R151" s="33" t="n">
        <f aca="false">(R60+R53)*(R$4&lt;=$E12)+$F142*R12</f>
        <v>-269.857154566657</v>
      </c>
      <c r="S151" s="33" t="n">
        <f aca="false">(S60+S53)*(S$4&lt;=$E12)+$F142*S12</f>
        <v>-422.991783283459</v>
      </c>
      <c r="T151" s="33" t="n">
        <f aca="false">(T60+T53)*(T$4&lt;=$E12)+$F142*T12</f>
        <v>-20587.5113339088</v>
      </c>
      <c r="U151" s="33" t="n">
        <f aca="false">(U60+U53)*(U$4&lt;=$E12)+$F142*U12</f>
        <v>-104.616018014637</v>
      </c>
      <c r="V151" s="33" t="n">
        <f aca="false">(V60+V53)*(V$4&lt;=$E12)+$F142*V12</f>
        <v>-105.765644586226</v>
      </c>
      <c r="W151" s="33" t="n">
        <f aca="false">(W60+W53)*(W$4&lt;=$E12)+$F142*W12</f>
        <v>32787.8735861317</v>
      </c>
      <c r="X151" s="33" t="n">
        <f aca="false">(X60+X53)*(X$4&lt;=$E12)+$F142*X12</f>
        <v>0</v>
      </c>
      <c r="Y151" s="33" t="n">
        <f aca="false">(Y60+Y53)*(Y$4&lt;=$E12)+$F142*Y12</f>
        <v>0</v>
      </c>
      <c r="Z151" s="33" t="n">
        <f aca="false">(Z60+Z53)*(Z$4&lt;=$E12)+$F142*Z12</f>
        <v>0</v>
      </c>
      <c r="AA151" s="33" t="n">
        <f aca="false">(AA60+AA53)*(AA$4&lt;=$E12)+$F142*AA12</f>
        <v>0</v>
      </c>
      <c r="AB151" s="33" t="n">
        <f aca="false">(AB60+AB53)*(AB$4&lt;=$E12)+$F142*AB12</f>
        <v>0</v>
      </c>
      <c r="AC151" s="33" t="n">
        <f aca="false">(AC60+AC53)*(AC$4&lt;=$E12)+$F142*AC12</f>
        <v>0</v>
      </c>
      <c r="AD151" s="33" t="n">
        <f aca="false">(AD60+AD53)*(AD$4&lt;=$E12)+$F142*AD12</f>
        <v>0</v>
      </c>
      <c r="AE151" s="33" t="n">
        <f aca="false">(AE60+AE53)*(AE$4&lt;=$E12)+$F142*AE12</f>
        <v>0</v>
      </c>
      <c r="AF151" s="33" t="n">
        <f aca="false">(AF60+AF53)*(AF$4&lt;=$E12)+$F142*AF12</f>
        <v>0</v>
      </c>
      <c r="AG151" s="33" t="n">
        <f aca="false">(AG60+AG53)*(AG$4&lt;=$E12)+$F142*AG12</f>
        <v>0</v>
      </c>
      <c r="AH151" s="33" t="n">
        <f aca="false">(AH60+AH53)*(AH$4&lt;=$E12)+$F142*AH12</f>
        <v>0</v>
      </c>
      <c r="AI151" s="33" t="n">
        <f aca="false">(AI60+AI53)*(AI$4&lt;=$E12)+$F142*AI12</f>
        <v>0</v>
      </c>
      <c r="AJ151" s="33" t="n">
        <f aca="false">(AJ60+AJ53)*(AJ$4&lt;=$E12)+$F142*AJ12</f>
        <v>0</v>
      </c>
      <c r="AK151" s="33" t="n">
        <f aca="false">(AK60+AK53)*(AK$4&lt;=$E12)+$F142*AK12</f>
        <v>0</v>
      </c>
      <c r="AL151" s="33" t="n">
        <f aca="false">(AL60+AL53)*(AL$4&lt;=$E12)+$F142*AL12</f>
        <v>0</v>
      </c>
      <c r="AM151" s="33" t="n">
        <f aca="false">(AM60+AM53)*(AM$4&lt;=$E12)+$F142*AM12</f>
        <v>0</v>
      </c>
      <c r="AN151" s="33" t="n">
        <f aca="false">(AN60+AN53)*(AN$4&lt;=$E12)+$F142*AN12</f>
        <v>0</v>
      </c>
      <c r="AO151" s="33" t="n">
        <f aca="false">(AO60+AO53)*(AO$4&lt;=$E12)+$F142*AO12</f>
        <v>0</v>
      </c>
      <c r="AP151" s="33" t="n">
        <f aca="false">(AP60+AP53)*(AP$4&lt;=$E12)+$F142*AP12</f>
        <v>0</v>
      </c>
      <c r="AQ151" s="33" t="n">
        <f aca="false">(AQ60+AQ53)*(AQ$4&lt;=$E12)+$F142*AQ12</f>
        <v>0</v>
      </c>
      <c r="AR151" s="33" t="n">
        <f aca="false">(AR60+AR53)*(AR$4&lt;=$E12)+$F142*AR12</f>
        <v>0</v>
      </c>
      <c r="AS151" s="33" t="n">
        <f aca="false">(AS60+AS53)*(AS$4&lt;=$E12)+$F142*AS12</f>
        <v>0</v>
      </c>
      <c r="AT151" s="33" t="n">
        <f aca="false">(AT60+AT53)*(AT$4&lt;=$E12)+$F142*AT12</f>
        <v>0</v>
      </c>
      <c r="AU151" s="33" t="n">
        <f aca="false">(AU60+AU53)*(AU$4&lt;=$E12)+$F142*AU12</f>
        <v>0</v>
      </c>
      <c r="AV151" s="33" t="n">
        <f aca="false">(AV60+AV53)*(AV$4&lt;=$E12)+$F142*AV12</f>
        <v>0</v>
      </c>
      <c r="AW151" s="33" t="n">
        <f aca="false">(AW60+AW53)*(AW$4&lt;=$E12)+$F142*AW12</f>
        <v>0</v>
      </c>
      <c r="AX151" s="33" t="n">
        <f aca="false">(AX60+AX53)*(AX$4&lt;=$E12)+$F142*AX12</f>
        <v>0</v>
      </c>
      <c r="AY151" s="33" t="n">
        <f aca="false">(AY60+AY53)*(AY$4&lt;=$E12)+$F142*AY12</f>
        <v>0</v>
      </c>
      <c r="AZ151" s="33" t="n">
        <f aca="false">(AZ60+AZ53)*(AZ$4&lt;=$E12)+$F142*AZ12</f>
        <v>0</v>
      </c>
      <c r="BA151" s="33" t="n">
        <f aca="false">(BA60+BA53)*(BA$4&lt;=$E12)+$F142*BA12</f>
        <v>0</v>
      </c>
      <c r="BB151" s="33" t="n">
        <f aca="false">(BB60+BB53)*(BB$4&lt;=$E12)+$F142*BB12</f>
        <v>0</v>
      </c>
      <c r="BC151" s="33" t="n">
        <f aca="false">(BC60+BC53)*(BC$4&lt;=$E12)+$F142*BC12</f>
        <v>0</v>
      </c>
      <c r="BD151" s="33" t="n">
        <f aca="false">(BD60+BD53)*(BD$4&lt;=$E12)+$F142*BD12</f>
        <v>0</v>
      </c>
      <c r="BE151" s="33" t="n">
        <f aca="false">(BE60+BE53)*(BE$4&lt;=$E12)+$F142*BE12</f>
        <v>0</v>
      </c>
      <c r="BF151" s="33" t="n">
        <f aca="false">(BF60+BF53)*(BF$4&lt;=$E12)+$F142*BF12</f>
        <v>0</v>
      </c>
      <c r="BG151" s="33" t="n">
        <f aca="false">(BG60+BG53)*(BG$4&lt;=$E12)+$F142*BG12</f>
        <v>0</v>
      </c>
      <c r="BH151" s="33" t="n">
        <f aca="false">(BH60+BH53)*(BH$4&lt;=$E12)+$F142*BH12</f>
        <v>0</v>
      </c>
      <c r="BI151" s="33" t="n">
        <f aca="false">(BI60+BI53)*(BI$4&lt;=$E12)+$F142*BI12</f>
        <v>0</v>
      </c>
      <c r="BJ151" s="33" t="n">
        <f aca="false">(BJ60+BJ53)*(BJ$4&lt;=$E12)+$F142*BJ12</f>
        <v>0</v>
      </c>
      <c r="BK151" s="33" t="n">
        <f aca="false">(BK60+BK53)*(BK$4&lt;=$E12)+$F142*BK12</f>
        <v>0</v>
      </c>
      <c r="BL151" s="33" t="n">
        <f aca="false">(BL60+BL53)*(BL$4&lt;=$E12)+$F142*BL12</f>
        <v>0</v>
      </c>
      <c r="BM151" s="33" t="n">
        <f aca="false">(BM60+BM53)*(BM$4&lt;=$E12)+$F142*BM12</f>
        <v>0</v>
      </c>
      <c r="BN151" s="33" t="n">
        <f aca="false">(BN60+BN53)*(BN$4&lt;=$E12)+$F142*BN12</f>
        <v>0</v>
      </c>
      <c r="BO151" s="33" t="n">
        <f aca="false">(BO60+BO53)*(BO$4&lt;=$E12)+$F142*BO12</f>
        <v>0</v>
      </c>
      <c r="BP151" s="33" t="n">
        <f aca="false">(BP60+BP53)*(BP$4&lt;=$E12)+$F142*BP12</f>
        <v>0</v>
      </c>
      <c r="BQ151" s="33" t="n">
        <f aca="false">(BQ60+BQ53)*(BQ$4&lt;=$E12)+$F142*BQ12</f>
        <v>0</v>
      </c>
      <c r="BR151" s="33" t="n">
        <f aca="false">(BR60+BR53)*(BR$4&lt;=$E12)+$F142*BR12</f>
        <v>0</v>
      </c>
      <c r="BS151" s="33" t="n">
        <f aca="false">(BS60+BS53)*(BS$4&lt;=$E12)+$F142*BS12</f>
        <v>0</v>
      </c>
      <c r="BT151" s="33" t="n">
        <f aca="false">(BT60+BT53)*(BT$4&lt;=$E12)+$F142*BT12</f>
        <v>0</v>
      </c>
      <c r="BU151" s="33" t="n">
        <f aca="false">(BU60+BU53)*(BU$4&lt;=$E12)+$F142*BU12</f>
        <v>0</v>
      </c>
      <c r="BV151" s="33" t="n">
        <f aca="false">(BV60+BV53)*(BV$4&lt;=$E12)+$F142*BV12</f>
        <v>0</v>
      </c>
      <c r="BW151" s="33" t="n">
        <f aca="false">(BW60+BW53)*(BW$4&lt;=$E12)+$F142*BW12</f>
        <v>0</v>
      </c>
      <c r="BX151" s="33" t="n">
        <f aca="false">(BX60+BX53)*(BX$4&lt;=$E12)+$F142*BX12</f>
        <v>0</v>
      </c>
      <c r="BY151" s="33" t="n">
        <f aca="false">(BY60+BY53)*(BY$4&lt;=$E12)+$F142*BY12</f>
        <v>0</v>
      </c>
      <c r="BZ151" s="33" t="n">
        <f aca="false">(BZ60+BZ53)*(BZ$4&lt;=$E12)+$F142*BZ12</f>
        <v>0</v>
      </c>
      <c r="CA151" s="33" t="n">
        <f aca="false">(CA60+CA53)*(CA$4&lt;=$E12)+$F142*CA12</f>
        <v>0</v>
      </c>
      <c r="CB151" s="33" t="n">
        <f aca="false">(CB60+CB53)*(CB$4&lt;=$E12)+$F142*CB12</f>
        <v>0</v>
      </c>
      <c r="CC151" s="33" t="n">
        <f aca="false">(CC60+CC53)*(CC$4&lt;=$E12)+$F142*CC12</f>
        <v>0</v>
      </c>
      <c r="CD151" s="33" t="n">
        <f aca="false">(CD60+CD53)*(CD$4&lt;=$E12)+$F142*CD12</f>
        <v>0</v>
      </c>
      <c r="CE151" s="33" t="n">
        <f aca="false">(CE60+CE53)*(CE$4&lt;=$E12)+$F142*CE12</f>
        <v>0</v>
      </c>
      <c r="CF151" s="33" t="n">
        <f aca="false">(CF60+CF53)*(CF$4&lt;=$E12)+$F142*CF12</f>
        <v>0</v>
      </c>
      <c r="CG151" s="33" t="n">
        <f aca="false">(CG60+CG53)*(CG$4&lt;=$E12)+$F142*CG12</f>
        <v>0</v>
      </c>
      <c r="CH151" s="33" t="n">
        <f aca="false">(CH60+CH53)*(CH$4&lt;=$E12)+$F142*CH12</f>
        <v>0</v>
      </c>
      <c r="CI151" s="33" t="n">
        <f aca="false">(CI60+CI53)*(CI$4&lt;=$E12)+$F142*CI12</f>
        <v>0</v>
      </c>
      <c r="CJ151" s="33" t="n">
        <f aca="false">(CJ60+CJ53)*(CJ$4&lt;=$E12)+$F142*CJ12</f>
        <v>0</v>
      </c>
      <c r="CK151" s="33" t="n">
        <f aca="false">(CK60+CK53)*(CK$4&lt;=$E12)+$F142*CK12</f>
        <v>0</v>
      </c>
      <c r="CL151" s="33" t="n">
        <f aca="false">(CL60+CL53)*(CL$4&lt;=$E12)+$F142*CL12</f>
        <v>0</v>
      </c>
      <c r="CM151" s="33" t="n">
        <f aca="false">(CM60+CM53)*(CM$4&lt;=$E12)+$F142*CM12</f>
        <v>0</v>
      </c>
      <c r="CN151" s="33" t="n">
        <f aca="false">(CN60+CN53)*(CN$4&lt;=$E12)+$F142*CN12</f>
        <v>0</v>
      </c>
      <c r="CO151" s="33" t="n">
        <f aca="false">(CO60+CO53)*(CO$4&lt;=$E12)+$F142*CO12</f>
        <v>0</v>
      </c>
      <c r="CP151" s="33" t="n">
        <f aca="false">(CP60+CP53)*(CP$4&lt;=$E12)+$F142*CP12</f>
        <v>0</v>
      </c>
      <c r="CQ151" s="33" t="n">
        <f aca="false">(CQ60+CQ53)*(CQ$4&lt;=$E12)+$F142*CQ12</f>
        <v>0</v>
      </c>
      <c r="CR151" s="33" t="n">
        <f aca="false">(CR60+CR53)*(CR$4&lt;=$E12)+$F142*CR12</f>
        <v>0</v>
      </c>
      <c r="CS151" s="33" t="n">
        <f aca="false">(CS60+CS53)*(CS$4&lt;=$E12)+$F142*CS12</f>
        <v>0</v>
      </c>
      <c r="CT151" s="33" t="n">
        <f aca="false">(CT60+CT53)*(CT$4&lt;=$E12)+$F142*CT12</f>
        <v>0</v>
      </c>
      <c r="CU151" s="33" t="n">
        <f aca="false">(CU60+CU53)*(CU$4&lt;=$E12)+$F142*CU12</f>
        <v>0</v>
      </c>
      <c r="CV151" s="33" t="n">
        <f aca="false">(CV60+CV53)*(CV$4&lt;=$E12)+$F142*CV12</f>
        <v>0</v>
      </c>
      <c r="CW151" s="33" t="n">
        <f aca="false">(CW60+CW53)*(CW$4&lt;=$E12)+$F142*CW12</f>
        <v>0</v>
      </c>
      <c r="CX151" s="33" t="n">
        <f aca="false">(CX60+CX53)*(CX$4&lt;=$E12)+$F142*CX12</f>
        <v>0</v>
      </c>
      <c r="CY151" s="33" t="n">
        <f aca="false">(CY60+CY53)*(CY$4&lt;=$E12)+$F142*CY12</f>
        <v>0</v>
      </c>
      <c r="CZ151" s="33" t="n">
        <f aca="false">(CZ60+CZ53)*(CZ$4&lt;=$E12)+$F142*CZ12</f>
        <v>0</v>
      </c>
      <c r="DA151" s="33" t="n">
        <f aca="false">(DA60+DA53)*(DA$4&lt;=$E12)+$F142*DA12</f>
        <v>0</v>
      </c>
      <c r="DB151" s="33" t="n">
        <f aca="false">(DB60+DB53)*(DB$4&lt;=$E12)+$F142*DB12</f>
        <v>0</v>
      </c>
      <c r="DC151" s="33" t="n">
        <f aca="false">(DC60+DC53)*(DC$4&lt;=$E12)+$F142*DC12</f>
        <v>0</v>
      </c>
      <c r="DD151" s="33" t="n">
        <f aca="false">(DD60+DD53)*(DD$4&lt;=$E12)+$F142*DD12</f>
        <v>0</v>
      </c>
      <c r="DE151" s="33" t="n">
        <f aca="false">(DE60+DE53)*(DE$4&lt;=$E12)+$F142*DE12</f>
        <v>0</v>
      </c>
      <c r="DF151" s="33" t="n">
        <f aca="false">(DF60+DF53)*(DF$4&lt;=$E12)+$F142*DF12</f>
        <v>0</v>
      </c>
      <c r="DG151" s="33" t="n">
        <f aca="false">(DG60+DG53)*(DG$4&lt;=$E12)+$F142*DG12</f>
        <v>0</v>
      </c>
      <c r="DH151" s="33" t="n">
        <f aca="false">(DH60+DH53)*(DH$4&lt;=$E12)+$F142*DH12</f>
        <v>0</v>
      </c>
      <c r="DI151" s="33" t="n">
        <f aca="false">(DI60+DI53)*(DI$4&lt;=$E12)+$F142*DI12</f>
        <v>0</v>
      </c>
      <c r="DJ151" s="33" t="n">
        <f aca="false">(DJ60+DJ53)*(DJ$4&lt;=$E12)+$F142*DJ12</f>
        <v>0</v>
      </c>
      <c r="DK151" s="33" t="n">
        <f aca="false">(DK60+DK53)*(DK$4&lt;=$E12)+$F142*DK12</f>
        <v>0</v>
      </c>
      <c r="DL151" s="33" t="n">
        <f aca="false">(DL60+DL53)*(DL$4&lt;=$E12)+$F142*DL12</f>
        <v>0</v>
      </c>
      <c r="DM151" s="33" t="n">
        <f aca="false">(DM60+DM53)*(DM$4&lt;=$E12)+$F142*DM12</f>
        <v>0</v>
      </c>
      <c r="DN151" s="33" t="n">
        <f aca="false">(DN60+DN53)*(DN$4&lt;=$E12)+$F142*DN12</f>
        <v>0</v>
      </c>
      <c r="DO151" s="33" t="n">
        <f aca="false">(DO60+DO53)*(DO$4&lt;=$E12)+$F142*DO12</f>
        <v>0</v>
      </c>
      <c r="DP151" s="33" t="n">
        <f aca="false">(DP60+DP53)*(DP$4&lt;=$E12)+$F142*DP12</f>
        <v>0</v>
      </c>
      <c r="DQ151" s="33" t="n">
        <f aca="false">(DQ60+DQ53)*(DQ$4&lt;=$E12)+$F142*DQ12</f>
        <v>0</v>
      </c>
      <c r="DR151" s="33" t="n">
        <f aca="false">(DR60+DR53)*(DR$4&lt;=$E12)+$F142*DR12</f>
        <v>0</v>
      </c>
      <c r="DS151" s="33" t="n">
        <f aca="false">(DS60+DS53)*(DS$4&lt;=$E12)+$F142*DS12</f>
        <v>0</v>
      </c>
      <c r="DT151" s="33" t="n">
        <f aca="false">(DT60+DT53)*(DT$4&lt;=$E12)+$F142*DT12</f>
        <v>0</v>
      </c>
      <c r="DU151" s="33" t="n">
        <f aca="false">(DU60+DU53)*(DU$4&lt;=$E12)+$F142*DU12</f>
        <v>0</v>
      </c>
      <c r="DV151" s="33" t="n">
        <f aca="false">(DV60+DV53)*(DV$4&lt;=$E12)+$F142*DV12</f>
        <v>0</v>
      </c>
      <c r="DW151" s="33" t="n">
        <f aca="false">(DW60+DW53)*(DW$4&lt;=$E12)+$F142*DW12</f>
        <v>0</v>
      </c>
      <c r="DX151" s="33" t="n">
        <f aca="false">(DX60+DX53)*(DX$4&lt;=$E12)+$F142*DX12</f>
        <v>0</v>
      </c>
      <c r="DY151" s="33" t="n">
        <f aca="false">(DY60+DY53)*(DY$4&lt;=$E12)+$F142*DY12</f>
        <v>0</v>
      </c>
      <c r="DZ151" s="33" t="n">
        <f aca="false">(DZ60+DZ53)*(DZ$4&lt;=$E12)+$F142*DZ12</f>
        <v>0</v>
      </c>
      <c r="EA151" s="33" t="n">
        <f aca="false">(EA60+EA53)*(EA$4&lt;=$E12)+$F142*EA12</f>
        <v>0</v>
      </c>
      <c r="EB151" s="33" t="n">
        <f aca="false">(EB60+EB53)*(EB$4&lt;=$E12)+$F142*EB12</f>
        <v>0</v>
      </c>
      <c r="EC151" s="33" t="n">
        <f aca="false">(EC60+EC53)*(EC$4&lt;=$E12)+$F142*EC12</f>
        <v>0</v>
      </c>
      <c r="ED151" s="33" t="n">
        <f aca="false">(ED60+ED53)*(ED$4&lt;=$E12)+$F142*ED12</f>
        <v>0</v>
      </c>
      <c r="EE151" s="33" t="n">
        <f aca="false">(EE60+EE53)*(EE$4&lt;=$E12)+$F142*EE12</f>
        <v>0</v>
      </c>
      <c r="EF151" s="33" t="n">
        <f aca="false">(EF60+EF53)*(EF$4&lt;=$E12)+$F142*EF12</f>
        <v>0</v>
      </c>
      <c r="EG151" s="33" t="n">
        <f aca="false">(EG60+EG53)*(EG$4&lt;=$E12)+$F142*EG12</f>
        <v>0</v>
      </c>
      <c r="EH151" s="33" t="n">
        <f aca="false">(EH60+EH53)*(EH$4&lt;=$E12)+$F142*EH12</f>
        <v>0</v>
      </c>
      <c r="EI151" s="33" t="n">
        <f aca="false">(EI60+EI53)*(EI$4&lt;=$E12)+$F142*EI12</f>
        <v>0</v>
      </c>
      <c r="EJ151" s="33" t="n">
        <f aca="false">(EJ60+EJ53)*(EJ$4&lt;=$E12)+$F142*EJ12</f>
        <v>0</v>
      </c>
      <c r="EK151" s="33" t="n">
        <f aca="false">(EK60+EK53)*(EK$4&lt;=$E12)+$F142*EK12</f>
        <v>0</v>
      </c>
      <c r="EL151" s="33" t="n">
        <f aca="false">(EL60+EL53)*(EL$4&lt;=$E12)+$F142*EL12</f>
        <v>0</v>
      </c>
      <c r="EM151" s="33" t="n">
        <f aca="false">(EM60+EM53)*(EM$4&lt;=$E12)+$F142*EM12</f>
        <v>0</v>
      </c>
      <c r="EN151" s="33" t="n">
        <f aca="false">(EN60+EN53)*(EN$4&lt;=$E12)+$F142*EN12</f>
        <v>0</v>
      </c>
      <c r="EO151" s="33" t="n">
        <f aca="false">(EO60+EO53)*(EO$4&lt;=$E12)+$F142*EO12</f>
        <v>0</v>
      </c>
      <c r="EP151" s="33" t="n">
        <f aca="false">(EP60+EP53)*(EP$4&lt;=$E12)+$F142*EP12</f>
        <v>0</v>
      </c>
      <c r="EQ151" s="33" t="n">
        <f aca="false">(EQ60+EQ53)*(EQ$4&lt;=$E12)+$F142*EQ12</f>
        <v>0</v>
      </c>
      <c r="ER151" s="33" t="n">
        <f aca="false">(ER60+ER53)*(ER$4&lt;=$E12)+$F142*ER12</f>
        <v>0</v>
      </c>
      <c r="ES151" s="33" t="n">
        <f aca="false">(ES60+ES53)*(ES$4&lt;=$E12)+$F142*ES12</f>
        <v>0</v>
      </c>
      <c r="ET151" s="33" t="n">
        <f aca="false">(ET60+ET53)*(ET$4&lt;=$E12)+$F142*ET12</f>
        <v>0</v>
      </c>
    </row>
    <row r="152" customFormat="false" ht="15" hidden="false" customHeight="false" outlineLevel="0" collapsed="false">
      <c r="C152" s="30" t="s">
        <v>590</v>
      </c>
      <c r="D152" s="11" t="s">
        <v>247</v>
      </c>
      <c r="I152" s="35" t="n">
        <f aca="false">SUM(J152:ET152)</f>
        <v>6546.75873853232</v>
      </c>
      <c r="J152" s="35" t="n">
        <f aca="false">J151+$E151*J12</f>
        <v>-400</v>
      </c>
      <c r="K152" s="35" t="n">
        <f aca="false">K151+$E151*K12</f>
        <v>-1437.78053818728</v>
      </c>
      <c r="L152" s="35" t="n">
        <f aca="false">L151+$E151*L12</f>
        <v>-691.910911990993</v>
      </c>
      <c r="M152" s="35" t="n">
        <f aca="false">M151+$E151*M12</f>
        <v>-148.451634452993</v>
      </c>
      <c r="N152" s="35" t="n">
        <f aca="false">N151+$E151*N12</f>
        <v>-149.601261024582</v>
      </c>
      <c r="O152" s="35" t="n">
        <f aca="false">O151+$E151*O12</f>
        <v>-290.127288421843</v>
      </c>
      <c r="P152" s="35" t="n">
        <f aca="false">P151+$E151*P12</f>
        <v>-1394.65781281475</v>
      </c>
      <c r="Q152" s="35" t="n">
        <f aca="false">Q151+$E151*Q12</f>
        <v>-109.225607055733</v>
      </c>
      <c r="R152" s="35" t="n">
        <f aca="false">R151+$E151*R12</f>
        <v>-269.857154566657</v>
      </c>
      <c r="S152" s="35" t="n">
        <f aca="false">S151+$E151*S12</f>
        <v>-422.991783283459</v>
      </c>
      <c r="T152" s="35" t="n">
        <f aca="false">T151+$E151*T12</f>
        <v>-20587.5113339088</v>
      </c>
      <c r="U152" s="35" t="n">
        <f aca="false">U151+$E151*U12</f>
        <v>-104.616018014637</v>
      </c>
      <c r="V152" s="35" t="n">
        <f aca="false">V151+$E151*V12</f>
        <v>-105.765644586226</v>
      </c>
      <c r="W152" s="35" t="n">
        <f aca="false">W151+$E151*W12</f>
        <v>32659.2557268403</v>
      </c>
      <c r="X152" s="35" t="n">
        <f aca="false">X151+$E151*X12</f>
        <v>0</v>
      </c>
      <c r="Y152" s="35" t="n">
        <f aca="false">Y151+$E151*Y12</f>
        <v>0</v>
      </c>
      <c r="Z152" s="35" t="n">
        <f aca="false">Z151+$E151*Z12</f>
        <v>0</v>
      </c>
      <c r="AA152" s="35" t="n">
        <f aca="false">AA151+$E151*AA12</f>
        <v>0</v>
      </c>
      <c r="AB152" s="35" t="n">
        <f aca="false">AB151+$E151*AB12</f>
        <v>0</v>
      </c>
      <c r="AC152" s="35" t="n">
        <f aca="false">AC151+$E151*AC12</f>
        <v>0</v>
      </c>
      <c r="AD152" s="35" t="n">
        <f aca="false">AD151+$E151*AD12</f>
        <v>0</v>
      </c>
      <c r="AE152" s="35" t="n">
        <f aca="false">AE151+$E151*AE12</f>
        <v>0</v>
      </c>
      <c r="AF152" s="35" t="n">
        <f aca="false">AF151+$E151*AF12</f>
        <v>0</v>
      </c>
      <c r="AG152" s="35" t="n">
        <f aca="false">AG151+$E151*AG12</f>
        <v>0</v>
      </c>
      <c r="AH152" s="35" t="n">
        <f aca="false">AH151+$E151*AH12</f>
        <v>0</v>
      </c>
      <c r="AI152" s="35" t="n">
        <f aca="false">AI151+$E151*AI12</f>
        <v>0</v>
      </c>
      <c r="AJ152" s="35" t="n">
        <f aca="false">AJ151+$E151*AJ12</f>
        <v>0</v>
      </c>
      <c r="AK152" s="35" t="n">
        <f aca="false">AK151+$E151*AK12</f>
        <v>0</v>
      </c>
      <c r="AL152" s="35" t="n">
        <f aca="false">AL151+$E151*AL12</f>
        <v>0</v>
      </c>
      <c r="AM152" s="35" t="n">
        <f aca="false">AM151+$E151*AM12</f>
        <v>0</v>
      </c>
      <c r="AN152" s="35" t="n">
        <f aca="false">AN151+$E151*AN12</f>
        <v>0</v>
      </c>
      <c r="AO152" s="35" t="n">
        <f aca="false">AO151+$E151*AO12</f>
        <v>0</v>
      </c>
      <c r="AP152" s="35" t="n">
        <f aca="false">AP151+$E151*AP12</f>
        <v>0</v>
      </c>
      <c r="AQ152" s="35" t="n">
        <f aca="false">AQ151+$E151*AQ12</f>
        <v>0</v>
      </c>
      <c r="AR152" s="35" t="n">
        <f aca="false">AR151+$E151*AR12</f>
        <v>0</v>
      </c>
      <c r="AS152" s="35" t="n">
        <f aca="false">AS151+$E151*AS12</f>
        <v>0</v>
      </c>
      <c r="AT152" s="35" t="n">
        <f aca="false">AT151+$E151*AT12</f>
        <v>0</v>
      </c>
      <c r="AU152" s="35" t="n">
        <f aca="false">AU151+$E151*AU12</f>
        <v>0</v>
      </c>
      <c r="AV152" s="35" t="n">
        <f aca="false">AV151+$E151*AV12</f>
        <v>0</v>
      </c>
      <c r="AW152" s="35" t="n">
        <f aca="false">AW151+$E151*AW12</f>
        <v>0</v>
      </c>
      <c r="AX152" s="35" t="n">
        <f aca="false">AX151+$E151*AX12</f>
        <v>0</v>
      </c>
      <c r="AY152" s="35" t="n">
        <f aca="false">AY151+$E151*AY12</f>
        <v>0</v>
      </c>
      <c r="AZ152" s="35" t="n">
        <f aca="false">AZ151+$E151*AZ12</f>
        <v>0</v>
      </c>
      <c r="BA152" s="35" t="n">
        <f aca="false">BA151+$E151*BA12</f>
        <v>0</v>
      </c>
      <c r="BB152" s="35" t="n">
        <f aca="false">BB151+$E151*BB12</f>
        <v>0</v>
      </c>
      <c r="BC152" s="35" t="n">
        <f aca="false">BC151+$E151*BC12</f>
        <v>0</v>
      </c>
      <c r="BD152" s="35" t="n">
        <f aca="false">BD151+$E151*BD12</f>
        <v>0</v>
      </c>
      <c r="BE152" s="35" t="n">
        <f aca="false">BE151+$E151*BE12</f>
        <v>0</v>
      </c>
      <c r="BF152" s="35" t="n">
        <f aca="false">BF151+$E151*BF12</f>
        <v>0</v>
      </c>
      <c r="BG152" s="35" t="n">
        <f aca="false">BG151+$E151*BG12</f>
        <v>0</v>
      </c>
      <c r="BH152" s="35" t="n">
        <f aca="false">BH151+$E151*BH12</f>
        <v>0</v>
      </c>
      <c r="BI152" s="35" t="n">
        <f aca="false">BI151+$E151*BI12</f>
        <v>0</v>
      </c>
      <c r="BJ152" s="35" t="n">
        <f aca="false">BJ151+$E151*BJ12</f>
        <v>0</v>
      </c>
      <c r="BK152" s="35" t="n">
        <f aca="false">BK151+$E151*BK12</f>
        <v>0</v>
      </c>
      <c r="BL152" s="35" t="n">
        <f aca="false">BL151+$E151*BL12</f>
        <v>0</v>
      </c>
      <c r="BM152" s="35" t="n">
        <f aca="false">BM151+$E151*BM12</f>
        <v>0</v>
      </c>
      <c r="BN152" s="35" t="n">
        <f aca="false">BN151+$E151*BN12</f>
        <v>0</v>
      </c>
      <c r="BO152" s="35" t="n">
        <f aca="false">BO151+$E151*BO12</f>
        <v>0</v>
      </c>
      <c r="BP152" s="35" t="n">
        <f aca="false">BP151+$E151*BP12</f>
        <v>0</v>
      </c>
      <c r="BQ152" s="35" t="n">
        <f aca="false">BQ151+$E151*BQ12</f>
        <v>0</v>
      </c>
      <c r="BR152" s="35" t="n">
        <f aca="false">BR151+$E151*BR12</f>
        <v>0</v>
      </c>
      <c r="BS152" s="35" t="n">
        <f aca="false">BS151+$E151*BS12</f>
        <v>0</v>
      </c>
      <c r="BT152" s="35" t="n">
        <f aca="false">BT151+$E151*BT12</f>
        <v>0</v>
      </c>
      <c r="BU152" s="35" t="n">
        <f aca="false">BU151+$E151*BU12</f>
        <v>0</v>
      </c>
      <c r="BV152" s="35" t="n">
        <f aca="false">BV151+$E151*BV12</f>
        <v>0</v>
      </c>
      <c r="BW152" s="35" t="n">
        <f aca="false">BW151+$E151*BW12</f>
        <v>0</v>
      </c>
      <c r="BX152" s="35" t="n">
        <f aca="false">BX151+$E151*BX12</f>
        <v>0</v>
      </c>
      <c r="BY152" s="35" t="n">
        <f aca="false">BY151+$E151*BY12</f>
        <v>0</v>
      </c>
      <c r="BZ152" s="35" t="n">
        <f aca="false">BZ151+$E151*BZ12</f>
        <v>0</v>
      </c>
      <c r="CA152" s="35" t="n">
        <f aca="false">CA151+$E151*CA12</f>
        <v>0</v>
      </c>
      <c r="CB152" s="35" t="n">
        <f aca="false">CB151+$E151*CB12</f>
        <v>0</v>
      </c>
      <c r="CC152" s="35" t="n">
        <f aca="false">CC151+$E151*CC12</f>
        <v>0</v>
      </c>
      <c r="CD152" s="35" t="n">
        <f aca="false">CD151+$E151*CD12</f>
        <v>0</v>
      </c>
      <c r="CE152" s="35" t="n">
        <f aca="false">CE151+$E151*CE12</f>
        <v>0</v>
      </c>
      <c r="CF152" s="35" t="n">
        <f aca="false">CF151+$E151*CF12</f>
        <v>0</v>
      </c>
      <c r="CG152" s="35" t="n">
        <f aca="false">CG151+$E151*CG12</f>
        <v>0</v>
      </c>
      <c r="CH152" s="35" t="n">
        <f aca="false">CH151+$E151*CH12</f>
        <v>0</v>
      </c>
      <c r="CI152" s="35" t="n">
        <f aca="false">CI151+$E151*CI12</f>
        <v>0</v>
      </c>
      <c r="CJ152" s="35" t="n">
        <f aca="false">CJ151+$E151*CJ12</f>
        <v>0</v>
      </c>
      <c r="CK152" s="35" t="n">
        <f aca="false">CK151+$E151*CK12</f>
        <v>0</v>
      </c>
      <c r="CL152" s="35" t="n">
        <f aca="false">CL151+$E151*CL12</f>
        <v>0</v>
      </c>
      <c r="CM152" s="35" t="n">
        <f aca="false">CM151+$E151*CM12</f>
        <v>0</v>
      </c>
      <c r="CN152" s="35" t="n">
        <f aca="false">CN151+$E151*CN12</f>
        <v>0</v>
      </c>
      <c r="CO152" s="35" t="n">
        <f aca="false">CO151+$E151*CO12</f>
        <v>0</v>
      </c>
      <c r="CP152" s="35" t="n">
        <f aca="false">CP151+$E151*CP12</f>
        <v>0</v>
      </c>
      <c r="CQ152" s="35" t="n">
        <f aca="false">CQ151+$E151*CQ12</f>
        <v>0</v>
      </c>
      <c r="CR152" s="35" t="n">
        <f aca="false">CR151+$E151*CR12</f>
        <v>0</v>
      </c>
      <c r="CS152" s="35" t="n">
        <f aca="false">CS151+$E151*CS12</f>
        <v>0</v>
      </c>
      <c r="CT152" s="35" t="n">
        <f aca="false">CT151+$E151*CT12</f>
        <v>0</v>
      </c>
      <c r="CU152" s="35" t="n">
        <f aca="false">CU151+$E151*CU12</f>
        <v>0</v>
      </c>
      <c r="CV152" s="35" t="n">
        <f aca="false">CV151+$E151*CV12</f>
        <v>0</v>
      </c>
      <c r="CW152" s="35" t="n">
        <f aca="false">CW151+$E151*CW12</f>
        <v>0</v>
      </c>
      <c r="CX152" s="35" t="n">
        <f aca="false">CX151+$E151*CX12</f>
        <v>0</v>
      </c>
      <c r="CY152" s="35" t="n">
        <f aca="false">CY151+$E151*CY12</f>
        <v>0</v>
      </c>
      <c r="CZ152" s="35" t="n">
        <f aca="false">CZ151+$E151*CZ12</f>
        <v>0</v>
      </c>
      <c r="DA152" s="35" t="n">
        <f aca="false">DA151+$E151*DA12</f>
        <v>0</v>
      </c>
      <c r="DB152" s="35" t="n">
        <f aca="false">DB151+$E151*DB12</f>
        <v>0</v>
      </c>
      <c r="DC152" s="35" t="n">
        <f aca="false">DC151+$E151*DC12</f>
        <v>0</v>
      </c>
      <c r="DD152" s="35" t="n">
        <f aca="false">DD151+$E151*DD12</f>
        <v>0</v>
      </c>
      <c r="DE152" s="35" t="n">
        <f aca="false">DE151+$E151*DE12</f>
        <v>0</v>
      </c>
      <c r="DF152" s="35" t="n">
        <f aca="false">DF151+$E151*DF12</f>
        <v>0</v>
      </c>
      <c r="DG152" s="35" t="n">
        <f aca="false">DG151+$E151*DG12</f>
        <v>0</v>
      </c>
      <c r="DH152" s="35" t="n">
        <f aca="false">DH151+$E151*DH12</f>
        <v>0</v>
      </c>
      <c r="DI152" s="35" t="n">
        <f aca="false">DI151+$E151*DI12</f>
        <v>0</v>
      </c>
      <c r="DJ152" s="35" t="n">
        <f aca="false">DJ151+$E151*DJ12</f>
        <v>0</v>
      </c>
      <c r="DK152" s="35" t="n">
        <f aca="false">DK151+$E151*DK12</f>
        <v>0</v>
      </c>
      <c r="DL152" s="35" t="n">
        <f aca="false">DL151+$E151*DL12</f>
        <v>0</v>
      </c>
      <c r="DM152" s="35" t="n">
        <f aca="false">DM151+$E151*DM12</f>
        <v>0</v>
      </c>
      <c r="DN152" s="35" t="n">
        <f aca="false">DN151+$E151*DN12</f>
        <v>0</v>
      </c>
      <c r="DO152" s="35" t="n">
        <f aca="false">DO151+$E151*DO12</f>
        <v>0</v>
      </c>
      <c r="DP152" s="35" t="n">
        <f aca="false">DP151+$E151*DP12</f>
        <v>0</v>
      </c>
      <c r="DQ152" s="35" t="n">
        <f aca="false">DQ151+$E151*DQ12</f>
        <v>0</v>
      </c>
      <c r="DR152" s="35" t="n">
        <f aca="false">DR151+$E151*DR12</f>
        <v>0</v>
      </c>
      <c r="DS152" s="35" t="n">
        <f aca="false">DS151+$E151*DS12</f>
        <v>0</v>
      </c>
      <c r="DT152" s="35" t="n">
        <f aca="false">DT151+$E151*DT12</f>
        <v>0</v>
      </c>
      <c r="DU152" s="35" t="n">
        <f aca="false">DU151+$E151*DU12</f>
        <v>0</v>
      </c>
      <c r="DV152" s="35" t="n">
        <f aca="false">DV151+$E151*DV12</f>
        <v>0</v>
      </c>
      <c r="DW152" s="35" t="n">
        <f aca="false">DW151+$E151*DW12</f>
        <v>0</v>
      </c>
      <c r="DX152" s="35" t="n">
        <f aca="false">DX151+$E151*DX12</f>
        <v>0</v>
      </c>
      <c r="DY152" s="35" t="n">
        <f aca="false">DY151+$E151*DY12</f>
        <v>0</v>
      </c>
      <c r="DZ152" s="35" t="n">
        <f aca="false">DZ151+$E151*DZ12</f>
        <v>0</v>
      </c>
      <c r="EA152" s="35" t="n">
        <f aca="false">EA151+$E151*EA12</f>
        <v>0</v>
      </c>
      <c r="EB152" s="35" t="n">
        <f aca="false">EB151+$E151*EB12</f>
        <v>0</v>
      </c>
      <c r="EC152" s="35" t="n">
        <f aca="false">EC151+$E151*EC12</f>
        <v>0</v>
      </c>
      <c r="ED152" s="35" t="n">
        <f aca="false">ED151+$E151*ED12</f>
        <v>0</v>
      </c>
      <c r="EE152" s="35" t="n">
        <f aca="false">EE151+$E151*EE12</f>
        <v>0</v>
      </c>
      <c r="EF152" s="35" t="n">
        <f aca="false">EF151+$E151*EF12</f>
        <v>0</v>
      </c>
      <c r="EG152" s="35" t="n">
        <f aca="false">EG151+$E151*EG12</f>
        <v>0</v>
      </c>
      <c r="EH152" s="35" t="n">
        <f aca="false">EH151+$E151*EH12</f>
        <v>0</v>
      </c>
      <c r="EI152" s="35" t="n">
        <f aca="false">EI151+$E151*EI12</f>
        <v>0</v>
      </c>
      <c r="EJ152" s="35" t="n">
        <f aca="false">EJ151+$E151*EJ12</f>
        <v>0</v>
      </c>
      <c r="EK152" s="35" t="n">
        <f aca="false">EK151+$E151*EK12</f>
        <v>0</v>
      </c>
      <c r="EL152" s="35" t="n">
        <f aca="false">EL151+$E151*EL12</f>
        <v>0</v>
      </c>
      <c r="EM152" s="35" t="n">
        <f aca="false">EM151+$E151*EM12</f>
        <v>0</v>
      </c>
      <c r="EN152" s="35" t="n">
        <f aca="false">EN151+$E151*EN12</f>
        <v>0</v>
      </c>
      <c r="EO152" s="35" t="n">
        <f aca="false">EO151+$E151*EO12</f>
        <v>0</v>
      </c>
      <c r="EP152" s="35" t="n">
        <f aca="false">EP151+$E151*EP12</f>
        <v>0</v>
      </c>
      <c r="EQ152" s="35" t="n">
        <f aca="false">EQ151+$E151*EQ12</f>
        <v>0</v>
      </c>
      <c r="ER152" s="35" t="n">
        <f aca="false">ER151+$E151*ER12</f>
        <v>0</v>
      </c>
      <c r="ES152" s="35" t="n">
        <f aca="false">ES151+$E151*ES12</f>
        <v>0</v>
      </c>
      <c r="ET152" s="35" t="n">
        <f aca="false">ET151+$E151*ET12</f>
        <v>0</v>
      </c>
    </row>
    <row r="153" customFormat="false" ht="15" hidden="false" customHeight="false" outlineLevel="0" collapsed="false">
      <c r="C153" s="0" t="s">
        <v>167</v>
      </c>
      <c r="D153" s="11" t="s">
        <v>247</v>
      </c>
      <c r="E153" s="33" t="n">
        <f aca="false">$E59+$I46+$E151</f>
        <v>-1806.77268158454</v>
      </c>
    </row>
    <row r="154" customFormat="false" ht="15" hidden="false" customHeight="false" outlineLevel="0" collapsed="false">
      <c r="C154" s="30" t="s">
        <v>75</v>
      </c>
      <c r="D154" s="11" t="s">
        <v>35</v>
      </c>
      <c r="E154" s="57" t="n">
        <f aca="false">IFERROR(XIRR($J152:$ET152,$J$4:$ET$4),"n/a")</f>
        <v>0.221510760619134</v>
      </c>
    </row>
    <row r="155" customFormat="false" ht="15" hidden="false" customHeight="false" outlineLevel="0" collapsed="false">
      <c r="C155" s="30" t="s">
        <v>591</v>
      </c>
      <c r="D155" s="11" t="s">
        <v>13</v>
      </c>
      <c r="E155" s="58" t="n">
        <f aca="false">($F142+$E151)/($F142-$I151)</f>
        <v>1.24970223352323</v>
      </c>
    </row>
    <row r="156" customFormat="false" ht="15" hidden="false" customHeight="false" outlineLevel="0" collapsed="false">
      <c r="C156" s="30" t="s">
        <v>169</v>
      </c>
      <c r="D156" s="11" t="s">
        <v>247</v>
      </c>
      <c r="E156" s="35" t="n">
        <f aca="false">XNPV(In_Discount_Rate,$J152:$ET152,$J$4:$ET$4)</f>
        <v>3328.54248477583</v>
      </c>
    </row>
    <row r="158" customFormat="false" ht="15" hidden="false" customHeight="false" outlineLevel="0" collapsed="false">
      <c r="A158" s="9" t="s">
        <v>13</v>
      </c>
      <c r="B158" s="9"/>
      <c r="C158" s="9" t="s">
        <v>170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</row>
    <row r="159" customFormat="false" ht="15" hidden="false" customHeight="false" outlineLevel="0" collapsed="false">
      <c r="C159" s="0" t="s">
        <v>592</v>
      </c>
      <c r="D159" s="11" t="s">
        <v>247</v>
      </c>
      <c r="I159" s="33" t="n">
        <f aca="false">SUM(J159:ET159)</f>
        <v>-73398.9735112757</v>
      </c>
      <c r="J159" s="33" t="n">
        <f aca="false">(J60+J105+J98+J119)*(J$4&lt;=In_COD)</f>
        <v>-400</v>
      </c>
      <c r="K159" s="33" t="n">
        <f aca="false">(K60+K105+K98+K119)*(K$4&lt;=In_COD)</f>
        <v>-1437.78053818728</v>
      </c>
      <c r="L159" s="33" t="n">
        <f aca="false">(L60+L105+L98+L119)*(L$4&lt;=In_COD)</f>
        <v>-691.910911990993</v>
      </c>
      <c r="M159" s="33" t="n">
        <f aca="false">(M60+M105+M98+M119)*(M$4&lt;=In_COD)</f>
        <v>-148.451634452993</v>
      </c>
      <c r="N159" s="33" t="n">
        <f aca="false">(N60+N105+N98+N119)*(N$4&lt;=In_COD)</f>
        <v>-149.601261024582</v>
      </c>
      <c r="O159" s="33" t="n">
        <f aca="false">(O60+O105+O98+O119)*(O$4&lt;=In_COD)</f>
        <v>-290.127288421843</v>
      </c>
      <c r="P159" s="33" t="n">
        <f aca="false">(P60+P105+P98+P119)*(P$4&lt;=In_COD)</f>
        <v>-1394.65781281475</v>
      </c>
      <c r="Q159" s="33" t="n">
        <f aca="false">(Q60+Q105+Q98+Q119)*(Q$4&lt;=In_COD)</f>
        <v>-109.225607055733</v>
      </c>
      <c r="R159" s="33" t="n">
        <f aca="false">(R60+R105+R98+R119)*(R$4&lt;=In_COD)</f>
        <v>-269.857154566657</v>
      </c>
      <c r="S159" s="33" t="n">
        <f aca="false">(S60+S105+S98+S119)*(S$4&lt;=In_COD)</f>
        <v>-422.991783283459</v>
      </c>
      <c r="T159" s="33" t="n">
        <f aca="false">(T60+T105+T98+T119)*(T$4&lt;=In_COD)</f>
        <v>-20587.5113339088</v>
      </c>
      <c r="U159" s="33" t="n">
        <f aca="false">(U60+U105+U98+U119)*(U$4&lt;=In_COD)</f>
        <v>-104.616018014637</v>
      </c>
      <c r="V159" s="33" t="n">
        <f aca="false">(V60+V105+V98+V119)*(V$4&lt;=In_COD)</f>
        <v>-105.765644586226</v>
      </c>
      <c r="W159" s="33" t="n">
        <f aca="false">(W60+W105+W98+W119)*(W$4&lt;=In_COD)</f>
        <v>-6875.32473538409</v>
      </c>
      <c r="X159" s="33" t="n">
        <f aca="false">(X60+X105+X98+X119)*(X$4&lt;=In_COD)</f>
        <v>-5073.5175863622</v>
      </c>
      <c r="Y159" s="33" t="n">
        <f aca="false">(Y60+Y105+Y98+Y119)*(Y$4&lt;=In_COD)</f>
        <v>-5103.58937070822</v>
      </c>
      <c r="Z159" s="33" t="n">
        <f aca="false">(Z60+Z105+Z98+Z119)*(Z$4&lt;=In_COD)</f>
        <v>-5132.78767858878</v>
      </c>
      <c r="AA159" s="33" t="n">
        <f aca="false">(AA60+AA105+AA98+AA119)*(AA$4&lt;=In_COD)</f>
        <v>-5105.60714622201</v>
      </c>
      <c r="AB159" s="33" t="n">
        <f aca="false">(AB60+AB105+AB98+AB119)*(AB$4&lt;=In_COD)</f>
        <v>-4969.92045560723</v>
      </c>
      <c r="AC159" s="33" t="n">
        <f aca="false">(AC60+AC105+AC98+AC119)*(AC$4&lt;=In_COD)</f>
        <v>-4998.84116072264</v>
      </c>
      <c r="AD159" s="33" t="n">
        <f aca="false">(AD60+AD105+AD98+AD119)*(AD$4&lt;=In_COD)</f>
        <v>-10026.8883893726</v>
      </c>
      <c r="AE159" s="33" t="n">
        <f aca="false">(AE60+AE105+AE98+AE119)*(AE$4&lt;=In_COD)</f>
        <v>0</v>
      </c>
      <c r="AF159" s="33" t="n">
        <f aca="false">(AF60+AF105+AF98+AF119)*(AF$4&lt;=In_COD)</f>
        <v>0</v>
      </c>
      <c r="AG159" s="33" t="n">
        <f aca="false">(AG60+AG105+AG98+AG119)*(AG$4&lt;=In_COD)</f>
        <v>0</v>
      </c>
      <c r="AH159" s="33" t="n">
        <f aca="false">(AH60+AH105+AH98+AH119)*(AH$4&lt;=In_COD)</f>
        <v>0</v>
      </c>
      <c r="AI159" s="33" t="n">
        <f aca="false">(AI60+AI105+AI98+AI119)*(AI$4&lt;=In_COD)</f>
        <v>0</v>
      </c>
      <c r="AJ159" s="33" t="n">
        <f aca="false">(AJ60+AJ105+AJ98+AJ119)*(AJ$4&lt;=In_COD)</f>
        <v>0</v>
      </c>
      <c r="AK159" s="33" t="n">
        <f aca="false">(AK60+AK105+AK98+AK119)*(AK$4&lt;=In_COD)</f>
        <v>0</v>
      </c>
      <c r="AL159" s="33" t="n">
        <f aca="false">(AL60+AL105+AL98+AL119)*(AL$4&lt;=In_COD)</f>
        <v>0</v>
      </c>
      <c r="AM159" s="33" t="n">
        <f aca="false">(AM60+AM105+AM98+AM119)*(AM$4&lt;=In_COD)</f>
        <v>0</v>
      </c>
      <c r="AN159" s="33" t="n">
        <f aca="false">(AN60+AN105+AN98+AN119)*(AN$4&lt;=In_COD)</f>
        <v>0</v>
      </c>
      <c r="AO159" s="33" t="n">
        <f aca="false">(AO60+AO105+AO98+AO119)*(AO$4&lt;=In_COD)</f>
        <v>0</v>
      </c>
      <c r="AP159" s="33" t="n">
        <f aca="false">(AP60+AP105+AP98+AP119)*(AP$4&lt;=In_COD)</f>
        <v>0</v>
      </c>
      <c r="AQ159" s="33" t="n">
        <f aca="false">(AQ60+AQ105+AQ98+AQ119)*(AQ$4&lt;=In_COD)</f>
        <v>0</v>
      </c>
      <c r="AR159" s="33" t="n">
        <f aca="false">(AR60+AR105+AR98+AR119)*(AR$4&lt;=In_COD)</f>
        <v>0</v>
      </c>
      <c r="AS159" s="33" t="n">
        <f aca="false">(AS60+AS105+AS98+AS119)*(AS$4&lt;=In_COD)</f>
        <v>0</v>
      </c>
      <c r="AT159" s="33" t="n">
        <f aca="false">(AT60+AT105+AT98+AT119)*(AT$4&lt;=In_COD)</f>
        <v>0</v>
      </c>
      <c r="AU159" s="33" t="n">
        <f aca="false">(AU60+AU105+AU98+AU119)*(AU$4&lt;=In_COD)</f>
        <v>0</v>
      </c>
      <c r="AV159" s="33" t="n">
        <f aca="false">(AV60+AV105+AV98+AV119)*(AV$4&lt;=In_COD)</f>
        <v>0</v>
      </c>
      <c r="AW159" s="33" t="n">
        <f aca="false">(AW60+AW105+AW98+AW119)*(AW$4&lt;=In_COD)</f>
        <v>0</v>
      </c>
      <c r="AX159" s="33" t="n">
        <f aca="false">(AX60+AX105+AX98+AX119)*(AX$4&lt;=In_COD)</f>
        <v>0</v>
      </c>
      <c r="AY159" s="33" t="n">
        <f aca="false">(AY60+AY105+AY98+AY119)*(AY$4&lt;=In_COD)</f>
        <v>0</v>
      </c>
      <c r="AZ159" s="33" t="n">
        <f aca="false">(AZ60+AZ105+AZ98+AZ119)*(AZ$4&lt;=In_COD)</f>
        <v>0</v>
      </c>
      <c r="BA159" s="33" t="n">
        <f aca="false">(BA60+BA105+BA98+BA119)*(BA$4&lt;=In_COD)</f>
        <v>0</v>
      </c>
      <c r="BB159" s="33" t="n">
        <f aca="false">(BB60+BB105+BB98+BB119)*(BB$4&lt;=In_COD)</f>
        <v>0</v>
      </c>
      <c r="BC159" s="33" t="n">
        <f aca="false">(BC60+BC105+BC98+BC119)*(BC$4&lt;=In_COD)</f>
        <v>0</v>
      </c>
      <c r="BD159" s="33" t="n">
        <f aca="false">(BD60+BD105+BD98+BD119)*(BD$4&lt;=In_COD)</f>
        <v>0</v>
      </c>
      <c r="BE159" s="33" t="n">
        <f aca="false">(BE60+BE105+BE98+BE119)*(BE$4&lt;=In_COD)</f>
        <v>0</v>
      </c>
      <c r="BF159" s="33" t="n">
        <f aca="false">(BF60+BF105+BF98+BF119)*(BF$4&lt;=In_COD)</f>
        <v>0</v>
      </c>
      <c r="BG159" s="33" t="n">
        <f aca="false">(BG60+BG105+BG98+BG119)*(BG$4&lt;=In_COD)</f>
        <v>0</v>
      </c>
      <c r="BH159" s="33" t="n">
        <f aca="false">(BH60+BH105+BH98+BH119)*(BH$4&lt;=In_COD)</f>
        <v>0</v>
      </c>
      <c r="BI159" s="33" t="n">
        <f aca="false">(BI60+BI105+BI98+BI119)*(BI$4&lt;=In_COD)</f>
        <v>0</v>
      </c>
      <c r="BJ159" s="33" t="n">
        <f aca="false">(BJ60+BJ105+BJ98+BJ119)*(BJ$4&lt;=In_COD)</f>
        <v>0</v>
      </c>
      <c r="BK159" s="33" t="n">
        <f aca="false">(BK60+BK105+BK98+BK119)*(BK$4&lt;=In_COD)</f>
        <v>0</v>
      </c>
      <c r="BL159" s="33" t="n">
        <f aca="false">(BL60+BL105+BL98+BL119)*(BL$4&lt;=In_COD)</f>
        <v>0</v>
      </c>
      <c r="BM159" s="33" t="n">
        <f aca="false">(BM60+BM105+BM98+BM119)*(BM$4&lt;=In_COD)</f>
        <v>0</v>
      </c>
      <c r="BN159" s="33" t="n">
        <f aca="false">(BN60+BN105+BN98+BN119)*(BN$4&lt;=In_COD)</f>
        <v>0</v>
      </c>
      <c r="BO159" s="33" t="n">
        <f aca="false">(BO60+BO105+BO98+BO119)*(BO$4&lt;=In_COD)</f>
        <v>0</v>
      </c>
      <c r="BP159" s="33" t="n">
        <f aca="false">(BP60+BP105+BP98+BP119)*(BP$4&lt;=In_COD)</f>
        <v>0</v>
      </c>
      <c r="BQ159" s="33" t="n">
        <f aca="false">(BQ60+BQ105+BQ98+BQ119)*(BQ$4&lt;=In_COD)</f>
        <v>0</v>
      </c>
      <c r="BR159" s="33" t="n">
        <f aca="false">(BR60+BR105+BR98+BR119)*(BR$4&lt;=In_COD)</f>
        <v>0</v>
      </c>
      <c r="BS159" s="33" t="n">
        <f aca="false">(BS60+BS105+BS98+BS119)*(BS$4&lt;=In_COD)</f>
        <v>0</v>
      </c>
      <c r="BT159" s="33" t="n">
        <f aca="false">(BT60+BT105+BT98+BT119)*(BT$4&lt;=In_COD)</f>
        <v>0</v>
      </c>
      <c r="BU159" s="33" t="n">
        <f aca="false">(BU60+BU105+BU98+BU119)*(BU$4&lt;=In_COD)</f>
        <v>0</v>
      </c>
      <c r="BV159" s="33" t="n">
        <f aca="false">(BV60+BV105+BV98+BV119)*(BV$4&lt;=In_COD)</f>
        <v>0</v>
      </c>
      <c r="BW159" s="33" t="n">
        <f aca="false">(BW60+BW105+BW98+BW119)*(BW$4&lt;=In_COD)</f>
        <v>0</v>
      </c>
      <c r="BX159" s="33" t="n">
        <f aca="false">(BX60+BX105+BX98+BX119)*(BX$4&lt;=In_COD)</f>
        <v>0</v>
      </c>
      <c r="BY159" s="33" t="n">
        <f aca="false">(BY60+BY105+BY98+BY119)*(BY$4&lt;=In_COD)</f>
        <v>0</v>
      </c>
      <c r="BZ159" s="33" t="n">
        <f aca="false">(BZ60+BZ105+BZ98+BZ119)*(BZ$4&lt;=In_COD)</f>
        <v>0</v>
      </c>
      <c r="CA159" s="33" t="n">
        <f aca="false">(CA60+CA105+CA98+CA119)*(CA$4&lt;=In_COD)</f>
        <v>0</v>
      </c>
      <c r="CB159" s="33" t="n">
        <f aca="false">(CB60+CB105+CB98+CB119)*(CB$4&lt;=In_COD)</f>
        <v>0</v>
      </c>
      <c r="CC159" s="33" t="n">
        <f aca="false">(CC60+CC105+CC98+CC119)*(CC$4&lt;=In_COD)</f>
        <v>0</v>
      </c>
      <c r="CD159" s="33" t="n">
        <f aca="false">(CD60+CD105+CD98+CD119)*(CD$4&lt;=In_COD)</f>
        <v>0</v>
      </c>
      <c r="CE159" s="33" t="n">
        <f aca="false">(CE60+CE105+CE98+CE119)*(CE$4&lt;=In_COD)</f>
        <v>0</v>
      </c>
      <c r="CF159" s="33" t="n">
        <f aca="false">(CF60+CF105+CF98+CF119)*(CF$4&lt;=In_COD)</f>
        <v>0</v>
      </c>
      <c r="CG159" s="33" t="n">
        <f aca="false">(CG60+CG105+CG98+CG119)*(CG$4&lt;=In_COD)</f>
        <v>0</v>
      </c>
      <c r="CH159" s="33" t="n">
        <f aca="false">(CH60+CH105+CH98+CH119)*(CH$4&lt;=In_COD)</f>
        <v>0</v>
      </c>
      <c r="CI159" s="33" t="n">
        <f aca="false">(CI60+CI105+CI98+CI119)*(CI$4&lt;=In_COD)</f>
        <v>0</v>
      </c>
      <c r="CJ159" s="33" t="n">
        <f aca="false">(CJ60+CJ105+CJ98+CJ119)*(CJ$4&lt;=In_COD)</f>
        <v>0</v>
      </c>
      <c r="CK159" s="33" t="n">
        <f aca="false">(CK60+CK105+CK98+CK119)*(CK$4&lt;=In_COD)</f>
        <v>0</v>
      </c>
      <c r="CL159" s="33" t="n">
        <f aca="false">(CL60+CL105+CL98+CL119)*(CL$4&lt;=In_COD)</f>
        <v>0</v>
      </c>
      <c r="CM159" s="33" t="n">
        <f aca="false">(CM60+CM105+CM98+CM119)*(CM$4&lt;=In_COD)</f>
        <v>0</v>
      </c>
      <c r="CN159" s="33" t="n">
        <f aca="false">(CN60+CN105+CN98+CN119)*(CN$4&lt;=In_COD)</f>
        <v>0</v>
      </c>
      <c r="CO159" s="33" t="n">
        <f aca="false">(CO60+CO105+CO98+CO119)*(CO$4&lt;=In_COD)</f>
        <v>0</v>
      </c>
      <c r="CP159" s="33" t="n">
        <f aca="false">(CP60+CP105+CP98+CP119)*(CP$4&lt;=In_COD)</f>
        <v>0</v>
      </c>
      <c r="CQ159" s="33" t="n">
        <f aca="false">(CQ60+CQ105+CQ98+CQ119)*(CQ$4&lt;=In_COD)</f>
        <v>0</v>
      </c>
      <c r="CR159" s="33" t="n">
        <f aca="false">(CR60+CR105+CR98+CR119)*(CR$4&lt;=In_COD)</f>
        <v>0</v>
      </c>
      <c r="CS159" s="33" t="n">
        <f aca="false">(CS60+CS105+CS98+CS119)*(CS$4&lt;=In_COD)</f>
        <v>0</v>
      </c>
      <c r="CT159" s="33" t="n">
        <f aca="false">(CT60+CT105+CT98+CT119)*(CT$4&lt;=In_COD)</f>
        <v>0</v>
      </c>
      <c r="CU159" s="33" t="n">
        <f aca="false">(CU60+CU105+CU98+CU119)*(CU$4&lt;=In_COD)</f>
        <v>0</v>
      </c>
      <c r="CV159" s="33" t="n">
        <f aca="false">(CV60+CV105+CV98+CV119)*(CV$4&lt;=In_COD)</f>
        <v>0</v>
      </c>
      <c r="CW159" s="33" t="n">
        <f aca="false">(CW60+CW105+CW98+CW119)*(CW$4&lt;=In_COD)</f>
        <v>0</v>
      </c>
      <c r="CX159" s="33" t="n">
        <f aca="false">(CX60+CX105+CX98+CX119)*(CX$4&lt;=In_COD)</f>
        <v>0</v>
      </c>
      <c r="CY159" s="33" t="n">
        <f aca="false">(CY60+CY105+CY98+CY119)*(CY$4&lt;=In_COD)</f>
        <v>0</v>
      </c>
      <c r="CZ159" s="33" t="n">
        <f aca="false">(CZ60+CZ105+CZ98+CZ119)*(CZ$4&lt;=In_COD)</f>
        <v>0</v>
      </c>
      <c r="DA159" s="33" t="n">
        <f aca="false">(DA60+DA105+DA98+DA119)*(DA$4&lt;=In_COD)</f>
        <v>0</v>
      </c>
      <c r="DB159" s="33" t="n">
        <f aca="false">(DB60+DB105+DB98+DB119)*(DB$4&lt;=In_COD)</f>
        <v>0</v>
      </c>
      <c r="DC159" s="33" t="n">
        <f aca="false">(DC60+DC105+DC98+DC119)*(DC$4&lt;=In_COD)</f>
        <v>0</v>
      </c>
      <c r="DD159" s="33" t="n">
        <f aca="false">(DD60+DD105+DD98+DD119)*(DD$4&lt;=In_COD)</f>
        <v>0</v>
      </c>
      <c r="DE159" s="33" t="n">
        <f aca="false">(DE60+DE105+DE98+DE119)*(DE$4&lt;=In_COD)</f>
        <v>0</v>
      </c>
      <c r="DF159" s="33" t="n">
        <f aca="false">(DF60+DF105+DF98+DF119)*(DF$4&lt;=In_COD)</f>
        <v>0</v>
      </c>
      <c r="DG159" s="33" t="n">
        <f aca="false">(DG60+DG105+DG98+DG119)*(DG$4&lt;=In_COD)</f>
        <v>0</v>
      </c>
      <c r="DH159" s="33" t="n">
        <f aca="false">(DH60+DH105+DH98+DH119)*(DH$4&lt;=In_COD)</f>
        <v>0</v>
      </c>
      <c r="DI159" s="33" t="n">
        <f aca="false">(DI60+DI105+DI98+DI119)*(DI$4&lt;=In_COD)</f>
        <v>0</v>
      </c>
      <c r="DJ159" s="33" t="n">
        <f aca="false">(DJ60+DJ105+DJ98+DJ119)*(DJ$4&lt;=In_COD)</f>
        <v>0</v>
      </c>
      <c r="DK159" s="33" t="n">
        <f aca="false">(DK60+DK105+DK98+DK119)*(DK$4&lt;=In_COD)</f>
        <v>0</v>
      </c>
      <c r="DL159" s="33" t="n">
        <f aca="false">(DL60+DL105+DL98+DL119)*(DL$4&lt;=In_COD)</f>
        <v>0</v>
      </c>
      <c r="DM159" s="33" t="n">
        <f aca="false">(DM60+DM105+DM98+DM119)*(DM$4&lt;=In_COD)</f>
        <v>0</v>
      </c>
      <c r="DN159" s="33" t="n">
        <f aca="false">(DN60+DN105+DN98+DN119)*(DN$4&lt;=In_COD)</f>
        <v>0</v>
      </c>
      <c r="DO159" s="33" t="n">
        <f aca="false">(DO60+DO105+DO98+DO119)*(DO$4&lt;=In_COD)</f>
        <v>0</v>
      </c>
      <c r="DP159" s="33" t="n">
        <f aca="false">(DP60+DP105+DP98+DP119)*(DP$4&lt;=In_COD)</f>
        <v>0</v>
      </c>
      <c r="DQ159" s="33" t="n">
        <f aca="false">(DQ60+DQ105+DQ98+DQ119)*(DQ$4&lt;=In_COD)</f>
        <v>0</v>
      </c>
      <c r="DR159" s="33" t="n">
        <f aca="false">(DR60+DR105+DR98+DR119)*(DR$4&lt;=In_COD)</f>
        <v>0</v>
      </c>
      <c r="DS159" s="33" t="n">
        <f aca="false">(DS60+DS105+DS98+DS119)*(DS$4&lt;=In_COD)</f>
        <v>0</v>
      </c>
      <c r="DT159" s="33" t="n">
        <f aca="false">(DT60+DT105+DT98+DT119)*(DT$4&lt;=In_COD)</f>
        <v>0</v>
      </c>
      <c r="DU159" s="33" t="n">
        <f aca="false">(DU60+DU105+DU98+DU119)*(DU$4&lt;=In_COD)</f>
        <v>0</v>
      </c>
      <c r="DV159" s="33" t="n">
        <f aca="false">(DV60+DV105+DV98+DV119)*(DV$4&lt;=In_COD)</f>
        <v>0</v>
      </c>
      <c r="DW159" s="33" t="n">
        <f aca="false">(DW60+DW105+DW98+DW119)*(DW$4&lt;=In_COD)</f>
        <v>0</v>
      </c>
      <c r="DX159" s="33" t="n">
        <f aca="false">(DX60+DX105+DX98+DX119)*(DX$4&lt;=In_COD)</f>
        <v>0</v>
      </c>
      <c r="DY159" s="33" t="n">
        <f aca="false">(DY60+DY105+DY98+DY119)*(DY$4&lt;=In_COD)</f>
        <v>0</v>
      </c>
      <c r="DZ159" s="33" t="n">
        <f aca="false">(DZ60+DZ105+DZ98+DZ119)*(DZ$4&lt;=In_COD)</f>
        <v>0</v>
      </c>
      <c r="EA159" s="33" t="n">
        <f aca="false">(EA60+EA105+EA98+EA119)*(EA$4&lt;=In_COD)</f>
        <v>0</v>
      </c>
      <c r="EB159" s="33" t="n">
        <f aca="false">(EB60+EB105+EB98+EB119)*(EB$4&lt;=In_COD)</f>
        <v>0</v>
      </c>
      <c r="EC159" s="33" t="n">
        <f aca="false">(EC60+EC105+EC98+EC119)*(EC$4&lt;=In_COD)</f>
        <v>0</v>
      </c>
      <c r="ED159" s="33" t="n">
        <f aca="false">(ED60+ED105+ED98+ED119)*(ED$4&lt;=In_COD)</f>
        <v>0</v>
      </c>
      <c r="EE159" s="33" t="n">
        <f aca="false">(EE60+EE105+EE98+EE119)*(EE$4&lt;=In_COD)</f>
        <v>0</v>
      </c>
      <c r="EF159" s="33" t="n">
        <f aca="false">(EF60+EF105+EF98+EF119)*(EF$4&lt;=In_COD)</f>
        <v>0</v>
      </c>
      <c r="EG159" s="33" t="n">
        <f aca="false">(EG60+EG105+EG98+EG119)*(EG$4&lt;=In_COD)</f>
        <v>0</v>
      </c>
      <c r="EH159" s="33" t="n">
        <f aca="false">(EH60+EH105+EH98+EH119)*(EH$4&lt;=In_COD)</f>
        <v>0</v>
      </c>
      <c r="EI159" s="33" t="n">
        <f aca="false">(EI60+EI105+EI98+EI119)*(EI$4&lt;=In_COD)</f>
        <v>0</v>
      </c>
      <c r="EJ159" s="33" t="n">
        <f aca="false">(EJ60+EJ105+EJ98+EJ119)*(EJ$4&lt;=In_COD)</f>
        <v>0</v>
      </c>
      <c r="EK159" s="33" t="n">
        <f aca="false">(EK60+EK105+EK98+EK119)*(EK$4&lt;=In_COD)</f>
        <v>0</v>
      </c>
      <c r="EL159" s="33" t="n">
        <f aca="false">(EL60+EL105+EL98+EL119)*(EL$4&lt;=In_COD)</f>
        <v>0</v>
      </c>
      <c r="EM159" s="33" t="n">
        <f aca="false">(EM60+EM105+EM98+EM119)*(EM$4&lt;=In_COD)</f>
        <v>0</v>
      </c>
      <c r="EN159" s="33" t="n">
        <f aca="false">(EN60+EN105+EN98+EN119)*(EN$4&lt;=In_COD)</f>
        <v>0</v>
      </c>
      <c r="EO159" s="33" t="n">
        <f aca="false">(EO60+EO105+EO98+EO119)*(EO$4&lt;=In_COD)</f>
        <v>0</v>
      </c>
      <c r="EP159" s="33" t="n">
        <f aca="false">(EP60+EP105+EP98+EP119)*(EP$4&lt;=In_COD)</f>
        <v>0</v>
      </c>
      <c r="EQ159" s="33" t="n">
        <f aca="false">(EQ60+EQ105+EQ98+EQ119)*(EQ$4&lt;=In_COD)</f>
        <v>0</v>
      </c>
      <c r="ER159" s="33" t="n">
        <f aca="false">(ER60+ER105+ER98+ER119)*(ER$4&lt;=In_COD)</f>
        <v>0</v>
      </c>
      <c r="ES159" s="33" t="n">
        <f aca="false">(ES60+ES105+ES98+ES119)*(ES$4&lt;=In_COD)</f>
        <v>0</v>
      </c>
      <c r="ET159" s="33" t="n">
        <f aca="false">(ET60+ET105+ET98+ET119)*(ET$4&lt;=In_COD)</f>
        <v>0</v>
      </c>
    </row>
    <row r="160" customFormat="false" ht="15" hidden="false" customHeight="false" outlineLevel="0" collapsed="false">
      <c r="C160" s="0" t="s">
        <v>593</v>
      </c>
      <c r="D160" s="11" t="s">
        <v>247</v>
      </c>
      <c r="E160" s="33" t="n">
        <f aca="false">SUMPRODUCT($J160:$ET160,$J21:$ET21)</f>
        <v>-2474.54304721128</v>
      </c>
      <c r="I160" s="33" t="n">
        <f aca="false">SUM(J160:ET160)</f>
        <v>-6307.65794259604</v>
      </c>
      <c r="J160" s="33" t="n">
        <f aca="false">-($E31-In_Ref_Community)*J111*(1-In_CIT)/Thousand</f>
        <v>-0</v>
      </c>
      <c r="K160" s="33" t="n">
        <f aca="false">-($E31-In_Ref_Community)*K111*(1-In_CIT)/Thousand</f>
        <v>-0</v>
      </c>
      <c r="L160" s="33" t="n">
        <f aca="false">-($E31-In_Ref_Community)*L111*(1-In_CIT)/Thousand</f>
        <v>-0</v>
      </c>
      <c r="M160" s="33" t="n">
        <f aca="false">-($E31-In_Ref_Community)*M111*(1-In_CIT)/Thousand</f>
        <v>-0</v>
      </c>
      <c r="N160" s="33" t="n">
        <f aca="false">-($E31-In_Ref_Community)*N111*(1-In_CIT)/Thousand</f>
        <v>-0</v>
      </c>
      <c r="O160" s="33" t="n">
        <f aca="false">-($E31-In_Ref_Community)*O111*(1-In_CIT)/Thousand</f>
        <v>-0</v>
      </c>
      <c r="P160" s="33" t="n">
        <f aca="false">-($E31-In_Ref_Community)*P111*(1-In_CIT)/Thousand</f>
        <v>-0</v>
      </c>
      <c r="Q160" s="33" t="n">
        <f aca="false">-($E31-In_Ref_Community)*Q111*(1-In_CIT)/Thousand</f>
        <v>-0</v>
      </c>
      <c r="R160" s="33" t="n">
        <f aca="false">-($E31-In_Ref_Community)*R111*(1-In_CIT)/Thousand</f>
        <v>-0</v>
      </c>
      <c r="S160" s="33" t="n">
        <f aca="false">-($E31-In_Ref_Community)*S111*(1-In_CIT)/Thousand</f>
        <v>-0</v>
      </c>
      <c r="T160" s="33" t="n">
        <f aca="false">-($E31-In_Ref_Community)*T111*(1-In_CIT)/Thousand</f>
        <v>-0</v>
      </c>
      <c r="U160" s="33" t="n">
        <f aca="false">-($E31-In_Ref_Community)*U111*(1-In_CIT)/Thousand</f>
        <v>-0</v>
      </c>
      <c r="V160" s="33" t="n">
        <f aca="false">-($E31-In_Ref_Community)*V111*(1-In_CIT)/Thousand</f>
        <v>-0</v>
      </c>
      <c r="W160" s="33" t="n">
        <f aca="false">-($E31-In_Ref_Community)*W111*(1-In_CIT)/Thousand</f>
        <v>-0</v>
      </c>
      <c r="X160" s="33" t="n">
        <f aca="false">-($E31-In_Ref_Community)*X111*(1-In_CIT)/Thousand</f>
        <v>-0</v>
      </c>
      <c r="Y160" s="33" t="n">
        <f aca="false">-($E31-In_Ref_Community)*Y111*(1-In_CIT)/Thousand</f>
        <v>-0</v>
      </c>
      <c r="Z160" s="33" t="n">
        <f aca="false">-($E31-In_Ref_Community)*Z111*(1-In_CIT)/Thousand</f>
        <v>-0</v>
      </c>
      <c r="AA160" s="33" t="n">
        <f aca="false">-($E31-In_Ref_Community)*AA111*(1-In_CIT)/Thousand</f>
        <v>-0</v>
      </c>
      <c r="AB160" s="33" t="n">
        <f aca="false">-($E31-In_Ref_Community)*AB111*(1-In_CIT)/Thousand</f>
        <v>-0</v>
      </c>
      <c r="AC160" s="33" t="n">
        <f aca="false">-($E31-In_Ref_Community)*AC111*(1-In_CIT)/Thousand</f>
        <v>-0</v>
      </c>
      <c r="AD160" s="33" t="n">
        <f aca="false">-($E31-In_Ref_Community)*AD111*(1-In_CIT)/Thousand</f>
        <v>-0</v>
      </c>
      <c r="AE160" s="33" t="n">
        <f aca="false">-($E31-In_Ref_Community)*AE111*(1-In_CIT)/Thousand</f>
        <v>-55.2964865753425</v>
      </c>
      <c r="AF160" s="33" t="n">
        <f aca="false">-($E31-In_Ref_Community)*AF111*(1-In_CIT)/Thousand</f>
        <v>-54.6954378082192</v>
      </c>
      <c r="AG160" s="33" t="n">
        <f aca="false">-($E31-In_Ref_Community)*AG111*(1-In_CIT)/Thousand</f>
        <v>-54.6954378082192</v>
      </c>
      <c r="AH160" s="33" t="n">
        <f aca="false">-($E31-In_Ref_Community)*AH111*(1-In_CIT)/Thousand</f>
        <v>-55.2964865753425</v>
      </c>
      <c r="AI160" s="33" t="n">
        <f aca="false">-($E31-In_Ref_Community)*AI111*(1-In_CIT)/Thousand</f>
        <v>-55.1305971156164</v>
      </c>
      <c r="AJ160" s="33" t="n">
        <f aca="false">-($E31-In_Ref_Community)*AJ111*(1-In_CIT)/Thousand</f>
        <v>-53.9321058739726</v>
      </c>
      <c r="AK160" s="33" t="n">
        <f aca="false">-($E31-In_Ref_Community)*AK111*(1-In_CIT)/Thousand</f>
        <v>-54.5313514947945</v>
      </c>
      <c r="AL160" s="33" t="n">
        <f aca="false">-($E31-In_Ref_Community)*AL111*(1-In_CIT)/Thousand</f>
        <v>-55.1305971156164</v>
      </c>
      <c r="AM160" s="33" t="n">
        <f aca="false">-($E31-In_Ref_Community)*AM111*(1-In_CIT)/Thousand</f>
        <v>-54.9652053242696</v>
      </c>
      <c r="AN160" s="33" t="n">
        <f aca="false">-($E31-In_Ref_Community)*AN111*(1-In_CIT)/Thousand</f>
        <v>-53.7703095563507</v>
      </c>
      <c r="AO160" s="33" t="n">
        <f aca="false">-($E31-In_Ref_Community)*AO111*(1-In_CIT)/Thousand</f>
        <v>-54.3677574403101</v>
      </c>
      <c r="AP160" s="33" t="n">
        <f aca="false">-($E31-In_Ref_Community)*AP111*(1-In_CIT)/Thousand</f>
        <v>-54.9652053242696</v>
      </c>
      <c r="AQ160" s="33" t="n">
        <f aca="false">-($E31-In_Ref_Community)*AQ111*(1-In_CIT)/Thousand</f>
        <v>-54.8003097082968</v>
      </c>
      <c r="AR160" s="33" t="n">
        <f aca="false">-($E31-In_Ref_Community)*AR111*(1-In_CIT)/Thousand</f>
        <v>-53.6089986276816</v>
      </c>
      <c r="AS160" s="33" t="n">
        <f aca="false">-($E31-In_Ref_Community)*AS111*(1-In_CIT)/Thousand</f>
        <v>-54.2046541679892</v>
      </c>
      <c r="AT160" s="33" t="n">
        <f aca="false">-($E31-In_Ref_Community)*AT111*(1-In_CIT)/Thousand</f>
        <v>-54.8003097082968</v>
      </c>
      <c r="AU160" s="33" t="n">
        <f aca="false">-($E31-In_Ref_Community)*AU111*(1-In_CIT)/Thousand</f>
        <v>-54.6359087791719</v>
      </c>
      <c r="AV160" s="33" t="n">
        <f aca="false">-($E31-In_Ref_Community)*AV111*(1-In_CIT)/Thousand</f>
        <v>-54.0420402054852</v>
      </c>
      <c r="AW160" s="33" t="n">
        <f aca="false">-($E31-In_Ref_Community)*AW111*(1-In_CIT)/Thousand</f>
        <v>-54.0420402054852</v>
      </c>
      <c r="AX160" s="33" t="n">
        <f aca="false">-($E31-In_Ref_Community)*AX111*(1-In_CIT)/Thousand</f>
        <v>-54.6359087791719</v>
      </c>
      <c r="AY160" s="33" t="n">
        <f aca="false">-($E31-In_Ref_Community)*AY111*(1-In_CIT)/Thousand</f>
        <v>-54.4720010528344</v>
      </c>
      <c r="AZ160" s="33" t="n">
        <f aca="false">-($E31-In_Ref_Community)*AZ111*(1-In_CIT)/Thousand</f>
        <v>-53.2878271169032</v>
      </c>
      <c r="BA160" s="33" t="n">
        <f aca="false">-($E31-In_Ref_Community)*BA111*(1-In_CIT)/Thousand</f>
        <v>-53.8799140848688</v>
      </c>
      <c r="BB160" s="33" t="n">
        <f aca="false">-($E31-In_Ref_Community)*BB111*(1-In_CIT)/Thousand</f>
        <v>-54.4720010528344</v>
      </c>
      <c r="BC160" s="33" t="n">
        <f aca="false">-($E31-In_Ref_Community)*BC111*(1-In_CIT)/Thousand</f>
        <v>-54.3085850496759</v>
      </c>
      <c r="BD160" s="33" t="n">
        <f aca="false">-($E31-In_Ref_Community)*BD111*(1-In_CIT)/Thousand</f>
        <v>-53.1279636355525</v>
      </c>
      <c r="BE160" s="33" t="n">
        <f aca="false">-($E31-In_Ref_Community)*BE111*(1-In_CIT)/Thousand</f>
        <v>-53.7182743426142</v>
      </c>
      <c r="BF160" s="33" t="n">
        <f aca="false">-($E31-In_Ref_Community)*BF111*(1-In_CIT)/Thousand</f>
        <v>-54.3085850496759</v>
      </c>
      <c r="BG160" s="33" t="n">
        <f aca="false">-($E31-In_Ref_Community)*BG111*(1-In_CIT)/Thousand</f>
        <v>-54.1456592945269</v>
      </c>
      <c r="BH160" s="33" t="n">
        <f aca="false">-($E31-In_Ref_Community)*BH111*(1-In_CIT)/Thousand</f>
        <v>-52.9685797446458</v>
      </c>
      <c r="BI160" s="33" t="n">
        <f aca="false">-($E31-In_Ref_Community)*BI111*(1-In_CIT)/Thousand</f>
        <v>-53.5571195195863</v>
      </c>
      <c r="BJ160" s="33" t="n">
        <f aca="false">-($E31-In_Ref_Community)*BJ111*(1-In_CIT)/Thousand</f>
        <v>-54.1456592945269</v>
      </c>
      <c r="BK160" s="33" t="n">
        <f aca="false">-($E31-In_Ref_Community)*BK111*(1-In_CIT)/Thousand</f>
        <v>-53.9832223166433</v>
      </c>
      <c r="BL160" s="33" t="n">
        <f aca="false">-($E31-In_Ref_Community)*BL111*(1-In_CIT)/Thousand</f>
        <v>-53.3964481610276</v>
      </c>
      <c r="BM160" s="33" t="n">
        <f aca="false">-($E31-In_Ref_Community)*BM111*(1-In_CIT)/Thousand</f>
        <v>-53.3964481610276</v>
      </c>
      <c r="BN160" s="33" t="n">
        <f aca="false">-($E31-In_Ref_Community)*BN111*(1-In_CIT)/Thousand</f>
        <v>-53.9832223166433</v>
      </c>
      <c r="BO160" s="33" t="n">
        <f aca="false">-($E31-In_Ref_Community)*BO111*(1-In_CIT)/Thousand</f>
        <v>-53.8212726496933</v>
      </c>
      <c r="BP160" s="33" t="n">
        <f aca="false">-($E31-In_Ref_Community)*BP111*(1-In_CIT)/Thousand</f>
        <v>-52.6512449833957</v>
      </c>
      <c r="BQ160" s="33" t="n">
        <f aca="false">-($E31-In_Ref_Community)*BQ111*(1-In_CIT)/Thousand</f>
        <v>-53.2362588165445</v>
      </c>
      <c r="BR160" s="33" t="n">
        <f aca="false">-($E31-In_Ref_Community)*BR111*(1-In_CIT)/Thousand</f>
        <v>-53.8212726496933</v>
      </c>
      <c r="BS160" s="33" t="n">
        <f aca="false">-($E31-In_Ref_Community)*BS111*(1-In_CIT)/Thousand</f>
        <v>-53.6598088317443</v>
      </c>
      <c r="BT160" s="33" t="n">
        <f aca="false">-($E31-In_Ref_Community)*BT111*(1-In_CIT)/Thousand</f>
        <v>-52.4932912484455</v>
      </c>
      <c r="BU160" s="33" t="n">
        <f aca="false">-($E31-In_Ref_Community)*BU111*(1-In_CIT)/Thousand</f>
        <v>-53.0765500400949</v>
      </c>
      <c r="BV160" s="33" t="n">
        <f aca="false">-($E31-In_Ref_Community)*BV111*(1-In_CIT)/Thousand</f>
        <v>-53.6598088317443</v>
      </c>
      <c r="BW160" s="33" t="n">
        <f aca="false">-($E31-In_Ref_Community)*BW111*(1-In_CIT)/Thousand</f>
        <v>-53.498829405249</v>
      </c>
      <c r="BX160" s="33" t="n">
        <f aca="false">-($E31-In_Ref_Community)*BX111*(1-In_CIT)/Thousand</f>
        <v>-52.3358113747001</v>
      </c>
      <c r="BY160" s="33" t="n">
        <f aca="false">-($E31-In_Ref_Community)*BY111*(1-In_CIT)/Thousand</f>
        <v>-52.9173203899746</v>
      </c>
      <c r="BZ160" s="33" t="n">
        <f aca="false">-($E31-In_Ref_Community)*BZ111*(1-In_CIT)/Thousand</f>
        <v>-53.498829405249</v>
      </c>
      <c r="CA160" s="33" t="n">
        <f aca="false">-($E31-In_Ref_Community)*CA111*(1-In_CIT)/Thousand</f>
        <v>-53.3383329170333</v>
      </c>
      <c r="CB160" s="33" t="n">
        <f aca="false">-($E31-In_Ref_Community)*CB111*(1-In_CIT)/Thousand</f>
        <v>-52.7585684288047</v>
      </c>
      <c r="CC160" s="33" t="n">
        <f aca="false">-($E31-In_Ref_Community)*CC111*(1-In_CIT)/Thousand</f>
        <v>-52.7585684288047</v>
      </c>
      <c r="CD160" s="33" t="n">
        <f aca="false">-($E31-In_Ref_Community)*CD111*(1-In_CIT)/Thousand</f>
        <v>-53.3383329170333</v>
      </c>
      <c r="CE160" s="33" t="n">
        <f aca="false">-($E31-In_Ref_Community)*CE111*(1-In_CIT)/Thousand</f>
        <v>-53.1783179182822</v>
      </c>
      <c r="CF160" s="33" t="n">
        <f aca="false">-($E31-In_Ref_Community)*CF111*(1-In_CIT)/Thousand</f>
        <v>-52.0222675287543</v>
      </c>
      <c r="CG160" s="33" t="n">
        <f aca="false">-($E31-In_Ref_Community)*CG111*(1-In_CIT)/Thousand</f>
        <v>-52.6002927235182</v>
      </c>
      <c r="CH160" s="33" t="n">
        <f aca="false">-($E31-In_Ref_Community)*CH111*(1-In_CIT)/Thousand</f>
        <v>-53.1783179182822</v>
      </c>
      <c r="CI160" s="33" t="n">
        <f aca="false">-($E31-In_Ref_Community)*CI111*(1-In_CIT)/Thousand</f>
        <v>-53.0187829645273</v>
      </c>
      <c r="CJ160" s="33" t="n">
        <f aca="false">-($E31-In_Ref_Community)*CJ111*(1-In_CIT)/Thousand</f>
        <v>-51.866200726168</v>
      </c>
      <c r="CK160" s="33" t="n">
        <f aca="false">-($E31-In_Ref_Community)*CK111*(1-In_CIT)/Thousand</f>
        <v>-52.4424918453477</v>
      </c>
      <c r="CL160" s="33" t="n">
        <f aca="false">-($E31-In_Ref_Community)*CL111*(1-In_CIT)/Thousand</f>
        <v>-53.0187829645273</v>
      </c>
      <c r="CM160" s="33" t="n">
        <f aca="false">-($E31-In_Ref_Community)*CM111*(1-In_CIT)/Thousand</f>
        <v>-52.8597266156338</v>
      </c>
      <c r="CN160" s="33" t="n">
        <f aca="false">-($E31-In_Ref_Community)*CN111*(1-In_CIT)/Thousand</f>
        <v>-51.7106021239895</v>
      </c>
      <c r="CO160" s="33" t="n">
        <f aca="false">-($E31-In_Ref_Community)*CO111*(1-In_CIT)/Thousand</f>
        <v>-52.2851643698116</v>
      </c>
      <c r="CP160" s="33" t="n">
        <f aca="false">-($E31-In_Ref_Community)*CP111*(1-In_CIT)/Thousand</f>
        <v>-52.8597266156338</v>
      </c>
      <c r="CQ160" s="33" t="n">
        <f aca="false">-($E31-In_Ref_Community)*CQ111*(1-In_CIT)/Thousand</f>
        <v>-52.7011474357869</v>
      </c>
      <c r="CR160" s="33" t="n">
        <f aca="false">-($E31-In_Ref_Community)*CR111*(1-In_CIT)/Thousand</f>
        <v>-52.1283088767022</v>
      </c>
      <c r="CS160" s="33" t="n">
        <f aca="false">-($E31-In_Ref_Community)*CS111*(1-In_CIT)/Thousand</f>
        <v>-52.1283088767022</v>
      </c>
      <c r="CT160" s="33" t="n">
        <f aca="false">-($E31-In_Ref_Community)*CT111*(1-In_CIT)/Thousand</f>
        <v>-52.7011474357869</v>
      </c>
      <c r="CU160" s="33" t="n">
        <f aca="false">-($E31-In_Ref_Community)*CU111*(1-In_CIT)/Thousand</f>
        <v>-52.5430439934795</v>
      </c>
      <c r="CV160" s="33" t="n">
        <f aca="false">-($E31-In_Ref_Community)*CV111*(1-In_CIT)/Thousand</f>
        <v>-51.4008039066647</v>
      </c>
      <c r="CW160" s="33" t="n">
        <f aca="false">-($E31-In_Ref_Community)*CW111*(1-In_CIT)/Thousand</f>
        <v>-51.9719239500721</v>
      </c>
      <c r="CX160" s="33" t="n">
        <f aca="false">-($E31-In_Ref_Community)*CX111*(1-In_CIT)/Thousand</f>
        <v>-52.5430439934795</v>
      </c>
      <c r="CY160" s="33" t="n">
        <f aca="false">-($E31-In_Ref_Community)*CY111*(1-In_CIT)/Thousand</f>
        <v>-52.3854148614991</v>
      </c>
      <c r="CZ160" s="33" t="n">
        <f aca="false">-($E31-In_Ref_Community)*CZ111*(1-In_CIT)/Thousand</f>
        <v>-51.2466014949447</v>
      </c>
      <c r="DA160" s="33" t="n">
        <f aca="false">-($E31-In_Ref_Community)*DA111*(1-In_CIT)/Thousand</f>
        <v>-51.8160081782219</v>
      </c>
      <c r="DB160" s="33" t="n">
        <f aca="false">-($E31-In_Ref_Community)*DB111*(1-In_CIT)/Thousand</f>
        <v>-52.3854148614991</v>
      </c>
      <c r="DC160" s="33" t="n">
        <f aca="false">-($E31-In_Ref_Community)*DC111*(1-In_CIT)/Thousand</f>
        <v>-52.2282586169146</v>
      </c>
      <c r="DD160" s="33" t="n">
        <f aca="false">-($E31-In_Ref_Community)*DD111*(1-In_CIT)/Thousand</f>
        <v>-51.0928616904599</v>
      </c>
      <c r="DE160" s="33" t="n">
        <f aca="false">-($E31-In_Ref_Community)*DE111*(1-In_CIT)/Thousand</f>
        <v>-51.6605601536872</v>
      </c>
      <c r="DF160" s="33" t="n">
        <f aca="false">-($E31-In_Ref_Community)*DF111*(1-In_CIT)/Thousand</f>
        <v>-52.2282586169146</v>
      </c>
      <c r="DG160" s="33" t="n">
        <f aca="false">-($E31-In_Ref_Community)*DG111*(1-In_CIT)/Thousand</f>
        <v>-52.0715738410638</v>
      </c>
      <c r="DH160" s="33" t="n">
        <f aca="false">-($E31-In_Ref_Community)*DH111*(1-In_CIT)/Thousand</f>
        <v>-51.5055784732262</v>
      </c>
      <c r="DI160" s="33" t="n">
        <f aca="false">-($E31-In_Ref_Community)*DI111*(1-In_CIT)/Thousand</f>
        <v>-51.5055784732262</v>
      </c>
      <c r="DJ160" s="33" t="n">
        <f aca="false">-($E31-In_Ref_Community)*DJ111*(1-In_CIT)/Thousand</f>
        <v>-52.0715738410638</v>
      </c>
      <c r="DK160" s="33" t="n">
        <f aca="false">-($E31-In_Ref_Community)*DK111*(1-In_CIT)/Thousand</f>
        <v>-51.9153591195406</v>
      </c>
      <c r="DL160" s="33" t="n">
        <f aca="false">-($E31-In_Ref_Community)*DL111*(1-In_CIT)/Thousand</f>
        <v>-50.7867643560723</v>
      </c>
      <c r="DM160" s="33" t="n">
        <f aca="false">-($E31-In_Ref_Community)*DM111*(1-In_CIT)/Thousand</f>
        <v>-51.3510617378065</v>
      </c>
      <c r="DN160" s="33" t="n">
        <f aca="false">-($E31-In_Ref_Community)*DN111*(1-In_CIT)/Thousand</f>
        <v>-51.9153591195406</v>
      </c>
      <c r="DO160" s="33" t="n">
        <f aca="false">-($E31-In_Ref_Community)*DO111*(1-In_CIT)/Thousand</f>
        <v>-51.759613042182</v>
      </c>
      <c r="DP160" s="33" t="n">
        <f aca="false">-($E31-In_Ref_Community)*DP111*(1-In_CIT)/Thousand</f>
        <v>-50.6344040630041</v>
      </c>
      <c r="DQ160" s="33" t="n">
        <f aca="false">-($E31-In_Ref_Community)*DQ111*(1-In_CIT)/Thousand</f>
        <v>-51.1970085525931</v>
      </c>
      <c r="DR160" s="33" t="n">
        <f aca="false">-($E31-In_Ref_Community)*DR111*(1-In_CIT)/Thousand</f>
        <v>-51.759613042182</v>
      </c>
      <c r="DS160" s="33" t="n">
        <f aca="false">-($E31-In_Ref_Community)*DS111*(1-In_CIT)/Thousand</f>
        <v>-51.6043342030555</v>
      </c>
      <c r="DT160" s="33" t="n">
        <f aca="false">-($E31-In_Ref_Community)*DT111*(1-In_CIT)/Thousand</f>
        <v>-50.4825008508151</v>
      </c>
      <c r="DU160" s="33" t="n">
        <f aca="false">-($E31-In_Ref_Community)*DU111*(1-In_CIT)/Thousand</f>
        <v>-51.0434175269353</v>
      </c>
      <c r="DV160" s="33" t="n">
        <f aca="false">-($E31-In_Ref_Community)*DV111*(1-In_CIT)/Thousand</f>
        <v>-51.6043342030555</v>
      </c>
      <c r="DW160" s="33" t="n">
        <f aca="false">-($E31-In_Ref_Community)*DW111*(1-In_CIT)/Thousand</f>
        <v>-51.4495212004463</v>
      </c>
      <c r="DX160" s="33" t="n">
        <f aca="false">-($E31-In_Ref_Community)*DX111*(1-In_CIT)/Thousand</f>
        <v>-50.8902872743545</v>
      </c>
      <c r="DY160" s="33" t="n">
        <f aca="false">-($E31-In_Ref_Community)*DY111*(1-In_CIT)/Thousand</f>
        <v>-50.8902872743545</v>
      </c>
      <c r="DZ160" s="33" t="n">
        <f aca="false">-($E31-In_Ref_Community)*DZ111*(1-In_CIT)/Thousand</f>
        <v>-51.4495212004463</v>
      </c>
      <c r="EA160" s="33" t="n">
        <f aca="false">-($E31-In_Ref_Community)*EA111*(1-In_CIT)/Thousand</f>
        <v>-51.2951726368449</v>
      </c>
      <c r="EB160" s="33" t="n">
        <f aca="false">-($E31-In_Ref_Community)*EB111*(1-In_CIT)/Thousand</f>
        <v>-50.1800601882179</v>
      </c>
      <c r="EC160" s="33" t="n">
        <f aca="false">-($E31-In_Ref_Community)*EC111*(1-In_CIT)/Thousand</f>
        <v>-50.7376164125314</v>
      </c>
      <c r="ED160" s="33" t="n">
        <f aca="false">-($E31-In_Ref_Community)*ED111*(1-In_CIT)/Thousand</f>
        <v>-51.2951726368449</v>
      </c>
      <c r="EE160" s="33" t="n">
        <f aca="false">-($E31-In_Ref_Community)*EE111*(1-In_CIT)/Thousand</f>
        <v>-51.1412871189344</v>
      </c>
      <c r="EF160" s="33" t="n">
        <f aca="false">-($E31-In_Ref_Community)*EF111*(1-In_CIT)/Thousand</f>
        <v>-50.0295200076532</v>
      </c>
      <c r="EG160" s="33" t="n">
        <f aca="false">-($E31-In_Ref_Community)*EG111*(1-In_CIT)/Thousand</f>
        <v>-50.5854035632938</v>
      </c>
      <c r="EH160" s="33" t="n">
        <f aca="false">-($E31-In_Ref_Community)*EH111*(1-In_CIT)/Thousand</f>
        <v>-51.1412871189344</v>
      </c>
      <c r="EI160" s="33" t="n">
        <f aca="false">-($E31-In_Ref_Community)*EI111*(1-In_CIT)/Thousand</f>
        <v>-50.9878632575776</v>
      </c>
      <c r="EJ160" s="33" t="n">
        <f aca="false">-($E31-In_Ref_Community)*EJ111*(1-In_CIT)/Thousand</f>
        <v>-49.8794314476303</v>
      </c>
      <c r="EK160" s="33" t="n">
        <f aca="false">-($E31-In_Ref_Community)*EK111*(1-In_CIT)/Thousand</f>
        <v>-50.4336473526039</v>
      </c>
      <c r="EL160" s="33" t="n">
        <f aca="false">-($E31-In_Ref_Community)*EL111*(1-In_CIT)/Thousand</f>
        <v>-50.9878632575776</v>
      </c>
      <c r="EM160" s="33" t="n">
        <f aca="false">-($E31-In_Ref_Community)*EM111*(1-In_CIT)/Thousand</f>
        <v>-50.8348996678049</v>
      </c>
      <c r="EN160" s="33" t="n">
        <f aca="false">-($E31-In_Ref_Community)*EN111*(1-In_CIT)/Thousand</f>
        <v>-50.2823464105461</v>
      </c>
      <c r="EO160" s="33" t="n">
        <f aca="false">-($E31-In_Ref_Community)*EO111*(1-In_CIT)/Thousand</f>
        <v>-50.2823464105461</v>
      </c>
      <c r="EP160" s="33" t="n">
        <f aca="false">-($E31-In_Ref_Community)*EP111*(1-In_CIT)/Thousand</f>
        <v>-50.8348996678049</v>
      </c>
      <c r="EQ160" s="33" t="n">
        <f aca="false">-($E31-In_Ref_Community)*EQ111*(1-In_CIT)/Thousand</f>
        <v>-50.6823949688015</v>
      </c>
      <c r="ER160" s="33" t="n">
        <f aca="false">-($E31-In_Ref_Community)*ER111*(1-In_CIT)/Thousand</f>
        <v>-49.5806037738275</v>
      </c>
      <c r="ES160" s="33" t="n">
        <f aca="false">-($E31-In_Ref_Community)*ES111*(1-In_CIT)/Thousand</f>
        <v>-50.1314993713145</v>
      </c>
      <c r="ET160" s="33" t="n">
        <f aca="false">-($E31-In_Ref_Community)*ET111*(1-In_CIT)/Thousand</f>
        <v>-50.6823949688015</v>
      </c>
    </row>
    <row r="161" customFormat="false" ht="15" hidden="false" customHeight="false" outlineLevel="0" collapsed="false">
      <c r="C161" s="0" t="s">
        <v>594</v>
      </c>
      <c r="D161" s="11" t="s">
        <v>247</v>
      </c>
      <c r="E161" s="33" t="n">
        <f aca="false">IF(In_CN_Turbine=1,In_COD_Price_CN,In_COD_Price)*$F24*(1-$E27)</f>
        <v>245000</v>
      </c>
      <c r="F161" s="33" t="n">
        <f aca="false">In_Pass_Through*($E160+SUMPRODUCT($J87:$ET87,$J21:$ET21))</f>
        <v>-3839.08122210466</v>
      </c>
    </row>
    <row r="162" customFormat="false" ht="15" hidden="false" customHeight="false" outlineLevel="0" collapsed="false">
      <c r="A162" s="55"/>
      <c r="B162" s="55"/>
      <c r="C162" s="55" t="s">
        <v>595</v>
      </c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</row>
    <row r="163" customFormat="false" ht="15" hidden="false" customHeight="false" outlineLevel="0" collapsed="false">
      <c r="C163" s="0" t="s">
        <v>596</v>
      </c>
      <c r="D163" s="11" t="s">
        <v>247</v>
      </c>
      <c r="E163" s="33" t="n">
        <f aca="false">$I98+$I99</f>
        <v>99336.0596347059</v>
      </c>
      <c r="F163" s="33" t="n">
        <f aca="false">MAX(0,$E161+$F161-$E163)</f>
        <v>141824.859143189</v>
      </c>
    </row>
    <row r="164" customFormat="false" ht="15" hidden="false" customHeight="false" outlineLevel="0" collapsed="false">
      <c r="C164" s="0" t="s">
        <v>573</v>
      </c>
      <c r="D164" s="11" t="s">
        <v>247</v>
      </c>
      <c r="E164" s="22" t="n">
        <f aca="false">In_Sale_Costs</f>
        <v>500</v>
      </c>
      <c r="F164" s="33" t="n">
        <f aca="false">MIN($E164,$F163)</f>
        <v>500</v>
      </c>
    </row>
    <row r="165" customFormat="false" ht="15" hidden="false" customHeight="false" outlineLevel="0" collapsed="false">
      <c r="C165" s="0" t="s">
        <v>597</v>
      </c>
      <c r="D165" s="11" t="s">
        <v>247</v>
      </c>
      <c r="E165" s="33" t="n">
        <f aca="false">-$I159+$I46+$I54+$I56+$I47+$F59</f>
        <v>68289.9577668034</v>
      </c>
      <c r="F165" s="33" t="n">
        <f aca="false">MIN($E165,$F163-SUM($F164:$F164))</f>
        <v>68289.9577668034</v>
      </c>
    </row>
    <row r="166" customFormat="false" ht="15" hidden="false" customHeight="false" outlineLevel="0" collapsed="false">
      <c r="C166" s="0" t="s">
        <v>598</v>
      </c>
      <c r="D166" s="11" t="s">
        <v>247</v>
      </c>
      <c r="E166" s="33" t="n">
        <f aca="false">$F68+$F73+$F79</f>
        <v>11746.2079961624</v>
      </c>
      <c r="F166" s="33" t="n">
        <f aca="false">MIN($E166,$F163-SUM($F164:$F165))</f>
        <v>11746.2079961624</v>
      </c>
    </row>
    <row r="167" customFormat="false" ht="15" hidden="false" customHeight="false" outlineLevel="0" collapsed="false">
      <c r="C167" s="0" t="s">
        <v>579</v>
      </c>
      <c r="D167" s="11" t="s">
        <v>247</v>
      </c>
      <c r="E167" s="33" t="n">
        <f aca="false">MIN(In_DSA_Cap,In_DSA_Rate*YEARFRAC(In_Signing_Date,In_COD,0))*$E24</f>
        <v>1510</v>
      </c>
      <c r="F167" s="33" t="n">
        <f aca="false">MIN($E167,$F163-SUM($F164:$F166))</f>
        <v>1510</v>
      </c>
    </row>
    <row r="168" customFormat="false" ht="15" hidden="false" customHeight="false" outlineLevel="0" collapsed="false">
      <c r="C168" s="30" t="s">
        <v>161</v>
      </c>
      <c r="D168" s="11" t="s">
        <v>247</v>
      </c>
      <c r="F168" s="35" t="n">
        <f aca="false">MAX(0,$F163-SUM($E164:$E167))</f>
        <v>59778.6933802236</v>
      </c>
    </row>
    <row r="169" customFormat="false" ht="15" hidden="false" customHeight="false" outlineLevel="0" collapsed="false">
      <c r="C169" s="30" t="s">
        <v>174</v>
      </c>
      <c r="D169" s="11" t="s">
        <v>247</v>
      </c>
      <c r="F169" s="35" t="n">
        <f aca="false">$F165+$F166+In_FEP_Share*$F168</f>
        <v>121881.251129122</v>
      </c>
    </row>
    <row r="170" customFormat="false" ht="15" hidden="false" customHeight="false" outlineLevel="0" collapsed="false">
      <c r="C170" s="30" t="s">
        <v>599</v>
      </c>
      <c r="D170" s="11" t="s">
        <v>247</v>
      </c>
      <c r="I170" s="35" t="n">
        <f aca="false">SUM(J170:ET170)</f>
        <v>48482.2776178466</v>
      </c>
      <c r="J170" s="35" t="n">
        <f aca="false">J159+$F169*J14</f>
        <v>-400</v>
      </c>
      <c r="K170" s="35" t="n">
        <f aca="false">K159+$F169*K14</f>
        <v>-1437.78053818728</v>
      </c>
      <c r="L170" s="35" t="n">
        <f aca="false">L159+$F169*L14</f>
        <v>-691.910911990993</v>
      </c>
      <c r="M170" s="35" t="n">
        <f aca="false">M159+$F169*M14</f>
        <v>-148.451634452993</v>
      </c>
      <c r="N170" s="35" t="n">
        <f aca="false">N159+$F169*N14</f>
        <v>-149.601261024582</v>
      </c>
      <c r="O170" s="35" t="n">
        <f aca="false">O159+$F169*O14</f>
        <v>-290.127288421843</v>
      </c>
      <c r="P170" s="35" t="n">
        <f aca="false">P159+$F169*P14</f>
        <v>-1394.65781281475</v>
      </c>
      <c r="Q170" s="35" t="n">
        <f aca="false">Q159+$F169*Q14</f>
        <v>-109.225607055733</v>
      </c>
      <c r="R170" s="35" t="n">
        <f aca="false">R159+$F169*R14</f>
        <v>-269.857154566657</v>
      </c>
      <c r="S170" s="35" t="n">
        <f aca="false">S159+$F169*S14</f>
        <v>-422.991783283459</v>
      </c>
      <c r="T170" s="35" t="n">
        <f aca="false">T159+$F169*T14</f>
        <v>-20587.5113339088</v>
      </c>
      <c r="U170" s="35" t="n">
        <f aca="false">U159+$F169*U14</f>
        <v>-104.616018014637</v>
      </c>
      <c r="V170" s="35" t="n">
        <f aca="false">V159+$F169*V14</f>
        <v>-105.765644586226</v>
      </c>
      <c r="W170" s="35" t="n">
        <f aca="false">W159+$F169*W14</f>
        <v>-6875.32473538409</v>
      </c>
      <c r="X170" s="35" t="n">
        <f aca="false">X159+$F169*X14</f>
        <v>-5073.5175863622</v>
      </c>
      <c r="Y170" s="35" t="n">
        <f aca="false">Y159+$F169*Y14</f>
        <v>-5103.58937070822</v>
      </c>
      <c r="Z170" s="35" t="n">
        <f aca="false">Z159+$F169*Z14</f>
        <v>-5132.78767858878</v>
      </c>
      <c r="AA170" s="35" t="n">
        <f aca="false">AA159+$F169*AA14</f>
        <v>-5105.60714622201</v>
      </c>
      <c r="AB170" s="35" t="n">
        <f aca="false">AB159+$F169*AB14</f>
        <v>-4969.92045560723</v>
      </c>
      <c r="AC170" s="35" t="n">
        <f aca="false">AC159+$F169*AC14</f>
        <v>-4998.84116072264</v>
      </c>
      <c r="AD170" s="35" t="n">
        <f aca="false">AD159+$F169*AD14</f>
        <v>111854.36273975</v>
      </c>
      <c r="AE170" s="35" t="n">
        <f aca="false">AE159+$F169*AE14</f>
        <v>0</v>
      </c>
      <c r="AF170" s="35" t="n">
        <f aca="false">AF159+$F169*AF14</f>
        <v>0</v>
      </c>
      <c r="AG170" s="35" t="n">
        <f aca="false">AG159+$F169*AG14</f>
        <v>0</v>
      </c>
      <c r="AH170" s="35" t="n">
        <f aca="false">AH159+$F169*AH14</f>
        <v>0</v>
      </c>
      <c r="AI170" s="35" t="n">
        <f aca="false">AI159+$F169*AI14</f>
        <v>0</v>
      </c>
      <c r="AJ170" s="35" t="n">
        <f aca="false">AJ159+$F169*AJ14</f>
        <v>0</v>
      </c>
      <c r="AK170" s="35" t="n">
        <f aca="false">AK159+$F169*AK14</f>
        <v>0</v>
      </c>
      <c r="AL170" s="35" t="n">
        <f aca="false">AL159+$F169*AL14</f>
        <v>0</v>
      </c>
      <c r="AM170" s="35" t="n">
        <f aca="false">AM159+$F169*AM14</f>
        <v>0</v>
      </c>
      <c r="AN170" s="35" t="n">
        <f aca="false">AN159+$F169*AN14</f>
        <v>0</v>
      </c>
      <c r="AO170" s="35" t="n">
        <f aca="false">AO159+$F169*AO14</f>
        <v>0</v>
      </c>
      <c r="AP170" s="35" t="n">
        <f aca="false">AP159+$F169*AP14</f>
        <v>0</v>
      </c>
      <c r="AQ170" s="35" t="n">
        <f aca="false">AQ159+$F169*AQ14</f>
        <v>0</v>
      </c>
      <c r="AR170" s="35" t="n">
        <f aca="false">AR159+$F169*AR14</f>
        <v>0</v>
      </c>
      <c r="AS170" s="35" t="n">
        <f aca="false">AS159+$F169*AS14</f>
        <v>0</v>
      </c>
      <c r="AT170" s="35" t="n">
        <f aca="false">AT159+$F169*AT14</f>
        <v>0</v>
      </c>
      <c r="AU170" s="35" t="n">
        <f aca="false">AU159+$F169*AU14</f>
        <v>0</v>
      </c>
      <c r="AV170" s="35" t="n">
        <f aca="false">AV159+$F169*AV14</f>
        <v>0</v>
      </c>
      <c r="AW170" s="35" t="n">
        <f aca="false">AW159+$F169*AW14</f>
        <v>0</v>
      </c>
      <c r="AX170" s="35" t="n">
        <f aca="false">AX159+$F169*AX14</f>
        <v>0</v>
      </c>
      <c r="AY170" s="35" t="n">
        <f aca="false">AY159+$F169*AY14</f>
        <v>0</v>
      </c>
      <c r="AZ170" s="35" t="n">
        <f aca="false">AZ159+$F169*AZ14</f>
        <v>0</v>
      </c>
      <c r="BA170" s="35" t="n">
        <f aca="false">BA159+$F169*BA14</f>
        <v>0</v>
      </c>
      <c r="BB170" s="35" t="n">
        <f aca="false">BB159+$F169*BB14</f>
        <v>0</v>
      </c>
      <c r="BC170" s="35" t="n">
        <f aca="false">BC159+$F169*BC14</f>
        <v>0</v>
      </c>
      <c r="BD170" s="35" t="n">
        <f aca="false">BD159+$F169*BD14</f>
        <v>0</v>
      </c>
      <c r="BE170" s="35" t="n">
        <f aca="false">BE159+$F169*BE14</f>
        <v>0</v>
      </c>
      <c r="BF170" s="35" t="n">
        <f aca="false">BF159+$F169*BF14</f>
        <v>0</v>
      </c>
      <c r="BG170" s="35" t="n">
        <f aca="false">BG159+$F169*BG14</f>
        <v>0</v>
      </c>
      <c r="BH170" s="35" t="n">
        <f aca="false">BH159+$F169*BH14</f>
        <v>0</v>
      </c>
      <c r="BI170" s="35" t="n">
        <f aca="false">BI159+$F169*BI14</f>
        <v>0</v>
      </c>
      <c r="BJ170" s="35" t="n">
        <f aca="false">BJ159+$F169*BJ14</f>
        <v>0</v>
      </c>
      <c r="BK170" s="35" t="n">
        <f aca="false">BK159+$F169*BK14</f>
        <v>0</v>
      </c>
      <c r="BL170" s="35" t="n">
        <f aca="false">BL159+$F169*BL14</f>
        <v>0</v>
      </c>
      <c r="BM170" s="35" t="n">
        <f aca="false">BM159+$F169*BM14</f>
        <v>0</v>
      </c>
      <c r="BN170" s="35" t="n">
        <f aca="false">BN159+$F169*BN14</f>
        <v>0</v>
      </c>
      <c r="BO170" s="35" t="n">
        <f aca="false">BO159+$F169*BO14</f>
        <v>0</v>
      </c>
      <c r="BP170" s="35" t="n">
        <f aca="false">BP159+$F169*BP14</f>
        <v>0</v>
      </c>
      <c r="BQ170" s="35" t="n">
        <f aca="false">BQ159+$F169*BQ14</f>
        <v>0</v>
      </c>
      <c r="BR170" s="35" t="n">
        <f aca="false">BR159+$F169*BR14</f>
        <v>0</v>
      </c>
      <c r="BS170" s="35" t="n">
        <f aca="false">BS159+$F169*BS14</f>
        <v>0</v>
      </c>
      <c r="BT170" s="35" t="n">
        <f aca="false">BT159+$F169*BT14</f>
        <v>0</v>
      </c>
      <c r="BU170" s="35" t="n">
        <f aca="false">BU159+$F169*BU14</f>
        <v>0</v>
      </c>
      <c r="BV170" s="35" t="n">
        <f aca="false">BV159+$F169*BV14</f>
        <v>0</v>
      </c>
      <c r="BW170" s="35" t="n">
        <f aca="false">BW159+$F169*BW14</f>
        <v>0</v>
      </c>
      <c r="BX170" s="35" t="n">
        <f aca="false">BX159+$F169*BX14</f>
        <v>0</v>
      </c>
      <c r="BY170" s="35" t="n">
        <f aca="false">BY159+$F169*BY14</f>
        <v>0</v>
      </c>
      <c r="BZ170" s="35" t="n">
        <f aca="false">BZ159+$F169*BZ14</f>
        <v>0</v>
      </c>
      <c r="CA170" s="35" t="n">
        <f aca="false">CA159+$F169*CA14</f>
        <v>0</v>
      </c>
      <c r="CB170" s="35" t="n">
        <f aca="false">CB159+$F169*CB14</f>
        <v>0</v>
      </c>
      <c r="CC170" s="35" t="n">
        <f aca="false">CC159+$F169*CC14</f>
        <v>0</v>
      </c>
      <c r="CD170" s="35" t="n">
        <f aca="false">CD159+$F169*CD14</f>
        <v>0</v>
      </c>
      <c r="CE170" s="35" t="n">
        <f aca="false">CE159+$F169*CE14</f>
        <v>0</v>
      </c>
      <c r="CF170" s="35" t="n">
        <f aca="false">CF159+$F169*CF14</f>
        <v>0</v>
      </c>
      <c r="CG170" s="35" t="n">
        <f aca="false">CG159+$F169*CG14</f>
        <v>0</v>
      </c>
      <c r="CH170" s="35" t="n">
        <f aca="false">CH159+$F169*CH14</f>
        <v>0</v>
      </c>
      <c r="CI170" s="35" t="n">
        <f aca="false">CI159+$F169*CI14</f>
        <v>0</v>
      </c>
      <c r="CJ170" s="35" t="n">
        <f aca="false">CJ159+$F169*CJ14</f>
        <v>0</v>
      </c>
      <c r="CK170" s="35" t="n">
        <f aca="false">CK159+$F169*CK14</f>
        <v>0</v>
      </c>
      <c r="CL170" s="35" t="n">
        <f aca="false">CL159+$F169*CL14</f>
        <v>0</v>
      </c>
      <c r="CM170" s="35" t="n">
        <f aca="false">CM159+$F169*CM14</f>
        <v>0</v>
      </c>
      <c r="CN170" s="35" t="n">
        <f aca="false">CN159+$F169*CN14</f>
        <v>0</v>
      </c>
      <c r="CO170" s="35" t="n">
        <f aca="false">CO159+$F169*CO14</f>
        <v>0</v>
      </c>
      <c r="CP170" s="35" t="n">
        <f aca="false">CP159+$F169*CP14</f>
        <v>0</v>
      </c>
      <c r="CQ170" s="35" t="n">
        <f aca="false">CQ159+$F169*CQ14</f>
        <v>0</v>
      </c>
      <c r="CR170" s="35" t="n">
        <f aca="false">CR159+$F169*CR14</f>
        <v>0</v>
      </c>
      <c r="CS170" s="35" t="n">
        <f aca="false">CS159+$F169*CS14</f>
        <v>0</v>
      </c>
      <c r="CT170" s="35" t="n">
        <f aca="false">CT159+$F169*CT14</f>
        <v>0</v>
      </c>
      <c r="CU170" s="35" t="n">
        <f aca="false">CU159+$F169*CU14</f>
        <v>0</v>
      </c>
      <c r="CV170" s="35" t="n">
        <f aca="false">CV159+$F169*CV14</f>
        <v>0</v>
      </c>
      <c r="CW170" s="35" t="n">
        <f aca="false">CW159+$F169*CW14</f>
        <v>0</v>
      </c>
      <c r="CX170" s="35" t="n">
        <f aca="false">CX159+$F169*CX14</f>
        <v>0</v>
      </c>
      <c r="CY170" s="35" t="n">
        <f aca="false">CY159+$F169*CY14</f>
        <v>0</v>
      </c>
      <c r="CZ170" s="35" t="n">
        <f aca="false">CZ159+$F169*CZ14</f>
        <v>0</v>
      </c>
      <c r="DA170" s="35" t="n">
        <f aca="false">DA159+$F169*DA14</f>
        <v>0</v>
      </c>
      <c r="DB170" s="35" t="n">
        <f aca="false">DB159+$F169*DB14</f>
        <v>0</v>
      </c>
      <c r="DC170" s="35" t="n">
        <f aca="false">DC159+$F169*DC14</f>
        <v>0</v>
      </c>
      <c r="DD170" s="35" t="n">
        <f aca="false">DD159+$F169*DD14</f>
        <v>0</v>
      </c>
      <c r="DE170" s="35" t="n">
        <f aca="false">DE159+$F169*DE14</f>
        <v>0</v>
      </c>
      <c r="DF170" s="35" t="n">
        <f aca="false">DF159+$F169*DF14</f>
        <v>0</v>
      </c>
      <c r="DG170" s="35" t="n">
        <f aca="false">DG159+$F169*DG14</f>
        <v>0</v>
      </c>
      <c r="DH170" s="35" t="n">
        <f aca="false">DH159+$F169*DH14</f>
        <v>0</v>
      </c>
      <c r="DI170" s="35" t="n">
        <f aca="false">DI159+$F169*DI14</f>
        <v>0</v>
      </c>
      <c r="DJ170" s="35" t="n">
        <f aca="false">DJ159+$F169*DJ14</f>
        <v>0</v>
      </c>
      <c r="DK170" s="35" t="n">
        <f aca="false">DK159+$F169*DK14</f>
        <v>0</v>
      </c>
      <c r="DL170" s="35" t="n">
        <f aca="false">DL159+$F169*DL14</f>
        <v>0</v>
      </c>
      <c r="DM170" s="35" t="n">
        <f aca="false">DM159+$F169*DM14</f>
        <v>0</v>
      </c>
      <c r="DN170" s="35" t="n">
        <f aca="false">DN159+$F169*DN14</f>
        <v>0</v>
      </c>
      <c r="DO170" s="35" t="n">
        <f aca="false">DO159+$F169*DO14</f>
        <v>0</v>
      </c>
      <c r="DP170" s="35" t="n">
        <f aca="false">DP159+$F169*DP14</f>
        <v>0</v>
      </c>
      <c r="DQ170" s="35" t="n">
        <f aca="false">DQ159+$F169*DQ14</f>
        <v>0</v>
      </c>
      <c r="DR170" s="35" t="n">
        <f aca="false">DR159+$F169*DR14</f>
        <v>0</v>
      </c>
      <c r="DS170" s="35" t="n">
        <f aca="false">DS159+$F169*DS14</f>
        <v>0</v>
      </c>
      <c r="DT170" s="35" t="n">
        <f aca="false">DT159+$F169*DT14</f>
        <v>0</v>
      </c>
      <c r="DU170" s="35" t="n">
        <f aca="false">DU159+$F169*DU14</f>
        <v>0</v>
      </c>
      <c r="DV170" s="35" t="n">
        <f aca="false">DV159+$F169*DV14</f>
        <v>0</v>
      </c>
      <c r="DW170" s="35" t="n">
        <f aca="false">DW159+$F169*DW14</f>
        <v>0</v>
      </c>
      <c r="DX170" s="35" t="n">
        <f aca="false">DX159+$F169*DX14</f>
        <v>0</v>
      </c>
      <c r="DY170" s="35" t="n">
        <f aca="false">DY159+$F169*DY14</f>
        <v>0</v>
      </c>
      <c r="DZ170" s="35" t="n">
        <f aca="false">DZ159+$F169*DZ14</f>
        <v>0</v>
      </c>
      <c r="EA170" s="35" t="n">
        <f aca="false">EA159+$F169*EA14</f>
        <v>0</v>
      </c>
      <c r="EB170" s="35" t="n">
        <f aca="false">EB159+$F169*EB14</f>
        <v>0</v>
      </c>
      <c r="EC170" s="35" t="n">
        <f aca="false">EC159+$F169*EC14</f>
        <v>0</v>
      </c>
      <c r="ED170" s="35" t="n">
        <f aca="false">ED159+$F169*ED14</f>
        <v>0</v>
      </c>
      <c r="EE170" s="35" t="n">
        <f aca="false">EE159+$F169*EE14</f>
        <v>0</v>
      </c>
      <c r="EF170" s="35" t="n">
        <f aca="false">EF159+$F169*EF14</f>
        <v>0</v>
      </c>
      <c r="EG170" s="35" t="n">
        <f aca="false">EG159+$F169*EG14</f>
        <v>0</v>
      </c>
      <c r="EH170" s="35" t="n">
        <f aca="false">EH159+$F169*EH14</f>
        <v>0</v>
      </c>
      <c r="EI170" s="35" t="n">
        <f aca="false">EI159+$F169*EI14</f>
        <v>0</v>
      </c>
      <c r="EJ170" s="35" t="n">
        <f aca="false">EJ159+$F169*EJ14</f>
        <v>0</v>
      </c>
      <c r="EK170" s="35" t="n">
        <f aca="false">EK159+$F169*EK14</f>
        <v>0</v>
      </c>
      <c r="EL170" s="35" t="n">
        <f aca="false">EL159+$F169*EL14</f>
        <v>0</v>
      </c>
      <c r="EM170" s="35" t="n">
        <f aca="false">EM159+$F169*EM14</f>
        <v>0</v>
      </c>
      <c r="EN170" s="35" t="n">
        <f aca="false">EN159+$F169*EN14</f>
        <v>0</v>
      </c>
      <c r="EO170" s="35" t="n">
        <f aca="false">EO159+$F169*EO14</f>
        <v>0</v>
      </c>
      <c r="EP170" s="35" t="n">
        <f aca="false">EP159+$F169*EP14</f>
        <v>0</v>
      </c>
      <c r="EQ170" s="35" t="n">
        <f aca="false">EQ159+$F169*EQ14</f>
        <v>0</v>
      </c>
      <c r="ER170" s="35" t="n">
        <f aca="false">ER159+$F169*ER14</f>
        <v>0</v>
      </c>
      <c r="ES170" s="35" t="n">
        <f aca="false">ES159+$F169*ES14</f>
        <v>0</v>
      </c>
      <c r="ET170" s="35" t="n">
        <f aca="false">ET159+$F169*ET14</f>
        <v>0</v>
      </c>
    </row>
    <row r="171" customFormat="false" ht="15" hidden="false" customHeight="false" outlineLevel="0" collapsed="false">
      <c r="C171" s="30" t="s">
        <v>77</v>
      </c>
      <c r="D171" s="11" t="s">
        <v>35</v>
      </c>
      <c r="E171" s="57" t="n">
        <f aca="false">XIRR($J170:$ET170,$J$4:$ET$4)</f>
        <v>0.339207407992561</v>
      </c>
    </row>
    <row r="172" customFormat="false" ht="15" hidden="false" customHeight="false" outlineLevel="0" collapsed="false">
      <c r="C172" s="30" t="s">
        <v>600</v>
      </c>
      <c r="D172" s="11" t="s">
        <v>13</v>
      </c>
      <c r="E172" s="58" t="n">
        <f aca="false">$F169/-$I159</f>
        <v>1.66053073086095</v>
      </c>
    </row>
    <row r="173" customFormat="false" ht="15" hidden="false" customHeight="false" outlineLevel="0" collapsed="false">
      <c r="C173" s="30" t="s">
        <v>79</v>
      </c>
      <c r="D173" s="11" t="s">
        <v>247</v>
      </c>
      <c r="E173" s="35" t="n">
        <f aca="false">XNPV(In_Discount_Rate,$J170:$ET170,$J$4:$ET$4)</f>
        <v>26530.583975982</v>
      </c>
    </row>
    <row r="174" customFormat="false" ht="15" hidden="false" customHeight="false" outlineLevel="0" collapsed="false">
      <c r="A174" s="55"/>
      <c r="B174" s="55"/>
      <c r="C174" s="55" t="s">
        <v>601</v>
      </c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  <c r="DX174" s="55"/>
      <c r="DY174" s="55"/>
      <c r="DZ174" s="55"/>
      <c r="EA174" s="55"/>
      <c r="EB174" s="55"/>
      <c r="EC174" s="55"/>
      <c r="ED174" s="55"/>
      <c r="EE174" s="55"/>
      <c r="EF174" s="55"/>
      <c r="EG174" s="55"/>
      <c r="EH174" s="55"/>
      <c r="EI174" s="55"/>
      <c r="EJ174" s="55"/>
      <c r="EK174" s="55"/>
      <c r="EL174" s="55"/>
      <c r="EM174" s="55"/>
      <c r="EN174" s="55"/>
      <c r="EO174" s="55"/>
      <c r="EP174" s="55"/>
      <c r="EQ174" s="55"/>
      <c r="ER174" s="55"/>
      <c r="ES174" s="55"/>
      <c r="ET174" s="55"/>
    </row>
    <row r="175" customFormat="false" ht="15" hidden="false" customHeight="false" outlineLevel="0" collapsed="false">
      <c r="C175" s="0" t="s">
        <v>602</v>
      </c>
      <c r="D175" s="11" t="s">
        <v>247</v>
      </c>
      <c r="E175" s="33" t="n">
        <f aca="false">$E92*$F24</f>
        <v>60000</v>
      </c>
      <c r="F175" s="33" t="n">
        <f aca="false">In_Installation*$F24</f>
        <v>8000</v>
      </c>
    </row>
    <row r="176" customFormat="false" ht="15" hidden="false" customHeight="false" outlineLevel="0" collapsed="false">
      <c r="C176" s="0" t="s">
        <v>603</v>
      </c>
      <c r="D176" s="11" t="s">
        <v>247</v>
      </c>
      <c r="E176" s="33" t="n">
        <f aca="false">In_Foundations*$F24</f>
        <v>9000</v>
      </c>
      <c r="F176" s="33" t="n">
        <f aca="false">In_BoP*$F24</f>
        <v>13000</v>
      </c>
    </row>
    <row r="177" customFormat="false" ht="15" hidden="false" customHeight="false" outlineLevel="0" collapsed="false">
      <c r="C177" s="0" t="s">
        <v>604</v>
      </c>
      <c r="D177" s="11" t="s">
        <v>247</v>
      </c>
      <c r="E177" s="33" t="n">
        <f aca="false">In_Owner*$F24</f>
        <v>4000</v>
      </c>
      <c r="F177" s="33" t="n">
        <f aca="false">In_Easements*$F24-SUMIF($J$4:$ET$4,"&lt;="&amp;In_COD,$J119:$ET119)</f>
        <v>2118.49126824379</v>
      </c>
    </row>
    <row r="178" customFormat="false" ht="15" hidden="false" customHeight="false" outlineLevel="0" collapsed="false">
      <c r="C178" s="0" t="s">
        <v>605</v>
      </c>
      <c r="D178" s="11" t="s">
        <v>247</v>
      </c>
      <c r="E178" s="33" t="n">
        <f aca="false">In_Capex_Contingency*(($E92+$F92)*$F24+$E93)</f>
        <v>5375</v>
      </c>
      <c r="F178" s="33" t="n">
        <f aca="false">$E93</f>
        <v>12000</v>
      </c>
    </row>
    <row r="179" customFormat="false" ht="15" hidden="false" customHeight="false" outlineLevel="0" collapsed="false">
      <c r="C179" s="0" t="s">
        <v>606</v>
      </c>
      <c r="D179" s="11" t="s">
        <v>247</v>
      </c>
      <c r="E179" s="33" t="n">
        <f aca="false">In_BESS_Capex*$F26</f>
        <v>20400</v>
      </c>
      <c r="F179" s="33" t="n">
        <f aca="false">-$I53</f>
        <v>20179.3874082192</v>
      </c>
    </row>
    <row r="180" customFormat="false" ht="15" hidden="false" customHeight="false" outlineLevel="0" collapsed="false">
      <c r="C180" s="0" t="s">
        <v>607</v>
      </c>
      <c r="D180" s="11" t="s">
        <v>247</v>
      </c>
      <c r="E180" s="33" t="n">
        <f aca="false">-$I95</f>
        <v>5000</v>
      </c>
      <c r="F180" s="33" t="n">
        <f aca="false">-($I57+$I46+$I47+$I50)</f>
        <v>4760.72040238188</v>
      </c>
    </row>
    <row r="181" customFormat="false" ht="15" hidden="false" customHeight="false" outlineLevel="0" collapsed="false">
      <c r="C181" s="0" t="s">
        <v>118</v>
      </c>
      <c r="D181" s="11" t="s">
        <v>247</v>
      </c>
      <c r="E181" s="33" t="n">
        <f aca="false">$I99-$I103-$I104-$F59</f>
        <v>8901.43406713672</v>
      </c>
    </row>
    <row r="182" customFormat="false" ht="15" hidden="false" customHeight="false" outlineLevel="0" collapsed="false">
      <c r="C182" s="30" t="s">
        <v>608</v>
      </c>
      <c r="D182" s="11" t="s">
        <v>247</v>
      </c>
      <c r="E182" s="35" t="n">
        <f aca="false">SUM($E175:$F181)</f>
        <v>172735.033145982</v>
      </c>
      <c r="F182" s="35" t="n">
        <f aca="false">$I98+$I99-$I159</f>
        <v>172735.033145982</v>
      </c>
    </row>
    <row r="183" customFormat="false" ht="15" hidden="false" customHeight="false" outlineLevel="0" collapsed="false">
      <c r="C183" s="0" t="s">
        <v>609</v>
      </c>
      <c r="D183" s="11" t="s">
        <v>247</v>
      </c>
      <c r="E183" s="33" t="n">
        <f aca="false">-($I94+$I98)-SUMIF($J$4:$ET$4,"&lt;="&amp;In_COD,$J119:$ET119)</f>
        <v>38820.8588233123</v>
      </c>
      <c r="F183" s="33" t="n">
        <f aca="false">-($I103+$I104)</f>
        <v>2626.3903023952</v>
      </c>
    </row>
    <row r="184" customFormat="false" ht="15" hidden="false" customHeight="false" outlineLevel="0" collapsed="false">
      <c r="A184" s="55"/>
      <c r="B184" s="55"/>
      <c r="C184" s="55" t="s">
        <v>610</v>
      </c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  <c r="DX184" s="55"/>
      <c r="DY184" s="55"/>
      <c r="DZ184" s="55"/>
      <c r="EA184" s="55"/>
      <c r="EB184" s="55"/>
      <c r="EC184" s="55"/>
      <c r="ED184" s="55"/>
      <c r="EE184" s="55"/>
      <c r="EF184" s="55"/>
      <c r="EG184" s="55"/>
      <c r="EH184" s="55"/>
      <c r="EI184" s="55"/>
      <c r="EJ184" s="55"/>
      <c r="EK184" s="55"/>
      <c r="EL184" s="55"/>
      <c r="EM184" s="55"/>
      <c r="EN184" s="55"/>
      <c r="EO184" s="55"/>
      <c r="EP184" s="55"/>
      <c r="EQ184" s="55"/>
      <c r="ER184" s="55"/>
      <c r="ES184" s="55"/>
      <c r="ET184" s="55"/>
    </row>
    <row r="185" customFormat="false" ht="15" hidden="false" customHeight="false" outlineLevel="0" collapsed="false">
      <c r="C185" s="0" t="s">
        <v>142</v>
      </c>
      <c r="D185" s="11" t="s">
        <v>247</v>
      </c>
      <c r="E185" s="33" t="n">
        <f aca="false">$E49-$I47-$I50</f>
        <v>8234.65753424658</v>
      </c>
    </row>
    <row r="186" customFormat="false" ht="15" hidden="false" customHeight="false" outlineLevel="0" collapsed="false">
      <c r="C186" s="30" t="s">
        <v>611</v>
      </c>
      <c r="D186" s="11" t="s">
        <v>247</v>
      </c>
      <c r="E186" s="35" t="n">
        <f aca="false">$E182+$E49</f>
        <v>179728.594789817</v>
      </c>
    </row>
    <row r="187" customFormat="false" ht="15" hidden="false" customHeight="false" outlineLevel="0" collapsed="false">
      <c r="C187" s="0" t="s">
        <v>612</v>
      </c>
      <c r="D187" s="11" t="s">
        <v>247</v>
      </c>
      <c r="E187" s="33" t="n">
        <f aca="false">-$I87</f>
        <v>1418.21917808219</v>
      </c>
      <c r="F187" s="33" t="n">
        <f aca="false">$F86</f>
        <v>6993.56164383562</v>
      </c>
    </row>
    <row r="189" customFormat="false" ht="15" hidden="false" customHeight="false" outlineLevel="0" collapsed="false">
      <c r="A189" s="9" t="s">
        <v>13</v>
      </c>
      <c r="B189" s="9"/>
      <c r="C189" s="9" t="s">
        <v>177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</row>
    <row r="190" customFormat="false" ht="15" hidden="false" customHeight="false" outlineLevel="0" collapsed="false">
      <c r="C190" s="30" t="s">
        <v>613</v>
      </c>
      <c r="D190" s="11" t="s">
        <v>247</v>
      </c>
      <c r="I190" s="35" t="n">
        <f aca="false">SUM(J190:ET190)</f>
        <v>278469.644233254</v>
      </c>
      <c r="J190" s="35" t="n">
        <f aca="false">J60+J105+J98+J119+J102+J100+J128+J87-$F143*J12</f>
        <v>-400</v>
      </c>
      <c r="K190" s="35" t="n">
        <f aca="false">K60+K105+K98+K119+K102+K100+K128+K87-$F143*K12</f>
        <v>-1437.78053818728</v>
      </c>
      <c r="L190" s="35" t="n">
        <f aca="false">L60+L105+L98+L119+L102+L100+L128+L87-$F143*L12</f>
        <v>-691.910911990993</v>
      </c>
      <c r="M190" s="35" t="n">
        <f aca="false">M60+M105+M98+M119+M102+M100+M128+M87-$F143*M12</f>
        <v>-148.451634452993</v>
      </c>
      <c r="N190" s="35" t="n">
        <f aca="false">N60+N105+N98+N119+N102+N100+N128+N87-$F143*N12</f>
        <v>-149.601261024582</v>
      </c>
      <c r="O190" s="35" t="n">
        <f aca="false">O60+O105+O98+O119+O102+O100+O128+O87-$F143*O12</f>
        <v>-290.127288421843</v>
      </c>
      <c r="P190" s="35" t="n">
        <f aca="false">P60+P105+P98+P119+P102+P100+P128+P87-$F143*P12</f>
        <v>-1394.65781281475</v>
      </c>
      <c r="Q190" s="35" t="n">
        <f aca="false">Q60+Q105+Q98+Q119+Q102+Q100+Q128+Q87-$F143*Q12</f>
        <v>-109.225607055733</v>
      </c>
      <c r="R190" s="35" t="n">
        <f aca="false">R60+R105+R98+R119+R102+R100+R128+R87-$F143*R12</f>
        <v>-269.857154566657</v>
      </c>
      <c r="S190" s="35" t="n">
        <f aca="false">S60+S105+S98+S119+S102+S100+S128+S87-$F143*S12</f>
        <v>-422.991783283459</v>
      </c>
      <c r="T190" s="35" t="n">
        <f aca="false">T60+T105+T98+T119+T102+T100+T128+T87-$F143*T12</f>
        <v>-20587.5113339088</v>
      </c>
      <c r="U190" s="35" t="n">
        <f aca="false">U60+U105+U98+U119+U102+U100+U128+U87-$F143*U12</f>
        <v>-104.616018014637</v>
      </c>
      <c r="V190" s="35" t="n">
        <f aca="false">V60+V105+V98+V119+V102+V100+V128+V87-$F143*V12</f>
        <v>-105.765644586226</v>
      </c>
      <c r="W190" s="35" t="n">
        <f aca="false">W60+W105+W98+W119+W102+W100+W128+W87-$F143*W12</f>
        <v>-10324.3941457621</v>
      </c>
      <c r="X190" s="35" t="n">
        <f aca="false">X60+X105+X98+X119+X102+X100+X128+X87-$F143*X12</f>
        <v>-5073.5175863622</v>
      </c>
      <c r="Y190" s="35" t="n">
        <f aca="false">Y60+Y105+Y98+Y119+Y102+Y100+Y128+Y87-$F143*Y12</f>
        <v>-5103.58937070822</v>
      </c>
      <c r="Z190" s="35" t="n">
        <f aca="false">Z60+Z105+Z98+Z119+Z102+Z100+Z128+Z87-$F143*Z12</f>
        <v>-5132.78767858878</v>
      </c>
      <c r="AA190" s="35" t="n">
        <f aca="false">AA60+AA105+AA98+AA119+AA102+AA100+AA128+AA87-$F143*AA12</f>
        <v>-5105.60714622201</v>
      </c>
      <c r="AB190" s="35" t="n">
        <f aca="false">AB60+AB105+AB98+AB119+AB102+AB100+AB128+AB87-$F143*AB12</f>
        <v>-4969.92045560723</v>
      </c>
      <c r="AC190" s="35" t="n">
        <f aca="false">AC60+AC105+AC98+AC119+AC102+AC100+AC128+AC87-$F143*AC12</f>
        <v>-4998.84116072264</v>
      </c>
      <c r="AD190" s="35" t="n">
        <f aca="false">AD60+AD105+AD98+AD119+AD102+AD100+AD128+AD87-$F143*AD12</f>
        <v>-10026.8883893726</v>
      </c>
      <c r="AE190" s="35" t="n">
        <f aca="false">AE60+AE105+AE98+AE119+AE102+AE100+AE128+AE87-$F143*AE12</f>
        <v>874.393407109325</v>
      </c>
      <c r="AF190" s="35" t="n">
        <f aca="false">AF60+AF105+AF98+AF119+AF102+AF100+AF128+AF87-$F143*AF12</f>
        <v>-560.072909893331</v>
      </c>
      <c r="AG190" s="35" t="n">
        <f aca="false">AG60+AG105+AG98+AG119+AG102+AG100+AG128+AG87-$F143*AG12</f>
        <v>858.146268188861</v>
      </c>
      <c r="AH190" s="35" t="n">
        <f aca="false">AH60+AH105+AH98+AH119+AH102+AH100+AH128+AH87-$F143*AH12</f>
        <v>902.422023615627</v>
      </c>
      <c r="AI190" s="35" t="n">
        <f aca="false">AI60+AI105+AI98+AI119+AI102+AI100+AI128+AI87-$F143*AI12</f>
        <v>887.727990101891</v>
      </c>
      <c r="AJ190" s="35" t="n">
        <f aca="false">AJ60+AJ105+AJ98+AJ119+AJ102+AJ100+AJ128+AJ87-$F143*AJ12</f>
        <v>826.680388268668</v>
      </c>
      <c r="AK190" s="35" t="n">
        <f aca="false">AK60+AK105+AK98+AK119+AK102+AK100+AK128+AK87-$F143*AK12</f>
        <v>964.097236992855</v>
      </c>
      <c r="AL190" s="35" t="n">
        <f aca="false">AL60+AL105+AL98+AL119+AL102+AL100+AL128+AL87-$F143*AL12</f>
        <v>925.793262766851</v>
      </c>
      <c r="AM190" s="35" t="n">
        <f aca="false">AM60+AM105+AM98+AM119+AM102+AM100+AM128+AM87-$F143*AM12</f>
        <v>909.969296222041</v>
      </c>
      <c r="AN190" s="35" t="n">
        <f aca="false">AN60+AN105+AN98+AN119+AN102+AN100+AN128+AN87-$F143*AN12</f>
        <v>845.404881547606</v>
      </c>
      <c r="AO190" s="35" t="n">
        <f aca="false">AO60+AO105+AO98+AO119+AO102+AO100+AO128+AO87-$F143*AO12</f>
        <v>886.590388683276</v>
      </c>
      <c r="AP190" s="35" t="n">
        <f aca="false">AP60+AP105+AP98+AP119+AP102+AP100+AP128+AP87-$F143*AP12</f>
        <v>927.745556516224</v>
      </c>
      <c r="AQ190" s="35" t="n">
        <f aca="false">AQ60+AQ105+AQ98+AQ119+AQ102+AQ100+AQ128+AQ87-$F143*AQ12</f>
        <v>911.715877644968</v>
      </c>
      <c r="AR190" s="35" t="n">
        <f aca="false">AR60+AR105+AR98+AR119+AR102+AR100+AR128+AR87-$F143*AR12</f>
        <v>846.543277615423</v>
      </c>
      <c r="AS190" s="35" t="n">
        <f aca="false">AS60+AS105+AS98+AS119+AS102+AS100+AS128+AS87-$F143*AS12</f>
        <v>887.727694520745</v>
      </c>
      <c r="AT190" s="35" t="n">
        <f aca="false">AT60+AT105+AT98+AT119+AT102+AT100+AT128+AT87-$F143*AT12</f>
        <v>928.88022647735</v>
      </c>
      <c r="AU190" s="35" t="n">
        <f aca="false">AU60+AU105+AU98+AU119+AU102+AU100+AU128+AU87-$F143*AU12</f>
        <v>912.638411235669</v>
      </c>
      <c r="AV190" s="35" t="n">
        <f aca="false">AV60+AV105+AV98+AV119+AV102+AV100+AV128+AV87-$F143*AV12</f>
        <v>890.70113207518</v>
      </c>
      <c r="AW190" s="35" t="n">
        <f aca="false">AW60+AW105+AW98+AW119+AW102+AW100+AW128+AW87-$F143*AW12</f>
        <v>888.020385021271</v>
      </c>
      <c r="AX190" s="35" t="n">
        <f aca="false">AX60+AX105+AX98+AX119+AX102+AX100+AX128+AX87-$F143*AX12</f>
        <v>929.16022862069</v>
      </c>
      <c r="AY190" s="35" t="n">
        <f aca="false">AY60+AY105+AY98+AY119+AY102+AY100+AY128+AY87-$F143*AY12</f>
        <v>912.699544478946</v>
      </c>
      <c r="AZ190" s="35" t="n">
        <f aca="false">AZ60+AZ105+AZ98+AZ119+AZ102+AZ100+AZ128+AZ87-$F143*AZ12</f>
        <v>846.278418220016</v>
      </c>
      <c r="BA190" s="35" t="n">
        <f aca="false">BA60+BA105+BA98+BA119+BA102+BA100+BA128+BA87-$F143*BA12</f>
        <v>887.43027860781</v>
      </c>
      <c r="BB190" s="35" t="n">
        <f aca="false">BB60+BB105+BB98+BB119+BB102+BB100+BB128+BB87-$F143*BB12</f>
        <v>928.546922512905</v>
      </c>
      <c r="BC190" s="35" t="n">
        <f aca="false">BC60+BC105+BC98+BC119+BC102+BC100+BC128+BC87-$F143*BC12</f>
        <v>911.86031268293</v>
      </c>
      <c r="BD190" s="35" t="n">
        <f aca="false">BD60+BD105+BD98+BD119+BD102+BD100+BD128+BD87-$F143*BD12</f>
        <v>844.798079926203</v>
      </c>
      <c r="BE190" s="35" t="n">
        <f aca="false">BE60+BE105+BE98+BE119+BE102+BE100+BE128+BE87-$F143*BE12</f>
        <v>885.917544416721</v>
      </c>
      <c r="BF190" s="35" t="n">
        <f aca="false">BF60+BF105+BF98+BF119+BF102+BF100+BF128+BF87-$F143*BF12</f>
        <v>926.999998308965</v>
      </c>
      <c r="BG190" s="35" t="n">
        <f aca="false">BG60+BG105+BG98+BG119+BG102+BG100+BG128+BG87-$F143*BG12</f>
        <v>910.080065163074</v>
      </c>
      <c r="BH190" s="35" t="n">
        <f aca="false">BH60+BH105+BH98+BH119+BH102+BH100+BH128+BH87-$F143*BH12</f>
        <v>842.36495707647</v>
      </c>
      <c r="BI190" s="35" t="n">
        <f aca="false">BI60+BI105+BI98+BI119+BI102+BI100+BI128+BI87-$F143*BI12</f>
        <v>883.440626714007</v>
      </c>
      <c r="BJ190" s="35" t="n">
        <f aca="false">BJ60+BJ105+BJ98+BJ119+BJ102+BJ100+BJ128+BJ87-$F143*BJ12</f>
        <v>924.477400235871</v>
      </c>
      <c r="BK190" s="35" t="n">
        <f aca="false">BK60+BK105+BK98+BK119+BK102+BK100+BK128+BK87-$F143*BK12</f>
        <v>907.316387876432</v>
      </c>
      <c r="BL190" s="35" t="n">
        <f aca="false">BL60+BL105+BL98+BL119+BL102+BL100+BL128+BL87-$F143*BL12</f>
        <v>883.226380985904</v>
      </c>
      <c r="BM190" s="35" t="n">
        <f aca="false">BM60+BM105+BM98+BM119+BM102+BM100+BM128+BM87-$F143*BM12</f>
        <v>879.956165674805</v>
      </c>
      <c r="BN190" s="35" t="n">
        <f aca="false">BN60+BN105+BN98+BN119+BN102+BN100+BN128+BN87-$F143*BN12</f>
        <v>920.935246394432</v>
      </c>
      <c r="BO190" s="35" t="n">
        <f aca="false">BO60+BO105+BO98+BO119+BO102+BO100+BO128+BO87-$F143*BO12</f>
        <v>903.525022330628</v>
      </c>
      <c r="BP190" s="35" t="n">
        <f aca="false">BP60+BP105+BP98+BP119+BP102+BP100+BP128+BP87-$F143*BP12</f>
        <v>834.467123776132</v>
      </c>
      <c r="BQ190" s="35" t="n">
        <f aca="false">BQ60+BQ105+BQ98+BQ119+BQ102+BQ100+BQ128+BQ87-$F143*BQ12</f>
        <v>875.418914346086</v>
      </c>
      <c r="BR190" s="35" t="n">
        <f aca="false">BR60+BR105+BR98+BR119+BR102+BR100+BR128+BR87-$F143*BR12</f>
        <v>916.32774469689</v>
      </c>
      <c r="BS190" s="35" t="n">
        <f aca="false">BS60+BS105+BS98+BS119+BS102+BS100+BS128+BS87-$F143*BS12</f>
        <v>4069.60725622995</v>
      </c>
      <c r="BT190" s="35" t="n">
        <f aca="false">BT60+BT105+BT98+BT119+BT102+BT100+BT128+BT87-$F143*BT12</f>
        <v>4003.42584117317</v>
      </c>
      <c r="BU190" s="35" t="n">
        <f aca="false">BU60+BU105+BU98+BU119+BU102+BU100+BU128+BU87-$F143*BU12</f>
        <v>4047.90835051954</v>
      </c>
      <c r="BV190" s="35" t="n">
        <f aca="false">BV60+BV105+BV98+BV119+BV102+BV100+BV128+BV87-$F143*BV12</f>
        <v>4092.39085986591</v>
      </c>
      <c r="BW190" s="35" t="n">
        <f aca="false">BW60+BW105+BW98+BW119+BW102+BW100+BW128+BW87-$F143*BW12</f>
        <v>4078.15898065686</v>
      </c>
      <c r="BX190" s="35" t="n">
        <f aca="false">BX60+BX105+BX98+BX119+BX102+BX100+BX128+BX87-$F143*BX12</f>
        <v>4011.45486590955</v>
      </c>
      <c r="BY190" s="35" t="n">
        <f aca="false">BY60+BY105+BY98+BY119+BY102+BY100+BY128+BY87-$F143*BY12</f>
        <v>4056.02658664188</v>
      </c>
      <c r="BZ190" s="35" t="n">
        <f aca="false">BZ60+BZ105+BZ98+BZ119+BZ102+BZ100+BZ128+BZ87-$F143*BZ12</f>
        <v>4100.59830737421</v>
      </c>
      <c r="CA190" s="35" t="n">
        <f aca="false">CA60+CA105+CA98+CA119+CA102+CA100+CA128+CA87-$F143*CA12</f>
        <v>4086.27900066486</v>
      </c>
      <c r="CB190" s="35" t="n">
        <f aca="false">CB60+CB105+CB98+CB119+CB102+CB100+CB128+CB87-$F143*CB12</f>
        <v>4063.70340708089</v>
      </c>
      <c r="CC190" s="35" t="n">
        <f aca="false">CC60+CC105+CC98+CC119+CC102+CC100+CC128+CC87-$F143*CC12</f>
        <v>4063.70340708089</v>
      </c>
      <c r="CD190" s="35" t="n">
        <f aca="false">CD60+CD105+CD98+CD119+CD102+CD100+CD128+CD87-$F143*CD12</f>
        <v>4108.35948847738</v>
      </c>
      <c r="CE190" s="35" t="n">
        <f aca="false">CE60+CE105+CE98+CE119+CE102+CE100+CE128+CE87-$F143*CE12</f>
        <v>4093.95252293801</v>
      </c>
      <c r="CF190" s="35" t="n">
        <f aca="false">CF60+CF105+CF98+CF119+CF102+CF100+CF128+CF87-$F143*CF12</f>
        <v>4026.18836092788</v>
      </c>
      <c r="CG190" s="35" t="n">
        <f aca="false">CG60+CG105+CG98+CG119+CG102+CG100+CG128+CG87-$F143*CG12</f>
        <v>4070.92378716041</v>
      </c>
      <c r="CH190" s="35" t="n">
        <f aca="false">CH60+CH105+CH98+CH119+CH102+CH100+CH128+CH87-$F143*CH12</f>
        <v>4115.65921339294</v>
      </c>
      <c r="CI190" s="35" t="n">
        <f aca="false">CI60+CI105+CI98+CI119+CI102+CI100+CI128+CI87-$F143*CI12</f>
        <v>4101.16436400994</v>
      </c>
      <c r="CJ190" s="35" t="n">
        <f aca="false">CJ60+CJ105+CJ98+CJ119+CJ102+CJ100+CJ128+CJ87-$F143*CJ12</f>
        <v>4032.86272067897</v>
      </c>
      <c r="CK190" s="35" t="n">
        <f aca="false">CK60+CK105+CK98+CK119+CK102+CK100+CK128+CK87-$F143*CK12</f>
        <v>4077.6723064643</v>
      </c>
      <c r="CL190" s="35" t="n">
        <f aca="false">CL60+CL105+CL98+CL119+CL102+CL100+CL128+CL87-$F143*CL12</f>
        <v>4122.48189224962</v>
      </c>
      <c r="CM190" s="35" t="n">
        <f aca="false">CM60+CM105+CM98+CM119+CM102+CM100+CM128+CM87-$F143*CM12</f>
        <v>4107.89894054444</v>
      </c>
      <c r="CN190" s="35" t="n">
        <f aca="false">CN60+CN105+CN98+CN119+CN102+CN100+CN128+CN87-$F143*CN12</f>
        <v>4039.05475283845</v>
      </c>
      <c r="CO190" s="35" t="n">
        <f aca="false">CO60+CO105+CO98+CO119+CO102+CO100+CO128+CO87-$F143*CO12</f>
        <v>4083.9331389811</v>
      </c>
      <c r="CP190" s="35" t="n">
        <f aca="false">CP60+CP105+CP98+CP119+CP102+CP100+CP128+CP87-$F143*CP12</f>
        <v>4128.81152512375</v>
      </c>
      <c r="CQ190" s="35" t="n">
        <f aca="false">CQ60+CQ105+CQ98+CQ119+CQ102+CQ100+CQ128+CQ87-$F143*CQ12</f>
        <v>4114.14025937721</v>
      </c>
      <c r="CR190" s="35" t="n">
        <f aca="false">CR60+CR105+CR98+CR119+CR102+CR100+CR128+CR87-$F143*CR12</f>
        <v>4089.69004300646</v>
      </c>
      <c r="CS190" s="35" t="n">
        <f aca="false">CS60+CS105+CS98+CS119+CS102+CS100+CS128+CS87-$F143*CS12</f>
        <v>4089.69004300646</v>
      </c>
      <c r="CT190" s="35" t="n">
        <f aca="false">CT60+CT105+CT98+CT119+CT102+CT100+CT128+CT87-$F143*CT12</f>
        <v>4134.63169183071</v>
      </c>
      <c r="CU190" s="35" t="n">
        <f aca="false">CU60+CU105+CU98+CU119+CU102+CU100+CU128+CU87-$F143*CU12</f>
        <v>4119.87190731273</v>
      </c>
      <c r="CV190" s="35" t="n">
        <f aca="false">CV60+CV105+CV98+CV119+CV102+CV100+CV128+CV87-$F143*CV12</f>
        <v>4049.92716012924</v>
      </c>
      <c r="CW190" s="35" t="n">
        <f aca="false">CW60+CW105+CW98+CW119+CW102+CW100+CW128+CW87-$F143*CW12</f>
        <v>4094.92635079735</v>
      </c>
      <c r="CX190" s="35" t="n">
        <f aca="false">CX60+CX105+CX98+CX119+CX102+CX100+CX128+CX87-$F143*CX12</f>
        <v>4139.92554146545</v>
      </c>
      <c r="CY190" s="35" t="n">
        <f aca="false">CY60+CY105+CY98+CY119+CY102+CY100+CY128+CY87-$F143*CY12</f>
        <v>4125.07704067048</v>
      </c>
      <c r="CZ190" s="35" t="n">
        <f aca="false">CZ60+CZ105+CZ98+CZ119+CZ102+CZ100+CZ128+CZ87-$F143*CZ12</f>
        <v>4054.57413425806</v>
      </c>
      <c r="DA190" s="35" t="n">
        <f aca="false">DA60+DA105+DA98+DA119+DA102+DA100+DA128+DA87-$F143*DA12</f>
        <v>4099.62495797204</v>
      </c>
      <c r="DB190" s="35" t="n">
        <f aca="false">DB60+DB105+DB98+DB119+DB102+DB100+DB128+DB87-$F143*DB12</f>
        <v>4144.67578168601</v>
      </c>
      <c r="DC190" s="35" t="n">
        <f aca="false">DC60+DC105+DC98+DC119+DC102+DC100+DC128+DC87-$F143*DC12</f>
        <v>4129.73837457408</v>
      </c>
      <c r="DD190" s="35" t="n">
        <f aca="false">DD60+DD105+DD98+DD119+DD102+DD100+DD128+DD87-$F143*DD12</f>
        <v>4058.67195756549</v>
      </c>
      <c r="DE190" s="35" t="n">
        <f aca="false">DE60+DE105+DE98+DE119+DE102+DE100+DE128+DE87-$F143*DE12</f>
        <v>4103.76831264955</v>
      </c>
      <c r="DF190" s="35" t="n">
        <f aca="false">DF60+DF105+DF98+DF119+DF102+DF100+DF128+DF87-$F143*DF12</f>
        <v>4148.86466773361</v>
      </c>
      <c r="DG190" s="35" t="n">
        <f aca="false">DG60+DG105+DG98+DG119+DG102+DG100+DG128+DG87-$F143*DG12</f>
        <v>3948.00494486583</v>
      </c>
      <c r="DH190" s="35" t="n">
        <f aca="false">DH60+DH105+DH98+DH119+DH102+DH100+DH128+DH87-$F143*DH12</f>
        <v>3923.5251035924</v>
      </c>
      <c r="DI190" s="35" t="n">
        <f aca="false">DI60+DI105+DI98+DI119+DI102+DI100+DI128+DI87-$F143*DI12</f>
        <v>3923.5251035924</v>
      </c>
      <c r="DJ190" s="35" t="n">
        <f aca="false">DJ60+DJ105+DJ98+DJ119+DJ102+DJ100+DJ128+DJ87-$F143*DJ12</f>
        <v>3966.64076407144</v>
      </c>
      <c r="DK190" s="35" t="n">
        <f aca="false">DK60+DK105+DK98+DK119+DK102+DK100+DK128+DK87-$F143*DK12</f>
        <v>3951.52500530895</v>
      </c>
      <c r="DL190" s="35" t="n">
        <f aca="false">DL60+DL105+DL98+DL119+DL102+DL100+DL128+DL87-$F143*DL12</f>
        <v>3883.35506214572</v>
      </c>
      <c r="DM190" s="35" t="n">
        <f aca="false">DM60+DM105+DM98+DM119+DM102+DM100+DM128+DM87-$F143*DM12</f>
        <v>3926.50345172512</v>
      </c>
      <c r="DN190" s="35" t="n">
        <f aca="false">DN60+DN105+DN98+DN119+DN102+DN100+DN128+DN87-$F143*DN12</f>
        <v>3969.65184130451</v>
      </c>
      <c r="DO190" s="35" t="n">
        <f aca="false">DO60+DO105+DO98+DO119+DO102+DO100+DO128+DO87-$F143*DO12</f>
        <v>3954.44665339857</v>
      </c>
      <c r="DP190" s="35" t="n">
        <f aca="false">DP60+DP105+DP98+DP119+DP102+DP100+DP128+DP87-$F143*DP12</f>
        <v>3885.69668644693</v>
      </c>
      <c r="DQ190" s="35" t="n">
        <f aca="false">DQ60+DQ105+DQ98+DQ119+DQ102+DQ100+DQ128+DQ87-$F143*DQ12</f>
        <v>3928.87109407412</v>
      </c>
      <c r="DR190" s="35" t="n">
        <f aca="false">DR60+DR105+DR98+DR119+DR102+DR100+DR128+DR87-$F143*DR12</f>
        <v>3972.04550170131</v>
      </c>
      <c r="DS190" s="35" t="n">
        <f aca="false">DS60+DS105+DS98+DS119+DS102+DS100+DS128+DS87-$F143*DS12</f>
        <v>3956.75072700462</v>
      </c>
      <c r="DT190" s="35" t="n">
        <f aca="false">DT60+DT105+DT98+DT119+DT102+DT100+DT128+DT87-$F143*DT12</f>
        <v>3887.415073898</v>
      </c>
      <c r="DU190" s="35" t="n">
        <f aca="false">DU60+DU105+DU98+DU119+DU102+DU100+DU128+DU87-$F143*DU12</f>
        <v>3930.60857471908</v>
      </c>
      <c r="DV190" s="35" t="n">
        <f aca="false">DV60+DV105+DV98+DV119+DV102+DV100+DV128+DV87-$F143*DV12</f>
        <v>3973.80207554017</v>
      </c>
      <c r="DW190" s="35" t="n">
        <f aca="false">DW60+DW105+DW98+DW119+DW102+DW100+DW128+DW87-$F143*DW12</f>
        <v>3958.41756516718</v>
      </c>
      <c r="DX190" s="35" t="n">
        <f aca="false">DX60+DX105+DX98+DX119+DX102+DX100+DX128+DX87-$F143*DX12</f>
        <v>3931.695931801</v>
      </c>
      <c r="DY190" s="35" t="n">
        <f aca="false">DY60+DY105+DY98+DY119+DY102+DY100+DY128+DY87-$F143*DY12</f>
        <v>3931.695931801</v>
      </c>
      <c r="DZ190" s="35" t="n">
        <f aca="false">DZ60+DZ105+DZ98+DZ119+DZ102+DZ100+DZ128+DZ87-$F143*DZ12</f>
        <v>3974.90138160101</v>
      </c>
      <c r="EA190" s="35" t="n">
        <f aca="false">EA60+EA105+EA98+EA119+EA102+EA100+EA128+EA87-$F143*EA12</f>
        <v>3959.42699570617</v>
      </c>
      <c r="EB190" s="35" t="n">
        <f aca="false">EB60+EB105+EB98+EB119+EB102+EB100+EB128+EB87-$F143*EB12</f>
        <v>3888.90265545373</v>
      </c>
      <c r="EC190" s="35" t="n">
        <f aca="false">EC60+EC105+EC98+EC119+EC102+EC100+EC128+EC87-$F143*EC12</f>
        <v>3932.11268495877</v>
      </c>
      <c r="ED190" s="35" t="n">
        <f aca="false">ED60+ED105+ED98+ED119+ED102+ED100+ED128+ED87-$F143*ED12</f>
        <v>3975.32271446381</v>
      </c>
      <c r="EE190" s="35" t="n">
        <f aca="false">EE60+EE105+EE98+EE119+EE102+EE100+EE128+EE87-$F143*EE12</f>
        <v>3959.75832252664</v>
      </c>
      <c r="EF190" s="35" t="n">
        <f aca="false">EF60+EF105+EF98+EF119+EF102+EF100+EF128+EF87-$F143*EF12</f>
        <v>3888.63081341921</v>
      </c>
      <c r="EG190" s="35" t="n">
        <f aca="false">EG60+EG105+EG98+EG119+EG102+EG100+EG128+EG87-$F143*EG12</f>
        <v>3931.8378224572</v>
      </c>
      <c r="EH190" s="35" t="n">
        <f aca="false">EH60+EH105+EH98+EH119+EH102+EH100+EH128+EH87-$F143*EH12</f>
        <v>3975.04483149519</v>
      </c>
      <c r="EI190" s="35" t="n">
        <f aca="false">EI60+EI105+EI98+EI119+EI102+EI100+EI128+EI87-$F143*EI12</f>
        <v>3959.39031261208</v>
      </c>
      <c r="EJ190" s="35" t="n">
        <f aca="false">EJ60+EJ105+EJ98+EJ119+EJ102+EJ100+EJ128+EJ87-$F143*EJ12</f>
        <v>3887.65363648219</v>
      </c>
      <c r="EK190" s="35" t="n">
        <f aca="false">EK60+EK105+EK98+EK119+EK102+EK100+EK128+EK87-$F143*EK12</f>
        <v>3930.84978799866</v>
      </c>
      <c r="EL190" s="35" t="n">
        <f aca="false">EL60+EL105+EL98+EL119+EL102+EL100+EL128+EL87-$F143*EL12</f>
        <v>3974.04593951513</v>
      </c>
      <c r="EM190" s="35" t="n">
        <f aca="false">EM60+EM105+EM98+EM119+EM102+EM100+EM128+EM87-$F143*EM12</f>
        <v>3958.30118269824</v>
      </c>
      <c r="EN190" s="35" t="n">
        <f aca="false">EN60+EN105+EN98+EN119+EN102+EN100+EN128+EN87-$F143*EN12</f>
        <v>3929.12646721084</v>
      </c>
      <c r="EO190" s="35" t="n">
        <f aca="false">EO60+EO105+EO98+EO119+EO102+EO100+EO128+EO87-$F143*EO12</f>
        <v>3929.12646721084</v>
      </c>
      <c r="EP190" s="35" t="n">
        <f aca="false">EP60+EP105+EP98+EP119+EP102+EP100+EP128+EP87-$F143*EP12</f>
        <v>3972.30368113624</v>
      </c>
      <c r="EQ190" s="35" t="n">
        <f aca="false">EQ60+EQ105+EQ98+EQ119+EQ102+EQ100+EQ128+EQ87-$F143*EQ12</f>
        <v>3956.46858561953</v>
      </c>
      <c r="ER190" s="35" t="n">
        <f aca="false">ER60+ER105+ER98+ER119+ER102+ER100+ER128+ER87-$F143*ER12</f>
        <v>3883.49522683763</v>
      </c>
      <c r="ES190" s="35" t="n">
        <f aca="false">ES60+ES105+ES98+ES119+ES102+ES100+ES128+ES87-$F143*ES12</f>
        <v>3926.6451738025</v>
      </c>
      <c r="ET190" s="35" t="n">
        <f aca="false">ET60+ET105+ET98+ET119+ET102+ET100+ET128+ET87-$F143*ET12</f>
        <v>3969.79512076736</v>
      </c>
    </row>
    <row r="191" customFormat="false" ht="15" hidden="false" customHeight="false" outlineLevel="0" collapsed="false">
      <c r="C191" s="30" t="s">
        <v>81</v>
      </c>
      <c r="D191" s="11" t="s">
        <v>35</v>
      </c>
      <c r="E191" s="57" t="n">
        <f aca="false">XIRR($J190:$ET190,$J$4:$ET$4)</f>
        <v>0.0887506658196496</v>
      </c>
    </row>
    <row r="192" customFormat="false" ht="15" hidden="false" customHeight="false" outlineLevel="0" collapsed="false">
      <c r="C192" s="30" t="s">
        <v>178</v>
      </c>
      <c r="D192" s="11" t="s">
        <v>13</v>
      </c>
      <c r="E192" s="58" t="n">
        <f aca="false">SUMIF($J190:$ET190,"&gt;0")/-SUMIF($J190:$ET190,"&lt;0")</f>
        <v>4.59742181090224</v>
      </c>
    </row>
    <row r="193" customFormat="false" ht="15" hidden="false" customHeight="false" outlineLevel="0" collapsed="false">
      <c r="C193" s="30" t="s">
        <v>82</v>
      </c>
      <c r="D193" s="11" t="s">
        <v>247</v>
      </c>
      <c r="E193" s="35" t="n">
        <f aca="false">XNPV(In_Discount_Rate,$J190:$ET190,$J$4:$ET$4)</f>
        <v>8141.80305533397</v>
      </c>
    </row>
    <row r="194" customFormat="false" ht="15" hidden="false" customHeight="false" outlineLevel="0" collapsed="false">
      <c r="C194" s="0" t="s">
        <v>614</v>
      </c>
      <c r="D194" s="11" t="s">
        <v>13</v>
      </c>
      <c r="E194" s="50" t="n">
        <f aca="false">MIN($J194:$ET194)</f>
        <v>1.26316018482958</v>
      </c>
      <c r="J194" s="50" t="str">
        <f aca="false">IF(J102+J100&lt;0,(J119+J128)/-(J102+J100),"")</f>
        <v/>
      </c>
      <c r="K194" s="50" t="str">
        <f aca="false">IF(K102+K100&lt;0,(K119+K128)/-(K102+K100),"")</f>
        <v/>
      </c>
      <c r="L194" s="50" t="str">
        <f aca="false">IF(L102+L100&lt;0,(L119+L128)/-(L102+L100),"")</f>
        <v/>
      </c>
      <c r="M194" s="50" t="str">
        <f aca="false">IF(M102+M100&lt;0,(M119+M128)/-(M102+M100),"")</f>
        <v/>
      </c>
      <c r="N194" s="50" t="str">
        <f aca="false">IF(N102+N100&lt;0,(N119+N128)/-(N102+N100),"")</f>
        <v/>
      </c>
      <c r="O194" s="50" t="str">
        <f aca="false">IF(O102+O100&lt;0,(O119+O128)/-(O102+O100),"")</f>
        <v/>
      </c>
      <c r="P194" s="50" t="str">
        <f aca="false">IF(P102+P100&lt;0,(P119+P128)/-(P102+P100),"")</f>
        <v/>
      </c>
      <c r="Q194" s="50" t="str">
        <f aca="false">IF(Q102+Q100&lt;0,(Q119+Q128)/-(Q102+Q100),"")</f>
        <v/>
      </c>
      <c r="R194" s="50" t="str">
        <f aca="false">IF(R102+R100&lt;0,(R119+R128)/-(R102+R100),"")</f>
        <v/>
      </c>
      <c r="S194" s="50" t="str">
        <f aca="false">IF(S102+S100&lt;0,(S119+S128)/-(S102+S100),"")</f>
        <v/>
      </c>
      <c r="T194" s="50" t="str">
        <f aca="false">IF(T102+T100&lt;0,(T119+T128)/-(T102+T100),"")</f>
        <v/>
      </c>
      <c r="U194" s="50" t="str">
        <f aca="false">IF(U102+U100&lt;0,(U119+U128)/-(U102+U100),"")</f>
        <v/>
      </c>
      <c r="V194" s="50" t="str">
        <f aca="false">IF(V102+V100&lt;0,(V119+V128)/-(V102+V100),"")</f>
        <v/>
      </c>
      <c r="W194" s="50" t="str">
        <f aca="false">IF(W102+W100&lt;0,(W119+W128)/-(W102+W100),"")</f>
        <v/>
      </c>
      <c r="X194" s="50" t="str">
        <f aca="false">IF(X102+X100&lt;0,(X119+X128)/-(X102+X100),"")</f>
        <v/>
      </c>
      <c r="Y194" s="50" t="str">
        <f aca="false">IF(Y102+Y100&lt;0,(Y119+Y128)/-(Y102+Y100),"")</f>
        <v/>
      </c>
      <c r="Z194" s="50" t="str">
        <f aca="false">IF(Z102+Z100&lt;0,(Z119+Z128)/-(Z102+Z100),"")</f>
        <v/>
      </c>
      <c r="AA194" s="50" t="str">
        <f aca="false">IF(AA102+AA100&lt;0,(AA119+AA128)/-(AA102+AA100),"")</f>
        <v/>
      </c>
      <c r="AB194" s="50" t="str">
        <f aca="false">IF(AB102+AB100&lt;0,(AB119+AB128)/-(AB102+AB100),"")</f>
        <v/>
      </c>
      <c r="AC194" s="50" t="str">
        <f aca="false">IF(AC102+AC100&lt;0,(AC119+AC128)/-(AC102+AC100),"")</f>
        <v/>
      </c>
      <c r="AD194" s="50" t="str">
        <f aca="false">IF(AD102+AD100&lt;0,(AD119+AD128)/-(AD102+AD100),"")</f>
        <v/>
      </c>
      <c r="AE194" s="50" t="n">
        <f aca="false">IF(AE102+AE100&lt;0,(AE119+AE128)/-(AE102+AE100),"")</f>
        <v>1.30910605086437</v>
      </c>
      <c r="AF194" s="50" t="n">
        <f aca="false">IF(AF102+AF100&lt;0,(AF119+AF128)/-(AF102+AF100),"")</f>
        <v>1.30361975201342</v>
      </c>
      <c r="AG194" s="50" t="n">
        <f aca="false">IF(AG102+AG100&lt;0,(AG119+AG128)/-(AG102+AG100),"")</f>
        <v>1.30361975201342</v>
      </c>
      <c r="AH194" s="50" t="n">
        <f aca="false">IF(AH102+AH100&lt;0,(AH119+AH128)/-(AH102+AH100),"")</f>
        <v>1.31794524379379</v>
      </c>
      <c r="AI194" s="50" t="n">
        <f aca="false">IF(AI102+AI100&lt;0,(AI119+AI128)/-(AI102+AI100),"")</f>
        <v>1.31331128702642</v>
      </c>
      <c r="AJ194" s="50" t="n">
        <f aca="false">IF(AJ102+AJ100&lt;0,(AJ119+AJ128)/-(AJ102+AJ100),"")</f>
        <v>1.29333402298692</v>
      </c>
      <c r="AK194" s="50" t="n">
        <f aca="false">IF(AK102+AK100&lt;0,(AK119+AK128)/-(AK102+AK100),"")</f>
        <v>1.30404074630601</v>
      </c>
      <c r="AL194" s="50" t="n">
        <f aca="false">IF(AL102+AL100&lt;0,(AL119+AL128)/-(AL102+AL100),"")</f>
        <v>1.29196108414819</v>
      </c>
      <c r="AM194" s="50" t="n">
        <f aca="false">IF(AM102+AM100&lt;0,(AM119+AM128)/-(AM102+AM100),"")</f>
        <v>1.2869707881353</v>
      </c>
      <c r="AN194" s="50" t="n">
        <f aca="false">IF(AN102+AN100&lt;0,(AN119+AN128)/-(AN102+AN100),"")</f>
        <v>1.26660955062812</v>
      </c>
      <c r="AO194" s="50" t="n">
        <f aca="false">IF(AO102+AO100&lt;0,(AO119+AO128)/-(AO102+AO100),"")</f>
        <v>1.27959794209534</v>
      </c>
      <c r="AP194" s="50" t="n">
        <f aca="false">IF(AP102+AP100&lt;0,(AP119+AP128)/-(AP102+AP100),"")</f>
        <v>1.29257676566432</v>
      </c>
      <c r="AQ194" s="50" t="n">
        <f aca="false">IF(AQ102+AQ100&lt;0,(AQ119+AQ128)/-(AQ102+AQ100),"")</f>
        <v>1.28752159556316</v>
      </c>
      <c r="AR194" s="50" t="n">
        <f aca="false">IF(AR102+AR100&lt;0,(AR119+AR128)/-(AR102+AR100),"")</f>
        <v>1.26696855880362</v>
      </c>
      <c r="AS194" s="50" t="n">
        <f aca="false">IF(AS102+AS100&lt;0,(AS119+AS128)/-(AS102+AS100),"")</f>
        <v>1.27995660645235</v>
      </c>
      <c r="AT194" s="50" t="n">
        <f aca="false">IF(AT102+AT100&lt;0,(AT119+AT128)/-(AT102+AT100),"")</f>
        <v>1.29293459876306</v>
      </c>
      <c r="AU194" s="50" t="n">
        <f aca="false">IF(AU102+AU100&lt;0,(AU119+AU128)/-(AU102+AU100),"")</f>
        <v>1.28781252866684</v>
      </c>
      <c r="AV194" s="50" t="n">
        <f aca="false">IF(AV102+AV100&lt;0,(AV119+AV128)/-(AV102+AV100),"")</f>
        <v>1.28089431910047</v>
      </c>
      <c r="AW194" s="50" t="n">
        <f aca="false">IF(AW102+AW100&lt;0,(AW119+AW128)/-(AW102+AW100),"")</f>
        <v>1.28004891025201</v>
      </c>
      <c r="AX194" s="50" t="n">
        <f aca="false">IF(AX102+AX100&lt;0,(AX119+AX128)/-(AX102+AX100),"")</f>
        <v>1.29302290112236</v>
      </c>
      <c r="AY194" s="50" t="n">
        <f aca="false">IF(AY102+AY100&lt;0,(AY119+AY128)/-(AY102+AY100),"")</f>
        <v>1.28783180783931</v>
      </c>
      <c r="AZ194" s="50" t="n">
        <f aca="false">IF(AZ102+AZ100&lt;0,(AZ119+AZ128)/-(AZ102+AZ100),"")</f>
        <v>1.26688503190907</v>
      </c>
      <c r="BA194" s="50" t="n">
        <f aca="false">IF(BA102+BA100&lt;0,(BA119+BA128)/-(BA102+BA100),"")</f>
        <v>1.27986281243172</v>
      </c>
      <c r="BB194" s="50" t="n">
        <f aca="false">IF(BB102+BB100&lt;0,(BB119+BB128)/-(BB102+BB100),"")</f>
        <v>1.29282948697328</v>
      </c>
      <c r="BC194" s="50" t="n">
        <f aca="false">IF(BC102+BC100&lt;0,(BC119+BC128)/-(BC102+BC100),"")</f>
        <v>1.28756714505241</v>
      </c>
      <c r="BD194" s="50" t="n">
        <f aca="false">IF(BD102+BD100&lt;0,(BD119+BD128)/-(BD102+BD100),"")</f>
        <v>1.26641818775439</v>
      </c>
      <c r="BE194" s="50" t="n">
        <f aca="false">IF(BE102+BE100&lt;0,(BE119+BE128)/-(BE102+BE100),"")</f>
        <v>1.27938575180467</v>
      </c>
      <c r="BF194" s="50" t="n">
        <f aca="false">IF(BF102+BF100&lt;0,(BF119+BF128)/-(BF102+BF100),"")</f>
        <v>1.29234164407591</v>
      </c>
      <c r="BG194" s="50" t="n">
        <f aca="false">IF(BG102+BG100&lt;0,(BG119+BG128)/-(BG102+BG100),"")</f>
        <v>1.28700572057801</v>
      </c>
      <c r="BH194" s="50" t="n">
        <f aca="false">IF(BH102+BH100&lt;0,(BH119+BH128)/-(BH102+BH100),"")</f>
        <v>1.26565087045619</v>
      </c>
      <c r="BI194" s="50" t="n">
        <f aca="false">IF(BI102+BI100&lt;0,(BI119+BI128)/-(BI102+BI100),"")</f>
        <v>1.27860462322347</v>
      </c>
      <c r="BJ194" s="50" t="n">
        <f aca="false">IF(BJ102+BJ100&lt;0,(BJ119+BJ128)/-(BJ102+BJ100),"")</f>
        <v>1.29154610958899</v>
      </c>
      <c r="BK194" s="50" t="n">
        <f aca="false">IF(BK102+BK100&lt;0,(BK119+BK128)/-(BK102+BK100),"")</f>
        <v>1.28613415858972</v>
      </c>
      <c r="BL194" s="50" t="n">
        <f aca="false">IF(BL102+BL100&lt;0,(BL119+BL128)/-(BL102+BL100),"")</f>
        <v>1.27853705801472</v>
      </c>
      <c r="BM194" s="50" t="n">
        <f aca="false">IF(BM102+BM100&lt;0,(BM119+BM128)/-(BM102+BM100),"")</f>
        <v>1.27750575259695</v>
      </c>
      <c r="BN194" s="50" t="n">
        <f aca="false">IF(BN102+BN100&lt;0,(BN119+BN128)/-(BN102+BN100),"")</f>
        <v>1.29042904477834</v>
      </c>
      <c r="BO194" s="50" t="n">
        <f aca="false">IF(BO102+BO100&lt;0,(BO119+BO128)/-(BO102+BO100),"")</f>
        <v>1.28493850158975</v>
      </c>
      <c r="BP194" s="50" t="n">
        <f aca="false">IF(BP102+BP100&lt;0,(BP119+BP128)/-(BP102+BP100),"")</f>
        <v>1.26316018482958</v>
      </c>
      <c r="BQ194" s="50" t="n">
        <f aca="false">IF(BQ102+BQ100&lt;0,(BQ119+BQ128)/-(BQ102+BQ100),"")</f>
        <v>1.27607487070327</v>
      </c>
      <c r="BR194" s="50" t="n">
        <f aca="false">IF(BR102+BR100&lt;0,(BR119+BR128)/-(BR102+BR100),"")</f>
        <v>1.28897600850672</v>
      </c>
      <c r="BS194" s="50" t="str">
        <f aca="false">IF(BS102+BS100&lt;0,(BS119+BS128)/-(BS102+BS100),"")</f>
        <v/>
      </c>
      <c r="BT194" s="50" t="str">
        <f aca="false">IF(BT102+BT100&lt;0,(BT119+BT128)/-(BT102+BT100),"")</f>
        <v/>
      </c>
      <c r="BU194" s="50" t="str">
        <f aca="false">IF(BU102+BU100&lt;0,(BU119+BU128)/-(BU102+BU100),"")</f>
        <v/>
      </c>
      <c r="BV194" s="50" t="str">
        <f aca="false">IF(BV102+BV100&lt;0,(BV119+BV128)/-(BV102+BV100),"")</f>
        <v/>
      </c>
      <c r="BW194" s="50" t="str">
        <f aca="false">IF(BW102+BW100&lt;0,(BW119+BW128)/-(BW102+BW100),"")</f>
        <v/>
      </c>
      <c r="BX194" s="50" t="str">
        <f aca="false">IF(BX102+BX100&lt;0,(BX119+BX128)/-(BX102+BX100),"")</f>
        <v/>
      </c>
      <c r="BY194" s="50" t="str">
        <f aca="false">IF(BY102+BY100&lt;0,(BY119+BY128)/-(BY102+BY100),"")</f>
        <v/>
      </c>
      <c r="BZ194" s="50" t="str">
        <f aca="false">IF(BZ102+BZ100&lt;0,(BZ119+BZ128)/-(BZ102+BZ100),"")</f>
        <v/>
      </c>
      <c r="CA194" s="50" t="str">
        <f aca="false">IF(CA102+CA100&lt;0,(CA119+CA128)/-(CA102+CA100),"")</f>
        <v/>
      </c>
      <c r="CB194" s="50" t="str">
        <f aca="false">IF(CB102+CB100&lt;0,(CB119+CB128)/-(CB102+CB100),"")</f>
        <v/>
      </c>
      <c r="CC194" s="50" t="str">
        <f aca="false">IF(CC102+CC100&lt;0,(CC119+CC128)/-(CC102+CC100),"")</f>
        <v/>
      </c>
      <c r="CD194" s="50" t="str">
        <f aca="false">IF(CD102+CD100&lt;0,(CD119+CD128)/-(CD102+CD100),"")</f>
        <v/>
      </c>
      <c r="CE194" s="50" t="str">
        <f aca="false">IF(CE102+CE100&lt;0,(CE119+CE128)/-(CE102+CE100),"")</f>
        <v/>
      </c>
      <c r="CF194" s="50" t="str">
        <f aca="false">IF(CF102+CF100&lt;0,(CF119+CF128)/-(CF102+CF100),"")</f>
        <v/>
      </c>
      <c r="CG194" s="50" t="str">
        <f aca="false">IF(CG102+CG100&lt;0,(CG119+CG128)/-(CG102+CG100),"")</f>
        <v/>
      </c>
      <c r="CH194" s="50" t="str">
        <f aca="false">IF(CH102+CH100&lt;0,(CH119+CH128)/-(CH102+CH100),"")</f>
        <v/>
      </c>
      <c r="CI194" s="50" t="str">
        <f aca="false">IF(CI102+CI100&lt;0,(CI119+CI128)/-(CI102+CI100),"")</f>
        <v/>
      </c>
      <c r="CJ194" s="50" t="str">
        <f aca="false">IF(CJ102+CJ100&lt;0,(CJ119+CJ128)/-(CJ102+CJ100),"")</f>
        <v/>
      </c>
      <c r="CK194" s="50" t="str">
        <f aca="false">IF(CK102+CK100&lt;0,(CK119+CK128)/-(CK102+CK100),"")</f>
        <v/>
      </c>
      <c r="CL194" s="50" t="str">
        <f aca="false">IF(CL102+CL100&lt;0,(CL119+CL128)/-(CL102+CL100),"")</f>
        <v/>
      </c>
      <c r="CM194" s="50" t="str">
        <f aca="false">IF(CM102+CM100&lt;0,(CM119+CM128)/-(CM102+CM100),"")</f>
        <v/>
      </c>
      <c r="CN194" s="50" t="str">
        <f aca="false">IF(CN102+CN100&lt;0,(CN119+CN128)/-(CN102+CN100),"")</f>
        <v/>
      </c>
      <c r="CO194" s="50" t="str">
        <f aca="false">IF(CO102+CO100&lt;0,(CO119+CO128)/-(CO102+CO100),"")</f>
        <v/>
      </c>
      <c r="CP194" s="50" t="str">
        <f aca="false">IF(CP102+CP100&lt;0,(CP119+CP128)/-(CP102+CP100),"")</f>
        <v/>
      </c>
      <c r="CQ194" s="50" t="str">
        <f aca="false">IF(CQ102+CQ100&lt;0,(CQ119+CQ128)/-(CQ102+CQ100),"")</f>
        <v/>
      </c>
      <c r="CR194" s="50" t="str">
        <f aca="false">IF(CR102+CR100&lt;0,(CR119+CR128)/-(CR102+CR100),"")</f>
        <v/>
      </c>
      <c r="CS194" s="50" t="str">
        <f aca="false">IF(CS102+CS100&lt;0,(CS119+CS128)/-(CS102+CS100),"")</f>
        <v/>
      </c>
      <c r="CT194" s="50" t="str">
        <f aca="false">IF(CT102+CT100&lt;0,(CT119+CT128)/-(CT102+CT100),"")</f>
        <v/>
      </c>
      <c r="CU194" s="50" t="str">
        <f aca="false">IF(CU102+CU100&lt;0,(CU119+CU128)/-(CU102+CU100),"")</f>
        <v/>
      </c>
      <c r="CV194" s="50" t="str">
        <f aca="false">IF(CV102+CV100&lt;0,(CV119+CV128)/-(CV102+CV100),"")</f>
        <v/>
      </c>
      <c r="CW194" s="50" t="str">
        <f aca="false">IF(CW102+CW100&lt;0,(CW119+CW128)/-(CW102+CW100),"")</f>
        <v/>
      </c>
      <c r="CX194" s="50" t="str">
        <f aca="false">IF(CX102+CX100&lt;0,(CX119+CX128)/-(CX102+CX100),"")</f>
        <v/>
      </c>
      <c r="CY194" s="50" t="str">
        <f aca="false">IF(CY102+CY100&lt;0,(CY119+CY128)/-(CY102+CY100),"")</f>
        <v/>
      </c>
      <c r="CZ194" s="50" t="str">
        <f aca="false">IF(CZ102+CZ100&lt;0,(CZ119+CZ128)/-(CZ102+CZ100),"")</f>
        <v/>
      </c>
      <c r="DA194" s="50" t="str">
        <f aca="false">IF(DA102+DA100&lt;0,(DA119+DA128)/-(DA102+DA100),"")</f>
        <v/>
      </c>
      <c r="DB194" s="50" t="str">
        <f aca="false">IF(DB102+DB100&lt;0,(DB119+DB128)/-(DB102+DB100),"")</f>
        <v/>
      </c>
      <c r="DC194" s="50" t="str">
        <f aca="false">IF(DC102+DC100&lt;0,(DC119+DC128)/-(DC102+DC100),"")</f>
        <v/>
      </c>
      <c r="DD194" s="50" t="str">
        <f aca="false">IF(DD102+DD100&lt;0,(DD119+DD128)/-(DD102+DD100),"")</f>
        <v/>
      </c>
      <c r="DE194" s="50" t="str">
        <f aca="false">IF(DE102+DE100&lt;0,(DE119+DE128)/-(DE102+DE100),"")</f>
        <v/>
      </c>
      <c r="DF194" s="50" t="str">
        <f aca="false">IF(DF102+DF100&lt;0,(DF119+DF128)/-(DF102+DF100),"")</f>
        <v/>
      </c>
      <c r="DG194" s="50" t="str">
        <f aca="false">IF(DG102+DG100&lt;0,(DG119+DG128)/-(DG102+DG100),"")</f>
        <v/>
      </c>
      <c r="DH194" s="50" t="str">
        <f aca="false">IF(DH102+DH100&lt;0,(DH119+DH128)/-(DH102+DH100),"")</f>
        <v/>
      </c>
      <c r="DI194" s="50" t="str">
        <f aca="false">IF(DI102+DI100&lt;0,(DI119+DI128)/-(DI102+DI100),"")</f>
        <v/>
      </c>
      <c r="DJ194" s="50" t="str">
        <f aca="false">IF(DJ102+DJ100&lt;0,(DJ119+DJ128)/-(DJ102+DJ100),"")</f>
        <v/>
      </c>
      <c r="DK194" s="50" t="str">
        <f aca="false">IF(DK102+DK100&lt;0,(DK119+DK128)/-(DK102+DK100),"")</f>
        <v/>
      </c>
      <c r="DL194" s="50" t="str">
        <f aca="false">IF(DL102+DL100&lt;0,(DL119+DL128)/-(DL102+DL100),"")</f>
        <v/>
      </c>
      <c r="DM194" s="50" t="str">
        <f aca="false">IF(DM102+DM100&lt;0,(DM119+DM128)/-(DM102+DM100),"")</f>
        <v/>
      </c>
      <c r="DN194" s="50" t="str">
        <f aca="false">IF(DN102+DN100&lt;0,(DN119+DN128)/-(DN102+DN100),"")</f>
        <v/>
      </c>
      <c r="DO194" s="50" t="str">
        <f aca="false">IF(DO102+DO100&lt;0,(DO119+DO128)/-(DO102+DO100),"")</f>
        <v/>
      </c>
      <c r="DP194" s="50" t="str">
        <f aca="false">IF(DP102+DP100&lt;0,(DP119+DP128)/-(DP102+DP100),"")</f>
        <v/>
      </c>
      <c r="DQ194" s="50" t="str">
        <f aca="false">IF(DQ102+DQ100&lt;0,(DQ119+DQ128)/-(DQ102+DQ100),"")</f>
        <v/>
      </c>
      <c r="DR194" s="50" t="str">
        <f aca="false">IF(DR102+DR100&lt;0,(DR119+DR128)/-(DR102+DR100),"")</f>
        <v/>
      </c>
      <c r="DS194" s="50" t="str">
        <f aca="false">IF(DS102+DS100&lt;0,(DS119+DS128)/-(DS102+DS100),"")</f>
        <v/>
      </c>
      <c r="DT194" s="50" t="str">
        <f aca="false">IF(DT102+DT100&lt;0,(DT119+DT128)/-(DT102+DT100),"")</f>
        <v/>
      </c>
      <c r="DU194" s="50" t="str">
        <f aca="false">IF(DU102+DU100&lt;0,(DU119+DU128)/-(DU102+DU100),"")</f>
        <v/>
      </c>
      <c r="DV194" s="50" t="str">
        <f aca="false">IF(DV102+DV100&lt;0,(DV119+DV128)/-(DV102+DV100),"")</f>
        <v/>
      </c>
      <c r="DW194" s="50" t="str">
        <f aca="false">IF(DW102+DW100&lt;0,(DW119+DW128)/-(DW102+DW100),"")</f>
        <v/>
      </c>
      <c r="DX194" s="50" t="str">
        <f aca="false">IF(DX102+DX100&lt;0,(DX119+DX128)/-(DX102+DX100),"")</f>
        <v/>
      </c>
      <c r="DY194" s="50" t="str">
        <f aca="false">IF(DY102+DY100&lt;0,(DY119+DY128)/-(DY102+DY100),"")</f>
        <v/>
      </c>
      <c r="DZ194" s="50" t="str">
        <f aca="false">IF(DZ102+DZ100&lt;0,(DZ119+DZ128)/-(DZ102+DZ100),"")</f>
        <v/>
      </c>
      <c r="EA194" s="50" t="str">
        <f aca="false">IF(EA102+EA100&lt;0,(EA119+EA128)/-(EA102+EA100),"")</f>
        <v/>
      </c>
      <c r="EB194" s="50" t="str">
        <f aca="false">IF(EB102+EB100&lt;0,(EB119+EB128)/-(EB102+EB100),"")</f>
        <v/>
      </c>
      <c r="EC194" s="50" t="str">
        <f aca="false">IF(EC102+EC100&lt;0,(EC119+EC128)/-(EC102+EC100),"")</f>
        <v/>
      </c>
      <c r="ED194" s="50" t="str">
        <f aca="false">IF(ED102+ED100&lt;0,(ED119+ED128)/-(ED102+ED100),"")</f>
        <v/>
      </c>
      <c r="EE194" s="50" t="str">
        <f aca="false">IF(EE102+EE100&lt;0,(EE119+EE128)/-(EE102+EE100),"")</f>
        <v/>
      </c>
      <c r="EF194" s="50" t="str">
        <f aca="false">IF(EF102+EF100&lt;0,(EF119+EF128)/-(EF102+EF100),"")</f>
        <v/>
      </c>
      <c r="EG194" s="50" t="str">
        <f aca="false">IF(EG102+EG100&lt;0,(EG119+EG128)/-(EG102+EG100),"")</f>
        <v/>
      </c>
      <c r="EH194" s="50" t="str">
        <f aca="false">IF(EH102+EH100&lt;0,(EH119+EH128)/-(EH102+EH100),"")</f>
        <v/>
      </c>
      <c r="EI194" s="50" t="str">
        <f aca="false">IF(EI102+EI100&lt;0,(EI119+EI128)/-(EI102+EI100),"")</f>
        <v/>
      </c>
      <c r="EJ194" s="50" t="str">
        <f aca="false">IF(EJ102+EJ100&lt;0,(EJ119+EJ128)/-(EJ102+EJ100),"")</f>
        <v/>
      </c>
      <c r="EK194" s="50" t="str">
        <f aca="false">IF(EK102+EK100&lt;0,(EK119+EK128)/-(EK102+EK100),"")</f>
        <v/>
      </c>
      <c r="EL194" s="50" t="str">
        <f aca="false">IF(EL102+EL100&lt;0,(EL119+EL128)/-(EL102+EL100),"")</f>
        <v/>
      </c>
      <c r="EM194" s="50" t="str">
        <f aca="false">IF(EM102+EM100&lt;0,(EM119+EM128)/-(EM102+EM100),"")</f>
        <v/>
      </c>
      <c r="EN194" s="50" t="str">
        <f aca="false">IF(EN102+EN100&lt;0,(EN119+EN128)/-(EN102+EN100),"")</f>
        <v/>
      </c>
      <c r="EO194" s="50" t="str">
        <f aca="false">IF(EO102+EO100&lt;0,(EO119+EO128)/-(EO102+EO100),"")</f>
        <v/>
      </c>
      <c r="EP194" s="50" t="str">
        <f aca="false">IF(EP102+EP100&lt;0,(EP119+EP128)/-(EP102+EP100),"")</f>
        <v/>
      </c>
      <c r="EQ194" s="50" t="str">
        <f aca="false">IF(EQ102+EQ100&lt;0,(EQ119+EQ128)/-(EQ102+EQ100),"")</f>
        <v/>
      </c>
      <c r="ER194" s="50" t="str">
        <f aca="false">IF(ER102+ER100&lt;0,(ER119+ER128)/-(ER102+ER100),"")</f>
        <v/>
      </c>
      <c r="ES194" s="50" t="str">
        <f aca="false">IF(ES102+ES100&lt;0,(ES119+ES128)/-(ES102+ES100),"")</f>
        <v/>
      </c>
      <c r="ET194" s="50" t="str">
        <f aca="false">IF(ET102+ET100&lt;0,(ET119+ET128)/-(ET102+ET100),"")</f>
        <v/>
      </c>
    </row>
    <row r="196" customFormat="false" ht="15" hidden="false" customHeight="false" outlineLevel="0" collapsed="false">
      <c r="C196" s="40" t="s">
        <v>193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4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472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615</v>
      </c>
      <c r="F9" s="8" t="s">
        <v>616</v>
      </c>
    </row>
    <row r="11" customFormat="false" ht="15" hidden="false" customHeight="false" outlineLevel="0" collapsed="false">
      <c r="A11" s="9" t="s">
        <v>13</v>
      </c>
      <c r="B11" s="9"/>
      <c r="C11" s="9" t="s">
        <v>617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618</v>
      </c>
      <c r="D12" s="11" t="s">
        <v>41</v>
      </c>
      <c r="E12" s="36" t="str">
        <f aca="false">IF(F12=0,"OK","CHECK")</f>
        <v>OK</v>
      </c>
      <c r="F12" s="46" t="n">
        <f aca="false">N(Calc_1!$E42+Calc_1!$F42&gt;0)</f>
        <v>0</v>
      </c>
    </row>
    <row r="13" customFormat="false" ht="15" hidden="false" customHeight="false" outlineLevel="0" collapsed="false">
      <c r="C13" s="0" t="s">
        <v>619</v>
      </c>
      <c r="D13" s="11" t="s">
        <v>41</v>
      </c>
      <c r="E13" s="36" t="str">
        <f aca="false">IF(F13=0,"OK","CHECK")</f>
        <v>OK</v>
      </c>
      <c r="F13" s="46" t="n">
        <f aca="false">N(Calc_2!$E42+Calc_2!$F42&gt;0)</f>
        <v>0</v>
      </c>
    </row>
    <row r="14" customFormat="false" ht="15" hidden="false" customHeight="false" outlineLevel="0" collapsed="false">
      <c r="C14" s="0" t="s">
        <v>620</v>
      </c>
      <c r="D14" s="11" t="s">
        <v>41</v>
      </c>
      <c r="E14" s="36" t="str">
        <f aca="false">IF(F14=0,"OK","CHECK")</f>
        <v>OK</v>
      </c>
      <c r="F14" s="46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621</v>
      </c>
      <c r="D15" s="11" t="s">
        <v>41</v>
      </c>
      <c r="E15" s="36" t="str">
        <f aca="false">IF(F15=0,"OK","CHECK")</f>
        <v>OK</v>
      </c>
      <c r="F15" s="46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622</v>
      </c>
      <c r="D16" s="11" t="s">
        <v>41</v>
      </c>
      <c r="E16" s="36" t="str">
        <f aca="false">IF(F16=0,"OK","CHECK")</f>
        <v>OK</v>
      </c>
      <c r="F16" s="46" t="n">
        <f aca="false">N(ABS(Calc_1!$E61-Calc_1!$E133-Calc_1!$E47)&gt;Tolerance)</f>
        <v>0</v>
      </c>
    </row>
    <row r="17" customFormat="false" ht="15" hidden="false" customHeight="false" outlineLevel="0" collapsed="false">
      <c r="C17" s="0" t="s">
        <v>623</v>
      </c>
      <c r="D17" s="11" t="s">
        <v>41</v>
      </c>
      <c r="E17" s="36" t="str">
        <f aca="false">IF(F17=0,"OK","CHECK")</f>
        <v>OK</v>
      </c>
      <c r="F17" s="46" t="n">
        <f aca="false">N(ABS(Calc_2!$E61-Calc_2!$E133-Calc_2!$E47)&gt;Tolerance)</f>
        <v>0</v>
      </c>
    </row>
    <row r="18" customFormat="false" ht="15" hidden="false" customHeight="false" outlineLevel="0" collapsed="false">
      <c r="C18" s="0" t="s">
        <v>624</v>
      </c>
      <c r="D18" s="11" t="s">
        <v>41</v>
      </c>
      <c r="E18" s="36" t="str">
        <f aca="false">IF(F18=0,"OK","CHECK")</f>
        <v>OK</v>
      </c>
      <c r="F18" s="46" t="n">
        <f aca="false">N(ABS(Calc_1!$F142+Calc_1!$F143+Calc_1!$F134-Calc_1!$F133)&gt;Tolerance)</f>
        <v>0</v>
      </c>
    </row>
    <row r="19" customFormat="false" ht="15" hidden="false" customHeight="false" outlineLevel="0" collapsed="false">
      <c r="C19" s="0" t="s">
        <v>625</v>
      </c>
      <c r="D19" s="11" t="s">
        <v>41</v>
      </c>
      <c r="E19" s="36" t="str">
        <f aca="false">IF(F19=0,"OK","CHECK")</f>
        <v>OK</v>
      </c>
      <c r="F19" s="46" t="n">
        <f aca="false">N(ABS(Calc_2!$F142+Calc_2!$F143+Calc_2!$F134-Calc_2!$F133)&gt;Tolerance)</f>
        <v>0</v>
      </c>
    </row>
    <row r="20" customFormat="false" ht="15" hidden="false" customHeight="false" outlineLevel="0" collapsed="false">
      <c r="C20" s="0" t="s">
        <v>626</v>
      </c>
      <c r="D20" s="11" t="s">
        <v>41</v>
      </c>
      <c r="E20" s="36" t="str">
        <f aca="false">IF(F20=0,"OK","CHECK")</f>
        <v>OK</v>
      </c>
      <c r="F20" s="46" t="n">
        <f aca="false">N(ABS(Calc_1!$F147+Calc_1!$E153-Calc_1!$I152)&gt;Tolerance)</f>
        <v>0</v>
      </c>
    </row>
    <row r="21" customFormat="false" ht="15" hidden="false" customHeight="false" outlineLevel="0" collapsed="false">
      <c r="C21" s="0" t="s">
        <v>627</v>
      </c>
      <c r="D21" s="11" t="s">
        <v>41</v>
      </c>
      <c r="E21" s="36" t="str">
        <f aca="false">IF(F21=0,"OK","CHECK")</f>
        <v>OK</v>
      </c>
      <c r="F21" s="46" t="n">
        <f aca="false">N(ABS(Calc_2!$F147+Calc_2!$E153-Calc_2!$I152)&gt;Tolerance)</f>
        <v>0</v>
      </c>
    </row>
    <row r="22" customFormat="false" ht="15" hidden="false" customHeight="false" outlineLevel="0" collapsed="false">
      <c r="C22" s="0" t="s">
        <v>628</v>
      </c>
      <c r="D22" s="11" t="s">
        <v>41</v>
      </c>
      <c r="E22" s="36" t="str">
        <f aca="false">IF(F22=0,"OK","CHECK")</f>
        <v>OK</v>
      </c>
      <c r="F22" s="46" t="n">
        <f aca="false">N(SUMPRODUCT(--(Calc_1!$F134:$F140&gt;Calc_1!$E134:$E140+Tolerance))&gt;0)</f>
        <v>0</v>
      </c>
    </row>
    <row r="23" customFormat="false" ht="15" hidden="false" customHeight="false" outlineLevel="0" collapsed="false">
      <c r="C23" s="0" t="s">
        <v>629</v>
      </c>
      <c r="D23" s="11" t="s">
        <v>41</v>
      </c>
      <c r="E23" s="36" t="str">
        <f aca="false">IF(F23=0,"OK","CHECK")</f>
        <v>OK</v>
      </c>
      <c r="F23" s="46" t="n">
        <f aca="false">N(SUMPRODUCT(--(Calc_2!$F134:$F140&gt;Calc_2!$E134:$E140+Tolerance))&gt;0)</f>
        <v>0</v>
      </c>
    </row>
    <row r="24" customFormat="false" ht="15" hidden="false" customHeight="false" outlineLevel="0" collapsed="false">
      <c r="C24" s="0" t="s">
        <v>630</v>
      </c>
      <c r="D24" s="11" t="s">
        <v>41</v>
      </c>
      <c r="E24" s="36" t="str">
        <f aca="false">IF(F24=0,"OK","CHECK")</f>
        <v>OK</v>
      </c>
      <c r="F24" s="46" t="n">
        <f aca="false">N(Calc_1!$F168&lt;-Tolerance)+N(SUM(Calc_1!$F164:$F167)&gt;Calc_1!$F163+Tolerance)</f>
        <v>0</v>
      </c>
    </row>
    <row r="25" customFormat="false" ht="15" hidden="false" customHeight="false" outlineLevel="0" collapsed="false">
      <c r="C25" s="0" t="s">
        <v>631</v>
      </c>
      <c r="D25" s="11" t="s">
        <v>41</v>
      </c>
      <c r="E25" s="36" t="str">
        <f aca="false">IF(F25=0,"OK","CHECK")</f>
        <v>OK</v>
      </c>
      <c r="F25" s="46" t="n">
        <f aca="false">N(Calc_2!$F168&lt;-Tolerance)+N(SUM(Calc_2!$F164:$F167)&gt;Calc_2!$F163+Tolerance)</f>
        <v>0</v>
      </c>
    </row>
    <row r="26" customFormat="false" ht="15" hidden="false" customHeight="false" outlineLevel="0" collapsed="false">
      <c r="C26" s="0" t="s">
        <v>632</v>
      </c>
      <c r="D26" s="11" t="s">
        <v>41</v>
      </c>
      <c r="E26" s="36" t="str">
        <f aca="false">IF(F26=0,"OK","CHECK")</f>
        <v>OK</v>
      </c>
      <c r="F26" s="46" t="n">
        <f aca="false">N(ABS(Calc_1!$E182-Calc_1!$F182)&gt;Tolerance)</f>
        <v>0</v>
      </c>
    </row>
    <row r="27" customFormat="false" ht="15" hidden="false" customHeight="false" outlineLevel="0" collapsed="false">
      <c r="C27" s="0" t="s">
        <v>633</v>
      </c>
      <c r="D27" s="11" t="s">
        <v>41</v>
      </c>
      <c r="E27" s="36" t="str">
        <f aca="false">IF(F27=0,"OK","CHECK")</f>
        <v>OK</v>
      </c>
      <c r="F27" s="46" t="n">
        <f aca="false">N(ABS(Calc_2!$E182-Calc_2!$F182)&gt;Tolerance)</f>
        <v>0</v>
      </c>
    </row>
    <row r="28" customFormat="false" ht="15" hidden="false" customHeight="false" outlineLevel="0" collapsed="false">
      <c r="C28" s="0" t="s">
        <v>634</v>
      </c>
      <c r="D28" s="11" t="s">
        <v>41</v>
      </c>
      <c r="E28" s="36" t="str">
        <f aca="false">IF(F28=0,"OK","CHECK")</f>
        <v>OK</v>
      </c>
      <c r="F28" s="46" t="n">
        <f aca="false">N(ABS(Funding_Cum_Last-Out_Funding_Equity_To_COD)&gt;Tolerance)</f>
        <v>0</v>
      </c>
    </row>
    <row r="29" customFormat="false" ht="15" hidden="false" customHeight="false" outlineLevel="0" collapsed="false">
      <c r="C29" s="0" t="s">
        <v>635</v>
      </c>
      <c r="D29" s="11" t="s">
        <v>41</v>
      </c>
      <c r="E29" s="36" t="str">
        <f aca="false">IF(F29=0,"OK","CHECK")</f>
        <v>OK</v>
      </c>
      <c r="F29" s="46" t="n">
        <f aca="false">N(SUM(Capex_Items)-Out_Capex_Total&gt;Tolerance)+N(Out_Capex_Total-SUM(Capex_Items)&gt;Tolerance)</f>
        <v>0</v>
      </c>
    </row>
    <row r="30" customFormat="false" ht="15" hidden="false" customHeight="false" outlineLevel="0" collapsed="false">
      <c r="C30" s="0" t="s">
        <v>636</v>
      </c>
      <c r="D30" s="11" t="s">
        <v>41</v>
      </c>
      <c r="E30" s="36" t="str">
        <f aca="false">IF(F30=0,"OK","CHECK")</f>
        <v>OK</v>
      </c>
      <c r="F30" s="46" t="n">
        <f aca="false">SUM(J30:ET30)</f>
        <v>0</v>
      </c>
      <c r="J30" s="46" t="n">
        <f aca="false">N((Calc_1!J$4&gt;=Calc_1!$F17)*ABS(Calc_1!J101)&gt;Tolerance)</f>
        <v>0</v>
      </c>
      <c r="K30" s="46" t="n">
        <f aca="false">N((Calc_1!K$4&gt;=Calc_1!$F17)*ABS(Calc_1!K101)&gt;Tolerance)</f>
        <v>0</v>
      </c>
      <c r="L30" s="46" t="n">
        <f aca="false">N((Calc_1!L$4&gt;=Calc_1!$F17)*ABS(Calc_1!L101)&gt;Tolerance)</f>
        <v>0</v>
      </c>
      <c r="M30" s="46" t="n">
        <f aca="false">N((Calc_1!M$4&gt;=Calc_1!$F17)*ABS(Calc_1!M101)&gt;Tolerance)</f>
        <v>0</v>
      </c>
      <c r="N30" s="46" t="n">
        <f aca="false">N((Calc_1!N$4&gt;=Calc_1!$F17)*ABS(Calc_1!N101)&gt;Tolerance)</f>
        <v>0</v>
      </c>
      <c r="O30" s="46" t="n">
        <f aca="false">N((Calc_1!O$4&gt;=Calc_1!$F17)*ABS(Calc_1!O101)&gt;Tolerance)</f>
        <v>0</v>
      </c>
      <c r="P30" s="46" t="n">
        <f aca="false">N((Calc_1!P$4&gt;=Calc_1!$F17)*ABS(Calc_1!P101)&gt;Tolerance)</f>
        <v>0</v>
      </c>
      <c r="Q30" s="46" t="n">
        <f aca="false">N((Calc_1!Q$4&gt;=Calc_1!$F17)*ABS(Calc_1!Q101)&gt;Tolerance)</f>
        <v>0</v>
      </c>
      <c r="R30" s="46" t="n">
        <f aca="false">N((Calc_1!R$4&gt;=Calc_1!$F17)*ABS(Calc_1!R101)&gt;Tolerance)</f>
        <v>0</v>
      </c>
      <c r="S30" s="46" t="n">
        <f aca="false">N((Calc_1!S$4&gt;=Calc_1!$F17)*ABS(Calc_1!S101)&gt;Tolerance)</f>
        <v>0</v>
      </c>
      <c r="T30" s="46" t="n">
        <f aca="false">N((Calc_1!T$4&gt;=Calc_1!$F17)*ABS(Calc_1!T101)&gt;Tolerance)</f>
        <v>0</v>
      </c>
      <c r="U30" s="46" t="n">
        <f aca="false">N((Calc_1!U$4&gt;=Calc_1!$F17)*ABS(Calc_1!U101)&gt;Tolerance)</f>
        <v>0</v>
      </c>
      <c r="V30" s="46" t="n">
        <f aca="false">N((Calc_1!V$4&gt;=Calc_1!$F17)*ABS(Calc_1!V101)&gt;Tolerance)</f>
        <v>0</v>
      </c>
      <c r="W30" s="46" t="n">
        <f aca="false">N((Calc_1!W$4&gt;=Calc_1!$F17)*ABS(Calc_1!W101)&gt;Tolerance)</f>
        <v>0</v>
      </c>
      <c r="X30" s="46" t="n">
        <f aca="false">N((Calc_1!X$4&gt;=Calc_1!$F17)*ABS(Calc_1!X101)&gt;Tolerance)</f>
        <v>0</v>
      </c>
      <c r="Y30" s="46" t="n">
        <f aca="false">N((Calc_1!Y$4&gt;=Calc_1!$F17)*ABS(Calc_1!Y101)&gt;Tolerance)</f>
        <v>0</v>
      </c>
      <c r="Z30" s="46" t="n">
        <f aca="false">N((Calc_1!Z$4&gt;=Calc_1!$F17)*ABS(Calc_1!Z101)&gt;Tolerance)</f>
        <v>0</v>
      </c>
      <c r="AA30" s="46" t="n">
        <f aca="false">N((Calc_1!AA$4&gt;=Calc_1!$F17)*ABS(Calc_1!AA101)&gt;Tolerance)</f>
        <v>0</v>
      </c>
      <c r="AB30" s="46" t="n">
        <f aca="false">N((Calc_1!AB$4&gt;=Calc_1!$F17)*ABS(Calc_1!AB101)&gt;Tolerance)</f>
        <v>0</v>
      </c>
      <c r="AC30" s="46" t="n">
        <f aca="false">N((Calc_1!AC$4&gt;=Calc_1!$F17)*ABS(Calc_1!AC101)&gt;Tolerance)</f>
        <v>0</v>
      </c>
      <c r="AD30" s="46" t="n">
        <f aca="false">N((Calc_1!AD$4&gt;=Calc_1!$F17)*ABS(Calc_1!AD101)&gt;Tolerance)</f>
        <v>0</v>
      </c>
      <c r="AE30" s="46" t="n">
        <f aca="false">N((Calc_1!AE$4&gt;=Calc_1!$F17)*ABS(Calc_1!AE101)&gt;Tolerance)</f>
        <v>0</v>
      </c>
      <c r="AF30" s="46" t="n">
        <f aca="false">N((Calc_1!AF$4&gt;=Calc_1!$F17)*ABS(Calc_1!AF101)&gt;Tolerance)</f>
        <v>0</v>
      </c>
      <c r="AG30" s="46" t="n">
        <f aca="false">N((Calc_1!AG$4&gt;=Calc_1!$F17)*ABS(Calc_1!AG101)&gt;Tolerance)</f>
        <v>0</v>
      </c>
      <c r="AH30" s="46" t="n">
        <f aca="false">N((Calc_1!AH$4&gt;=Calc_1!$F17)*ABS(Calc_1!AH101)&gt;Tolerance)</f>
        <v>0</v>
      </c>
      <c r="AI30" s="46" t="n">
        <f aca="false">N((Calc_1!AI$4&gt;=Calc_1!$F17)*ABS(Calc_1!AI101)&gt;Tolerance)</f>
        <v>0</v>
      </c>
      <c r="AJ30" s="46" t="n">
        <f aca="false">N((Calc_1!AJ$4&gt;=Calc_1!$F17)*ABS(Calc_1!AJ101)&gt;Tolerance)</f>
        <v>0</v>
      </c>
      <c r="AK30" s="46" t="n">
        <f aca="false">N((Calc_1!AK$4&gt;=Calc_1!$F17)*ABS(Calc_1!AK101)&gt;Tolerance)</f>
        <v>0</v>
      </c>
      <c r="AL30" s="46" t="n">
        <f aca="false">N((Calc_1!AL$4&gt;=Calc_1!$F17)*ABS(Calc_1!AL101)&gt;Tolerance)</f>
        <v>0</v>
      </c>
      <c r="AM30" s="46" t="n">
        <f aca="false">N((Calc_1!AM$4&gt;=Calc_1!$F17)*ABS(Calc_1!AM101)&gt;Tolerance)</f>
        <v>0</v>
      </c>
      <c r="AN30" s="46" t="n">
        <f aca="false">N((Calc_1!AN$4&gt;=Calc_1!$F17)*ABS(Calc_1!AN101)&gt;Tolerance)</f>
        <v>0</v>
      </c>
      <c r="AO30" s="46" t="n">
        <f aca="false">N((Calc_1!AO$4&gt;=Calc_1!$F17)*ABS(Calc_1!AO101)&gt;Tolerance)</f>
        <v>0</v>
      </c>
      <c r="AP30" s="46" t="n">
        <f aca="false">N((Calc_1!AP$4&gt;=Calc_1!$F17)*ABS(Calc_1!AP101)&gt;Tolerance)</f>
        <v>0</v>
      </c>
      <c r="AQ30" s="46" t="n">
        <f aca="false">N((Calc_1!AQ$4&gt;=Calc_1!$F17)*ABS(Calc_1!AQ101)&gt;Tolerance)</f>
        <v>0</v>
      </c>
      <c r="AR30" s="46" t="n">
        <f aca="false">N((Calc_1!AR$4&gt;=Calc_1!$F17)*ABS(Calc_1!AR101)&gt;Tolerance)</f>
        <v>0</v>
      </c>
      <c r="AS30" s="46" t="n">
        <f aca="false">N((Calc_1!AS$4&gt;=Calc_1!$F17)*ABS(Calc_1!AS101)&gt;Tolerance)</f>
        <v>0</v>
      </c>
      <c r="AT30" s="46" t="n">
        <f aca="false">N((Calc_1!AT$4&gt;=Calc_1!$F17)*ABS(Calc_1!AT101)&gt;Tolerance)</f>
        <v>0</v>
      </c>
      <c r="AU30" s="46" t="n">
        <f aca="false">N((Calc_1!AU$4&gt;=Calc_1!$F17)*ABS(Calc_1!AU101)&gt;Tolerance)</f>
        <v>0</v>
      </c>
      <c r="AV30" s="46" t="n">
        <f aca="false">N((Calc_1!AV$4&gt;=Calc_1!$F17)*ABS(Calc_1!AV101)&gt;Tolerance)</f>
        <v>0</v>
      </c>
      <c r="AW30" s="46" t="n">
        <f aca="false">N((Calc_1!AW$4&gt;=Calc_1!$F17)*ABS(Calc_1!AW101)&gt;Tolerance)</f>
        <v>0</v>
      </c>
      <c r="AX30" s="46" t="n">
        <f aca="false">N((Calc_1!AX$4&gt;=Calc_1!$F17)*ABS(Calc_1!AX101)&gt;Tolerance)</f>
        <v>0</v>
      </c>
      <c r="AY30" s="46" t="n">
        <f aca="false">N((Calc_1!AY$4&gt;=Calc_1!$F17)*ABS(Calc_1!AY101)&gt;Tolerance)</f>
        <v>0</v>
      </c>
      <c r="AZ30" s="46" t="n">
        <f aca="false">N((Calc_1!AZ$4&gt;=Calc_1!$F17)*ABS(Calc_1!AZ101)&gt;Tolerance)</f>
        <v>0</v>
      </c>
      <c r="BA30" s="46" t="n">
        <f aca="false">N((Calc_1!BA$4&gt;=Calc_1!$F17)*ABS(Calc_1!BA101)&gt;Tolerance)</f>
        <v>0</v>
      </c>
      <c r="BB30" s="46" t="n">
        <f aca="false">N((Calc_1!BB$4&gt;=Calc_1!$F17)*ABS(Calc_1!BB101)&gt;Tolerance)</f>
        <v>0</v>
      </c>
      <c r="BC30" s="46" t="n">
        <f aca="false">N((Calc_1!BC$4&gt;=Calc_1!$F17)*ABS(Calc_1!BC101)&gt;Tolerance)</f>
        <v>0</v>
      </c>
      <c r="BD30" s="46" t="n">
        <f aca="false">N((Calc_1!BD$4&gt;=Calc_1!$F17)*ABS(Calc_1!BD101)&gt;Tolerance)</f>
        <v>0</v>
      </c>
      <c r="BE30" s="46" t="n">
        <f aca="false">N((Calc_1!BE$4&gt;=Calc_1!$F17)*ABS(Calc_1!BE101)&gt;Tolerance)</f>
        <v>0</v>
      </c>
      <c r="BF30" s="46" t="n">
        <f aca="false">N((Calc_1!BF$4&gt;=Calc_1!$F17)*ABS(Calc_1!BF101)&gt;Tolerance)</f>
        <v>0</v>
      </c>
      <c r="BG30" s="46" t="n">
        <f aca="false">N((Calc_1!BG$4&gt;=Calc_1!$F17)*ABS(Calc_1!BG101)&gt;Tolerance)</f>
        <v>0</v>
      </c>
      <c r="BH30" s="46" t="n">
        <f aca="false">N((Calc_1!BH$4&gt;=Calc_1!$F17)*ABS(Calc_1!BH101)&gt;Tolerance)</f>
        <v>0</v>
      </c>
      <c r="BI30" s="46" t="n">
        <f aca="false">N((Calc_1!BI$4&gt;=Calc_1!$F17)*ABS(Calc_1!BI101)&gt;Tolerance)</f>
        <v>0</v>
      </c>
      <c r="BJ30" s="46" t="n">
        <f aca="false">N((Calc_1!BJ$4&gt;=Calc_1!$F17)*ABS(Calc_1!BJ101)&gt;Tolerance)</f>
        <v>0</v>
      </c>
      <c r="BK30" s="46" t="n">
        <f aca="false">N((Calc_1!BK$4&gt;=Calc_1!$F17)*ABS(Calc_1!BK101)&gt;Tolerance)</f>
        <v>0</v>
      </c>
      <c r="BL30" s="46" t="n">
        <f aca="false">N((Calc_1!BL$4&gt;=Calc_1!$F17)*ABS(Calc_1!BL101)&gt;Tolerance)</f>
        <v>0</v>
      </c>
      <c r="BM30" s="46" t="n">
        <f aca="false">N((Calc_1!BM$4&gt;=Calc_1!$F17)*ABS(Calc_1!BM101)&gt;Tolerance)</f>
        <v>0</v>
      </c>
      <c r="BN30" s="46" t="n">
        <f aca="false">N((Calc_1!BN$4&gt;=Calc_1!$F17)*ABS(Calc_1!BN101)&gt;Tolerance)</f>
        <v>0</v>
      </c>
      <c r="BO30" s="46" t="n">
        <f aca="false">N((Calc_1!BO$4&gt;=Calc_1!$F17)*ABS(Calc_1!BO101)&gt;Tolerance)</f>
        <v>0</v>
      </c>
      <c r="BP30" s="46" t="n">
        <f aca="false">N((Calc_1!BP$4&gt;=Calc_1!$F17)*ABS(Calc_1!BP101)&gt;Tolerance)</f>
        <v>0</v>
      </c>
      <c r="BQ30" s="46" t="n">
        <f aca="false">N((Calc_1!BQ$4&gt;=Calc_1!$F17)*ABS(Calc_1!BQ101)&gt;Tolerance)</f>
        <v>0</v>
      </c>
      <c r="BR30" s="46" t="n">
        <f aca="false">N((Calc_1!BR$4&gt;=Calc_1!$F17)*ABS(Calc_1!BR101)&gt;Tolerance)</f>
        <v>0</v>
      </c>
      <c r="BS30" s="46" t="n">
        <f aca="false">N((Calc_1!BS$4&gt;=Calc_1!$F17)*ABS(Calc_1!BS101)&gt;Tolerance)</f>
        <v>0</v>
      </c>
      <c r="BT30" s="46" t="n">
        <f aca="false">N((Calc_1!BT$4&gt;=Calc_1!$F17)*ABS(Calc_1!BT101)&gt;Tolerance)</f>
        <v>0</v>
      </c>
      <c r="BU30" s="46" t="n">
        <f aca="false">N((Calc_1!BU$4&gt;=Calc_1!$F17)*ABS(Calc_1!BU101)&gt;Tolerance)</f>
        <v>0</v>
      </c>
      <c r="BV30" s="46" t="n">
        <f aca="false">N((Calc_1!BV$4&gt;=Calc_1!$F17)*ABS(Calc_1!BV101)&gt;Tolerance)</f>
        <v>0</v>
      </c>
      <c r="BW30" s="46" t="n">
        <f aca="false">N((Calc_1!BW$4&gt;=Calc_1!$F17)*ABS(Calc_1!BW101)&gt;Tolerance)</f>
        <v>0</v>
      </c>
      <c r="BX30" s="46" t="n">
        <f aca="false">N((Calc_1!BX$4&gt;=Calc_1!$F17)*ABS(Calc_1!BX101)&gt;Tolerance)</f>
        <v>0</v>
      </c>
      <c r="BY30" s="46" t="n">
        <f aca="false">N((Calc_1!BY$4&gt;=Calc_1!$F17)*ABS(Calc_1!BY101)&gt;Tolerance)</f>
        <v>0</v>
      </c>
      <c r="BZ30" s="46" t="n">
        <f aca="false">N((Calc_1!BZ$4&gt;=Calc_1!$F17)*ABS(Calc_1!BZ101)&gt;Tolerance)</f>
        <v>0</v>
      </c>
      <c r="CA30" s="46" t="n">
        <f aca="false">N((Calc_1!CA$4&gt;=Calc_1!$F17)*ABS(Calc_1!CA101)&gt;Tolerance)</f>
        <v>0</v>
      </c>
      <c r="CB30" s="46" t="n">
        <f aca="false">N((Calc_1!CB$4&gt;=Calc_1!$F17)*ABS(Calc_1!CB101)&gt;Tolerance)</f>
        <v>0</v>
      </c>
      <c r="CC30" s="46" t="n">
        <f aca="false">N((Calc_1!CC$4&gt;=Calc_1!$F17)*ABS(Calc_1!CC101)&gt;Tolerance)</f>
        <v>0</v>
      </c>
      <c r="CD30" s="46" t="n">
        <f aca="false">N((Calc_1!CD$4&gt;=Calc_1!$F17)*ABS(Calc_1!CD101)&gt;Tolerance)</f>
        <v>0</v>
      </c>
      <c r="CE30" s="46" t="n">
        <f aca="false">N((Calc_1!CE$4&gt;=Calc_1!$F17)*ABS(Calc_1!CE101)&gt;Tolerance)</f>
        <v>0</v>
      </c>
      <c r="CF30" s="46" t="n">
        <f aca="false">N((Calc_1!CF$4&gt;=Calc_1!$F17)*ABS(Calc_1!CF101)&gt;Tolerance)</f>
        <v>0</v>
      </c>
      <c r="CG30" s="46" t="n">
        <f aca="false">N((Calc_1!CG$4&gt;=Calc_1!$F17)*ABS(Calc_1!CG101)&gt;Tolerance)</f>
        <v>0</v>
      </c>
      <c r="CH30" s="46" t="n">
        <f aca="false">N((Calc_1!CH$4&gt;=Calc_1!$F17)*ABS(Calc_1!CH101)&gt;Tolerance)</f>
        <v>0</v>
      </c>
      <c r="CI30" s="46" t="n">
        <f aca="false">N((Calc_1!CI$4&gt;=Calc_1!$F17)*ABS(Calc_1!CI101)&gt;Tolerance)</f>
        <v>0</v>
      </c>
      <c r="CJ30" s="46" t="n">
        <f aca="false">N((Calc_1!CJ$4&gt;=Calc_1!$F17)*ABS(Calc_1!CJ101)&gt;Tolerance)</f>
        <v>0</v>
      </c>
      <c r="CK30" s="46" t="n">
        <f aca="false">N((Calc_1!CK$4&gt;=Calc_1!$F17)*ABS(Calc_1!CK101)&gt;Tolerance)</f>
        <v>0</v>
      </c>
      <c r="CL30" s="46" t="n">
        <f aca="false">N((Calc_1!CL$4&gt;=Calc_1!$F17)*ABS(Calc_1!CL101)&gt;Tolerance)</f>
        <v>0</v>
      </c>
      <c r="CM30" s="46" t="n">
        <f aca="false">N((Calc_1!CM$4&gt;=Calc_1!$F17)*ABS(Calc_1!CM101)&gt;Tolerance)</f>
        <v>0</v>
      </c>
      <c r="CN30" s="46" t="n">
        <f aca="false">N((Calc_1!CN$4&gt;=Calc_1!$F17)*ABS(Calc_1!CN101)&gt;Tolerance)</f>
        <v>0</v>
      </c>
      <c r="CO30" s="46" t="n">
        <f aca="false">N((Calc_1!CO$4&gt;=Calc_1!$F17)*ABS(Calc_1!CO101)&gt;Tolerance)</f>
        <v>0</v>
      </c>
      <c r="CP30" s="46" t="n">
        <f aca="false">N((Calc_1!CP$4&gt;=Calc_1!$F17)*ABS(Calc_1!CP101)&gt;Tolerance)</f>
        <v>0</v>
      </c>
      <c r="CQ30" s="46" t="n">
        <f aca="false">N((Calc_1!CQ$4&gt;=Calc_1!$F17)*ABS(Calc_1!CQ101)&gt;Tolerance)</f>
        <v>0</v>
      </c>
      <c r="CR30" s="46" t="n">
        <f aca="false">N((Calc_1!CR$4&gt;=Calc_1!$F17)*ABS(Calc_1!CR101)&gt;Tolerance)</f>
        <v>0</v>
      </c>
      <c r="CS30" s="46" t="n">
        <f aca="false">N((Calc_1!CS$4&gt;=Calc_1!$F17)*ABS(Calc_1!CS101)&gt;Tolerance)</f>
        <v>0</v>
      </c>
      <c r="CT30" s="46" t="n">
        <f aca="false">N((Calc_1!CT$4&gt;=Calc_1!$F17)*ABS(Calc_1!CT101)&gt;Tolerance)</f>
        <v>0</v>
      </c>
      <c r="CU30" s="46" t="n">
        <f aca="false">N((Calc_1!CU$4&gt;=Calc_1!$F17)*ABS(Calc_1!CU101)&gt;Tolerance)</f>
        <v>0</v>
      </c>
      <c r="CV30" s="46" t="n">
        <f aca="false">N((Calc_1!CV$4&gt;=Calc_1!$F17)*ABS(Calc_1!CV101)&gt;Tolerance)</f>
        <v>0</v>
      </c>
      <c r="CW30" s="46" t="n">
        <f aca="false">N((Calc_1!CW$4&gt;=Calc_1!$F17)*ABS(Calc_1!CW101)&gt;Tolerance)</f>
        <v>0</v>
      </c>
      <c r="CX30" s="46" t="n">
        <f aca="false">N((Calc_1!CX$4&gt;=Calc_1!$F17)*ABS(Calc_1!CX101)&gt;Tolerance)</f>
        <v>0</v>
      </c>
      <c r="CY30" s="46" t="n">
        <f aca="false">N((Calc_1!CY$4&gt;=Calc_1!$F17)*ABS(Calc_1!CY101)&gt;Tolerance)</f>
        <v>0</v>
      </c>
      <c r="CZ30" s="46" t="n">
        <f aca="false">N((Calc_1!CZ$4&gt;=Calc_1!$F17)*ABS(Calc_1!CZ101)&gt;Tolerance)</f>
        <v>0</v>
      </c>
      <c r="DA30" s="46" t="n">
        <f aca="false">N((Calc_1!DA$4&gt;=Calc_1!$F17)*ABS(Calc_1!DA101)&gt;Tolerance)</f>
        <v>0</v>
      </c>
      <c r="DB30" s="46" t="n">
        <f aca="false">N((Calc_1!DB$4&gt;=Calc_1!$F17)*ABS(Calc_1!DB101)&gt;Tolerance)</f>
        <v>0</v>
      </c>
      <c r="DC30" s="46" t="n">
        <f aca="false">N((Calc_1!DC$4&gt;=Calc_1!$F17)*ABS(Calc_1!DC101)&gt;Tolerance)</f>
        <v>0</v>
      </c>
      <c r="DD30" s="46" t="n">
        <f aca="false">N((Calc_1!DD$4&gt;=Calc_1!$F17)*ABS(Calc_1!DD101)&gt;Tolerance)</f>
        <v>0</v>
      </c>
      <c r="DE30" s="46" t="n">
        <f aca="false">N((Calc_1!DE$4&gt;=Calc_1!$F17)*ABS(Calc_1!DE101)&gt;Tolerance)</f>
        <v>0</v>
      </c>
      <c r="DF30" s="46" t="n">
        <f aca="false">N((Calc_1!DF$4&gt;=Calc_1!$F17)*ABS(Calc_1!DF101)&gt;Tolerance)</f>
        <v>0</v>
      </c>
      <c r="DG30" s="46" t="n">
        <f aca="false">N((Calc_1!DG$4&gt;=Calc_1!$F17)*ABS(Calc_1!DG101)&gt;Tolerance)</f>
        <v>0</v>
      </c>
      <c r="DH30" s="46" t="n">
        <f aca="false">N((Calc_1!DH$4&gt;=Calc_1!$F17)*ABS(Calc_1!DH101)&gt;Tolerance)</f>
        <v>0</v>
      </c>
      <c r="DI30" s="46" t="n">
        <f aca="false">N((Calc_1!DI$4&gt;=Calc_1!$F17)*ABS(Calc_1!DI101)&gt;Tolerance)</f>
        <v>0</v>
      </c>
      <c r="DJ30" s="46" t="n">
        <f aca="false">N((Calc_1!DJ$4&gt;=Calc_1!$F17)*ABS(Calc_1!DJ101)&gt;Tolerance)</f>
        <v>0</v>
      </c>
      <c r="DK30" s="46" t="n">
        <f aca="false">N((Calc_1!DK$4&gt;=Calc_1!$F17)*ABS(Calc_1!DK101)&gt;Tolerance)</f>
        <v>0</v>
      </c>
      <c r="DL30" s="46" t="n">
        <f aca="false">N((Calc_1!DL$4&gt;=Calc_1!$F17)*ABS(Calc_1!DL101)&gt;Tolerance)</f>
        <v>0</v>
      </c>
      <c r="DM30" s="46" t="n">
        <f aca="false">N((Calc_1!DM$4&gt;=Calc_1!$F17)*ABS(Calc_1!DM101)&gt;Tolerance)</f>
        <v>0</v>
      </c>
      <c r="DN30" s="46" t="n">
        <f aca="false">N((Calc_1!DN$4&gt;=Calc_1!$F17)*ABS(Calc_1!DN101)&gt;Tolerance)</f>
        <v>0</v>
      </c>
      <c r="DO30" s="46" t="n">
        <f aca="false">N((Calc_1!DO$4&gt;=Calc_1!$F17)*ABS(Calc_1!DO101)&gt;Tolerance)</f>
        <v>0</v>
      </c>
      <c r="DP30" s="46" t="n">
        <f aca="false">N((Calc_1!DP$4&gt;=Calc_1!$F17)*ABS(Calc_1!DP101)&gt;Tolerance)</f>
        <v>0</v>
      </c>
      <c r="DQ30" s="46" t="n">
        <f aca="false">N((Calc_1!DQ$4&gt;=Calc_1!$F17)*ABS(Calc_1!DQ101)&gt;Tolerance)</f>
        <v>0</v>
      </c>
      <c r="DR30" s="46" t="n">
        <f aca="false">N((Calc_1!DR$4&gt;=Calc_1!$F17)*ABS(Calc_1!DR101)&gt;Tolerance)</f>
        <v>0</v>
      </c>
      <c r="DS30" s="46" t="n">
        <f aca="false">N((Calc_1!DS$4&gt;=Calc_1!$F17)*ABS(Calc_1!DS101)&gt;Tolerance)</f>
        <v>0</v>
      </c>
      <c r="DT30" s="46" t="n">
        <f aca="false">N((Calc_1!DT$4&gt;=Calc_1!$F17)*ABS(Calc_1!DT101)&gt;Tolerance)</f>
        <v>0</v>
      </c>
      <c r="DU30" s="46" t="n">
        <f aca="false">N((Calc_1!DU$4&gt;=Calc_1!$F17)*ABS(Calc_1!DU101)&gt;Tolerance)</f>
        <v>0</v>
      </c>
      <c r="DV30" s="46" t="n">
        <f aca="false">N((Calc_1!DV$4&gt;=Calc_1!$F17)*ABS(Calc_1!DV101)&gt;Tolerance)</f>
        <v>0</v>
      </c>
      <c r="DW30" s="46" t="n">
        <f aca="false">N((Calc_1!DW$4&gt;=Calc_1!$F17)*ABS(Calc_1!DW101)&gt;Tolerance)</f>
        <v>0</v>
      </c>
      <c r="DX30" s="46" t="n">
        <f aca="false">N((Calc_1!DX$4&gt;=Calc_1!$F17)*ABS(Calc_1!DX101)&gt;Tolerance)</f>
        <v>0</v>
      </c>
      <c r="DY30" s="46" t="n">
        <f aca="false">N((Calc_1!DY$4&gt;=Calc_1!$F17)*ABS(Calc_1!DY101)&gt;Tolerance)</f>
        <v>0</v>
      </c>
      <c r="DZ30" s="46" t="n">
        <f aca="false">N((Calc_1!DZ$4&gt;=Calc_1!$F17)*ABS(Calc_1!DZ101)&gt;Tolerance)</f>
        <v>0</v>
      </c>
      <c r="EA30" s="46" t="n">
        <f aca="false">N((Calc_1!EA$4&gt;=Calc_1!$F17)*ABS(Calc_1!EA101)&gt;Tolerance)</f>
        <v>0</v>
      </c>
      <c r="EB30" s="46" t="n">
        <f aca="false">N((Calc_1!EB$4&gt;=Calc_1!$F17)*ABS(Calc_1!EB101)&gt;Tolerance)</f>
        <v>0</v>
      </c>
      <c r="EC30" s="46" t="n">
        <f aca="false">N((Calc_1!EC$4&gt;=Calc_1!$F17)*ABS(Calc_1!EC101)&gt;Tolerance)</f>
        <v>0</v>
      </c>
      <c r="ED30" s="46" t="n">
        <f aca="false">N((Calc_1!ED$4&gt;=Calc_1!$F17)*ABS(Calc_1!ED101)&gt;Tolerance)</f>
        <v>0</v>
      </c>
      <c r="EE30" s="46" t="n">
        <f aca="false">N((Calc_1!EE$4&gt;=Calc_1!$F17)*ABS(Calc_1!EE101)&gt;Tolerance)</f>
        <v>0</v>
      </c>
      <c r="EF30" s="46" t="n">
        <f aca="false">N((Calc_1!EF$4&gt;=Calc_1!$F17)*ABS(Calc_1!EF101)&gt;Tolerance)</f>
        <v>0</v>
      </c>
      <c r="EG30" s="46" t="n">
        <f aca="false">N((Calc_1!EG$4&gt;=Calc_1!$F17)*ABS(Calc_1!EG101)&gt;Tolerance)</f>
        <v>0</v>
      </c>
      <c r="EH30" s="46" t="n">
        <f aca="false">N((Calc_1!EH$4&gt;=Calc_1!$F17)*ABS(Calc_1!EH101)&gt;Tolerance)</f>
        <v>0</v>
      </c>
      <c r="EI30" s="46" t="n">
        <f aca="false">N((Calc_1!EI$4&gt;=Calc_1!$F17)*ABS(Calc_1!EI101)&gt;Tolerance)</f>
        <v>0</v>
      </c>
      <c r="EJ30" s="46" t="n">
        <f aca="false">N((Calc_1!EJ$4&gt;=Calc_1!$F17)*ABS(Calc_1!EJ101)&gt;Tolerance)</f>
        <v>0</v>
      </c>
      <c r="EK30" s="46" t="n">
        <f aca="false">N((Calc_1!EK$4&gt;=Calc_1!$F17)*ABS(Calc_1!EK101)&gt;Tolerance)</f>
        <v>0</v>
      </c>
      <c r="EL30" s="46" t="n">
        <f aca="false">N((Calc_1!EL$4&gt;=Calc_1!$F17)*ABS(Calc_1!EL101)&gt;Tolerance)</f>
        <v>0</v>
      </c>
      <c r="EM30" s="46" t="n">
        <f aca="false">N((Calc_1!EM$4&gt;=Calc_1!$F17)*ABS(Calc_1!EM101)&gt;Tolerance)</f>
        <v>0</v>
      </c>
      <c r="EN30" s="46" t="n">
        <f aca="false">N((Calc_1!EN$4&gt;=Calc_1!$F17)*ABS(Calc_1!EN101)&gt;Tolerance)</f>
        <v>0</v>
      </c>
      <c r="EO30" s="46" t="n">
        <f aca="false">N((Calc_1!EO$4&gt;=Calc_1!$F17)*ABS(Calc_1!EO101)&gt;Tolerance)</f>
        <v>0</v>
      </c>
      <c r="EP30" s="46" t="n">
        <f aca="false">N((Calc_1!EP$4&gt;=Calc_1!$F17)*ABS(Calc_1!EP101)&gt;Tolerance)</f>
        <v>0</v>
      </c>
      <c r="EQ30" s="46" t="n">
        <f aca="false">N((Calc_1!EQ$4&gt;=Calc_1!$F17)*ABS(Calc_1!EQ101)&gt;Tolerance)</f>
        <v>0</v>
      </c>
      <c r="ER30" s="46" t="n">
        <f aca="false">N((Calc_1!ER$4&gt;=Calc_1!$F17)*ABS(Calc_1!ER101)&gt;Tolerance)</f>
        <v>0</v>
      </c>
      <c r="ES30" s="46" t="n">
        <f aca="false">N((Calc_1!ES$4&gt;=Calc_1!$F17)*ABS(Calc_1!ES101)&gt;Tolerance)</f>
        <v>0</v>
      </c>
      <c r="ET30" s="46" t="n">
        <f aca="false">N((Calc_1!ET$4&gt;=Calc_1!$F17)*ABS(Calc_1!ET101)&gt;Tolerance)</f>
        <v>0</v>
      </c>
    </row>
    <row r="31" customFormat="false" ht="15" hidden="false" customHeight="false" outlineLevel="0" collapsed="false">
      <c r="C31" s="0" t="s">
        <v>637</v>
      </c>
      <c r="D31" s="11" t="s">
        <v>41</v>
      </c>
      <c r="E31" s="36" t="str">
        <f aca="false">IF(F31=0,"OK","CHECK")</f>
        <v>OK</v>
      </c>
      <c r="F31" s="46" t="n">
        <f aca="false">SUM(J31:ET31)</f>
        <v>0</v>
      </c>
      <c r="J31" s="46" t="n">
        <f aca="false">N((Calc_2!J$4&gt;=Calc_2!$F17)*ABS(Calc_2!J101)&gt;Tolerance)</f>
        <v>0</v>
      </c>
      <c r="K31" s="46" t="n">
        <f aca="false">N((Calc_2!K$4&gt;=Calc_2!$F17)*ABS(Calc_2!K101)&gt;Tolerance)</f>
        <v>0</v>
      </c>
      <c r="L31" s="46" t="n">
        <f aca="false">N((Calc_2!L$4&gt;=Calc_2!$F17)*ABS(Calc_2!L101)&gt;Tolerance)</f>
        <v>0</v>
      </c>
      <c r="M31" s="46" t="n">
        <f aca="false">N((Calc_2!M$4&gt;=Calc_2!$F17)*ABS(Calc_2!M101)&gt;Tolerance)</f>
        <v>0</v>
      </c>
      <c r="N31" s="46" t="n">
        <f aca="false">N((Calc_2!N$4&gt;=Calc_2!$F17)*ABS(Calc_2!N101)&gt;Tolerance)</f>
        <v>0</v>
      </c>
      <c r="O31" s="46" t="n">
        <f aca="false">N((Calc_2!O$4&gt;=Calc_2!$F17)*ABS(Calc_2!O101)&gt;Tolerance)</f>
        <v>0</v>
      </c>
      <c r="P31" s="46" t="n">
        <f aca="false">N((Calc_2!P$4&gt;=Calc_2!$F17)*ABS(Calc_2!P101)&gt;Tolerance)</f>
        <v>0</v>
      </c>
      <c r="Q31" s="46" t="n">
        <f aca="false">N((Calc_2!Q$4&gt;=Calc_2!$F17)*ABS(Calc_2!Q101)&gt;Tolerance)</f>
        <v>0</v>
      </c>
      <c r="R31" s="46" t="n">
        <f aca="false">N((Calc_2!R$4&gt;=Calc_2!$F17)*ABS(Calc_2!R101)&gt;Tolerance)</f>
        <v>0</v>
      </c>
      <c r="S31" s="46" t="n">
        <f aca="false">N((Calc_2!S$4&gt;=Calc_2!$F17)*ABS(Calc_2!S101)&gt;Tolerance)</f>
        <v>0</v>
      </c>
      <c r="T31" s="46" t="n">
        <f aca="false">N((Calc_2!T$4&gt;=Calc_2!$F17)*ABS(Calc_2!T101)&gt;Tolerance)</f>
        <v>0</v>
      </c>
      <c r="U31" s="46" t="n">
        <f aca="false">N((Calc_2!U$4&gt;=Calc_2!$F17)*ABS(Calc_2!U101)&gt;Tolerance)</f>
        <v>0</v>
      </c>
      <c r="V31" s="46" t="n">
        <f aca="false">N((Calc_2!V$4&gt;=Calc_2!$F17)*ABS(Calc_2!V101)&gt;Tolerance)</f>
        <v>0</v>
      </c>
      <c r="W31" s="46" t="n">
        <f aca="false">N((Calc_2!W$4&gt;=Calc_2!$F17)*ABS(Calc_2!W101)&gt;Tolerance)</f>
        <v>0</v>
      </c>
      <c r="X31" s="46" t="n">
        <f aca="false">N((Calc_2!X$4&gt;=Calc_2!$F17)*ABS(Calc_2!X101)&gt;Tolerance)</f>
        <v>0</v>
      </c>
      <c r="Y31" s="46" t="n">
        <f aca="false">N((Calc_2!Y$4&gt;=Calc_2!$F17)*ABS(Calc_2!Y101)&gt;Tolerance)</f>
        <v>0</v>
      </c>
      <c r="Z31" s="46" t="n">
        <f aca="false">N((Calc_2!Z$4&gt;=Calc_2!$F17)*ABS(Calc_2!Z101)&gt;Tolerance)</f>
        <v>0</v>
      </c>
      <c r="AA31" s="46" t="n">
        <f aca="false">N((Calc_2!AA$4&gt;=Calc_2!$F17)*ABS(Calc_2!AA101)&gt;Tolerance)</f>
        <v>0</v>
      </c>
      <c r="AB31" s="46" t="n">
        <f aca="false">N((Calc_2!AB$4&gt;=Calc_2!$F17)*ABS(Calc_2!AB101)&gt;Tolerance)</f>
        <v>0</v>
      </c>
      <c r="AC31" s="46" t="n">
        <f aca="false">N((Calc_2!AC$4&gt;=Calc_2!$F17)*ABS(Calc_2!AC101)&gt;Tolerance)</f>
        <v>0</v>
      </c>
      <c r="AD31" s="46" t="n">
        <f aca="false">N((Calc_2!AD$4&gt;=Calc_2!$F17)*ABS(Calc_2!AD101)&gt;Tolerance)</f>
        <v>0</v>
      </c>
      <c r="AE31" s="46" t="n">
        <f aca="false">N((Calc_2!AE$4&gt;=Calc_2!$F17)*ABS(Calc_2!AE101)&gt;Tolerance)</f>
        <v>0</v>
      </c>
      <c r="AF31" s="46" t="n">
        <f aca="false">N((Calc_2!AF$4&gt;=Calc_2!$F17)*ABS(Calc_2!AF101)&gt;Tolerance)</f>
        <v>0</v>
      </c>
      <c r="AG31" s="46" t="n">
        <f aca="false">N((Calc_2!AG$4&gt;=Calc_2!$F17)*ABS(Calc_2!AG101)&gt;Tolerance)</f>
        <v>0</v>
      </c>
      <c r="AH31" s="46" t="n">
        <f aca="false">N((Calc_2!AH$4&gt;=Calc_2!$F17)*ABS(Calc_2!AH101)&gt;Tolerance)</f>
        <v>0</v>
      </c>
      <c r="AI31" s="46" t="n">
        <f aca="false">N((Calc_2!AI$4&gt;=Calc_2!$F17)*ABS(Calc_2!AI101)&gt;Tolerance)</f>
        <v>0</v>
      </c>
      <c r="AJ31" s="46" t="n">
        <f aca="false">N((Calc_2!AJ$4&gt;=Calc_2!$F17)*ABS(Calc_2!AJ101)&gt;Tolerance)</f>
        <v>0</v>
      </c>
      <c r="AK31" s="46" t="n">
        <f aca="false">N((Calc_2!AK$4&gt;=Calc_2!$F17)*ABS(Calc_2!AK101)&gt;Tolerance)</f>
        <v>0</v>
      </c>
      <c r="AL31" s="46" t="n">
        <f aca="false">N((Calc_2!AL$4&gt;=Calc_2!$F17)*ABS(Calc_2!AL101)&gt;Tolerance)</f>
        <v>0</v>
      </c>
      <c r="AM31" s="46" t="n">
        <f aca="false">N((Calc_2!AM$4&gt;=Calc_2!$F17)*ABS(Calc_2!AM101)&gt;Tolerance)</f>
        <v>0</v>
      </c>
      <c r="AN31" s="46" t="n">
        <f aca="false">N((Calc_2!AN$4&gt;=Calc_2!$F17)*ABS(Calc_2!AN101)&gt;Tolerance)</f>
        <v>0</v>
      </c>
      <c r="AO31" s="46" t="n">
        <f aca="false">N((Calc_2!AO$4&gt;=Calc_2!$F17)*ABS(Calc_2!AO101)&gt;Tolerance)</f>
        <v>0</v>
      </c>
      <c r="AP31" s="46" t="n">
        <f aca="false">N((Calc_2!AP$4&gt;=Calc_2!$F17)*ABS(Calc_2!AP101)&gt;Tolerance)</f>
        <v>0</v>
      </c>
      <c r="AQ31" s="46" t="n">
        <f aca="false">N((Calc_2!AQ$4&gt;=Calc_2!$F17)*ABS(Calc_2!AQ101)&gt;Tolerance)</f>
        <v>0</v>
      </c>
      <c r="AR31" s="46" t="n">
        <f aca="false">N((Calc_2!AR$4&gt;=Calc_2!$F17)*ABS(Calc_2!AR101)&gt;Tolerance)</f>
        <v>0</v>
      </c>
      <c r="AS31" s="46" t="n">
        <f aca="false">N((Calc_2!AS$4&gt;=Calc_2!$F17)*ABS(Calc_2!AS101)&gt;Tolerance)</f>
        <v>0</v>
      </c>
      <c r="AT31" s="46" t="n">
        <f aca="false">N((Calc_2!AT$4&gt;=Calc_2!$F17)*ABS(Calc_2!AT101)&gt;Tolerance)</f>
        <v>0</v>
      </c>
      <c r="AU31" s="46" t="n">
        <f aca="false">N((Calc_2!AU$4&gt;=Calc_2!$F17)*ABS(Calc_2!AU101)&gt;Tolerance)</f>
        <v>0</v>
      </c>
      <c r="AV31" s="46" t="n">
        <f aca="false">N((Calc_2!AV$4&gt;=Calc_2!$F17)*ABS(Calc_2!AV101)&gt;Tolerance)</f>
        <v>0</v>
      </c>
      <c r="AW31" s="46" t="n">
        <f aca="false">N((Calc_2!AW$4&gt;=Calc_2!$F17)*ABS(Calc_2!AW101)&gt;Tolerance)</f>
        <v>0</v>
      </c>
      <c r="AX31" s="46" t="n">
        <f aca="false">N((Calc_2!AX$4&gt;=Calc_2!$F17)*ABS(Calc_2!AX101)&gt;Tolerance)</f>
        <v>0</v>
      </c>
      <c r="AY31" s="46" t="n">
        <f aca="false">N((Calc_2!AY$4&gt;=Calc_2!$F17)*ABS(Calc_2!AY101)&gt;Tolerance)</f>
        <v>0</v>
      </c>
      <c r="AZ31" s="46" t="n">
        <f aca="false">N((Calc_2!AZ$4&gt;=Calc_2!$F17)*ABS(Calc_2!AZ101)&gt;Tolerance)</f>
        <v>0</v>
      </c>
      <c r="BA31" s="46" t="n">
        <f aca="false">N((Calc_2!BA$4&gt;=Calc_2!$F17)*ABS(Calc_2!BA101)&gt;Tolerance)</f>
        <v>0</v>
      </c>
      <c r="BB31" s="46" t="n">
        <f aca="false">N((Calc_2!BB$4&gt;=Calc_2!$F17)*ABS(Calc_2!BB101)&gt;Tolerance)</f>
        <v>0</v>
      </c>
      <c r="BC31" s="46" t="n">
        <f aca="false">N((Calc_2!BC$4&gt;=Calc_2!$F17)*ABS(Calc_2!BC101)&gt;Tolerance)</f>
        <v>0</v>
      </c>
      <c r="BD31" s="46" t="n">
        <f aca="false">N((Calc_2!BD$4&gt;=Calc_2!$F17)*ABS(Calc_2!BD101)&gt;Tolerance)</f>
        <v>0</v>
      </c>
      <c r="BE31" s="46" t="n">
        <f aca="false">N((Calc_2!BE$4&gt;=Calc_2!$F17)*ABS(Calc_2!BE101)&gt;Tolerance)</f>
        <v>0</v>
      </c>
      <c r="BF31" s="46" t="n">
        <f aca="false">N((Calc_2!BF$4&gt;=Calc_2!$F17)*ABS(Calc_2!BF101)&gt;Tolerance)</f>
        <v>0</v>
      </c>
      <c r="BG31" s="46" t="n">
        <f aca="false">N((Calc_2!BG$4&gt;=Calc_2!$F17)*ABS(Calc_2!BG101)&gt;Tolerance)</f>
        <v>0</v>
      </c>
      <c r="BH31" s="46" t="n">
        <f aca="false">N((Calc_2!BH$4&gt;=Calc_2!$F17)*ABS(Calc_2!BH101)&gt;Tolerance)</f>
        <v>0</v>
      </c>
      <c r="BI31" s="46" t="n">
        <f aca="false">N((Calc_2!BI$4&gt;=Calc_2!$F17)*ABS(Calc_2!BI101)&gt;Tolerance)</f>
        <v>0</v>
      </c>
      <c r="BJ31" s="46" t="n">
        <f aca="false">N((Calc_2!BJ$4&gt;=Calc_2!$F17)*ABS(Calc_2!BJ101)&gt;Tolerance)</f>
        <v>0</v>
      </c>
      <c r="BK31" s="46" t="n">
        <f aca="false">N((Calc_2!BK$4&gt;=Calc_2!$F17)*ABS(Calc_2!BK101)&gt;Tolerance)</f>
        <v>0</v>
      </c>
      <c r="BL31" s="46" t="n">
        <f aca="false">N((Calc_2!BL$4&gt;=Calc_2!$F17)*ABS(Calc_2!BL101)&gt;Tolerance)</f>
        <v>0</v>
      </c>
      <c r="BM31" s="46" t="n">
        <f aca="false">N((Calc_2!BM$4&gt;=Calc_2!$F17)*ABS(Calc_2!BM101)&gt;Tolerance)</f>
        <v>0</v>
      </c>
      <c r="BN31" s="46" t="n">
        <f aca="false">N((Calc_2!BN$4&gt;=Calc_2!$F17)*ABS(Calc_2!BN101)&gt;Tolerance)</f>
        <v>0</v>
      </c>
      <c r="BO31" s="46" t="n">
        <f aca="false">N((Calc_2!BO$4&gt;=Calc_2!$F17)*ABS(Calc_2!BO101)&gt;Tolerance)</f>
        <v>0</v>
      </c>
      <c r="BP31" s="46" t="n">
        <f aca="false">N((Calc_2!BP$4&gt;=Calc_2!$F17)*ABS(Calc_2!BP101)&gt;Tolerance)</f>
        <v>0</v>
      </c>
      <c r="BQ31" s="46" t="n">
        <f aca="false">N((Calc_2!BQ$4&gt;=Calc_2!$F17)*ABS(Calc_2!BQ101)&gt;Tolerance)</f>
        <v>0</v>
      </c>
      <c r="BR31" s="46" t="n">
        <f aca="false">N((Calc_2!BR$4&gt;=Calc_2!$F17)*ABS(Calc_2!BR101)&gt;Tolerance)</f>
        <v>0</v>
      </c>
      <c r="BS31" s="46" t="n">
        <f aca="false">N((Calc_2!BS$4&gt;=Calc_2!$F17)*ABS(Calc_2!BS101)&gt;Tolerance)</f>
        <v>0</v>
      </c>
      <c r="BT31" s="46" t="n">
        <f aca="false">N((Calc_2!BT$4&gt;=Calc_2!$F17)*ABS(Calc_2!BT101)&gt;Tolerance)</f>
        <v>0</v>
      </c>
      <c r="BU31" s="46" t="n">
        <f aca="false">N((Calc_2!BU$4&gt;=Calc_2!$F17)*ABS(Calc_2!BU101)&gt;Tolerance)</f>
        <v>0</v>
      </c>
      <c r="BV31" s="46" t="n">
        <f aca="false">N((Calc_2!BV$4&gt;=Calc_2!$F17)*ABS(Calc_2!BV101)&gt;Tolerance)</f>
        <v>0</v>
      </c>
      <c r="BW31" s="46" t="n">
        <f aca="false">N((Calc_2!BW$4&gt;=Calc_2!$F17)*ABS(Calc_2!BW101)&gt;Tolerance)</f>
        <v>0</v>
      </c>
      <c r="BX31" s="46" t="n">
        <f aca="false">N((Calc_2!BX$4&gt;=Calc_2!$F17)*ABS(Calc_2!BX101)&gt;Tolerance)</f>
        <v>0</v>
      </c>
      <c r="BY31" s="46" t="n">
        <f aca="false">N((Calc_2!BY$4&gt;=Calc_2!$F17)*ABS(Calc_2!BY101)&gt;Tolerance)</f>
        <v>0</v>
      </c>
      <c r="BZ31" s="46" t="n">
        <f aca="false">N((Calc_2!BZ$4&gt;=Calc_2!$F17)*ABS(Calc_2!BZ101)&gt;Tolerance)</f>
        <v>0</v>
      </c>
      <c r="CA31" s="46" t="n">
        <f aca="false">N((Calc_2!CA$4&gt;=Calc_2!$F17)*ABS(Calc_2!CA101)&gt;Tolerance)</f>
        <v>0</v>
      </c>
      <c r="CB31" s="46" t="n">
        <f aca="false">N((Calc_2!CB$4&gt;=Calc_2!$F17)*ABS(Calc_2!CB101)&gt;Tolerance)</f>
        <v>0</v>
      </c>
      <c r="CC31" s="46" t="n">
        <f aca="false">N((Calc_2!CC$4&gt;=Calc_2!$F17)*ABS(Calc_2!CC101)&gt;Tolerance)</f>
        <v>0</v>
      </c>
      <c r="CD31" s="46" t="n">
        <f aca="false">N((Calc_2!CD$4&gt;=Calc_2!$F17)*ABS(Calc_2!CD101)&gt;Tolerance)</f>
        <v>0</v>
      </c>
      <c r="CE31" s="46" t="n">
        <f aca="false">N((Calc_2!CE$4&gt;=Calc_2!$F17)*ABS(Calc_2!CE101)&gt;Tolerance)</f>
        <v>0</v>
      </c>
      <c r="CF31" s="46" t="n">
        <f aca="false">N((Calc_2!CF$4&gt;=Calc_2!$F17)*ABS(Calc_2!CF101)&gt;Tolerance)</f>
        <v>0</v>
      </c>
      <c r="CG31" s="46" t="n">
        <f aca="false">N((Calc_2!CG$4&gt;=Calc_2!$F17)*ABS(Calc_2!CG101)&gt;Tolerance)</f>
        <v>0</v>
      </c>
      <c r="CH31" s="46" t="n">
        <f aca="false">N((Calc_2!CH$4&gt;=Calc_2!$F17)*ABS(Calc_2!CH101)&gt;Tolerance)</f>
        <v>0</v>
      </c>
      <c r="CI31" s="46" t="n">
        <f aca="false">N((Calc_2!CI$4&gt;=Calc_2!$F17)*ABS(Calc_2!CI101)&gt;Tolerance)</f>
        <v>0</v>
      </c>
      <c r="CJ31" s="46" t="n">
        <f aca="false">N((Calc_2!CJ$4&gt;=Calc_2!$F17)*ABS(Calc_2!CJ101)&gt;Tolerance)</f>
        <v>0</v>
      </c>
      <c r="CK31" s="46" t="n">
        <f aca="false">N((Calc_2!CK$4&gt;=Calc_2!$F17)*ABS(Calc_2!CK101)&gt;Tolerance)</f>
        <v>0</v>
      </c>
      <c r="CL31" s="46" t="n">
        <f aca="false">N((Calc_2!CL$4&gt;=Calc_2!$F17)*ABS(Calc_2!CL101)&gt;Tolerance)</f>
        <v>0</v>
      </c>
      <c r="CM31" s="46" t="n">
        <f aca="false">N((Calc_2!CM$4&gt;=Calc_2!$F17)*ABS(Calc_2!CM101)&gt;Tolerance)</f>
        <v>0</v>
      </c>
      <c r="CN31" s="46" t="n">
        <f aca="false">N((Calc_2!CN$4&gt;=Calc_2!$F17)*ABS(Calc_2!CN101)&gt;Tolerance)</f>
        <v>0</v>
      </c>
      <c r="CO31" s="46" t="n">
        <f aca="false">N((Calc_2!CO$4&gt;=Calc_2!$F17)*ABS(Calc_2!CO101)&gt;Tolerance)</f>
        <v>0</v>
      </c>
      <c r="CP31" s="46" t="n">
        <f aca="false">N((Calc_2!CP$4&gt;=Calc_2!$F17)*ABS(Calc_2!CP101)&gt;Tolerance)</f>
        <v>0</v>
      </c>
      <c r="CQ31" s="46" t="n">
        <f aca="false">N((Calc_2!CQ$4&gt;=Calc_2!$F17)*ABS(Calc_2!CQ101)&gt;Tolerance)</f>
        <v>0</v>
      </c>
      <c r="CR31" s="46" t="n">
        <f aca="false">N((Calc_2!CR$4&gt;=Calc_2!$F17)*ABS(Calc_2!CR101)&gt;Tolerance)</f>
        <v>0</v>
      </c>
      <c r="CS31" s="46" t="n">
        <f aca="false">N((Calc_2!CS$4&gt;=Calc_2!$F17)*ABS(Calc_2!CS101)&gt;Tolerance)</f>
        <v>0</v>
      </c>
      <c r="CT31" s="46" t="n">
        <f aca="false">N((Calc_2!CT$4&gt;=Calc_2!$F17)*ABS(Calc_2!CT101)&gt;Tolerance)</f>
        <v>0</v>
      </c>
      <c r="CU31" s="46" t="n">
        <f aca="false">N((Calc_2!CU$4&gt;=Calc_2!$F17)*ABS(Calc_2!CU101)&gt;Tolerance)</f>
        <v>0</v>
      </c>
      <c r="CV31" s="46" t="n">
        <f aca="false">N((Calc_2!CV$4&gt;=Calc_2!$F17)*ABS(Calc_2!CV101)&gt;Tolerance)</f>
        <v>0</v>
      </c>
      <c r="CW31" s="46" t="n">
        <f aca="false">N((Calc_2!CW$4&gt;=Calc_2!$F17)*ABS(Calc_2!CW101)&gt;Tolerance)</f>
        <v>0</v>
      </c>
      <c r="CX31" s="46" t="n">
        <f aca="false">N((Calc_2!CX$4&gt;=Calc_2!$F17)*ABS(Calc_2!CX101)&gt;Tolerance)</f>
        <v>0</v>
      </c>
      <c r="CY31" s="46" t="n">
        <f aca="false">N((Calc_2!CY$4&gt;=Calc_2!$F17)*ABS(Calc_2!CY101)&gt;Tolerance)</f>
        <v>0</v>
      </c>
      <c r="CZ31" s="46" t="n">
        <f aca="false">N((Calc_2!CZ$4&gt;=Calc_2!$F17)*ABS(Calc_2!CZ101)&gt;Tolerance)</f>
        <v>0</v>
      </c>
      <c r="DA31" s="46" t="n">
        <f aca="false">N((Calc_2!DA$4&gt;=Calc_2!$F17)*ABS(Calc_2!DA101)&gt;Tolerance)</f>
        <v>0</v>
      </c>
      <c r="DB31" s="46" t="n">
        <f aca="false">N((Calc_2!DB$4&gt;=Calc_2!$F17)*ABS(Calc_2!DB101)&gt;Tolerance)</f>
        <v>0</v>
      </c>
      <c r="DC31" s="46" t="n">
        <f aca="false">N((Calc_2!DC$4&gt;=Calc_2!$F17)*ABS(Calc_2!DC101)&gt;Tolerance)</f>
        <v>0</v>
      </c>
      <c r="DD31" s="46" t="n">
        <f aca="false">N((Calc_2!DD$4&gt;=Calc_2!$F17)*ABS(Calc_2!DD101)&gt;Tolerance)</f>
        <v>0</v>
      </c>
      <c r="DE31" s="46" t="n">
        <f aca="false">N((Calc_2!DE$4&gt;=Calc_2!$F17)*ABS(Calc_2!DE101)&gt;Tolerance)</f>
        <v>0</v>
      </c>
      <c r="DF31" s="46" t="n">
        <f aca="false">N((Calc_2!DF$4&gt;=Calc_2!$F17)*ABS(Calc_2!DF101)&gt;Tolerance)</f>
        <v>0</v>
      </c>
      <c r="DG31" s="46" t="n">
        <f aca="false">N((Calc_2!DG$4&gt;=Calc_2!$F17)*ABS(Calc_2!DG101)&gt;Tolerance)</f>
        <v>0</v>
      </c>
      <c r="DH31" s="46" t="n">
        <f aca="false">N((Calc_2!DH$4&gt;=Calc_2!$F17)*ABS(Calc_2!DH101)&gt;Tolerance)</f>
        <v>0</v>
      </c>
      <c r="DI31" s="46" t="n">
        <f aca="false">N((Calc_2!DI$4&gt;=Calc_2!$F17)*ABS(Calc_2!DI101)&gt;Tolerance)</f>
        <v>0</v>
      </c>
      <c r="DJ31" s="46" t="n">
        <f aca="false">N((Calc_2!DJ$4&gt;=Calc_2!$F17)*ABS(Calc_2!DJ101)&gt;Tolerance)</f>
        <v>0</v>
      </c>
      <c r="DK31" s="46" t="n">
        <f aca="false">N((Calc_2!DK$4&gt;=Calc_2!$F17)*ABS(Calc_2!DK101)&gt;Tolerance)</f>
        <v>0</v>
      </c>
      <c r="DL31" s="46" t="n">
        <f aca="false">N((Calc_2!DL$4&gt;=Calc_2!$F17)*ABS(Calc_2!DL101)&gt;Tolerance)</f>
        <v>0</v>
      </c>
      <c r="DM31" s="46" t="n">
        <f aca="false">N((Calc_2!DM$4&gt;=Calc_2!$F17)*ABS(Calc_2!DM101)&gt;Tolerance)</f>
        <v>0</v>
      </c>
      <c r="DN31" s="46" t="n">
        <f aca="false">N((Calc_2!DN$4&gt;=Calc_2!$F17)*ABS(Calc_2!DN101)&gt;Tolerance)</f>
        <v>0</v>
      </c>
      <c r="DO31" s="46" t="n">
        <f aca="false">N((Calc_2!DO$4&gt;=Calc_2!$F17)*ABS(Calc_2!DO101)&gt;Tolerance)</f>
        <v>0</v>
      </c>
      <c r="DP31" s="46" t="n">
        <f aca="false">N((Calc_2!DP$4&gt;=Calc_2!$F17)*ABS(Calc_2!DP101)&gt;Tolerance)</f>
        <v>0</v>
      </c>
      <c r="DQ31" s="46" t="n">
        <f aca="false">N((Calc_2!DQ$4&gt;=Calc_2!$F17)*ABS(Calc_2!DQ101)&gt;Tolerance)</f>
        <v>0</v>
      </c>
      <c r="DR31" s="46" t="n">
        <f aca="false">N((Calc_2!DR$4&gt;=Calc_2!$F17)*ABS(Calc_2!DR101)&gt;Tolerance)</f>
        <v>0</v>
      </c>
      <c r="DS31" s="46" t="n">
        <f aca="false">N((Calc_2!DS$4&gt;=Calc_2!$F17)*ABS(Calc_2!DS101)&gt;Tolerance)</f>
        <v>0</v>
      </c>
      <c r="DT31" s="46" t="n">
        <f aca="false">N((Calc_2!DT$4&gt;=Calc_2!$F17)*ABS(Calc_2!DT101)&gt;Tolerance)</f>
        <v>0</v>
      </c>
      <c r="DU31" s="46" t="n">
        <f aca="false">N((Calc_2!DU$4&gt;=Calc_2!$F17)*ABS(Calc_2!DU101)&gt;Tolerance)</f>
        <v>0</v>
      </c>
      <c r="DV31" s="46" t="n">
        <f aca="false">N((Calc_2!DV$4&gt;=Calc_2!$F17)*ABS(Calc_2!DV101)&gt;Tolerance)</f>
        <v>0</v>
      </c>
      <c r="DW31" s="46" t="n">
        <f aca="false">N((Calc_2!DW$4&gt;=Calc_2!$F17)*ABS(Calc_2!DW101)&gt;Tolerance)</f>
        <v>0</v>
      </c>
      <c r="DX31" s="46" t="n">
        <f aca="false">N((Calc_2!DX$4&gt;=Calc_2!$F17)*ABS(Calc_2!DX101)&gt;Tolerance)</f>
        <v>0</v>
      </c>
      <c r="DY31" s="46" t="n">
        <f aca="false">N((Calc_2!DY$4&gt;=Calc_2!$F17)*ABS(Calc_2!DY101)&gt;Tolerance)</f>
        <v>0</v>
      </c>
      <c r="DZ31" s="46" t="n">
        <f aca="false">N((Calc_2!DZ$4&gt;=Calc_2!$F17)*ABS(Calc_2!DZ101)&gt;Tolerance)</f>
        <v>0</v>
      </c>
      <c r="EA31" s="46" t="n">
        <f aca="false">N((Calc_2!EA$4&gt;=Calc_2!$F17)*ABS(Calc_2!EA101)&gt;Tolerance)</f>
        <v>0</v>
      </c>
      <c r="EB31" s="46" t="n">
        <f aca="false">N((Calc_2!EB$4&gt;=Calc_2!$F17)*ABS(Calc_2!EB101)&gt;Tolerance)</f>
        <v>0</v>
      </c>
      <c r="EC31" s="46" t="n">
        <f aca="false">N((Calc_2!EC$4&gt;=Calc_2!$F17)*ABS(Calc_2!EC101)&gt;Tolerance)</f>
        <v>0</v>
      </c>
      <c r="ED31" s="46" t="n">
        <f aca="false">N((Calc_2!ED$4&gt;=Calc_2!$F17)*ABS(Calc_2!ED101)&gt;Tolerance)</f>
        <v>0</v>
      </c>
      <c r="EE31" s="46" t="n">
        <f aca="false">N((Calc_2!EE$4&gt;=Calc_2!$F17)*ABS(Calc_2!EE101)&gt;Tolerance)</f>
        <v>0</v>
      </c>
      <c r="EF31" s="46" t="n">
        <f aca="false">N((Calc_2!EF$4&gt;=Calc_2!$F17)*ABS(Calc_2!EF101)&gt;Tolerance)</f>
        <v>0</v>
      </c>
      <c r="EG31" s="46" t="n">
        <f aca="false">N((Calc_2!EG$4&gt;=Calc_2!$F17)*ABS(Calc_2!EG101)&gt;Tolerance)</f>
        <v>0</v>
      </c>
      <c r="EH31" s="46" t="n">
        <f aca="false">N((Calc_2!EH$4&gt;=Calc_2!$F17)*ABS(Calc_2!EH101)&gt;Tolerance)</f>
        <v>0</v>
      </c>
      <c r="EI31" s="46" t="n">
        <f aca="false">N((Calc_2!EI$4&gt;=Calc_2!$F17)*ABS(Calc_2!EI101)&gt;Tolerance)</f>
        <v>0</v>
      </c>
      <c r="EJ31" s="46" t="n">
        <f aca="false">N((Calc_2!EJ$4&gt;=Calc_2!$F17)*ABS(Calc_2!EJ101)&gt;Tolerance)</f>
        <v>0</v>
      </c>
      <c r="EK31" s="46" t="n">
        <f aca="false">N((Calc_2!EK$4&gt;=Calc_2!$F17)*ABS(Calc_2!EK101)&gt;Tolerance)</f>
        <v>0</v>
      </c>
      <c r="EL31" s="46" t="n">
        <f aca="false">N((Calc_2!EL$4&gt;=Calc_2!$F17)*ABS(Calc_2!EL101)&gt;Tolerance)</f>
        <v>0</v>
      </c>
      <c r="EM31" s="46" t="n">
        <f aca="false">N((Calc_2!EM$4&gt;=Calc_2!$F17)*ABS(Calc_2!EM101)&gt;Tolerance)</f>
        <v>0</v>
      </c>
      <c r="EN31" s="46" t="n">
        <f aca="false">N((Calc_2!EN$4&gt;=Calc_2!$F17)*ABS(Calc_2!EN101)&gt;Tolerance)</f>
        <v>0</v>
      </c>
      <c r="EO31" s="46" t="n">
        <f aca="false">N((Calc_2!EO$4&gt;=Calc_2!$F17)*ABS(Calc_2!EO101)&gt;Tolerance)</f>
        <v>0</v>
      </c>
      <c r="EP31" s="46" t="n">
        <f aca="false">N((Calc_2!EP$4&gt;=Calc_2!$F17)*ABS(Calc_2!EP101)&gt;Tolerance)</f>
        <v>0</v>
      </c>
      <c r="EQ31" s="46" t="n">
        <f aca="false">N((Calc_2!EQ$4&gt;=Calc_2!$F17)*ABS(Calc_2!EQ101)&gt;Tolerance)</f>
        <v>0</v>
      </c>
      <c r="ER31" s="46" t="n">
        <f aca="false">N((Calc_2!ER$4&gt;=Calc_2!$F17)*ABS(Calc_2!ER101)&gt;Tolerance)</f>
        <v>0</v>
      </c>
      <c r="ES31" s="46" t="n">
        <f aca="false">N((Calc_2!ES$4&gt;=Calc_2!$F17)*ABS(Calc_2!ES101)&gt;Tolerance)</f>
        <v>0</v>
      </c>
      <c r="ET31" s="46" t="n">
        <f aca="false">N((Calc_2!ET$4&gt;=Calc_2!$F17)*ABS(Calc_2!ET101)&gt;Tolerance)</f>
        <v>0</v>
      </c>
    </row>
    <row r="32" customFormat="false" ht="15" hidden="false" customHeight="false" outlineLevel="0" collapsed="false">
      <c r="C32" s="0" t="s">
        <v>638</v>
      </c>
      <c r="D32" s="11" t="s">
        <v>41</v>
      </c>
      <c r="E32" s="36" t="str">
        <f aca="false">IF(F32=0,"OK","CHECK")</f>
        <v>OK</v>
      </c>
      <c r="F32" s="46" t="n">
        <f aca="false">N(ISTEXT(Calc_1!$E154))+N(ISERROR(Calc_1!$E191))+N(ISERROR(Calc_1!$E171))</f>
        <v>0</v>
      </c>
    </row>
    <row r="33" customFormat="false" ht="15" hidden="false" customHeight="false" outlineLevel="0" collapsed="false">
      <c r="C33" s="0" t="s">
        <v>639</v>
      </c>
      <c r="D33" s="11" t="s">
        <v>41</v>
      </c>
      <c r="E33" s="36" t="str">
        <f aca="false">IF(F33=0,"OK","CHECK")</f>
        <v>OK</v>
      </c>
      <c r="F33" s="46" t="n">
        <f aca="false">N(ISTEXT(Calc_2!$E154))+N(ISERROR(Calc_2!$E191))+N(ISERROR(Calc_2!$E171))</f>
        <v>0</v>
      </c>
    </row>
    <row r="34" customFormat="false" ht="15" hidden="false" customHeight="false" outlineLevel="0" collapsed="false">
      <c r="C34" s="0" t="s">
        <v>640</v>
      </c>
      <c r="D34" s="11" t="s">
        <v>41</v>
      </c>
      <c r="E34" s="36" t="str">
        <f aca="false">IF(F34=0,"OK","CHECK")</f>
        <v>OK</v>
      </c>
      <c r="F34" s="46" t="n">
        <f aca="false">(Scenario_Selected=1)*(SUMPRODUCT(ABS(ZB_Live_1-ZB_Zero_Stored-ZB_Delta_1_Stored))&gt;Tolerance)</f>
        <v>0</v>
      </c>
    </row>
    <row r="35" customFormat="false" ht="15" hidden="false" customHeight="false" outlineLevel="0" collapsed="false">
      <c r="C35" s="0" t="s">
        <v>641</v>
      </c>
      <c r="D35" s="11" t="s">
        <v>41</v>
      </c>
      <c r="E35" s="36" t="str">
        <f aca="false">IF(F35=0,"OK","CHECK")</f>
        <v>OK</v>
      </c>
      <c r="F35" s="46" t="n">
        <f aca="false">(Scenario_Selected=1)*(SUMPRODUCT(ABS(ZB_Live_2-ZB_Zero_Stored-ZB_Delta_2_Stored))&gt;Tolerance)</f>
        <v>0</v>
      </c>
    </row>
    <row r="36" customFormat="false" ht="15" hidden="false" customHeight="false" outlineLevel="0" collapsed="false">
      <c r="C36" s="0" t="s">
        <v>642</v>
      </c>
      <c r="D36" s="11" t="s">
        <v>41</v>
      </c>
      <c r="E36" s="36" t="str">
        <f aca="false">IF(F36=0,"OK","CHECK")</f>
        <v>OK</v>
      </c>
      <c r="F36" s="46" t="n">
        <f aca="false">--(SUMPRODUCT(ABS(Stored_Results-Live_Results)*(Scenario_Names=Scenario_Name))&gt;Tolerance)</f>
        <v>0</v>
      </c>
    </row>
    <row r="38" customFormat="false" ht="15" hidden="false" customHeight="false" outlineLevel="0" collapsed="false">
      <c r="C38" s="30" t="s">
        <v>6</v>
      </c>
      <c r="E38" s="59" t="str">
        <f aca="false">IF(F38=0,"OK","CHECK")</f>
        <v>OK</v>
      </c>
      <c r="F38" s="60" t="n">
        <f aca="false">SUMPRODUCT(ABS(F12:F36))</f>
        <v>0</v>
      </c>
    </row>
    <row r="40" customFormat="false" ht="15" hidden="false" customHeight="false" outlineLevel="0" collapsed="false">
      <c r="C40" s="40" t="s">
        <v>193</v>
      </c>
    </row>
  </sheetData>
  <conditionalFormatting sqref="E12:E3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2026-10-15T07:39:19Z</dcterms:created>
  <dc:creator>openpyxl</dc:creator>
  <dc:description/>
  <dc:language>en-US</dc:language>
  <cp:lastModifiedBy/>
  <dcterms:modified xsi:type="dcterms:W3CDTF">2026-10-15T07:39:32Z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