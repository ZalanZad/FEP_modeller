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apex_Items" vbProcedure="false">Dashboard!$E$51:$E$63</definedName>
    <definedName function="false" hidden="false" name="COD_IRR_1_Stored" vbProcedure="false">Dashboard!$H$125:$N$125</definedName>
    <definedName function="false" hidden="false" name="COD_IRR_2_Stored" vbProcedure="false">Dashboard!$H$126:$N$126</definedName>
    <definedName function="false" hidden="false" name="Commitment_Penalty_1_Stored" vbProcedure="false">Dashboard!$H$131:$N$131</definedName>
    <definedName function="false" hidden="false" name="Commitment_Penalty_2_Stored" vbProcedure="false">Dashboard!$H$132:$N$132</definedName>
    <definedName function="false" hidden="false" name="Cost_To_COD_1_Stored" vbProcedure="false">Dashboard!$H$135:$N$135</definedName>
    <definedName function="false" hidden="false" name="Cost_To_COD_2_Stored" vbProcedure="false">Dashboard!$H$136:$N$136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Dashboard!$E$87:$F$87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Dashboard!$H$133:$N$133</definedName>
    <definedName function="false" hidden="false" name="Distributable_2_Stored" vbProcedure="false">Dashboard!$H$134:$N$134</definedName>
    <definedName function="false" hidden="false" name="Funding_Cum_Last" vbProcedure="false">Dashboard!$I$47</definedName>
    <definedName function="false" hidden="false" name="HTM_IRR_1_Stored" vbProcedure="false">Dashboard!$H$127:$N$127</definedName>
    <definedName function="false" hidden="false" name="HTM_IRR_2_Stored" vbProcedure="false">Dashboard!$H$128:$N$128</definedName>
    <definedName function="false" hidden="false" name="HTM_NPV_1_Stored" vbProcedure="false">Dashboard!$H$129:$N$129</definedName>
    <definedName function="false" hidden="false" name="HTM_NPV_2_Stored" vbProcedure="false">Dashboard!$H$130:$N$130</definedName>
    <definedName function="false" hidden="false" name="Impact_Stored" vbProcedure="false">Dashboard!$K$12:$R$22</definedName>
    <definedName function="false" hidden="false" name="In_Admin" vbProcedure="false">Inputs!$F$112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Inputs!$F$101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P" vbProcedure="false">Inputs!$F$95</definedName>
    <definedName function="false" hidden="false" name="In_Bottleneck_Loss" vbProcedure="false">Inputs!$F$87</definedName>
    <definedName function="false" hidden="false" name="In_Buyer_Rate" vbProcedure="false">Inputs!$F$80</definedName>
    <definedName function="false" hidden="false" name="In_Capex_Contingency" vbProcedure="false">Inputs!$F$100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Inputs!$F$90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Inputs!$F$123</definedName>
    <definedName function="false" hidden="false" name="In_Contingency_Date" vbProcedure="false">Inputs!$F$22</definedName>
    <definedName function="false" hidden="false" name="In_Curtailment" vbProcedure="false">Inputs!$F$105</definedName>
    <definedName function="false" hidden="false" name="In_DD" vbProcedure="false">Inputs!$F$35</definedName>
    <definedName function="false" hidden="false" name="In_Debt_Rate" vbProcedure="false">Inputs!$F$121</definedName>
    <definedName function="false" hidden="false" name="In_Debt_Tenor" vbProcedure="false">Inputs!$F$124</definedName>
    <definedName function="false" hidden="false" name="In_Degradation" vbProcedure="false">Inputs!$F$106</definedName>
    <definedName function="false" hidden="false" name="In_Delivered" vbProcedure="false">Inputs!$F$85</definedName>
    <definedName function="false" hidden="false" name="In_Dep_Years" vbProcedure="false">Inputs!$F$125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Easements" vbProcedure="false">Inputs!$F$97</definedName>
    <definedName function="false" hidden="false" name="In_FEP_Share" vbProcedure="false">Inputs!$F$37</definedName>
    <definedName function="false" hidden="false" name="In_Fixed_Opex" vbProcedure="false">Inputs!$F$110</definedName>
    <definedName function="false" hidden="false" name="In_Foundations" vbProcedure="false">Inputs!$F$94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Inputs!$F$119</definedName>
    <definedName function="false" hidden="false" name="In_Gearing_CN" vbProcedure="false">Inputs!$F$120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Inputs!$F$116</definedName>
    <definedName function="false" hidden="false" name="In_Indirect_Fee" vbProcedure="false">Inputs!$F$62</definedName>
    <definedName function="false" hidden="false" name="In_Installation" vbProcedure="false">Inputs!$F$93</definedName>
    <definedName function="false" hidden="false" name="In_Invest_Date" vbProcedure="false">Inputs!$F$20</definedName>
    <definedName function="false" hidden="false" name="In_Lease" vbProcedure="false">Inputs!$F$111</definedName>
    <definedName function="false" hidden="false" name="In_Life" vbProcedure="false">Inputs!$F$25</definedName>
    <definedName function="false" hidden="false" name="In_MEKH" vbProcedure="false">Inputs!$F$115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Inputs!$F$113</definedName>
    <definedName function="false" hidden="false" name="In_Opex_Esc" vbProcedure="false">Inputs!$F$114</definedName>
    <definedName function="false" hidden="false" name="In_OSZ4_Basis" vbProcedure="false">Inputs!$F$47</definedName>
    <definedName function="false" hidden="false" name="In_Overbuild_Built" vbProcedure="false">Inputs!$F$83</definedName>
    <definedName function="false" hidden="false" name="In_Owner" vbProcedure="false">Inputs!$F$96</definedName>
    <definedName function="false" hidden="false" name="In_P50_Hours" vbProcedure="false">Inputs!$F$104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Inputs!$F$108</definedName>
    <definedName function="false" hidden="false" name="In_PPA_Price" vbProcedure="false">Inputs!$F$107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Inputs!$F$86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Inputs!$F$98</definedName>
    <definedName function="false" hidden="false" name="In_Substation_CN" vbProcedure="false">Inputs!$F$99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Inputs!$F$91</definedName>
    <definedName function="false" hidden="false" name="In_Turbine_CN" vbProcedure="false">Inputs!$F$92</definedName>
    <definedName function="false" hidden="false" name="In_Upfront_Fee" vbProcedure="false">Inputs!$F$122</definedName>
    <definedName function="false" hidden="false" name="In_Var_Opex" vbProcedure="false">Inputs!$F$109</definedName>
    <definedName function="false" hidden="false" name="Live_Results" vbProcedure="false">Dashboard!$E$121:$E$136</definedName>
    <definedName function="false" hidden="false" name="Master_Check" vbProcedure="false">Checks!$F$38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Dashboard!$E$69</definedName>
    <definedName function="false" hidden="false" name="Out_BESS_MW_2" vbProcedure="false">Dashboard!$F$69</definedName>
    <definedName function="false" hidden="false" name="Out_Capex_Total" vbProcedure="false">Dashboard!$E$64</definedName>
    <definedName function="false" hidden="false" name="Out_Capex_Total_MW" vbProcedure="false">Dashboard!$F$64</definedName>
    <definedName function="false" hidden="false" name="Out_COD_Debt_1" vbProcedure="false">Dashboard!$E$111</definedName>
    <definedName function="false" hidden="false" name="Out_COD_Debt_2" vbProcedure="false">Dashboard!$F$111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Dashboard!$E$114</definedName>
    <definedName function="false" hidden="false" name="Out_COD_MOIC_2" vbProcedure="false">Dashboard!$F$114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Dashboard!$E$109</definedName>
    <definedName function="false" hidden="false" name="Out_COD_Price_2" vbProcedure="false">Dashboard!$F$109</definedName>
    <definedName function="false" hidden="false" name="Out_COD_Price_Effect_1" vbProcedure="false">Dashboard!$E$110</definedName>
    <definedName function="false" hidden="false" name="Out_COD_Price_Effect_2" vbProcedure="false">Dashboard!$F$110</definedName>
    <definedName function="false" hidden="false" name="Out_COD_Proceeds_1" vbProcedure="false">Dashboard!$E$112</definedName>
    <definedName function="false" hidden="false" name="Out_COD_Proceeds_2" vbProcedure="false">Dashboard!$F$112</definedName>
    <definedName function="false" hidden="false" name="Out_COD_Profit_1" vbProcedure="false">Dashboard!$E$113</definedName>
    <definedName function="false" hidden="false" name="Out_COD_Profit_2" vbProcedure="false">Dashboard!$F$113</definedName>
    <definedName function="false" hidden="false" name="Out_Commitment_Penalty_1" vbProcedure="false">Dashboard!$E$81</definedName>
    <definedName function="false" hidden="false" name="Out_Commitment_Penalty_2" vbProcedure="false">Dashboard!$F$81</definedName>
    <definedName function="false" hidden="false" name="Out_Commitment_Securities_1" vbProcedure="false">Dashboard!$E$80</definedName>
    <definedName function="false" hidden="false" name="Out_Commitment_Securities_2" vbProcedure="false">Dashboard!$F$80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Dashboard!$E$108</definedName>
    <definedName function="false" hidden="false" name="Out_Cost_To_COD_2" vbProcedure="false">Dashboard!$F$108</definedName>
    <definedName function="false" hidden="false" name="Out_Distributable_1" vbProcedure="false">Dashboard!$E$96</definedName>
    <definedName function="false" hidden="false" name="Out_Distributable_2" vbProcedure="false">Dashboard!$F$96</definedName>
    <definedName function="false" hidden="false" name="Out_Exclusion_1" vbProcedure="false">Dashboard!$E$84</definedName>
    <definedName function="false" hidden="false" name="Out_Exclusion_2" vbProcedure="false">Dashboard!$F$84</definedName>
    <definedName function="false" hidden="false" name="Out_Exit_ARES_30_1" vbProcedure="false">Dashboard!$E$100</definedName>
    <definedName function="false" hidden="false" name="Out_Exit_ARES_30_2" vbProcedure="false">Dashboard!$F$100</definedName>
    <definedName function="false" hidden="false" name="Out_Exit_ARES_Total_1" vbProcedure="false">Dashboard!$E$101</definedName>
    <definedName function="false" hidden="false" name="Out_Exit_ARES_Total_2" vbProcedure="false">Dashboard!$F$101</definedName>
    <definedName function="false" hidden="false" name="Out_Exit_ARES_Total_MW_1" vbProcedure="false">Dashboard!$I$101</definedName>
    <definedName function="false" hidden="false" name="Out_Exit_ARES_Total_MW_2" vbProcedure="false">Dashboard!$J$101</definedName>
    <definedName function="false" hidden="false" name="Out_Exit_Claims_1" vbProcedure="false">Dashboard!$E$94</definedName>
    <definedName function="false" hidden="false" name="Out_Exit_Claims_2" vbProcedure="false">Dashboard!$F$94</definedName>
    <definedName function="false" hidden="false" name="Out_Exit_FEP_70_1" vbProcedure="false">Dashboard!$E$97</definedName>
    <definedName function="false" hidden="false" name="Out_Exit_FEP_70_2" vbProcedure="false">Dashboard!$F$97</definedName>
    <definedName function="false" hidden="false" name="Out_Exit_FEP_Devex_1" vbProcedure="false">Dashboard!$E$98</definedName>
    <definedName function="false" hidden="false" name="Out_Exit_FEP_Devex_2" vbProcedure="false">Dashboard!$F$98</definedName>
    <definedName function="false" hidden="false" name="Out_Exit_FEP_Net_1" vbProcedure="false">Dashboard!$E$99</definedName>
    <definedName function="false" hidden="false" name="Out_Exit_FEP_Net_2" vbProcedure="false">Dashboard!$F$99</definedName>
    <definedName function="false" hidden="false" name="Out_Exit_FEP_Net_MW_1" vbProcedure="false">Dashboard!$I$99</definedName>
    <definedName function="false" hidden="false" name="Out_Exit_FEP_Net_MW_2" vbProcedure="false">Dashboard!$J$99</definedName>
    <definedName function="false" hidden="false" name="Out_Exit_Reimbursement_1" vbProcedure="false">Dashboard!$E$88</definedName>
    <definedName function="false" hidden="false" name="Out_Exit_Reimbursement_2" vbProcedure="false">Dashboard!$F$88</definedName>
    <definedName function="false" hidden="false" name="Out_Funding_Equity_To_COD" vbProcedure="false">Dashboard!$F$48</definedName>
    <definedName function="false" hidden="false" name="Out_Funding_Peak_Guarantee" vbProcedure="false">Dashboard!$H$48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Dashboard!$E$117</definedName>
    <definedName function="false" hidden="false" name="Out_HTM_MOIC_2" vbProcedure="false">Dashboard!$F$117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Dashboard!$E$118</definedName>
    <definedName function="false" hidden="false" name="Out_Min_DSCR_2" vbProcedure="false">Dashboard!$F$118</definedName>
    <definedName function="false" hidden="false" name="Out_MVA_At_Risk_1" vbProcedure="false">Dashboard!$E$83</definedName>
    <definedName function="false" hidden="false" name="Out_MVA_At_Risk_2" vbProcedure="false">Dashboard!$F$83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Dashboard!$E$104</definedName>
    <definedName function="false" hidden="false" name="Out_RtB_MOIC_2" vbProcedure="false">Dashboard!$F$104</definedName>
    <definedName function="false" hidden="false" name="Out_RtB_NPV_1" vbProcedure="false">Dashboard!$E$105</definedName>
    <definedName function="false" hidden="false" name="Out_RtB_NPV_2" vbProcedure="false">Dashboard!$F$105</definedName>
    <definedName function="false" hidden="false" name="Out_RtB_Price_1" vbProcedure="false">Dashboard!$E$89</definedName>
    <definedName function="false" hidden="false" name="Out_RtB_Price_2" vbProcedure="false">Dashboard!$F$89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Dashboard!$E$103</definedName>
    <definedName function="false" hidden="false" name="Out_RtB_Profit_Buildup_2" vbProcedure="false">Dashboard!$F$103</definedName>
    <definedName function="false" hidden="false" name="Out_RtB_Route_Costs_1" vbProcedure="false">Dashboard!$E$102</definedName>
    <definedName function="false" hidden="false" name="Out_RtB_Route_Costs_2" vbProcedure="false">Dashboard!$F$102</definedName>
    <definedName function="false" hidden="false" name="Out_Sanction_Full_1" vbProcedure="false">Dashboard!$E$82</definedName>
    <definedName function="false" hidden="false" name="Out_Sanction_Full_2" vbProcedure="false">Dashboard!$F$82</definedName>
    <definedName function="false" hidden="false" name="Out_WF_DSA_1" vbProcedure="false">Dashboard!$E$95</definedName>
    <definedName function="false" hidden="false" name="Out_WF_DSA_2" vbProcedure="false">Dashboard!$F$95</definedName>
    <definedName function="false" hidden="false" name="Out_WF_Return_12_1" vbProcedure="false">Dashboard!$E$91</definedName>
    <definedName function="false" hidden="false" name="Out_WF_Return_12_2" vbProcedure="false">Dashboard!$F$91</definedName>
    <definedName function="false" hidden="false" name="Out_WF_Return_6_1" vbProcedure="false">Dashboard!$E$93</definedName>
    <definedName function="false" hidden="false" name="Out_WF_Return_6_2" vbProcedure="false">Dashboard!$F$93</definedName>
    <definedName function="false" hidden="false" name="Out_WF_Return_AtRisk_1" vbProcedure="false">Dashboard!$E$92</definedName>
    <definedName function="false" hidden="false" name="Out_WF_Return_AtRisk_2" vbProcedure="false">Dashboard!$F$92</definedName>
    <definedName function="false" hidden="false" name="Out_WF_Sale_Costs_1" vbProcedure="false">Dashboard!$E$90</definedName>
    <definedName function="false" hidden="false" name="Out_WF_Sale_Costs_2" vbProcedure="false">Dashboard!$F$90</definedName>
    <definedName function="false" hidden="false" name="Out_Wind_Built_MW_1" vbProcedure="false">Dashboard!$E$68</definedName>
    <definedName function="false" hidden="false" name="Out_Wind_Built_MW_2" vbProcedure="false">Dashboard!$F$68</definedName>
    <definedName function="false" hidden="false" name="Out_Wind_MW_1" vbProcedure="false">Dashboard!$E$67</definedName>
    <definedName function="false" hidden="false" name="Out_Wind_MW_2" vbProcedure="false">Dashboard!$F$67</definedName>
    <definedName function="false" hidden="false" name="Period_Ends" vbProcedure="false">Calc_1!$J$4:$ET$4</definedName>
    <definedName function="false" hidden="false" name="Points_1_Stored" vbProcedure="false">Dashboard!$H$121:$N$121</definedName>
    <definedName function="false" hidden="false" name="Points_2_Stored" vbProcedure="false">Dashboard!$H$122:$N$122</definedName>
    <definedName function="false" hidden="false" name="Points_Decimals" vbProcedure="false">Inputs!$F$42</definedName>
    <definedName function="false" hidden="false" name="RtB_Profit_1_Stored" vbProcedure="false">Dashboard!$H$123:$N$123</definedName>
    <definedName function="false" hidden="false" name="RtB_Profit_2_Stored" vbProcedure="false">Dashboard!$H$124:$N$124</definedName>
    <definedName function="false" hidden="false" name="Scenario_Name" vbProcedure="false">Dashboard!$V$12</definedName>
    <definedName function="false" hidden="false" name="Scenario_Names" vbProcedure="false">Inputs!$H$7:$N$7</definedName>
    <definedName function="false" hidden="false" name="Scenario_Selected" vbProcedure="false">Inputs!$F$5</definedName>
    <definedName function="false" hidden="false" name="Stored_Results" vbProcedure="false">Dashboard!$H$121:$N$136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<sst xmlns="http://schemas.openxmlformats.org/spreadsheetml/2006/main" count="1519" uniqueCount="651">
  <si>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</si>
  <si>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</si>
  <si>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</si>
  <si>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</si>
  <si>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</si>
  <si>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</si>
  <si>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</si>
  <si>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</si>
  <si>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</si>
  <si>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</si>
  <si>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</si>
  <si>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</si>
  <si>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</si>
  <si>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</si>
  <si>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</si>
  <si>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</si>
  <si>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</si>
  <si>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</si>
  <si>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</si>
  <si>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</si>
  <si>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</si>
  <si>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</si>
  <si>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</si>
  <si>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</si>
  <si>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</si>
  <si>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</si>
  <si>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</si>
  <si>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</si>
  <si>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</si>
  <si>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</si>
  <si>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</si>
  <si>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</si>
  <si>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</si>
  <si>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</si>
  <si>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</si>
  <si>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</si>
  <si>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</si>
  <si>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</si>
  <si>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</si>
  <si>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</si>
  <si>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</si>
  <si>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</si>
  <si>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</si>
  <si>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</si>
  <si>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</si>
  <si>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</si>
  <si>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</si>
  <si>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</si>
  <si>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</si>
  <si>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</si>
  <si>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</si>
  <si>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</si>
  <si>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</si>
  <si>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</si>
  <si>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</si>
  <si>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</si>
  <si>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</si>
  <si>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</si>
  <si>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</si>
  <si>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</si>
  <si>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</si>
  <si>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</si>
  <si>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</si>
  <si>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</si>
  <si>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</si>
  <si>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</si>
  <si>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</si>
  <si>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</si>
  <si>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</si>
  <si>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</si>
  <si>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</si>
  <si>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</si>
  <si>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</si>
  <si>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</si>
  <si>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</si>
  <si>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</si>
  <si>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</si>
  <si>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</si>
  <si>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Commitments delivered</t>
  </si>
  <si>
    <t xml:space="preserve">FEP NPV – sale at COD</t>
  </si>
  <si>
    <t xml:space="preserve">Sanction regime (1 pro rata, 2 full)</t>
  </si>
  <si>
    <t xml:space="preserve">FEP IRR – hold to maturity</t>
  </si>
  <si>
    <t xml:space="preserve">ÖSZ-4 basis (0 MVA, 1 wind)</t>
  </si>
  <si>
    <t xml:space="preserve">FEP NPV – hold to maturity</t>
  </si>
  <si>
    <t xml:space="preserve">Total commitment</t>
  </si>
  <si>
    <t xml:space="preserve">Funding need to COD – both bids</t>
  </si>
  <si>
    <t xml:space="preserve">Date</t>
  </si>
  <si>
    <t xml:space="preserve">Cash €m</t>
  </si>
  <si>
    <t xml:space="preserve">Guarantee €m</t>
  </si>
  <si>
    <t xml:space="preserve">Cum. cash €m</t>
  </si>
  <si>
    <t xml:space="preserve">Signing fee and DD</t>
  </si>
  <si>
    <t xml:space="preserve">Bid: participation fee (cash), bid guarantee</t>
  </si>
  <si>
    <t xml:space="preserve">Award: performance guarantee (bid guarantee released)</t>
  </si>
  <si>
    <t xml:space="preserve">Connection request: TSO security</t>
  </si>
  <si>
    <t xml:space="preserve">Devex, land and contingency 2026</t>
  </si>
  <si>
    <t xml:space="preserve">Devex, land and contingency 2027</t>
  </si>
  <si>
    <t xml:space="preserve">Devex, land and contingency 2028</t>
  </si>
  <si>
    <t xml:space="preserve">HCSSZ: connection fees</t>
  </si>
  <si>
    <t xml:space="preserve">Devex, land and contingency 2029</t>
  </si>
  <si>
    <t xml:space="preserve">NTP → COD: construction equity (capex, lease less debt)</t>
  </si>
  <si>
    <t xml:space="preserve">NTP → COD: debt fees (IDC is debt-funded)</t>
  </si>
  <si>
    <t xml:space="preserve">Guarantee fees to COD</t>
  </si>
  <si>
    <t xml:space="preserve">COD: municipal one-off</t>
  </si>
  <si>
    <t xml:space="preserve">Total cash equity to COD; peak guarantee</t>
  </si>
  <si>
    <t xml:space="preserve">Capex breakdown to COD – both bids</t>
  </si>
  <si>
    <t xml:space="preserve">€ m</t>
  </si>
  <si>
    <t xml:space="preserve">k€/MW</t>
  </si>
  <si>
    <t xml:space="preserve">Turbines</t>
  </si>
  <si>
    <t xml:space="preserve">Installation</t>
  </si>
  <si>
    <t xml:space="preserve">Foundations</t>
  </si>
  <si>
    <t xml:space="preserve">Balance of plant</t>
  </si>
  <si>
    <t xml:space="preserve">Owner's costs</t>
  </si>
  <si>
    <t xml:space="preserve">Land, easements, pre-COD lease</t>
  </si>
  <si>
    <t xml:space="preserve">Contingency</t>
  </si>
  <si>
    <t xml:space="preserve">Substation and 132 kV bay</t>
  </si>
  <si>
    <t xml:space="preserve">BESS</t>
  </si>
  <si>
    <t xml:space="preserve">Connection fees</t>
  </si>
  <si>
    <t xml:space="preserve">Municipal one-off</t>
  </si>
  <si>
    <t xml:space="preserve">Development: devex, land, signing, securities</t>
  </si>
  <si>
    <t xml:space="preserve">Financing: IDC, debt fees, guarantee fees</t>
  </si>
  <si>
    <t xml:space="preserve">All-in cost to COD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</si>
  <si>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</si>
  <si>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</si>
  <si>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</si>
  <si>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</si>
  <si>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</si>
  <si>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</si>
  <si>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</si>
  <si>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</si>
  <si>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</si>
  <si>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</si>
  <si>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</si>
  <si>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</si>
  <si>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</si>
  <si>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</si>
  <si>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</si>
  <si>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</si>
  <si>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</si>
  <si>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</si>
  <si>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</si>
  <si>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</si>
  <si>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</si>
  <si>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</si>
  <si>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Securities: cash posted and guarantee outstanding</t>
  </si>
  <si>
    <t xml:space="preserve">PB call if overbuild not built (selected regime)</t>
  </si>
  <si>
    <t xml:space="preserve">PB call if overbuild not built (full call)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</si>
  <si>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</si>
  <si>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</si>
  <si>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</si>
  <si>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</si>
  <si>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</si>
  <si>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</si>
  <si>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</si>
  <si>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</si>
  <si>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</si>
  <si>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</si>
  <si>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</si>
  <si>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</si>
  <si>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</si>
  <si>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</si>
  <si>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</si>
  <si>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</si>
  <si>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</si>
  <si>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</si>
  <si>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</si>
  <si>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</si>
  <si>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</si>
  <si>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</si>
  <si>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</si>
  <si>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</si>
  <si>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</si>
  <si>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</si>
  <si>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</si>
  <si>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</si>
  <si>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</si>
  <si>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</si>
  <si>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</si>
  <si>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</si>
  <si>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</si>
  <si>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</si>
  <si>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</si>
  <si>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</si>
  <si>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</si>
  <si>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</si>
  <si>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</si>
  <si>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</si>
  <si>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</si>
  <si>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</si>
  <si>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</si>
  <si>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</si>
  <si>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FEP NPV – hold to maturity – BORA 1</t>
  </si>
  <si>
    <t xml:space="preserve">FEP NPV – hold to maturity – BORA 2</t>
  </si>
  <si>
    <t xml:space="preserve">PB call if overbuild not built (selected regime) – BORA 1</t>
  </si>
  <si>
    <t xml:space="preserve">PB call if overbuild not built (selected regime)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</si>
  <si>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</si>
  <si>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</si>
  <si>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</si>
  <si>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</si>
  <si>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</si>
  <si>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</si>
  <si>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</si>
  <si>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</si>
  <si>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</si>
  <si>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</si>
  <si>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</si>
  <si>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</si>
  <si>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</si>
  <si>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</si>
  <si>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Nothing delivered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</si>
  <si>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</si>
  <si>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</si>
  <si>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</si>
  <si>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</si>
  <si>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</si>
  <si>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</si>
  <si>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</si>
  <si>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</si>
  <si>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</si>
  <si>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</si>
  <si>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</si>
  <si>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</si>
  <si>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</si>
  <si>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</si>
  <si>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</si>
  <si>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</si>
  <si>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</si>
  <si>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</si>
  <si>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</si>
  <si>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</si>
  <si>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</si>
  <si>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</si>
  <si>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</si>
  <si>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</si>
  <si>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</si>
  <si>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</si>
  <si>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</si>
  <si>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</si>
  <si>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</si>
  <si>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</si>
  <si>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</si>
  <si>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</si>
  <si>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</si>
  <si>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</si>
  <si>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</si>
  <si>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</si>
  <si>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</si>
  <si>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</si>
  <si>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</si>
  <si>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</si>
  <si>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</si>
  <si>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</si>
  <si>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</si>
  <si>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</si>
  <si>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</si>
  <si>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</si>
  <si>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</si>
  <si>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</si>
  <si>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</si>
  <si>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</si>
  <si>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</si>
  <si>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</si>
  <si>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</si>
  <si>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</si>
  <si>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</si>
  <si>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</si>
  <si>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</si>
  <si>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</si>
  <si>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</si>
  <si>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</si>
  <si>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</si>
  <si>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</si>
  <si>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</si>
  <si>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</si>
  <si>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</si>
  <si>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</si>
  <si>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</si>
  <si>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</si>
  <si>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</si>
  <si>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</si>
  <si>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</si>
  <si>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</si>
  <si>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</si>
  <si>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</si>
  <si>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</si>
  <si>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</si>
  <si>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</si>
  <si>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</si>
  <si>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</si>
  <si>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</si>
  <si>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</si>
  <si>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</si>
  <si>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</si>
  <si>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</si>
  <si>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</si>
  <si>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</si>
  <si>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</si>
  <si>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</si>
  <si>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</si>
  <si>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</si>
  <si>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</si>
  <si>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</si>
  <si>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</si>
  <si>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</si>
  <si>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</si>
  <si>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</si>
  <si>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</si>
  <si>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</si>
  <si>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</si>
  <si>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</si>
  <si>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</si>
  <si>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</si>
  <si>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</si>
  <si>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</si>
  <si>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</si>
  <si>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</si>
  <si>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</si>
  <si>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</si>
  <si>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</si>
  <si>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</si>
  <si>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</si>
  <si>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</si>
  <si>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</si>
  <si>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</si>
  <si>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</si>
  <si>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</si>
  <si>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</si>
  <si>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</si>
  <si>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</si>
  <si>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</si>
  <si>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</si>
  <si>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</si>
  <si>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</si>
  <si>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</si>
  <si>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</si>
  <si>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</si>
  <si>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</si>
  <si>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</si>
  <si>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</si>
  <si>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</si>
  <si>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</si>
  <si>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</si>
  <si>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</si>
  <si>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</si>
  <si>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Points commitments delivered (1 = yes)</t>
  </si>
  <si>
    <t xml:space="preserve">User 15-Oct-26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</si>
  <si>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</si>
  <si>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</si>
  <si>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</si>
  <si>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</si>
  <si>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</si>
  <si>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</si>
  <si>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</si>
  <si>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</si>
  <si>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</si>
  <si>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Turbine installation and erection</t>
  </si>
  <si>
    <t xml:space="preserve">Old engine Inputs E163</t>
  </si>
  <si>
    <t xml:space="preserve">Old engine Inputs E164</t>
  </si>
  <si>
    <t xml:space="preserve">Balance of plant (civil 70, electrical 60)</t>
  </si>
  <si>
    <t xml:space="preserve">Old engine Inputs E165:E166</t>
  </si>
  <si>
    <t xml:space="preserve">Owner's costs, engineering, construction insurance</t>
  </si>
  <si>
    <t xml:space="preserve">Old engine Inputs E169</t>
  </si>
  <si>
    <t xml:space="preserve">Land purchase and easements</t>
  </si>
  <si>
    <t xml:space="preserve">Old engine Inputs 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</si>
  <si>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</si>
  <si>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</si>
  <si>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</si>
  <si>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</si>
  <si>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</si>
  <si>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</si>
  <si>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</si>
  <si>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EUR k/MWh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</si>
  <si>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</si>
  <si>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</si>
  <si>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</si>
  <si>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</si>
  <si>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</si>
  <si>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</si>
  <si>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</si>
  <si>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</si>
  <si>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</si>
  <si>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</si>
  <si>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</si>
  <si>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</si>
  <si>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</si>
  <si>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</si>
  <si>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</si>
  <si>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</si>
  <si>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</si>
  <si>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</si>
  <si>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</si>
  <si>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</si>
  <si>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</si>
  <si>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</si>
  <si>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</si>
  <si>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</si>
  <si>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</si>
  <si>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</si>
  <si>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</si>
  <si>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</si>
  <si>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</si>
  <si>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</si>
  <si>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</si>
  <si>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</si>
  <si>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</si>
  <si>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</si>
  <si>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</si>
  <si>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</si>
  <si>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</si>
  <si>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</si>
  <si>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</si>
  <si>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</si>
  <si>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</si>
  <si>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</si>
  <si>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</si>
  <si>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</si>
  <si>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</si>
  <si>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</si>
  <si>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</si>
  <si>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</si>
  <si>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</si>
  <si>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</si>
  <si>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</si>
  <si>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</si>
  <si>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</si>
  <si>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</si>
  <si>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</si>
  <si>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</si>
  <si>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</si>
  <si>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</si>
  <si>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</si>
  <si>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</si>
  <si>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</si>
  <si>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</si>
  <si>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</si>
  <si>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</si>
  <si>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</si>
  <si>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</si>
  <si>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</si>
  <si>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</si>
  <si>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</si>
  <si>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</si>
  <si>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</si>
  <si>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</si>
  <si>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</si>
  <si>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</si>
  <si>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</si>
  <si>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</si>
  <si>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</si>
  <si>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</si>
  <si>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</si>
  <si>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</si>
  <si>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</si>
  <si>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</si>
  <si>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</si>
  <si>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</si>
  <si>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</si>
  <si>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</si>
  <si>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</si>
  <si>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</si>
  <si>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</si>
  <si>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</si>
  <si>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</si>
  <si>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</si>
  <si>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</si>
  <si>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</si>
  <si>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</si>
  <si>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</si>
  <si>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</si>
  <si>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</si>
  <si>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</si>
  <si>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</si>
  <si>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</si>
  <si>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</si>
  <si>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</si>
  <si>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</si>
  <si>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</si>
  <si>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</si>
  <si>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</si>
  <si>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</si>
  <si>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</si>
  <si>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</si>
  <si>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</si>
  <si>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</si>
  <si>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</si>
  <si>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</si>
  <si>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</si>
  <si>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</si>
  <si>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</si>
  <si>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</si>
  <si>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</si>
  <si>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</si>
  <si>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</si>
  <si>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</si>
  <si>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</si>
  <si>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</si>
  <si>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</si>
  <si>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</si>
  <si>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</si>
  <si>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</si>
  <si>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</si>
  <si>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</si>
  <si>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</si>
  <si>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</si>
  <si>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</si>
  <si>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</si>
  <si>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</si>
  <si>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</si>
  <si>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</si>
  <si>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</si>
  <si>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</si>
  <si>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</si>
  <si>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</si>
  <si>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</si>
  <si>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</si>
  <si>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</si>
  <si>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</si>
  <si>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</si>
  <si>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</si>
  <si>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</si>
  <si>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</si>
  <si>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</si>
  <si>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</si>
  <si>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</si>
  <si>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</si>
  <si>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</si>
  <si>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</si>
  <si>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Devex, land and contingency by calendar year (at Q4)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</si>
  <si>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</si>
  <si>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</si>
  <si>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</si>
  <si>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</si>
  <si>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</si>
  <si>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</si>
  <si>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</si>
  <si>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</si>
  <si>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</si>
  <si>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</si>
  <si>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</si>
  <si>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</si>
  <si>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</si>
  <si>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</si>
  <si>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</si>
  <si>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</si>
  <si>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</si>
  <si>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</si>
  <si>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</si>
  <si>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</si>
  <si>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</si>
  <si>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</si>
  <si>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</si>
  <si>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Chinese equipment bought (1 = yes)</t>
  </si>
  <si>
    <t xml:space="preserve">Wind capex per built MW (E: turbine bought; F: other)</t>
  </si>
  <si>
    <t xml:space="preserve">Substation and 132 kV bay, as bought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</si>
  <si>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</si>
  <si>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</si>
  <si>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</si>
  <si>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</si>
  <si>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</si>
  <si>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</si>
  <si>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</si>
  <si>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</si>
  <si>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</si>
  <si>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</si>
  <si>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</si>
  <si>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</si>
  <si>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</si>
  <si>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</si>
  <si>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</si>
  <si>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</si>
  <si>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</si>
  <si>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</si>
  <si>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</si>
  <si>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</si>
  <si>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</si>
  <si>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</si>
  <si>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</si>
  <si>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</si>
  <si>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</si>
  <si>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</si>
  <si>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</si>
  <si>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</si>
  <si>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</si>
  <si>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</si>
  <si>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</si>
  <si>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</si>
  <si>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</si>
  <si>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</si>
  <si>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</si>
  <si>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</si>
  <si>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</si>
  <si>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</si>
  <si>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</si>
  <si>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</si>
  <si>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</si>
  <si>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</si>
  <si>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</si>
  <si>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</si>
  <si>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</si>
  <si>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</si>
  <si>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</si>
  <si>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</si>
  <si>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</si>
  <si>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</si>
  <si>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</si>
  <si>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</si>
  <si>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</si>
  <si>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</si>
  <si>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</si>
  <si>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</si>
  <si>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Capex breakdown to COD (two items per row)</t>
  </si>
  <si>
    <t xml:space="preserve">Turbines (E), installation (F)</t>
  </si>
  <si>
    <t xml:space="preserve">Foundations (E), balance of plant (F)</t>
  </si>
  <si>
    <t xml:space="preserve">Owner's costs (E), land, easements and pre-COD lease (F)</t>
  </si>
  <si>
    <t xml:space="preserve">Contingency (E), substation and 132 kV bay (F)</t>
  </si>
  <si>
    <t xml:space="preserve">BESS (E), connection fees (F)</t>
  </si>
  <si>
    <t xml:space="preserve">Municipal one-off (E), development: devex, land, signing, securities (F)</t>
  </si>
  <si>
    <t xml:space="preserve">All-in cost to COD (E: uses, F: sources)</t>
  </si>
  <si>
    <t xml:space="preserve">Funding: construction equity (E: capex, lease less debt), debt fees (F)</t>
  </si>
  <si>
    <t xml:space="preserve">Commitment</t>
  </si>
  <si>
    <t xml:space="preserve">Total commitment: all-in cost to COD and guarantee</t>
  </si>
  <si>
    <t xml:space="preserve">Penalty if overbuild not built, a call on the PB (F: full call)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</si>
  <si>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</si>
  <si>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</si>
  <si>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</si>
  <si>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</si>
  <si>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</si>
  <si>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</si>
  <si>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</si>
  <si>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</si>
  <si>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</si>
  <si>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</si>
  <si>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</si>
  <si>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</si>
  <si>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</si>
  <si>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</si>
  <si>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</si>
  <si>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</si>
  <si>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</si>
  <si>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</si>
  <si>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</si>
  <si>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</si>
  <si>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</si>
  <si>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Funding table: cumulative cash = FEP contributions to COD (both bids)</t>
  </si>
  <si>
    <t xml:space="preserve">Capex breakdown sums to the all-in cost to COD (both bids)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</si>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</sst>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3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3</v>
      </c>
      <c r="H13" s="13" t="s">
        <v>33</v>
      </c>
      <c r="I13" s="14" t="n">
        <f aca="false">Calc_1!$F$31</f>
        <v>15</v>
      </c>
      <c r="J13" s="14" t="n">
        <f aca="false">Calc_2!$F$31</f>
        <v>15</v>
      </c>
      <c r="K13" s="15" t="n">
        <v>0</v>
      </c>
      <c r="L13" s="15" t="n">
        <v>0</v>
      </c>
      <c r="M13" s="16" t="n">
        <v>-0.0256631536392726</v>
      </c>
      <c r="N13" s="16" t="n">
        <v>-0.0256631536392726</v>
      </c>
      <c r="O13" s="16" t="n">
        <v>-0.00608428062140405</v>
      </c>
      <c r="P13" s="16" t="n">
        <v>-0.00608428062140405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0.51</v>
      </c>
      <c r="H14" s="13" t="s">
        <v>36</v>
      </c>
      <c r="I14" s="14" t="n">
        <f aca="false">Calc_1!$F$32</f>
        <v>10</v>
      </c>
      <c r="J14" s="14" t="n">
        <f aca="false">Calc_2!$F$32</f>
        <v>10</v>
      </c>
      <c r="K14" s="15" t="n">
        <v>-0.472016523939481</v>
      </c>
      <c r="L14" s="15" t="n">
        <v>-0.472016523939481</v>
      </c>
      <c r="M14" s="16" t="n">
        <v>-0.0114884312103539</v>
      </c>
      <c r="N14" s="16" t="n">
        <v>-0.0114884312103539</v>
      </c>
      <c r="O14" s="16" t="n">
        <v>-0.00245398179669998</v>
      </c>
      <c r="P14" s="16" t="n">
        <v>-0.00245398179669998</v>
      </c>
      <c r="Q14" s="15" t="n">
        <v>1.41821917808219</v>
      </c>
      <c r="R14" s="15" t="n">
        <v>1.41821917808219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0.51</v>
      </c>
      <c r="H15" s="13" t="s">
        <v>39</v>
      </c>
      <c r="I15" s="14" t="n">
        <f aca="false">Calc_1!$F$33</f>
        <v>15</v>
      </c>
      <c r="J15" s="14" t="n">
        <f aca="false">Calc_2!$F$33</f>
        <v>15</v>
      </c>
      <c r="K15" s="15" t="n">
        <v>-0.370742740110629</v>
      </c>
      <c r="L15" s="15" t="n">
        <v>-0.370742740110629</v>
      </c>
      <c r="M15" s="16" t="n">
        <v>-0.102442043254027</v>
      </c>
      <c r="N15" s="16" t="n">
        <v>-0.102442043254027</v>
      </c>
      <c r="O15" s="16" t="n">
        <v>-0.0191443123610924</v>
      </c>
      <c r="P15" s="16" t="n">
        <v>-0.0191443123610924</v>
      </c>
      <c r="Q15" s="15" t="n">
        <v>2.79452054794521</v>
      </c>
      <c r="R15" s="15" t="n">
        <v>2.79452054794521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85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Calc_1!$I153/Thousand</f>
        <v>6.54675873853232</v>
      </c>
      <c r="F26" s="28" t="n">
        <f aca="false">Calc_2!$I153/Thousand</f>
        <v>6.54675873853232</v>
      </c>
      <c r="H26" s="15" t="n">
        <v>7.38951800258242</v>
      </c>
      <c r="I26" s="15" t="n">
        <v>-0.842759264050099</v>
      </c>
      <c r="J26" s="15" t="n">
        <v>-0.842759264050099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Calc_1!$E155</f>
        <v>0.221510760619134</v>
      </c>
      <c r="F27" s="26" t="n">
        <f aca="false">Calc_2!$E155</f>
        <v>0.221510760619134</v>
      </c>
      <c r="H27" s="29" t="n">
        <v>0.257826283818653</v>
      </c>
      <c r="I27" s="29" t="n">
        <v>-0.0363155231995194</v>
      </c>
      <c r="J27" s="29" t="n">
        <v>-0.0363155231995194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Calc_1!$E172</f>
        <v>0.339207407992561</v>
      </c>
      <c r="F28" s="26" t="n">
        <f aca="false">Calc_2!$E172</f>
        <v>0.339207407992561</v>
      </c>
      <c r="H28" s="29" t="n">
        <v>0.495635416758283</v>
      </c>
      <c r="I28" s="29" t="n">
        <v>-0.156428008765722</v>
      </c>
      <c r="J28" s="29" t="n">
        <v>-0.156428008765722</v>
      </c>
      <c r="T28" s="13" t="s">
        <v>78</v>
      </c>
      <c r="U28" s="11" t="s">
        <v>41</v>
      </c>
      <c r="V28" s="20" t="n">
        <f aca="false">In_Delivered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Calc_1!$E174/Thousand</f>
        <v>26.530583975982</v>
      </c>
      <c r="F29" s="28" t="n">
        <f aca="false">Calc_2!$E174/Thousand</f>
        <v>26.530583975982</v>
      </c>
      <c r="H29" s="15" t="n">
        <v>44.6105521842832</v>
      </c>
      <c r="I29" s="15" t="n">
        <v>-18.0799682083012</v>
      </c>
      <c r="J29" s="15" t="n">
        <v>-18.0799682083012</v>
      </c>
      <c r="T29" s="13" t="s">
        <v>80</v>
      </c>
      <c r="U29" s="11" t="s">
        <v>41</v>
      </c>
      <c r="V29" s="20" t="n">
        <f aca="false">In_Sanction_Regime</f>
        <v>1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Calc_1!$E192</f>
        <v>0.0887506658196496</v>
      </c>
      <c r="F30" s="26" t="n">
        <f aca="false">Calc_2!$E192</f>
        <v>0.0887506658196496</v>
      </c>
      <c r="H30" s="29" t="n">
        <v>0.118654233690466</v>
      </c>
      <c r="I30" s="29" t="n">
        <v>-0.0299035678708159</v>
      </c>
      <c r="J30" s="29" t="n">
        <v>-0.0299035678708159</v>
      </c>
      <c r="T30" s="13" t="s">
        <v>82</v>
      </c>
      <c r="U30" s="11" t="s">
        <v>41</v>
      </c>
      <c r="V30" s="20" t="n">
        <f aca="false">In_OSZ4_Basis</f>
        <v>0</v>
      </c>
    </row>
    <row r="31" customFormat="false" ht="15" hidden="false" customHeight="false" outlineLevel="0" collapsed="false">
      <c r="C31" s="0" t="s">
        <v>83</v>
      </c>
      <c r="D31" s="11" t="s">
        <v>73</v>
      </c>
      <c r="E31" s="28" t="n">
        <f aca="false">Calc_1!$E194/Thousand</f>
        <v>8.14180305533397</v>
      </c>
      <c r="F31" s="28" t="n">
        <f aca="false">Calc_2!$E194/Thousand</f>
        <v>8.14180305533397</v>
      </c>
      <c r="H31" s="15" t="n">
        <v>31.4248287787171</v>
      </c>
      <c r="I31" s="15" t="n">
        <v>-23.2830257233831</v>
      </c>
      <c r="J31" s="15" t="n">
        <v>-23.2830257233831</v>
      </c>
    </row>
    <row r="32" customFormat="false" ht="15" hidden="false" customHeight="false" outlineLevel="0" collapsed="false">
      <c r="C32" s="30" t="s">
        <v>84</v>
      </c>
      <c r="D32" s="11" t="s">
        <v>73</v>
      </c>
      <c r="E32" s="31" t="n">
        <f aca="false">Calc_1!$E187/Thousand</f>
        <v>179.728594789817</v>
      </c>
      <c r="F32" s="31" t="n">
        <f aca="false">Calc_2!$E187/Thousand</f>
        <v>179.728594789817</v>
      </c>
      <c r="H32" s="15" t="n">
        <v>147.799682151735</v>
      </c>
      <c r="I32" s="15" t="n">
        <v>31.9289126380823</v>
      </c>
      <c r="J32" s="15" t="n">
        <v>31.9289126380823</v>
      </c>
    </row>
    <row r="34" customFormat="false" ht="15" hidden="false" customHeight="false" outlineLevel="0" collapsed="false">
      <c r="A34" s="9" t="s">
        <v>13</v>
      </c>
      <c r="B34" s="9"/>
      <c r="C34" s="9" t="s">
        <v>85</v>
      </c>
      <c r="D34" s="9"/>
      <c r="E34" s="10" t="s">
        <v>86</v>
      </c>
      <c r="F34" s="10" t="s">
        <v>87</v>
      </c>
      <c r="G34" s="9"/>
      <c r="H34" s="10" t="s">
        <v>88</v>
      </c>
      <c r="I34" s="10" t="s">
        <v>89</v>
      </c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90</v>
      </c>
      <c r="D35" s="11" t="s">
        <v>73</v>
      </c>
      <c r="E35" s="27" t="n">
        <f aca="false">In_Invest_Date</f>
        <v>46234</v>
      </c>
      <c r="F35" s="28" t="n">
        <f aca="false">-(Calc_1!$I46+Calc_2!$I46)/Thousand</f>
        <v>0.8</v>
      </c>
      <c r="I35" s="28" t="n">
        <f aca="false">F35</f>
        <v>0.8</v>
      </c>
    </row>
    <row r="36" customFormat="false" ht="15" hidden="false" customHeight="false" outlineLevel="0" collapsed="false">
      <c r="C36" s="0" t="s">
        <v>91</v>
      </c>
      <c r="D36" s="11" t="s">
        <v>73</v>
      </c>
      <c r="E36" s="27" t="n">
        <f aca="false">In_Bid_Date</f>
        <v>46325</v>
      </c>
      <c r="F36" s="28" t="n">
        <f aca="false">(Calc_1!$E47+Calc_2!$E47)/Thousand</f>
        <v>0.0164383561643836</v>
      </c>
      <c r="H36" s="28" t="n">
        <f aca="false">(Calc_1!$E48+Calc_2!$E48)/Thousand</f>
        <v>2.79742465753425</v>
      </c>
      <c r="I36" s="28" t="n">
        <f aca="false">F36+I35</f>
        <v>0.816438356164384</v>
      </c>
    </row>
    <row r="37" customFormat="false" ht="15" hidden="false" customHeight="false" outlineLevel="0" collapsed="false">
      <c r="C37" s="0" t="s">
        <v>92</v>
      </c>
      <c r="D37" s="11" t="s">
        <v>73</v>
      </c>
      <c r="E37" s="27" t="n">
        <f aca="false">Calc_1!$F$49</f>
        <v>46384</v>
      </c>
      <c r="H37" s="28" t="n">
        <f aca="false">(Calc_1!$E49+Calc_2!$E49)/Thousand</f>
        <v>13.9871232876712</v>
      </c>
      <c r="I37" s="28" t="n">
        <f aca="false">F37+I36</f>
        <v>0.816438356164384</v>
      </c>
    </row>
    <row r="38" customFormat="false" ht="15" hidden="false" customHeight="false" outlineLevel="0" collapsed="false">
      <c r="C38" s="0" t="s">
        <v>93</v>
      </c>
      <c r="D38" s="11" t="s">
        <v>73</v>
      </c>
      <c r="E38" s="27" t="n">
        <f aca="false">In_TSO_Date</f>
        <v>46386</v>
      </c>
      <c r="F38" s="28" t="n">
        <f aca="false">(Calc_1!$E50+Calc_2!$E50)/Thousand</f>
        <v>2.46575342465753</v>
      </c>
      <c r="I38" s="28" t="n">
        <f aca="false">F38+I37</f>
        <v>3.28219178082192</v>
      </c>
    </row>
    <row r="39" customFormat="false" ht="15" hidden="false" customHeight="false" outlineLevel="0" collapsed="false">
      <c r="C39" s="0" t="s">
        <v>94</v>
      </c>
      <c r="D39" s="11" t="s">
        <v>73</v>
      </c>
      <c r="E39" s="27" t="n">
        <f aca="false">Calc_1!K$4</f>
        <v>46387</v>
      </c>
      <c r="F39" s="28" t="n">
        <f aca="false">-(Calc_1!K58+Calc_2!K58)/Thousand</f>
        <v>0.357041095890411</v>
      </c>
      <c r="I39" s="28" t="n">
        <f aca="false">F39+I38</f>
        <v>3.63923287671233</v>
      </c>
    </row>
    <row r="40" customFormat="false" ht="15" hidden="false" customHeight="false" outlineLevel="0" collapsed="false">
      <c r="C40" s="0" t="s">
        <v>95</v>
      </c>
      <c r="D40" s="11" t="s">
        <v>73</v>
      </c>
      <c r="E40" s="27" t="n">
        <f aca="false">Calc_1!O$4</f>
        <v>46752</v>
      </c>
      <c r="F40" s="28" t="n">
        <f aca="false">-(Calc_1!O58+Calc_2!O58)/Thousand</f>
        <v>1.72095479452055</v>
      </c>
      <c r="I40" s="28" t="n">
        <f aca="false">F40+I39</f>
        <v>5.36018767123288</v>
      </c>
    </row>
    <row r="41" customFormat="false" ht="15" hidden="false" customHeight="false" outlineLevel="0" collapsed="false">
      <c r="C41" s="0" t="s">
        <v>96</v>
      </c>
      <c r="D41" s="11" t="s">
        <v>73</v>
      </c>
      <c r="E41" s="27" t="n">
        <f aca="false">Calc_1!S$4</f>
        <v>47118</v>
      </c>
      <c r="F41" s="28" t="n">
        <f aca="false">-(Calc_1!S58+Calc_2!S58)/Thousand</f>
        <v>3.55193806503774</v>
      </c>
      <c r="I41" s="28" t="n">
        <f aca="false">F41+I40</f>
        <v>8.91212573627062</v>
      </c>
    </row>
    <row r="42" customFormat="false" ht="15" hidden="false" customHeight="false" outlineLevel="0" collapsed="false">
      <c r="C42" s="0" t="s">
        <v>97</v>
      </c>
      <c r="D42" s="11" t="s">
        <v>73</v>
      </c>
      <c r="E42" s="27" t="n">
        <f aca="false">In_HCSSZ_Date</f>
        <v>47126</v>
      </c>
      <c r="F42" s="28" t="n">
        <f aca="false">-(Calc_1!$I53+Calc_2!$I53)/Thousand</f>
        <v>40.3587748164384</v>
      </c>
      <c r="I42" s="28" t="n">
        <f aca="false">F42+I41</f>
        <v>49.270900552709</v>
      </c>
    </row>
    <row r="43" customFormat="false" ht="15" hidden="false" customHeight="false" outlineLevel="0" collapsed="false">
      <c r="C43" s="0" t="s">
        <v>98</v>
      </c>
      <c r="D43" s="11" t="s">
        <v>73</v>
      </c>
      <c r="E43" s="27" t="n">
        <f aca="false">Calc_1!W$4</f>
        <v>47483</v>
      </c>
      <c r="F43" s="28" t="n">
        <f aca="false">-(Calc_1!W58+Calc_2!W58)/Thousand</f>
        <v>0.609315068493151</v>
      </c>
      <c r="I43" s="28" t="n">
        <f aca="false">F43+I42</f>
        <v>49.8802156212021</v>
      </c>
    </row>
    <row r="44" customFormat="false" ht="15" hidden="false" customHeight="false" outlineLevel="0" collapsed="false">
      <c r="C44" s="0" t="s">
        <v>99</v>
      </c>
      <c r="D44" s="11" t="s">
        <v>73</v>
      </c>
      <c r="E44" s="27" t="n">
        <f aca="false">In_COD</f>
        <v>48121</v>
      </c>
      <c r="F44" s="28" t="n">
        <f aca="false">(Calc_1!$E184+Calc_2!$E184)/Thousand</f>
        <v>77.6417176466245</v>
      </c>
      <c r="I44" s="28" t="n">
        <f aca="false">F44+I43</f>
        <v>127.521933267827</v>
      </c>
    </row>
    <row r="45" customFormat="false" ht="15" hidden="false" customHeight="false" outlineLevel="0" collapsed="false">
      <c r="C45" s="0" t="s">
        <v>100</v>
      </c>
      <c r="D45" s="11" t="s">
        <v>73</v>
      </c>
      <c r="E45" s="27" t="n">
        <f aca="false">In_COD</f>
        <v>48121</v>
      </c>
      <c r="F45" s="28" t="n">
        <f aca="false">(Calc_1!$F184+Calc_2!$F184)/Thousand</f>
        <v>5.25278060479041</v>
      </c>
      <c r="I45" s="28" t="n">
        <f aca="false">F45+I44</f>
        <v>132.774713872617</v>
      </c>
    </row>
    <row r="46" customFormat="false" ht="15" hidden="false" customHeight="false" outlineLevel="0" collapsed="false">
      <c r="C46" s="0" t="s">
        <v>101</v>
      </c>
      <c r="D46" s="11" t="s">
        <v>73</v>
      </c>
      <c r="E46" s="27" t="n">
        <f aca="false">In_COD</f>
        <v>48121</v>
      </c>
      <c r="F46" s="28" t="n">
        <f aca="false">-(Calc_1!$F59+Calc_2!$F59)/Thousand</f>
        <v>4.02323314993432</v>
      </c>
      <c r="I46" s="28" t="n">
        <f aca="false">F46+I45</f>
        <v>136.797947022551</v>
      </c>
    </row>
    <row r="47" customFormat="false" ht="15" hidden="false" customHeight="false" outlineLevel="0" collapsed="false">
      <c r="C47" s="0" t="s">
        <v>102</v>
      </c>
      <c r="D47" s="11" t="s">
        <v>73</v>
      </c>
      <c r="E47" s="27" t="n">
        <f aca="false">In_COD</f>
        <v>48121</v>
      </c>
      <c r="F47" s="28" t="n">
        <f aca="false">-(Calc_1!$I96+Calc_2!$I96)/Thousand</f>
        <v>10</v>
      </c>
      <c r="I47" s="28" t="n">
        <f aca="false">F47+I46</f>
        <v>146.797947022551</v>
      </c>
    </row>
    <row r="48" customFormat="false" ht="15" hidden="false" customHeight="false" outlineLevel="0" collapsed="false">
      <c r="C48" s="30" t="s">
        <v>103</v>
      </c>
      <c r="D48" s="11" t="s">
        <v>73</v>
      </c>
      <c r="F48" s="31" t="n">
        <f aca="false">-(Calc_1!$I160+Calc_2!$I160)/Thousand</f>
        <v>146.797947022551</v>
      </c>
      <c r="H48" s="31" t="n">
        <f aca="false">(Calc_1!$E49+Calc_2!$E49)/Thousand</f>
        <v>13.9871232876712</v>
      </c>
    </row>
    <row r="50" customFormat="false" ht="15" hidden="false" customHeight="false" outlineLevel="0" collapsed="false">
      <c r="A50" s="9" t="s">
        <v>13</v>
      </c>
      <c r="B50" s="9"/>
      <c r="C50" s="9" t="s">
        <v>104</v>
      </c>
      <c r="D50" s="9"/>
      <c r="E50" s="10" t="s">
        <v>105</v>
      </c>
      <c r="F50" s="10" t="s">
        <v>106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customFormat="false" ht="15" hidden="false" customHeight="false" outlineLevel="0" collapsed="false">
      <c r="C51" s="0" t="s">
        <v>107</v>
      </c>
      <c r="D51" s="11" t="s">
        <v>73</v>
      </c>
      <c r="E51" s="32" t="n">
        <f aca="false">(Calc_1!$E176+Calc_2!$E176)/Thousand</f>
        <v>120</v>
      </c>
      <c r="F51" s="33" t="n">
        <f aca="false">(Calc_1!$E176+Calc_2!$E176)/(Calc_1!$F24+Calc_2!$F24)</f>
        <v>600</v>
      </c>
    </row>
    <row r="52" customFormat="false" ht="15" hidden="false" customHeight="false" outlineLevel="0" collapsed="false">
      <c r="C52" s="0" t="s">
        <v>108</v>
      </c>
      <c r="D52" s="11" t="s">
        <v>73</v>
      </c>
      <c r="E52" s="32" t="n">
        <f aca="false">(Calc_1!$F176+Calc_2!$F176)/Thousand</f>
        <v>16</v>
      </c>
      <c r="F52" s="33" t="n">
        <f aca="false">(Calc_1!$F176+Calc_2!$F176)/(Calc_1!$F24+Calc_2!$F24)</f>
        <v>80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2" t="n">
        <f aca="false">(Calc_1!$E177+Calc_2!$E177)/Thousand</f>
        <v>18</v>
      </c>
      <c r="F53" s="33" t="n">
        <f aca="false">(Calc_1!$E177+Calc_2!$E177)/(Calc_1!$F24+Calc_2!$F24)</f>
        <v>90</v>
      </c>
    </row>
    <row r="54" customFormat="false" ht="15" hidden="false" customHeight="false" outlineLevel="0" collapsed="false">
      <c r="C54" s="0" t="s">
        <v>110</v>
      </c>
      <c r="D54" s="11" t="s">
        <v>73</v>
      </c>
      <c r="E54" s="32" t="n">
        <f aca="false">(Calc_1!$F177+Calc_2!$F177)/Thousand</f>
        <v>26</v>
      </c>
      <c r="F54" s="33" t="n">
        <f aca="false">(Calc_1!$F177+Calc_2!$F177)/(Calc_1!$F24+Calc_2!$F24)</f>
        <v>130</v>
      </c>
    </row>
    <row r="55" customFormat="false" ht="15" hidden="false" customHeight="false" outlineLevel="0" collapsed="false">
      <c r="C55" s="0" t="s">
        <v>111</v>
      </c>
      <c r="D55" s="11" t="s">
        <v>73</v>
      </c>
      <c r="E55" s="32" t="n">
        <f aca="false">(Calc_1!$E178+Calc_2!$E178)/Thousand</f>
        <v>8</v>
      </c>
      <c r="F55" s="33" t="n">
        <f aca="false">(Calc_1!$E178+Calc_2!$E178)/(Calc_1!$F24+Calc_2!$F24)</f>
        <v>40</v>
      </c>
    </row>
    <row r="56" customFormat="false" ht="15" hidden="false" customHeight="false" outlineLevel="0" collapsed="false">
      <c r="C56" s="0" t="s">
        <v>112</v>
      </c>
      <c r="D56" s="11" t="s">
        <v>73</v>
      </c>
      <c r="E56" s="32" t="n">
        <f aca="false">(Calc_1!$F178+Calc_2!$F178)/Thousand</f>
        <v>4.23698253648758</v>
      </c>
      <c r="F56" s="33" t="n">
        <f aca="false">(Calc_1!$F178+Calc_2!$F178)/(Calc_1!$F24+Calc_2!$F24)</f>
        <v>21.1849126824379</v>
      </c>
    </row>
    <row r="57" customFormat="false" ht="15" hidden="false" customHeight="false" outlineLevel="0" collapsed="false">
      <c r="C57" s="0" t="s">
        <v>113</v>
      </c>
      <c r="D57" s="11" t="s">
        <v>73</v>
      </c>
      <c r="E57" s="32" t="n">
        <f aca="false">(Calc_1!$E179+Calc_2!$E179)/Thousand</f>
        <v>10.75</v>
      </c>
      <c r="F57" s="33" t="n">
        <f aca="false">(Calc_1!$E179+Calc_2!$E179)/(Calc_1!$F24+Calc_2!$F24)</f>
        <v>53.75</v>
      </c>
    </row>
    <row r="58" customFormat="false" ht="15" hidden="false" customHeight="false" outlineLevel="0" collapsed="false">
      <c r="C58" s="0" t="s">
        <v>114</v>
      </c>
      <c r="D58" s="11" t="s">
        <v>73</v>
      </c>
      <c r="E58" s="32" t="n">
        <f aca="false">(Calc_1!$F179+Calc_2!$F179)/Thousand</f>
        <v>24</v>
      </c>
      <c r="F58" s="33" t="n">
        <f aca="false">(Calc_1!$F179+Calc_2!$F179)/(Calc_1!$F24+Calc_2!$F24)</f>
        <v>120</v>
      </c>
    </row>
    <row r="59" customFormat="false" ht="15" hidden="false" customHeight="false" outlineLevel="0" collapsed="false">
      <c r="C59" s="0" t="s">
        <v>115</v>
      </c>
      <c r="D59" s="11" t="s">
        <v>73</v>
      </c>
      <c r="E59" s="32" t="n">
        <f aca="false">(Calc_1!$E180+Calc_2!$E180)/Thousand</f>
        <v>40.8</v>
      </c>
      <c r="F59" s="33" t="n">
        <f aca="false">(Calc_1!$E180+Calc_2!$E180)/(Calc_1!$F24+Calc_2!$F24)</f>
        <v>204</v>
      </c>
    </row>
    <row r="60" customFormat="false" ht="15" hidden="false" customHeight="false" outlineLevel="0" collapsed="false">
      <c r="C60" s="0" t="s">
        <v>116</v>
      </c>
      <c r="D60" s="11" t="s">
        <v>73</v>
      </c>
      <c r="E60" s="32" t="n">
        <f aca="false">(Calc_1!$F180+Calc_2!$F180)/Thousand</f>
        <v>40.3587748164384</v>
      </c>
      <c r="F60" s="33" t="n">
        <f aca="false">(Calc_1!$F180+Calc_2!$F180)/(Calc_1!$F24+Calc_2!$F24)</f>
        <v>201.793874082192</v>
      </c>
    </row>
    <row r="61" customFormat="false" ht="15" hidden="false" customHeight="false" outlineLevel="0" collapsed="false">
      <c r="C61" s="0" t="s">
        <v>117</v>
      </c>
      <c r="D61" s="11" t="s">
        <v>73</v>
      </c>
      <c r="E61" s="32" t="n">
        <f aca="false">(Calc_1!$E181+Calc_2!$E181)/Thousand</f>
        <v>10</v>
      </c>
      <c r="F61" s="33" t="n">
        <f aca="false">(Calc_1!$E181+Calc_2!$E181)/(Calc_1!$F24+Calc_2!$F24)</f>
        <v>50</v>
      </c>
    </row>
    <row r="62" customFormat="false" ht="15" hidden="false" customHeight="false" outlineLevel="0" collapsed="false">
      <c r="C62" s="0" t="s">
        <v>118</v>
      </c>
      <c r="D62" s="11" t="s">
        <v>73</v>
      </c>
      <c r="E62" s="32" t="n">
        <f aca="false">(Calc_1!$F181+Calc_2!$F181)/Thousand</f>
        <v>9.52144080476377</v>
      </c>
      <c r="F62" s="33" t="n">
        <f aca="false">(Calc_1!$F181+Calc_2!$F181)/(Calc_1!$F24+Calc_2!$F24)</f>
        <v>47.6072040238188</v>
      </c>
    </row>
    <row r="63" customFormat="false" ht="15" hidden="false" customHeight="false" outlineLevel="0" collapsed="false">
      <c r="C63" s="0" t="s">
        <v>119</v>
      </c>
      <c r="D63" s="11" t="s">
        <v>73</v>
      </c>
      <c r="E63" s="32" t="n">
        <f aca="false">(Calc_1!$E182+Calc_2!$E182)/Thousand</f>
        <v>17.8028681342734</v>
      </c>
      <c r="F63" s="33" t="n">
        <f aca="false">(Calc_1!$E182+Calc_2!$E182)/(Calc_1!$F24+Calc_2!$F24)</f>
        <v>89.0143406713672</v>
      </c>
    </row>
    <row r="64" customFormat="false" ht="15" hidden="false" customHeight="false" outlineLevel="0" collapsed="false">
      <c r="C64" s="30" t="s">
        <v>120</v>
      </c>
      <c r="D64" s="11" t="s">
        <v>73</v>
      </c>
      <c r="E64" s="34" t="n">
        <f aca="false">(Calc_1!$E183+Calc_2!$E183)/Thousand</f>
        <v>345.470066291963</v>
      </c>
      <c r="F64" s="35" t="n">
        <f aca="false">(Calc_1!$E183+Calc_2!$E183)/(Calc_1!$F24+Calc_2!$F24)</f>
        <v>1727.35033145982</v>
      </c>
    </row>
    <row r="66" customFormat="false" ht="15" hidden="false" customHeight="false" outlineLevel="0" collapsed="false">
      <c r="A66" s="9" t="s">
        <v>13</v>
      </c>
      <c r="B66" s="9"/>
      <c r="C66" s="9" t="s">
        <v>121</v>
      </c>
      <c r="D66" s="9"/>
      <c r="E66" s="10" t="s">
        <v>9</v>
      </c>
      <c r="F66" s="10" t="s">
        <v>10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customFormat="false" ht="15" hidden="false" customHeight="false" outlineLevel="0" collapsed="false">
      <c r="C67" s="0" t="s">
        <v>122</v>
      </c>
      <c r="D67" s="11" t="s">
        <v>123</v>
      </c>
      <c r="E67" s="25" t="n">
        <f aca="false">Calc_1!$E24</f>
        <v>151</v>
      </c>
      <c r="F67" s="25" t="n">
        <f aca="false">Calc_2!$E24</f>
        <v>151</v>
      </c>
    </row>
    <row r="68" customFormat="false" ht="15" hidden="false" customHeight="false" outlineLevel="0" collapsed="false">
      <c r="C68" s="0" t="s">
        <v>124</v>
      </c>
      <c r="D68" s="11" t="s">
        <v>123</v>
      </c>
      <c r="E68" s="25" t="n">
        <f aca="false">Calc_1!$F24</f>
        <v>100</v>
      </c>
      <c r="F68" s="25" t="n">
        <f aca="false">Calc_2!$F24</f>
        <v>100</v>
      </c>
    </row>
    <row r="69" customFormat="false" ht="15" hidden="false" customHeight="false" outlineLevel="0" collapsed="false">
      <c r="C69" s="0" t="s">
        <v>125</v>
      </c>
      <c r="D69" s="11" t="s">
        <v>123</v>
      </c>
      <c r="E69" s="25" t="n">
        <f aca="false">Calc_1!$E25</f>
        <v>51</v>
      </c>
      <c r="F69" s="25" t="n">
        <f aca="false">Calc_2!$E25</f>
        <v>51</v>
      </c>
    </row>
    <row r="70" customFormat="false" ht="15" hidden="false" customHeight="false" outlineLevel="0" collapsed="false">
      <c r="C70" s="0" t="s">
        <v>126</v>
      </c>
      <c r="D70" s="11" t="s">
        <v>41</v>
      </c>
      <c r="E70" s="36" t="str">
        <f aca="false">IF(Calc_1!$E42=0,"OK","CHECK")</f>
        <v>OK</v>
      </c>
      <c r="F70" s="36" t="str">
        <f aca="false">IF(Calc_2!$E42=0,"OK","CHECK")</f>
        <v>OK</v>
      </c>
    </row>
    <row r="71" customFormat="false" ht="15" hidden="false" customHeight="false" outlineLevel="0" collapsed="false">
      <c r="C71" s="0" t="s">
        <v>127</v>
      </c>
      <c r="D71" s="11" t="s">
        <v>41</v>
      </c>
      <c r="E71" s="36" t="str">
        <f aca="false">IF(Calc_1!$F42=0,"OK","CHECK")</f>
        <v>OK</v>
      </c>
      <c r="F71" s="36" t="str">
        <f aca="false">IF(Calc_2!$F42=0,"OK","CHECK")</f>
        <v>OK</v>
      </c>
    </row>
    <row r="73" customFormat="false" ht="15" hidden="false" customHeight="false" outlineLevel="0" collapsed="false">
      <c r="A73" s="9" t="s">
        <v>13</v>
      </c>
      <c r="B73" s="9"/>
      <c r="C73" s="9" t="s">
        <v>128</v>
      </c>
      <c r="D73" s="9"/>
      <c r="E73" s="10" t="s">
        <v>9</v>
      </c>
      <c r="F73" s="10" t="s">
        <v>10</v>
      </c>
      <c r="G73" s="9"/>
      <c r="H73" s="10" t="s">
        <v>129</v>
      </c>
      <c r="I73" s="10" t="s">
        <v>130</v>
      </c>
      <c r="J73" s="10" t="s">
        <v>131</v>
      </c>
      <c r="K73" s="9"/>
      <c r="L73" s="9"/>
      <c r="M73" s="9"/>
      <c r="N73" s="9"/>
      <c r="O73" s="9"/>
      <c r="P73" s="9"/>
      <c r="Q73" s="9"/>
      <c r="R73" s="9"/>
    </row>
    <row r="74" customFormat="false" ht="15" hidden="false" customHeight="false" outlineLevel="0" collapsed="false">
      <c r="C74" s="0" t="s">
        <v>132</v>
      </c>
      <c r="D74" s="11" t="s">
        <v>73</v>
      </c>
      <c r="E74" s="37" t="n">
        <f aca="false">Calc_1!$E47/Thousand</f>
        <v>0.00821917808219178</v>
      </c>
      <c r="F74" s="37" t="n">
        <f aca="false">Calc_2!$E47/Thousand</f>
        <v>0.00821917808219178</v>
      </c>
      <c r="H74" s="13" t="s">
        <v>133</v>
      </c>
      <c r="I74" s="27" t="n">
        <f aca="false">In_Bid_Date</f>
        <v>46325</v>
      </c>
      <c r="J74" s="38" t="s">
        <v>134</v>
      </c>
    </row>
    <row r="75" customFormat="false" ht="15" hidden="false" customHeight="false" outlineLevel="0" collapsed="false">
      <c r="C75" s="0" t="s">
        <v>135</v>
      </c>
      <c r="D75" s="11" t="s">
        <v>73</v>
      </c>
      <c r="E75" s="37" t="n">
        <f aca="false">Calc_1!$E48/Thousand</f>
        <v>1.39871232876712</v>
      </c>
      <c r="F75" s="37" t="n">
        <f aca="false">Calc_2!$E48/Thousand</f>
        <v>1.39871232876712</v>
      </c>
      <c r="H75" s="13" t="s">
        <v>136</v>
      </c>
      <c r="I75" s="27" t="n">
        <f aca="false">In_Bid_Date</f>
        <v>46325</v>
      </c>
      <c r="J75" s="27" t="n">
        <f aca="false">Calc_1!$F$49</f>
        <v>46384</v>
      </c>
    </row>
    <row r="76" customFormat="false" ht="15" hidden="false" customHeight="false" outlineLevel="0" collapsed="false">
      <c r="C76" s="0" t="s">
        <v>137</v>
      </c>
      <c r="D76" s="11" t="s">
        <v>73</v>
      </c>
      <c r="E76" s="37" t="n">
        <f aca="false">Calc_1!$E49/Thousand</f>
        <v>6.99356164383562</v>
      </c>
      <c r="F76" s="37" t="n">
        <f aca="false">Calc_2!$E49/Thousand</f>
        <v>6.99356164383562</v>
      </c>
      <c r="H76" s="13" t="s">
        <v>136</v>
      </c>
      <c r="I76" s="27" t="n">
        <f aca="false">Calc_1!$F$49</f>
        <v>46384</v>
      </c>
      <c r="J76" s="38" t="s">
        <v>138</v>
      </c>
    </row>
    <row r="77" customFormat="false" ht="15" hidden="false" customHeight="false" outlineLevel="0" collapsed="false">
      <c r="C77" s="0" t="s">
        <v>139</v>
      </c>
      <c r="D77" s="11" t="s">
        <v>73</v>
      </c>
      <c r="E77" s="37" t="n">
        <f aca="false">Calc_1!$E50/Thousand</f>
        <v>1.23287671232877</v>
      </c>
      <c r="F77" s="37" t="n">
        <f aca="false">Calc_2!$E50/Thousand</f>
        <v>1.23287671232877</v>
      </c>
      <c r="H77" s="13" t="s">
        <v>133</v>
      </c>
      <c r="I77" s="27" t="n">
        <f aca="false">In_TSO_Date</f>
        <v>46386</v>
      </c>
      <c r="J77" s="38" t="s">
        <v>140</v>
      </c>
    </row>
    <row r="78" customFormat="false" ht="15" hidden="false" customHeight="false" outlineLevel="0" collapsed="false">
      <c r="C78" s="0" t="s">
        <v>141</v>
      </c>
      <c r="D78" s="11" t="s">
        <v>73</v>
      </c>
      <c r="E78" s="37" t="n">
        <f aca="false">Calc_1!$E51/Thousand</f>
        <v>1.39272823013699</v>
      </c>
      <c r="F78" s="37" t="n">
        <f aca="false">Calc_2!$E51/Thousand</f>
        <v>1.39272823013699</v>
      </c>
      <c r="H78" s="13" t="s">
        <v>133</v>
      </c>
      <c r="I78" s="27" t="n">
        <f aca="false">In_HCSSZ_Date</f>
        <v>47126</v>
      </c>
      <c r="J78" s="38" t="s">
        <v>134</v>
      </c>
    </row>
    <row r="79" customFormat="false" ht="15" hidden="false" customHeight="false" outlineLevel="0" collapsed="false">
      <c r="C79" s="0" t="s">
        <v>142</v>
      </c>
      <c r="D79" s="11" t="s">
        <v>73</v>
      </c>
      <c r="E79" s="37" t="n">
        <f aca="false">Calc_1!$E52/Thousand</f>
        <v>18.7866591780822</v>
      </c>
      <c r="F79" s="37" t="n">
        <f aca="false">Calc_2!$E52/Thousand</f>
        <v>18.7866591780822</v>
      </c>
      <c r="H79" s="13" t="s">
        <v>133</v>
      </c>
      <c r="I79" s="27" t="n">
        <f aca="false">In_HCSSZ_Date</f>
        <v>47126</v>
      </c>
      <c r="J79" s="38" t="s">
        <v>134</v>
      </c>
    </row>
    <row r="80" customFormat="false" ht="15" hidden="false" customHeight="false" outlineLevel="0" collapsed="false">
      <c r="C80" s="0" t="s">
        <v>143</v>
      </c>
      <c r="D80" s="11" t="s">
        <v>73</v>
      </c>
      <c r="E80" s="28" t="n">
        <f aca="false">Calc_1!$E186/Thousand</f>
        <v>8.23465753424658</v>
      </c>
      <c r="F80" s="28" t="n">
        <f aca="false">Calc_2!$E186/Thousand</f>
        <v>8.23465753424658</v>
      </c>
    </row>
    <row r="81" customFormat="false" ht="15" hidden="false" customHeight="false" outlineLevel="0" collapsed="false">
      <c r="C81" s="0" t="s">
        <v>144</v>
      </c>
      <c r="D81" s="11" t="s">
        <v>73</v>
      </c>
      <c r="E81" s="28" t="n">
        <f aca="false">Calc_1!$E188/Thousand</f>
        <v>1.41821917808219</v>
      </c>
      <c r="F81" s="28" t="n">
        <f aca="false">Calc_2!$E188/Thousand</f>
        <v>1.41821917808219</v>
      </c>
    </row>
    <row r="82" customFormat="false" ht="15" hidden="false" customHeight="false" outlineLevel="0" collapsed="false">
      <c r="C82" s="0" t="s">
        <v>145</v>
      </c>
      <c r="D82" s="11" t="s">
        <v>73</v>
      </c>
      <c r="E82" s="28" t="n">
        <f aca="false">Calc_1!$F188/Thousand</f>
        <v>6.99356164383562</v>
      </c>
      <c r="F82" s="28" t="n">
        <f aca="false">Calc_2!$F188/Thousand</f>
        <v>6.99356164383562</v>
      </c>
    </row>
    <row r="83" customFormat="false" ht="15" hidden="false" customHeight="false" outlineLevel="0" collapsed="false">
      <c r="C83" s="0" t="s">
        <v>146</v>
      </c>
      <c r="D83" s="11" t="s">
        <v>147</v>
      </c>
      <c r="E83" s="22" t="n">
        <f aca="false">Calc_1!$E88</f>
        <v>33.7748344370861</v>
      </c>
      <c r="F83" s="22" t="n">
        <f aca="false">Calc_2!$E88</f>
        <v>33.7748344370861</v>
      </c>
    </row>
    <row r="84" customFormat="false" ht="15" hidden="false" customHeight="false" outlineLevel="0" collapsed="false">
      <c r="C84" s="0" t="s">
        <v>148</v>
      </c>
      <c r="D84" s="11" t="s">
        <v>41</v>
      </c>
      <c r="E84" s="20" t="n">
        <f aca="false">Calc_1!$E89</f>
        <v>1</v>
      </c>
      <c r="F84" s="20" t="n">
        <f aca="false">Calc_2!$E89</f>
        <v>1</v>
      </c>
    </row>
    <row r="86" customFormat="false" ht="15" hidden="false" customHeight="false" outlineLevel="0" collapsed="false">
      <c r="A86" s="9" t="s">
        <v>13</v>
      </c>
      <c r="B86" s="9"/>
      <c r="C86" s="9" t="s">
        <v>149</v>
      </c>
      <c r="D86" s="9"/>
      <c r="E86" s="10" t="s">
        <v>9</v>
      </c>
      <c r="F86" s="10" t="s">
        <v>10</v>
      </c>
      <c r="G86" s="9"/>
      <c r="H86" s="10" t="s">
        <v>150</v>
      </c>
      <c r="I86" s="10" t="s">
        <v>151</v>
      </c>
      <c r="J86" s="10" t="s">
        <v>152</v>
      </c>
      <c r="K86" s="9"/>
      <c r="L86" s="9"/>
      <c r="M86" s="9"/>
      <c r="N86" s="9"/>
      <c r="O86" s="9"/>
      <c r="P86" s="9"/>
      <c r="Q86" s="9"/>
      <c r="R86" s="9"/>
    </row>
    <row r="87" customFormat="false" ht="15" hidden="false" customHeight="false" outlineLevel="0" collapsed="false">
      <c r="C87" s="0" t="s">
        <v>153</v>
      </c>
      <c r="D87" s="11" t="s">
        <v>62</v>
      </c>
      <c r="E87" s="4" t="n">
        <v>47483</v>
      </c>
      <c r="F87" s="4" t="n">
        <v>47483</v>
      </c>
    </row>
    <row r="88" customFormat="false" ht="15" hidden="false" customHeight="false" outlineLevel="0" collapsed="false">
      <c r="C88" s="0" t="s">
        <v>154</v>
      </c>
      <c r="D88" s="11" t="s">
        <v>73</v>
      </c>
      <c r="E88" s="28" t="n">
        <f aca="false">Calc_1!$E146/Thousand</f>
        <v>21.8427086410959</v>
      </c>
      <c r="F88" s="28" t="n">
        <f aca="false">Calc_2!$E146/Thousand</f>
        <v>21.8427086410959</v>
      </c>
      <c r="H88" s="28" t="n">
        <f aca="false">E88+F88</f>
        <v>43.6854172821918</v>
      </c>
    </row>
    <row r="89" customFormat="false" ht="15" hidden="false" customHeight="false" outlineLevel="0" collapsed="false">
      <c r="C89" s="30" t="s">
        <v>155</v>
      </c>
      <c r="D89" s="11" t="s">
        <v>73</v>
      </c>
      <c r="E89" s="31" t="n">
        <f aca="false">Calc_1!$E132/Thousand</f>
        <v>15</v>
      </c>
      <c r="F89" s="31" t="n">
        <f aca="false">Calc_2!$E132/Thousand</f>
        <v>15</v>
      </c>
      <c r="H89" s="31" t="n">
        <f aca="false">E89+F89</f>
        <v>30</v>
      </c>
    </row>
    <row r="90" customFormat="false" ht="15" hidden="false" customHeight="false" outlineLevel="0" collapsed="false">
      <c r="C90" s="0" t="s">
        <v>156</v>
      </c>
      <c r="D90" s="11" t="s">
        <v>73</v>
      </c>
      <c r="E90" s="28" t="n">
        <f aca="false">(-Calc_1!$F135)/Thousand</f>
        <v>-0.5</v>
      </c>
      <c r="F90" s="28" t="n">
        <f aca="false">(-Calc_2!$F135)/Thousand</f>
        <v>-0.5</v>
      </c>
      <c r="H90" s="28" t="n">
        <f aca="false">E90+F90</f>
        <v>-1</v>
      </c>
    </row>
    <row r="91" customFormat="false" ht="15" hidden="false" customHeight="false" outlineLevel="0" collapsed="false">
      <c r="C91" s="0" t="s">
        <v>157</v>
      </c>
      <c r="D91" s="11" t="s">
        <v>73</v>
      </c>
      <c r="E91" s="28" t="n">
        <f aca="false">(-Calc_1!$F137)/Thousand</f>
        <v>-1.56453664418093</v>
      </c>
      <c r="F91" s="28" t="n">
        <f aca="false">(-Calc_2!$F137)/Thousand</f>
        <v>-1.56453664418093</v>
      </c>
      <c r="H91" s="28" t="n">
        <f aca="false">E91+F91</f>
        <v>-3.12907328836186</v>
      </c>
    </row>
    <row r="92" customFormat="false" ht="15" hidden="false" customHeight="false" outlineLevel="0" collapsed="false">
      <c r="C92" s="0" t="s">
        <v>158</v>
      </c>
      <c r="D92" s="11" t="s">
        <v>73</v>
      </c>
      <c r="E92" s="28" t="n">
        <f aca="false">(-Calc_1!$F139)/Thousand</f>
        <v>-3.11962451197093</v>
      </c>
      <c r="F92" s="28" t="n">
        <f aca="false">(-Calc_2!$F139)/Thousand</f>
        <v>-3.11962451197093</v>
      </c>
      <c r="H92" s="28" t="n">
        <f aca="false">E92+F92</f>
        <v>-6.23924902394185</v>
      </c>
    </row>
    <row r="93" customFormat="false" ht="15" hidden="false" customHeight="false" outlineLevel="0" collapsed="false">
      <c r="C93" s="0" t="s">
        <v>159</v>
      </c>
      <c r="D93" s="11" t="s">
        <v>73</v>
      </c>
      <c r="E93" s="28" t="n">
        <f aca="false">(-Calc_1!$F140)/Thousand</f>
        <v>-1.12048016110676</v>
      </c>
      <c r="F93" s="28" t="n">
        <f aca="false">(-Calc_2!$F140)/Thousand</f>
        <v>-1.12048016110676</v>
      </c>
      <c r="H93" s="28" t="n">
        <f aca="false">E93+F93</f>
        <v>-2.24096032221352</v>
      </c>
    </row>
    <row r="94" customFormat="false" ht="15" hidden="false" customHeight="false" outlineLevel="0" collapsed="false">
      <c r="C94" s="0" t="s">
        <v>160</v>
      </c>
      <c r="D94" s="11" t="s">
        <v>73</v>
      </c>
      <c r="E94" s="28" t="n">
        <f aca="false">(-Calc_1!$E148)/Thousand</f>
        <v>-5.80464131725861</v>
      </c>
      <c r="F94" s="28" t="n">
        <f aca="false">(-Calc_2!$E148)/Thousand</f>
        <v>-5.80464131725861</v>
      </c>
      <c r="H94" s="28" t="n">
        <f aca="false">E94+F94</f>
        <v>-11.6092826345172</v>
      </c>
    </row>
    <row r="95" customFormat="false" ht="15" hidden="false" customHeight="false" outlineLevel="0" collapsed="false">
      <c r="C95" s="0" t="s">
        <v>161</v>
      </c>
      <c r="D95" s="11" t="s">
        <v>73</v>
      </c>
      <c r="E95" s="28" t="n">
        <f aca="false">(-Calc_1!$F141)/Thousand</f>
        <v>-1.20065972222222</v>
      </c>
      <c r="F95" s="28" t="n">
        <f aca="false">(-Calc_2!$F141)/Thousand</f>
        <v>-1.20065972222222</v>
      </c>
      <c r="H95" s="28" t="n">
        <f aca="false">E95+F95</f>
        <v>-2.40131944444444</v>
      </c>
    </row>
    <row r="96" customFormat="false" ht="15" hidden="false" customHeight="false" outlineLevel="0" collapsed="false">
      <c r="C96" s="30" t="s">
        <v>162</v>
      </c>
      <c r="D96" s="11" t="s">
        <v>73</v>
      </c>
      <c r="E96" s="31" t="n">
        <f aca="false">Calc_1!$F142/Thousand</f>
        <v>7.49469896051916</v>
      </c>
      <c r="F96" s="31" t="n">
        <f aca="false">Calc_2!$F142/Thousand</f>
        <v>7.49469896051916</v>
      </c>
      <c r="H96" s="31" t="n">
        <f aca="false">E96+F96</f>
        <v>14.9893979210383</v>
      </c>
    </row>
    <row r="97" customFormat="false" ht="15" hidden="false" customHeight="false" outlineLevel="0" collapsed="false">
      <c r="C97" s="0" t="s">
        <v>163</v>
      </c>
      <c r="D97" s="11" t="s">
        <v>73</v>
      </c>
      <c r="E97" s="28" t="n">
        <f aca="false">Calc_1!$F146/Thousand</f>
        <v>5.24628927236341</v>
      </c>
      <c r="F97" s="28" t="n">
        <f aca="false">Calc_2!$F146/Thousand</f>
        <v>5.24628927236341</v>
      </c>
      <c r="H97" s="28" t="n">
        <f aca="false">E97+F97</f>
        <v>10.4925785447268</v>
      </c>
    </row>
    <row r="98" customFormat="false" ht="15" hidden="false" customHeight="false" outlineLevel="0" collapsed="false">
      <c r="C98" s="0" t="s">
        <v>164</v>
      </c>
      <c r="D98" s="11" t="s">
        <v>73</v>
      </c>
      <c r="E98" s="28" t="n">
        <f aca="false">Calc_1!$E147/Thousand</f>
        <v>-2.69739916950517</v>
      </c>
      <c r="F98" s="28" t="n">
        <f aca="false">Calc_2!$E147/Thousand</f>
        <v>-2.69739916950517</v>
      </c>
      <c r="H98" s="28" t="n">
        <f aca="false">E98+F98</f>
        <v>-5.39479833901034</v>
      </c>
    </row>
    <row r="99" customFormat="false" ht="15" hidden="false" customHeight="false" outlineLevel="0" collapsed="false">
      <c r="C99" s="30" t="s">
        <v>165</v>
      </c>
      <c r="D99" s="11" t="s">
        <v>73</v>
      </c>
      <c r="E99" s="31" t="n">
        <f aca="false">Calc_1!$F148/Thousand</f>
        <v>8.35353142011685</v>
      </c>
      <c r="F99" s="31" t="n">
        <f aca="false">Calc_2!$F148/Thousand</f>
        <v>8.35353142011685</v>
      </c>
      <c r="H99" s="31" t="n">
        <f aca="false">E99+F99</f>
        <v>16.7070628402337</v>
      </c>
      <c r="I99" s="25" t="n">
        <f aca="false">Calc_1!$E150</f>
        <v>55.3214001332242</v>
      </c>
      <c r="J99" s="25" t="n">
        <f aca="false">Calc_2!$E150</f>
        <v>55.3214001332242</v>
      </c>
    </row>
    <row r="100" customFormat="false" ht="15" hidden="false" customHeight="false" outlineLevel="0" collapsed="false">
      <c r="C100" s="0" t="s">
        <v>166</v>
      </c>
      <c r="D100" s="11" t="s">
        <v>73</v>
      </c>
      <c r="E100" s="28" t="n">
        <f aca="false">Calc_1!$E149/Thousand</f>
        <v>2.24840968815575</v>
      </c>
      <c r="F100" s="28" t="n">
        <f aca="false">Calc_2!$E149/Thousand</f>
        <v>2.24840968815575</v>
      </c>
      <c r="H100" s="28" t="n">
        <f aca="false">E100+F100</f>
        <v>4.4968193763115</v>
      </c>
    </row>
    <row r="101" customFormat="false" ht="15" hidden="false" customHeight="false" outlineLevel="0" collapsed="false">
      <c r="C101" s="30" t="s">
        <v>167</v>
      </c>
      <c r="D101" s="11" t="s">
        <v>73</v>
      </c>
      <c r="E101" s="31" t="n">
        <f aca="false">Calc_1!$F144/Thousand</f>
        <v>3.44906941037797</v>
      </c>
      <c r="F101" s="31" t="n">
        <f aca="false">Calc_2!$F144/Thousand</f>
        <v>3.44906941037797</v>
      </c>
      <c r="H101" s="31" t="n">
        <f aca="false">E101+F101</f>
        <v>6.89813882075594</v>
      </c>
      <c r="I101" s="25" t="n">
        <f aca="false">Calc_1!$F150</f>
        <v>22.8415192740263</v>
      </c>
      <c r="J101" s="25" t="n">
        <f aca="false">Calc_2!$F150</f>
        <v>22.8415192740263</v>
      </c>
    </row>
    <row r="102" customFormat="false" ht="15" hidden="false" customHeight="false" outlineLevel="0" collapsed="false">
      <c r="C102" s="0" t="s">
        <v>168</v>
      </c>
      <c r="D102" s="11" t="s">
        <v>73</v>
      </c>
      <c r="E102" s="28" t="n">
        <f aca="false">Calc_1!$E154/Thousand</f>
        <v>-1.80677268158454</v>
      </c>
      <c r="F102" s="28" t="n">
        <f aca="false">Calc_2!$E154/Thousand</f>
        <v>-1.80677268158454</v>
      </c>
      <c r="H102" s="28" t="n">
        <f aca="false">E102+F102</f>
        <v>-3.61354536316909</v>
      </c>
    </row>
    <row r="103" customFormat="false" ht="15" hidden="false" customHeight="false" outlineLevel="0" collapsed="false">
      <c r="C103" s="30" t="s">
        <v>72</v>
      </c>
      <c r="D103" s="11" t="s">
        <v>73</v>
      </c>
      <c r="E103" s="31" t="n">
        <f aca="false">Calc_1!$I153/Thousand</f>
        <v>6.54675873853232</v>
      </c>
      <c r="F103" s="31" t="n">
        <f aca="false">Calc_2!$I153/Thousand</f>
        <v>6.54675873853232</v>
      </c>
      <c r="H103" s="31" t="n">
        <f aca="false">E103+F103</f>
        <v>13.0935174770646</v>
      </c>
    </row>
    <row r="104" customFormat="false" ht="15" hidden="false" customHeight="false" outlineLevel="0" collapsed="false">
      <c r="C104" s="0" t="s">
        <v>169</v>
      </c>
      <c r="D104" s="11" t="s">
        <v>13</v>
      </c>
      <c r="E104" s="39" t="n">
        <f aca="false">Calc_1!$E156</f>
        <v>1.24970223352323</v>
      </c>
      <c r="F104" s="39" t="n">
        <f aca="false">Calc_2!$E156</f>
        <v>1.24970223352323</v>
      </c>
    </row>
    <row r="105" customFormat="false" ht="15" hidden="false" customHeight="false" outlineLevel="0" collapsed="false">
      <c r="C105" s="0" t="s">
        <v>170</v>
      </c>
      <c r="D105" s="11" t="s">
        <v>73</v>
      </c>
      <c r="E105" s="28" t="n">
        <f aca="false">Calc_1!$E157/Thousand</f>
        <v>3.32854248477583</v>
      </c>
      <c r="F105" s="28" t="n">
        <f aca="false">Calc_2!$E157/Thousand</f>
        <v>3.32854248477583</v>
      </c>
    </row>
    <row r="107" customFormat="false" ht="15" hidden="false" customHeight="false" outlineLevel="0" collapsed="false">
      <c r="A107" s="9" t="s">
        <v>13</v>
      </c>
      <c r="B107" s="9"/>
      <c r="C107" s="9" t="s">
        <v>171</v>
      </c>
      <c r="D107" s="9"/>
      <c r="E107" s="10" t="s">
        <v>9</v>
      </c>
      <c r="F107" s="10" t="s">
        <v>10</v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customFormat="false" ht="15" hidden="false" customHeight="false" outlineLevel="0" collapsed="false">
      <c r="C108" s="30" t="s">
        <v>120</v>
      </c>
      <c r="D108" s="11" t="s">
        <v>73</v>
      </c>
      <c r="E108" s="31" t="n">
        <f aca="false">Calc_1!$E183/Thousand</f>
        <v>172.735033145982</v>
      </c>
      <c r="F108" s="31" t="n">
        <f aca="false">Calc_2!$E183/Thousand</f>
        <v>172.735033145982</v>
      </c>
    </row>
    <row r="109" customFormat="false" ht="15" hidden="false" customHeight="false" outlineLevel="0" collapsed="false">
      <c r="C109" s="0" t="s">
        <v>172</v>
      </c>
      <c r="D109" s="11" t="s">
        <v>73</v>
      </c>
      <c r="E109" s="28" t="n">
        <f aca="false">Calc_1!$E162/Thousand</f>
        <v>245</v>
      </c>
      <c r="F109" s="28" t="n">
        <f aca="false">Calc_2!$E162/Thousand</f>
        <v>245</v>
      </c>
    </row>
    <row r="110" customFormat="false" ht="15" hidden="false" customHeight="false" outlineLevel="0" collapsed="false">
      <c r="C110" s="0" t="s">
        <v>173</v>
      </c>
      <c r="D110" s="11" t="s">
        <v>73</v>
      </c>
      <c r="E110" s="28" t="n">
        <f aca="false">Calc_1!$F162/Thousand</f>
        <v>-3.83908122210466</v>
      </c>
      <c r="F110" s="28" t="n">
        <f aca="false">Calc_2!$F162/Thousand</f>
        <v>-3.83908122210466</v>
      </c>
    </row>
    <row r="111" customFormat="false" ht="15" hidden="false" customHeight="false" outlineLevel="0" collapsed="false">
      <c r="C111" s="0" t="s">
        <v>174</v>
      </c>
      <c r="D111" s="11" t="s">
        <v>73</v>
      </c>
      <c r="E111" s="28" t="n">
        <f aca="false">Calc_1!$E164/Thousand</f>
        <v>99.3360596347059</v>
      </c>
      <c r="F111" s="28" t="n">
        <f aca="false">Calc_2!$E164/Thousand</f>
        <v>99.3360596347059</v>
      </c>
    </row>
    <row r="112" customFormat="false" ht="15" hidden="false" customHeight="false" outlineLevel="0" collapsed="false">
      <c r="C112" s="0" t="s">
        <v>175</v>
      </c>
      <c r="D112" s="11" t="s">
        <v>73</v>
      </c>
      <c r="E112" s="28" t="n">
        <f aca="false">Calc_1!$F170/Thousand</f>
        <v>121.881251129122</v>
      </c>
      <c r="F112" s="28" t="n">
        <f aca="false">Calc_2!$F170/Thousand</f>
        <v>121.881251129122</v>
      </c>
    </row>
    <row r="113" customFormat="false" ht="15" hidden="false" customHeight="false" outlineLevel="0" collapsed="false">
      <c r="C113" s="0" t="s">
        <v>176</v>
      </c>
      <c r="D113" s="11" t="s">
        <v>73</v>
      </c>
      <c r="E113" s="28" t="n">
        <f aca="false">Calc_1!$I171/Thousand</f>
        <v>48.4822776178466</v>
      </c>
      <c r="F113" s="28" t="n">
        <f aca="false">Calc_2!$I171/Thousand</f>
        <v>48.4822776178466</v>
      </c>
    </row>
    <row r="114" customFormat="false" ht="15" hidden="false" customHeight="false" outlineLevel="0" collapsed="false">
      <c r="C114" s="0" t="s">
        <v>177</v>
      </c>
      <c r="D114" s="11" t="s">
        <v>13</v>
      </c>
      <c r="E114" s="39" t="n">
        <f aca="false">Calc_1!$E173</f>
        <v>1.66053073086095</v>
      </c>
      <c r="F114" s="39" t="n">
        <f aca="false">Calc_2!$E173</f>
        <v>1.66053073086095</v>
      </c>
    </row>
    <row r="116" customFormat="false" ht="15" hidden="false" customHeight="false" outlineLevel="0" collapsed="false">
      <c r="A116" s="9" t="s">
        <v>13</v>
      </c>
      <c r="B116" s="9"/>
      <c r="C116" s="9" t="s">
        <v>178</v>
      </c>
      <c r="D116" s="9"/>
      <c r="E116" s="10" t="s">
        <v>9</v>
      </c>
      <c r="F116" s="10" t="s">
        <v>10</v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customFormat="false" ht="15" hidden="false" customHeight="false" outlineLevel="0" collapsed="false">
      <c r="C117" s="0" t="s">
        <v>179</v>
      </c>
      <c r="D117" s="11" t="s">
        <v>13</v>
      </c>
      <c r="E117" s="39" t="n">
        <f aca="false">Calc_1!$E193</f>
        <v>4.59742181090224</v>
      </c>
      <c r="F117" s="39" t="n">
        <f aca="false">Calc_2!$E193</f>
        <v>4.59742181090224</v>
      </c>
    </row>
    <row r="118" customFormat="false" ht="15" hidden="false" customHeight="false" outlineLevel="0" collapsed="false">
      <c r="C118" s="0" t="s">
        <v>180</v>
      </c>
      <c r="D118" s="11" t="s">
        <v>13</v>
      </c>
      <c r="E118" s="39" t="n">
        <f aca="false">Calc_1!$E195</f>
        <v>1.26316018482958</v>
      </c>
      <c r="F118" s="39" t="n">
        <f aca="false">Calc_2!$E195</f>
        <v>1.26316018482958</v>
      </c>
    </row>
    <row r="120" customFormat="false" ht="15" hidden="false" customHeight="false" outlineLevel="0" collapsed="false">
      <c r="A120" s="9" t="s">
        <v>13</v>
      </c>
      <c r="B120" s="9"/>
      <c r="C120" s="9" t="s">
        <v>181</v>
      </c>
      <c r="D120" s="9"/>
      <c r="E120" s="10" t="s">
        <v>12</v>
      </c>
      <c r="F120" s="10"/>
      <c r="G120" s="9"/>
      <c r="H120" s="10" t="str">
        <f aca="false">Inputs!H$7</f>
        <v>Base</v>
      </c>
      <c r="I120" s="10" t="str">
        <f aca="false">Inputs!I$7</f>
        <v>Overbuild built</v>
      </c>
      <c r="J120" s="10" t="str">
        <f aca="false">Inputs!J$7</f>
        <v>Full PB call</v>
      </c>
      <c r="K120" s="10" t="str">
        <f aca="false">Inputs!K$7</f>
        <v>Freeze off</v>
      </c>
      <c r="L120" s="10" t="str">
        <f aca="false">Inputs!L$7</f>
        <v>Low premium</v>
      </c>
      <c r="M120" s="10" t="str">
        <f aca="false">Inputs!M$7</f>
        <v>ÖSZ-4 on wind</v>
      </c>
      <c r="N120" s="10" t="str">
        <f aca="false">Inputs!N$7</f>
        <v>Nothing delivered</v>
      </c>
      <c r="O120" s="9"/>
      <c r="P120" s="9"/>
      <c r="Q120" s="9"/>
      <c r="R120" s="9"/>
    </row>
    <row r="121" customFormat="false" ht="15" hidden="false" customHeight="false" outlineLevel="0" collapsed="false">
      <c r="C121" s="0" t="s">
        <v>182</v>
      </c>
      <c r="D121" s="11" t="s">
        <v>70</v>
      </c>
      <c r="E121" s="14" t="n">
        <f aca="false">Calc_1!$E41</f>
        <v>85</v>
      </c>
      <c r="H121" s="15" t="n">
        <v>85</v>
      </c>
      <c r="I121" s="15" t="n">
        <v>85</v>
      </c>
      <c r="J121" s="15" t="n">
        <v>85</v>
      </c>
      <c r="K121" s="15" t="n">
        <v>85</v>
      </c>
      <c r="L121" s="15" t="n">
        <v>85</v>
      </c>
      <c r="M121" s="15" t="n">
        <v>80.5</v>
      </c>
      <c r="N121" s="15" t="n">
        <v>85</v>
      </c>
    </row>
    <row r="122" customFormat="false" ht="15" hidden="false" customHeight="false" outlineLevel="0" collapsed="false">
      <c r="C122" s="0" t="s">
        <v>183</v>
      </c>
      <c r="D122" s="11" t="s">
        <v>70</v>
      </c>
      <c r="E122" s="14" t="n">
        <f aca="false">Calc_2!$E41</f>
        <v>85</v>
      </c>
      <c r="H122" s="15" t="n">
        <v>85</v>
      </c>
      <c r="I122" s="15" t="n">
        <v>85</v>
      </c>
      <c r="J122" s="15" t="n">
        <v>85</v>
      </c>
      <c r="K122" s="15" t="n">
        <v>85</v>
      </c>
      <c r="L122" s="15" t="n">
        <v>85</v>
      </c>
      <c r="M122" s="15" t="n">
        <v>80.5</v>
      </c>
      <c r="N122" s="15" t="n">
        <v>85</v>
      </c>
    </row>
    <row r="123" customFormat="false" ht="15" hidden="false" customHeight="false" outlineLevel="0" collapsed="false">
      <c r="C123" s="0" t="s">
        <v>184</v>
      </c>
      <c r="D123" s="11" t="s">
        <v>73</v>
      </c>
      <c r="E123" s="28" t="n">
        <f aca="false">Calc_1!$I153/Thousand</f>
        <v>6.54675873853232</v>
      </c>
      <c r="H123" s="15" t="n">
        <v>6.54675873853232</v>
      </c>
      <c r="I123" s="15" t="n">
        <v>6.54675873853232</v>
      </c>
      <c r="J123" s="15" t="n">
        <v>6.54675873853232</v>
      </c>
      <c r="K123" s="15" t="n">
        <v>6.87295703790594</v>
      </c>
      <c r="L123" s="15" t="n">
        <v>3.04675873853231</v>
      </c>
      <c r="M123" s="15" t="n">
        <v>6.54675873853232</v>
      </c>
      <c r="N123" s="15" t="n">
        <v>6.54675873853232</v>
      </c>
    </row>
    <row r="124" customFormat="false" ht="15" hidden="false" customHeight="false" outlineLevel="0" collapsed="false">
      <c r="C124" s="0" t="s">
        <v>185</v>
      </c>
      <c r="D124" s="11" t="s">
        <v>73</v>
      </c>
      <c r="E124" s="28" t="n">
        <f aca="false">Calc_2!$I153/Thousand</f>
        <v>6.54675873853232</v>
      </c>
      <c r="H124" s="15" t="n">
        <v>6.54675873853232</v>
      </c>
      <c r="I124" s="15" t="n">
        <v>6.54675873853232</v>
      </c>
      <c r="J124" s="15" t="n">
        <v>6.54675873853232</v>
      </c>
      <c r="K124" s="15" t="n">
        <v>6.87295703790594</v>
      </c>
      <c r="L124" s="15" t="n">
        <v>3.04675873853231</v>
      </c>
      <c r="M124" s="15" t="n">
        <v>6.54675873853232</v>
      </c>
      <c r="N124" s="15" t="n">
        <v>6.54675873853232</v>
      </c>
    </row>
    <row r="125" customFormat="false" ht="15" hidden="false" customHeight="false" outlineLevel="0" collapsed="false">
      <c r="C125" s="0" t="s">
        <v>186</v>
      </c>
      <c r="D125" s="11" t="s">
        <v>35</v>
      </c>
      <c r="E125" s="26" t="n">
        <f aca="false">Calc_1!$E172</f>
        <v>0.339207407992561</v>
      </c>
      <c r="H125" s="29" t="n">
        <v>0.339207407992561</v>
      </c>
      <c r="I125" s="29" t="n">
        <v>0.513549105607292</v>
      </c>
      <c r="J125" s="29" t="n">
        <v>0.317836478854976</v>
      </c>
      <c r="K125" s="29" t="n">
        <v>0.342346888525294</v>
      </c>
      <c r="L125" s="29" t="n">
        <v>0.339207407992561</v>
      </c>
      <c r="M125" s="29" t="n">
        <v>0.339207407992561</v>
      </c>
      <c r="N125" s="29" t="n">
        <v>0.508514693618435</v>
      </c>
    </row>
    <row r="126" customFormat="false" ht="15" hidden="false" customHeight="false" outlineLevel="0" collapsed="false">
      <c r="C126" s="0" t="s">
        <v>187</v>
      </c>
      <c r="D126" s="11" t="s">
        <v>35</v>
      </c>
      <c r="E126" s="26" t="n">
        <f aca="false">Calc_2!$E172</f>
        <v>0.339207407992561</v>
      </c>
      <c r="H126" s="29" t="n">
        <v>0.339207407992561</v>
      </c>
      <c r="I126" s="29" t="n">
        <v>0.513549105607292</v>
      </c>
      <c r="J126" s="29" t="n">
        <v>0.317836478854976</v>
      </c>
      <c r="K126" s="29" t="n">
        <v>0.342346888525294</v>
      </c>
      <c r="L126" s="29" t="n">
        <v>0.339207407992561</v>
      </c>
      <c r="M126" s="29" t="n">
        <v>0.339207407992561</v>
      </c>
      <c r="N126" s="29" t="n">
        <v>0.508514693618435</v>
      </c>
    </row>
    <row r="127" customFormat="false" ht="15" hidden="false" customHeight="false" outlineLevel="0" collapsed="false">
      <c r="C127" s="0" t="s">
        <v>188</v>
      </c>
      <c r="D127" s="11" t="s">
        <v>35</v>
      </c>
      <c r="E127" s="26" t="n">
        <f aca="false">Calc_1!$E192</f>
        <v>0.0887506658196496</v>
      </c>
      <c r="H127" s="29" t="n">
        <v>0.0887506658196496</v>
      </c>
      <c r="I127" s="29" t="n">
        <v>0.10946601029228</v>
      </c>
      <c r="J127" s="29" t="n">
        <v>0.0846861685089813</v>
      </c>
      <c r="K127" s="29" t="n">
        <v>0.0891761508900598</v>
      </c>
      <c r="L127" s="29" t="n">
        <v>0.0901324728589762</v>
      </c>
      <c r="M127" s="29" t="n">
        <v>0.0887506658196496</v>
      </c>
      <c r="N127" s="29" t="n">
        <v>0.120651641354488</v>
      </c>
    </row>
    <row r="128" customFormat="false" ht="15" hidden="false" customHeight="false" outlineLevel="0" collapsed="false">
      <c r="C128" s="0" t="s">
        <v>189</v>
      </c>
      <c r="D128" s="11" t="s">
        <v>35</v>
      </c>
      <c r="E128" s="26" t="n">
        <f aca="false">Calc_2!$E192</f>
        <v>0.0887506658196496</v>
      </c>
      <c r="H128" s="29" t="n">
        <v>0.0887506658196496</v>
      </c>
      <c r="I128" s="29" t="n">
        <v>0.10946601029228</v>
      </c>
      <c r="J128" s="29" t="n">
        <v>0.0846861685089813</v>
      </c>
      <c r="K128" s="29" t="n">
        <v>0.0891761508900598</v>
      </c>
      <c r="L128" s="29" t="n">
        <v>0.0901324728589762</v>
      </c>
      <c r="M128" s="29" t="n">
        <v>0.0887506658196496</v>
      </c>
      <c r="N128" s="29" t="n">
        <v>0.120651641354488</v>
      </c>
    </row>
    <row r="129" customFormat="false" ht="15" hidden="false" customHeight="false" outlineLevel="0" collapsed="false">
      <c r="C129" s="0" t="s">
        <v>190</v>
      </c>
      <c r="D129" s="11" t="s">
        <v>73</v>
      </c>
      <c r="E129" s="28" t="n">
        <f aca="false">Calc_1!$E194/Thousand</f>
        <v>8.14180305533397</v>
      </c>
      <c r="H129" s="15" t="n">
        <v>8.14180305533397</v>
      </c>
      <c r="I129" s="15" t="n">
        <v>35.0944391185876</v>
      </c>
      <c r="J129" s="15" t="n">
        <v>4.49171336570258</v>
      </c>
      <c r="K129" s="15" t="n">
        <v>8.50454367978792</v>
      </c>
      <c r="L129" s="15" t="n">
        <v>9.30942917848671</v>
      </c>
      <c r="M129" s="15" t="n">
        <v>8.14180305533397</v>
      </c>
      <c r="N129" s="15" t="n">
        <v>33.0745391842743</v>
      </c>
    </row>
    <row r="130" customFormat="false" ht="15" hidden="false" customHeight="false" outlineLevel="0" collapsed="false">
      <c r="C130" s="0" t="s">
        <v>191</v>
      </c>
      <c r="D130" s="11" t="s">
        <v>73</v>
      </c>
      <c r="E130" s="28" t="n">
        <f aca="false">Calc_2!$E194/Thousand</f>
        <v>8.14180305533397</v>
      </c>
      <c r="H130" s="15" t="n">
        <v>8.14180305533397</v>
      </c>
      <c r="I130" s="15" t="n">
        <v>35.0944391185876</v>
      </c>
      <c r="J130" s="15" t="n">
        <v>4.49171336570258</v>
      </c>
      <c r="K130" s="15" t="n">
        <v>8.50454367978792</v>
      </c>
      <c r="L130" s="15" t="n">
        <v>9.30942917848671</v>
      </c>
      <c r="M130" s="15" t="n">
        <v>8.14180305533397</v>
      </c>
      <c r="N130" s="15" t="n">
        <v>33.0745391842743</v>
      </c>
    </row>
    <row r="131" customFormat="false" ht="15" hidden="false" customHeight="false" outlineLevel="0" collapsed="false">
      <c r="C131" s="0" t="s">
        <v>192</v>
      </c>
      <c r="D131" s="11" t="s">
        <v>73</v>
      </c>
      <c r="E131" s="28" t="n">
        <f aca="false">Calc_1!$E188/Thousand</f>
        <v>1.41821917808219</v>
      </c>
      <c r="H131" s="15" t="n">
        <v>1.41821917808219</v>
      </c>
      <c r="I131" s="15" t="n">
        <v>0</v>
      </c>
      <c r="J131" s="15" t="n">
        <v>6.99356164383562</v>
      </c>
      <c r="K131" s="15" t="n">
        <v>1.41821917808219</v>
      </c>
      <c r="L131" s="15" t="n">
        <v>1.41821917808219</v>
      </c>
      <c r="M131" s="15" t="n">
        <v>1.41821917808219</v>
      </c>
      <c r="N131" s="15" t="n">
        <v>6.99356164383562</v>
      </c>
    </row>
    <row r="132" customFormat="false" ht="15" hidden="false" customHeight="false" outlineLevel="0" collapsed="false">
      <c r="C132" s="0" t="s">
        <v>193</v>
      </c>
      <c r="D132" s="11" t="s">
        <v>73</v>
      </c>
      <c r="E132" s="28" t="n">
        <f aca="false">Calc_2!$E188/Thousand</f>
        <v>1.41821917808219</v>
      </c>
      <c r="H132" s="15" t="n">
        <v>1.41821917808219</v>
      </c>
      <c r="I132" s="15" t="n">
        <v>0</v>
      </c>
      <c r="J132" s="15" t="n">
        <v>6.99356164383562</v>
      </c>
      <c r="K132" s="15" t="n">
        <v>1.41821917808219</v>
      </c>
      <c r="L132" s="15" t="n">
        <v>1.41821917808219</v>
      </c>
      <c r="M132" s="15" t="n">
        <v>1.41821917808219</v>
      </c>
      <c r="N132" s="15" t="n">
        <v>6.99356164383562</v>
      </c>
    </row>
    <row r="133" customFormat="false" ht="15" hidden="false" customHeight="false" outlineLevel="0" collapsed="false">
      <c r="C133" s="0" t="s">
        <v>194</v>
      </c>
      <c r="D133" s="11" t="s">
        <v>73</v>
      </c>
      <c r="E133" s="28" t="n">
        <f aca="false">Calc_1!$F142/Thousand</f>
        <v>7.49469896051916</v>
      </c>
      <c r="H133" s="15" t="n">
        <v>7.49469896051916</v>
      </c>
      <c r="I133" s="15" t="n">
        <v>7.49469896051916</v>
      </c>
      <c r="J133" s="15" t="n">
        <v>7.49469896051916</v>
      </c>
      <c r="K133" s="15" t="n">
        <v>5.94137372540667</v>
      </c>
      <c r="L133" s="15" t="n">
        <v>2.49469896051917</v>
      </c>
      <c r="M133" s="15" t="n">
        <v>7.49469896051916</v>
      </c>
      <c r="N133" s="15" t="n">
        <v>7.49469896051916</v>
      </c>
    </row>
    <row r="134" customFormat="false" ht="15" hidden="false" customHeight="false" outlineLevel="0" collapsed="false">
      <c r="C134" s="0" t="s">
        <v>195</v>
      </c>
      <c r="D134" s="11" t="s">
        <v>73</v>
      </c>
      <c r="E134" s="28" t="n">
        <f aca="false">Calc_2!$F142/Thousand</f>
        <v>7.49469896051916</v>
      </c>
      <c r="H134" s="15" t="n">
        <v>7.49469896051916</v>
      </c>
      <c r="I134" s="15" t="n">
        <v>7.49469896051916</v>
      </c>
      <c r="J134" s="15" t="n">
        <v>7.49469896051916</v>
      </c>
      <c r="K134" s="15" t="n">
        <v>5.94137372540667</v>
      </c>
      <c r="L134" s="15" t="n">
        <v>2.49469896051917</v>
      </c>
      <c r="M134" s="15" t="n">
        <v>7.49469896051916</v>
      </c>
      <c r="N134" s="15" t="n">
        <v>7.49469896051916</v>
      </c>
    </row>
    <row r="135" customFormat="false" ht="15" hidden="false" customHeight="false" outlineLevel="0" collapsed="false">
      <c r="C135" s="0" t="s">
        <v>196</v>
      </c>
      <c r="D135" s="11" t="s">
        <v>73</v>
      </c>
      <c r="E135" s="28" t="n">
        <f aca="false">Calc_1!$E183/Thousand</f>
        <v>172.735033145982</v>
      </c>
      <c r="H135" s="15" t="n">
        <v>172.735033145982</v>
      </c>
      <c r="I135" s="15" t="n">
        <v>226.41436300138</v>
      </c>
      <c r="J135" s="15" t="n">
        <v>172.735033145982</v>
      </c>
      <c r="K135" s="15" t="n">
        <v>172.735033145982</v>
      </c>
      <c r="L135" s="15" t="n">
        <v>172.735033145982</v>
      </c>
      <c r="M135" s="15" t="n">
        <v>172.735033145982</v>
      </c>
      <c r="N135" s="15" t="n">
        <v>133.959264581938</v>
      </c>
    </row>
    <row r="136" customFormat="false" ht="15" hidden="false" customHeight="false" outlineLevel="0" collapsed="false">
      <c r="C136" s="0" t="s">
        <v>197</v>
      </c>
      <c r="D136" s="11" t="s">
        <v>73</v>
      </c>
      <c r="E136" s="28" t="n">
        <f aca="false">Calc_2!$E183/Thousand</f>
        <v>172.735033145982</v>
      </c>
      <c r="H136" s="15" t="n">
        <v>172.735033145982</v>
      </c>
      <c r="I136" s="15" t="n">
        <v>226.41436300138</v>
      </c>
      <c r="J136" s="15" t="n">
        <v>172.735033145982</v>
      </c>
      <c r="K136" s="15" t="n">
        <v>172.735033145982</v>
      </c>
      <c r="L136" s="15" t="n">
        <v>172.735033145982</v>
      </c>
      <c r="M136" s="15" t="n">
        <v>172.735033145982</v>
      </c>
      <c r="N136" s="15" t="n">
        <v>133.959264581938</v>
      </c>
    </row>
    <row r="138" customFormat="false" ht="15" hidden="false" customHeight="false" outlineLevel="0" collapsed="false">
      <c r="C138" s="40" t="s">
        <v>198</v>
      </c>
    </row>
  </sheetData>
  <conditionalFormatting sqref="E70:F7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71:F71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87:F87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199</v>
      </c>
      <c r="D4" s="0" t="s">
        <v>200</v>
      </c>
      <c r="F4" s="41" t="str">
        <f aca="false">Scenario_Name</f>
        <v>Base</v>
      </c>
    </row>
    <row r="5" customFormat="false" ht="15" hidden="false" customHeight="false" outlineLevel="0" collapsed="false">
      <c r="B5" s="0" t="s">
        <v>201</v>
      </c>
      <c r="F5" s="42" t="n">
        <f aca="false">MATCH(Scenario_Name,Scenario_Names,0)</f>
        <v>1</v>
      </c>
    </row>
    <row r="7" customFormat="false" ht="15" hidden="false" customHeight="false" outlineLevel="0" collapsed="false">
      <c r="B7" s="7" t="s">
        <v>202</v>
      </c>
      <c r="C7" s="7" t="s">
        <v>8</v>
      </c>
      <c r="D7" s="7" t="s">
        <v>203</v>
      </c>
      <c r="F7" s="8" t="s">
        <v>12</v>
      </c>
      <c r="H7" s="43" t="s">
        <v>30</v>
      </c>
      <c r="I7" s="43" t="s">
        <v>74</v>
      </c>
      <c r="J7" s="43" t="s">
        <v>204</v>
      </c>
      <c r="K7" s="43" t="s">
        <v>205</v>
      </c>
      <c r="L7" s="43" t="s">
        <v>206</v>
      </c>
      <c r="M7" s="43" t="s">
        <v>207</v>
      </c>
      <c r="N7" s="43" t="s">
        <v>208</v>
      </c>
      <c r="O7" s="8"/>
    </row>
    <row r="10" customFormat="false" ht="15" hidden="false" customHeight="false" outlineLevel="0" collapsed="false">
      <c r="A10" s="9" t="s">
        <v>13</v>
      </c>
      <c r="B10" s="9"/>
      <c r="C10" s="9" t="s">
        <v>209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210</v>
      </c>
      <c r="C11" s="11" t="s">
        <v>211</v>
      </c>
      <c r="D11" s="13" t="s">
        <v>212</v>
      </c>
      <c r="F11" s="43" t="n">
        <v>1000</v>
      </c>
    </row>
    <row r="12" customFormat="false" ht="15" hidden="false" customHeight="false" outlineLevel="0" collapsed="false">
      <c r="B12" s="0" t="s">
        <v>213</v>
      </c>
      <c r="C12" s="11" t="s">
        <v>211</v>
      </c>
      <c r="D12" s="13" t="s">
        <v>212</v>
      </c>
      <c r="F12" s="43" t="n">
        <v>1000000</v>
      </c>
    </row>
    <row r="13" customFormat="false" ht="15" hidden="false" customHeight="false" outlineLevel="0" collapsed="false">
      <c r="B13" s="0" t="s">
        <v>214</v>
      </c>
      <c r="C13" s="11" t="s">
        <v>215</v>
      </c>
      <c r="D13" s="13" t="s">
        <v>216</v>
      </c>
      <c r="F13" s="43" t="n">
        <v>365</v>
      </c>
    </row>
    <row r="14" customFormat="false" ht="15" hidden="false" customHeight="false" outlineLevel="0" collapsed="false">
      <c r="B14" s="0" t="s">
        <v>217</v>
      </c>
      <c r="C14" s="11" t="s">
        <v>218</v>
      </c>
      <c r="F14" s="43" t="n">
        <v>12</v>
      </c>
    </row>
    <row r="15" customFormat="false" ht="15" hidden="false" customHeight="false" outlineLevel="0" collapsed="false">
      <c r="B15" s="0" t="s">
        <v>219</v>
      </c>
      <c r="C15" s="11" t="s">
        <v>218</v>
      </c>
      <c r="D15" s="13" t="s">
        <v>220</v>
      </c>
      <c r="F15" s="43" t="n">
        <v>3</v>
      </c>
    </row>
    <row r="16" customFormat="false" ht="15" hidden="false" customHeight="false" outlineLevel="0" collapsed="false">
      <c r="B16" s="0" t="s">
        <v>221</v>
      </c>
      <c r="C16" s="11" t="s">
        <v>211</v>
      </c>
      <c r="D16" s="13" t="s">
        <v>222</v>
      </c>
      <c r="F16" s="43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223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224</v>
      </c>
      <c r="C19" s="11" t="s">
        <v>62</v>
      </c>
      <c r="D19" s="13" t="s">
        <v>225</v>
      </c>
      <c r="F19" s="44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  <c r="N19" s="4"/>
    </row>
    <row r="20" customFormat="false" ht="15" hidden="false" customHeight="false" outlineLevel="0" collapsed="false">
      <c r="B20" s="0" t="s">
        <v>226</v>
      </c>
      <c r="C20" s="11" t="s">
        <v>62</v>
      </c>
      <c r="D20" s="13" t="s">
        <v>227</v>
      </c>
      <c r="F20" s="44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  <c r="N20" s="4"/>
    </row>
    <row r="21" customFormat="false" ht="15" hidden="false" customHeight="false" outlineLevel="0" collapsed="false">
      <c r="B21" s="0" t="s">
        <v>228</v>
      </c>
      <c r="C21" s="11" t="s">
        <v>62</v>
      </c>
      <c r="D21" s="13" t="s">
        <v>229</v>
      </c>
      <c r="F21" s="44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  <c r="N21" s="4"/>
    </row>
    <row r="22" customFormat="false" ht="15" hidden="false" customHeight="false" outlineLevel="0" collapsed="false">
      <c r="B22" s="0" t="s">
        <v>230</v>
      </c>
      <c r="C22" s="11" t="s">
        <v>62</v>
      </c>
      <c r="D22" s="13" t="s">
        <v>231</v>
      </c>
      <c r="F22" s="44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  <c r="N22" s="4"/>
    </row>
    <row r="23" customFormat="false" ht="15" hidden="false" customHeight="false" outlineLevel="0" collapsed="false">
      <c r="B23" s="0" t="s">
        <v>232</v>
      </c>
      <c r="C23" s="11" t="s">
        <v>62</v>
      </c>
      <c r="D23" s="13" t="s">
        <v>233</v>
      </c>
      <c r="F23" s="44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  <c r="N23" s="4"/>
    </row>
    <row r="24" customFormat="false" ht="15" hidden="false" customHeight="false" outlineLevel="0" collapsed="false">
      <c r="B24" s="0" t="s">
        <v>234</v>
      </c>
      <c r="C24" s="11" t="s">
        <v>62</v>
      </c>
      <c r="D24" s="13" t="s">
        <v>235</v>
      </c>
      <c r="F24" s="44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  <c r="N24" s="4"/>
    </row>
    <row r="25" customFormat="false" ht="15" hidden="false" customHeight="false" outlineLevel="0" collapsed="false">
      <c r="B25" s="0" t="s">
        <v>236</v>
      </c>
      <c r="C25" s="11" t="s">
        <v>237</v>
      </c>
      <c r="D25" s="13" t="s">
        <v>238</v>
      </c>
      <c r="F25" s="42" t="n">
        <f aca="false">IF(INDEX($H25:$O25,1,Scenario_Selected)="",$H25,INDEX($H25:$O25,1,Scenario_Selected))</f>
        <v>30</v>
      </c>
      <c r="H25" s="45" t="n">
        <v>30</v>
      </c>
      <c r="I25" s="45"/>
      <c r="J25" s="45"/>
      <c r="K25" s="45"/>
      <c r="L25" s="45"/>
      <c r="M25" s="45"/>
      <c r="N25" s="45"/>
    </row>
    <row r="26" customFormat="false" ht="15" hidden="false" customHeight="false" outlineLevel="0" collapsed="false">
      <c r="B26" s="0" t="s">
        <v>239</v>
      </c>
      <c r="C26" s="11" t="s">
        <v>62</v>
      </c>
      <c r="D26" s="13" t="s">
        <v>240</v>
      </c>
      <c r="F26" s="44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  <c r="N26" s="4"/>
    </row>
    <row r="27" customFormat="false" ht="15" hidden="false" customHeight="false" outlineLevel="0" collapsed="false">
      <c r="B27" s="0" t="s">
        <v>241</v>
      </c>
      <c r="C27" s="11" t="s">
        <v>62</v>
      </c>
      <c r="D27" s="13" t="s">
        <v>242</v>
      </c>
      <c r="F27" s="44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  <c r="N27" s="4"/>
    </row>
    <row r="28" customFormat="false" ht="15" hidden="false" customHeight="false" outlineLevel="0" collapsed="false">
      <c r="B28" s="0" t="s">
        <v>243</v>
      </c>
      <c r="C28" s="11" t="s">
        <v>41</v>
      </c>
      <c r="D28" s="13" t="s">
        <v>244</v>
      </c>
      <c r="F28" s="46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  <c r="N28" s="24"/>
    </row>
    <row r="29" customFormat="false" ht="15" hidden="false" customHeight="false" outlineLevel="0" collapsed="false">
      <c r="B29" s="0" t="s">
        <v>245</v>
      </c>
      <c r="C29" s="11" t="s">
        <v>218</v>
      </c>
      <c r="D29" s="13" t="s">
        <v>246</v>
      </c>
      <c r="F29" s="42" t="n">
        <f aca="false">IF(INDEX($H29:$O29,1,Scenario_Selected)="",$H29,INDEX($H29:$O29,1,Scenario_Selected))</f>
        <v>6</v>
      </c>
      <c r="H29" s="45" t="n">
        <v>6</v>
      </c>
      <c r="I29" s="45"/>
      <c r="J29" s="45"/>
      <c r="K29" s="45"/>
      <c r="L29" s="45"/>
      <c r="M29" s="45"/>
      <c r="N29" s="45"/>
    </row>
    <row r="31" customFormat="false" ht="15" hidden="false" customHeight="false" outlineLevel="0" collapsed="false">
      <c r="A31" s="9" t="s">
        <v>13</v>
      </c>
      <c r="B31" s="9"/>
      <c r="C31" s="9" t="s">
        <v>247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248</v>
      </c>
      <c r="C32" s="11" t="s">
        <v>68</v>
      </c>
      <c r="D32" s="13" t="s">
        <v>249</v>
      </c>
      <c r="F32" s="3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  <c r="N32" s="12"/>
    </row>
    <row r="33" customFormat="false" ht="15" hidden="false" customHeight="false" outlineLevel="0" collapsed="false">
      <c r="B33" s="0" t="s">
        <v>250</v>
      </c>
      <c r="C33" s="11" t="s">
        <v>35</v>
      </c>
      <c r="D33" s="13" t="s">
        <v>251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  <c r="N33" s="19"/>
    </row>
    <row r="34" customFormat="false" ht="15" hidden="false" customHeight="false" outlineLevel="0" collapsed="false">
      <c r="B34" s="0" t="s">
        <v>252</v>
      </c>
      <c r="C34" s="11" t="s">
        <v>253</v>
      </c>
      <c r="D34" s="13" t="s">
        <v>254</v>
      </c>
      <c r="F34" s="3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  <c r="N34" s="12"/>
    </row>
    <row r="35" customFormat="false" ht="15" hidden="false" customHeight="false" outlineLevel="0" collapsed="false">
      <c r="B35" s="0" t="s">
        <v>255</v>
      </c>
      <c r="C35" s="11" t="s">
        <v>253</v>
      </c>
      <c r="D35" s="13" t="s">
        <v>256</v>
      </c>
      <c r="F35" s="3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</row>
    <row r="36" customFormat="false" ht="15" hidden="false" customHeight="false" outlineLevel="0" collapsed="false">
      <c r="B36" s="0" t="s">
        <v>257</v>
      </c>
      <c r="C36" s="11" t="s">
        <v>253</v>
      </c>
      <c r="D36" s="13" t="s">
        <v>258</v>
      </c>
      <c r="F36" s="3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</row>
    <row r="37" customFormat="false" ht="15" hidden="false" customHeight="false" outlineLevel="0" collapsed="false">
      <c r="B37" s="0" t="s">
        <v>259</v>
      </c>
      <c r="C37" s="11" t="s">
        <v>35</v>
      </c>
      <c r="D37" s="13" t="s">
        <v>260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  <c r="N37" s="19"/>
    </row>
    <row r="38" customFormat="false" ht="15" hidden="false" customHeight="false" outlineLevel="0" collapsed="false">
      <c r="B38" s="0" t="s">
        <v>261</v>
      </c>
      <c r="C38" s="11" t="s">
        <v>27</v>
      </c>
      <c r="D38" s="13" t="s">
        <v>262</v>
      </c>
      <c r="F38" s="32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  <c r="N38" s="21"/>
    </row>
    <row r="39" customFormat="false" ht="15" hidden="false" customHeight="false" outlineLevel="0" collapsed="false">
      <c r="B39" s="0" t="s">
        <v>263</v>
      </c>
      <c r="C39" s="11" t="s">
        <v>27</v>
      </c>
      <c r="D39" s="13" t="s">
        <v>264</v>
      </c>
      <c r="F39" s="3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  <c r="N39" s="12"/>
    </row>
    <row r="41" customFormat="false" ht="15" hidden="false" customHeight="false" outlineLevel="0" collapsed="false">
      <c r="A41" s="9" t="s">
        <v>13</v>
      </c>
      <c r="B41" s="9"/>
      <c r="C41" s="9" t="s">
        <v>265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266</v>
      </c>
      <c r="C42" s="11" t="s">
        <v>211</v>
      </c>
      <c r="D42" s="13" t="s">
        <v>267</v>
      </c>
      <c r="F42" s="43" t="n">
        <v>2</v>
      </c>
    </row>
    <row r="43" customFormat="false" ht="15" hidden="false" customHeight="false" outlineLevel="0" collapsed="false">
      <c r="B43" s="0" t="s">
        <v>268</v>
      </c>
      <c r="C43" s="11" t="s">
        <v>147</v>
      </c>
      <c r="D43" s="13" t="s">
        <v>269</v>
      </c>
      <c r="F43" s="3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  <c r="N43" s="12"/>
    </row>
    <row r="44" customFormat="false" ht="15" hidden="false" customHeight="false" outlineLevel="0" collapsed="false">
      <c r="B44" s="0" t="s">
        <v>270</v>
      </c>
      <c r="C44" s="11" t="s">
        <v>147</v>
      </c>
      <c r="D44" s="13" t="s">
        <v>271</v>
      </c>
      <c r="F44" s="3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  <c r="N44" s="12"/>
    </row>
    <row r="45" customFormat="false" ht="15" hidden="false" customHeight="false" outlineLevel="0" collapsed="false">
      <c r="B45" s="0" t="s">
        <v>272</v>
      </c>
      <c r="C45" s="11" t="s">
        <v>35</v>
      </c>
      <c r="D45" s="13" t="s">
        <v>273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  <c r="N45" s="19"/>
    </row>
    <row r="46" customFormat="false" ht="15" hidden="false" customHeight="false" outlineLevel="0" collapsed="false">
      <c r="B46" s="0" t="s">
        <v>274</v>
      </c>
      <c r="C46" s="11" t="s">
        <v>43</v>
      </c>
      <c r="D46" s="13" t="s">
        <v>275</v>
      </c>
      <c r="F46" s="32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  <c r="N46" s="21"/>
    </row>
    <row r="47" customFormat="false" ht="15" hidden="false" customHeight="false" outlineLevel="0" collapsed="false">
      <c r="B47" s="0" t="s">
        <v>276</v>
      </c>
      <c r="C47" s="11" t="s">
        <v>41</v>
      </c>
      <c r="D47" s="13" t="s">
        <v>277</v>
      </c>
      <c r="F47" s="46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  <c r="N47" s="24"/>
    </row>
    <row r="49" customFormat="false" ht="15" hidden="false" customHeight="false" outlineLevel="0" collapsed="false">
      <c r="A49" s="9" t="s">
        <v>13</v>
      </c>
      <c r="B49" s="9"/>
      <c r="C49" s="9" t="s">
        <v>278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279</v>
      </c>
      <c r="C50" s="11" t="s">
        <v>280</v>
      </c>
      <c r="D50" s="13" t="s">
        <v>281</v>
      </c>
      <c r="F50" s="3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  <c r="N50" s="12"/>
    </row>
    <row r="51" customFormat="false" ht="15" hidden="false" customHeight="false" outlineLevel="0" collapsed="false">
      <c r="B51" s="0" t="s">
        <v>282</v>
      </c>
      <c r="C51" s="11" t="s">
        <v>283</v>
      </c>
      <c r="D51" s="13" t="s">
        <v>281</v>
      </c>
      <c r="F51" s="3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  <c r="N51" s="12"/>
    </row>
    <row r="52" customFormat="false" ht="15" hidden="false" customHeight="false" outlineLevel="0" collapsed="false">
      <c r="B52" s="0" t="s">
        <v>284</v>
      </c>
      <c r="C52" s="11" t="s">
        <v>62</v>
      </c>
      <c r="D52" s="13" t="s">
        <v>285</v>
      </c>
      <c r="F52" s="44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  <c r="N52" s="4"/>
    </row>
    <row r="53" customFormat="false" ht="15" hidden="false" customHeight="false" outlineLevel="0" collapsed="false">
      <c r="B53" s="0" t="s">
        <v>286</v>
      </c>
      <c r="C53" s="11" t="s">
        <v>287</v>
      </c>
      <c r="D53" s="13" t="s">
        <v>288</v>
      </c>
      <c r="F53" s="32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  <c r="N53" s="21"/>
    </row>
    <row r="54" customFormat="false" ht="15" hidden="false" customHeight="false" outlineLevel="0" collapsed="false">
      <c r="B54" s="0" t="s">
        <v>289</v>
      </c>
      <c r="C54" s="11" t="s">
        <v>35</v>
      </c>
      <c r="D54" s="13" t="s">
        <v>290</v>
      </c>
      <c r="F54" s="48" t="n">
        <f aca="false">IF(INDEX($H54:$O54,1,Scenario_Selected)="",$H54,INDEX($H54:$O54,1,Scenario_Selected))</f>
        <v>0.005</v>
      </c>
      <c r="H54" s="49" t="n">
        <v>0.005</v>
      </c>
      <c r="I54" s="49"/>
      <c r="J54" s="49"/>
      <c r="K54" s="49"/>
      <c r="L54" s="49"/>
      <c r="M54" s="49"/>
      <c r="N54" s="49"/>
    </row>
    <row r="55" customFormat="false" ht="15" hidden="false" customHeight="false" outlineLevel="0" collapsed="false">
      <c r="B55" s="0" t="s">
        <v>291</v>
      </c>
      <c r="C55" s="11" t="s">
        <v>62</v>
      </c>
      <c r="D55" s="13" t="s">
        <v>292</v>
      </c>
      <c r="F55" s="44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  <c r="N55" s="4"/>
    </row>
    <row r="56" customFormat="false" ht="15" hidden="false" customHeight="false" outlineLevel="0" collapsed="false">
      <c r="B56" s="0" t="s">
        <v>293</v>
      </c>
      <c r="C56" s="11" t="s">
        <v>215</v>
      </c>
      <c r="D56" s="13" t="s">
        <v>294</v>
      </c>
      <c r="F56" s="42" t="n">
        <f aca="false">IF(INDEX($H56:$O56,1,Scenario_Selected)="",$H56,INDEX($H56:$O56,1,Scenario_Selected))</f>
        <v>15</v>
      </c>
      <c r="H56" s="45" t="n">
        <v>15</v>
      </c>
      <c r="I56" s="45"/>
      <c r="J56" s="45"/>
      <c r="K56" s="45"/>
      <c r="L56" s="45"/>
      <c r="M56" s="45"/>
      <c r="N56" s="45"/>
    </row>
    <row r="57" customFormat="false" ht="15" hidden="false" customHeight="false" outlineLevel="0" collapsed="false">
      <c r="B57" s="0" t="s">
        <v>295</v>
      </c>
      <c r="C57" s="11" t="s">
        <v>35</v>
      </c>
      <c r="D57" s="13" t="s">
        <v>296</v>
      </c>
      <c r="F57" s="48" t="n">
        <f aca="false">IF(INDEX($H57:$O57,1,Scenario_Selected)="",$H57,INDEX($H57:$O57,1,Scenario_Selected))</f>
        <v>0.025</v>
      </c>
      <c r="H57" s="49" t="n">
        <v>0.025</v>
      </c>
      <c r="I57" s="49"/>
      <c r="J57" s="49"/>
      <c r="K57" s="49"/>
      <c r="L57" s="49"/>
      <c r="M57" s="49"/>
      <c r="N57" s="49"/>
    </row>
    <row r="58" customFormat="false" ht="15" hidden="false" customHeight="false" outlineLevel="0" collapsed="false">
      <c r="B58" s="0" t="s">
        <v>297</v>
      </c>
      <c r="C58" s="11" t="s">
        <v>62</v>
      </c>
      <c r="D58" s="13" t="s">
        <v>298</v>
      </c>
      <c r="F58" s="44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  <c r="N58" s="4"/>
    </row>
    <row r="59" customFormat="false" ht="15" hidden="false" customHeight="false" outlineLevel="0" collapsed="false">
      <c r="B59" s="0" t="s">
        <v>299</v>
      </c>
      <c r="C59" s="11" t="s">
        <v>300</v>
      </c>
      <c r="D59" s="13" t="s">
        <v>301</v>
      </c>
      <c r="F59" s="32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  <c r="N59" s="21"/>
    </row>
    <row r="60" customFormat="false" ht="15" hidden="false" customHeight="false" outlineLevel="0" collapsed="false">
      <c r="B60" s="0" t="s">
        <v>302</v>
      </c>
      <c r="C60" s="11" t="s">
        <v>62</v>
      </c>
      <c r="D60" s="13" t="s">
        <v>303</v>
      </c>
      <c r="F60" s="44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  <c r="N60" s="4"/>
    </row>
    <row r="61" customFormat="false" ht="15" hidden="false" customHeight="false" outlineLevel="0" collapsed="false">
      <c r="B61" s="0" t="s">
        <v>304</v>
      </c>
      <c r="C61" s="11" t="s">
        <v>287</v>
      </c>
      <c r="D61" s="13" t="s">
        <v>305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  <c r="N61" s="18"/>
    </row>
    <row r="62" customFormat="false" ht="15" hidden="false" customHeight="false" outlineLevel="0" collapsed="false">
      <c r="B62" s="0" t="s">
        <v>306</v>
      </c>
      <c r="C62" s="11" t="s">
        <v>300</v>
      </c>
      <c r="D62" s="13" t="s">
        <v>307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  <c r="N62" s="18"/>
    </row>
    <row r="63" customFormat="false" ht="15" hidden="false" customHeight="false" outlineLevel="0" collapsed="false">
      <c r="B63" s="0" t="s">
        <v>308</v>
      </c>
      <c r="C63" s="11" t="s">
        <v>62</v>
      </c>
      <c r="D63" s="13" t="s">
        <v>309</v>
      </c>
      <c r="F63" s="44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  <c r="N63" s="4"/>
    </row>
    <row r="64" customFormat="false" ht="15" hidden="false" customHeight="false" outlineLevel="0" collapsed="false">
      <c r="B64" s="0" t="s">
        <v>310</v>
      </c>
      <c r="C64" s="11" t="s">
        <v>35</v>
      </c>
      <c r="D64" s="13" t="s">
        <v>311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  <c r="N64" s="19"/>
    </row>
    <row r="66" customFormat="false" ht="15" hidden="false" customHeight="false" outlineLevel="0" collapsed="false">
      <c r="A66" s="9" t="s">
        <v>13</v>
      </c>
      <c r="B66" s="9"/>
      <c r="C66" s="9" t="s">
        <v>312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313</v>
      </c>
      <c r="C67" s="11" t="s">
        <v>35</v>
      </c>
      <c r="D67" s="13" t="s">
        <v>314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  <c r="N67" s="19"/>
    </row>
    <row r="68" customFormat="false" ht="15" hidden="false" customHeight="false" outlineLevel="0" collapsed="false">
      <c r="B68" s="0" t="s">
        <v>315</v>
      </c>
      <c r="C68" s="11" t="s">
        <v>35</v>
      </c>
      <c r="D68" s="13" t="s">
        <v>316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  <c r="N68" s="19"/>
    </row>
    <row r="69" customFormat="false" ht="15" hidden="false" customHeight="false" outlineLevel="0" collapsed="false">
      <c r="B69" s="0" t="s">
        <v>317</v>
      </c>
      <c r="C69" s="11" t="s">
        <v>35</v>
      </c>
      <c r="D69" s="13" t="s">
        <v>318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  <c r="N69" s="19"/>
    </row>
    <row r="70" customFormat="false" ht="15" hidden="false" customHeight="false" outlineLevel="0" collapsed="false">
      <c r="B70" s="0" t="s">
        <v>319</v>
      </c>
      <c r="C70" s="11" t="s">
        <v>13</v>
      </c>
      <c r="D70" s="13" t="s">
        <v>320</v>
      </c>
      <c r="F70" s="50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  <c r="N70" s="23"/>
    </row>
    <row r="71" customFormat="false" ht="15" hidden="false" customHeight="false" outlineLevel="0" collapsed="false">
      <c r="B71" s="0" t="s">
        <v>321</v>
      </c>
      <c r="C71" s="11" t="s">
        <v>35</v>
      </c>
      <c r="D71" s="13" t="s">
        <v>322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  <c r="N71" s="19"/>
    </row>
    <row r="73" customFormat="false" ht="15" hidden="false" customHeight="false" outlineLevel="0" collapsed="false">
      <c r="A73" s="9" t="s">
        <v>13</v>
      </c>
      <c r="B73" s="9"/>
      <c r="C73" s="9" t="s">
        <v>323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324</v>
      </c>
      <c r="C74" s="11" t="s">
        <v>46</v>
      </c>
      <c r="D74" s="13" t="s">
        <v>325</v>
      </c>
      <c r="F74" s="3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  <c r="N74" s="12"/>
    </row>
    <row r="75" customFormat="false" ht="15" hidden="false" customHeight="false" outlineLevel="0" collapsed="false">
      <c r="B75" s="0" t="s">
        <v>326</v>
      </c>
      <c r="C75" s="11" t="s">
        <v>35</v>
      </c>
      <c r="D75" s="13" t="s">
        <v>327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  <c r="N75" s="19"/>
    </row>
    <row r="76" customFormat="false" ht="15" hidden="false" customHeight="false" outlineLevel="0" collapsed="false">
      <c r="B76" s="0" t="s">
        <v>328</v>
      </c>
      <c r="C76" s="11" t="s">
        <v>27</v>
      </c>
      <c r="D76" s="13" t="s">
        <v>329</v>
      </c>
      <c r="F76" s="3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  <c r="N76" s="12"/>
    </row>
    <row r="77" customFormat="false" ht="15" hidden="false" customHeight="false" outlineLevel="0" collapsed="false">
      <c r="B77" s="0" t="s">
        <v>330</v>
      </c>
      <c r="C77" s="11" t="s">
        <v>27</v>
      </c>
      <c r="D77" s="13" t="s">
        <v>331</v>
      </c>
      <c r="F77" s="3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  <c r="N77" s="12"/>
    </row>
    <row r="78" customFormat="false" ht="15" hidden="false" customHeight="false" outlineLevel="0" collapsed="false">
      <c r="B78" s="0" t="s">
        <v>332</v>
      </c>
      <c r="C78" s="11" t="s">
        <v>32</v>
      </c>
      <c r="D78" s="13" t="s">
        <v>333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  <c r="N78" s="18"/>
    </row>
    <row r="79" customFormat="false" ht="15" hidden="false" customHeight="false" outlineLevel="0" collapsed="false">
      <c r="B79" s="0" t="s">
        <v>334</v>
      </c>
      <c r="C79" s="11" t="s">
        <v>35</v>
      </c>
      <c r="D79" s="13" t="s">
        <v>335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  <c r="N79" s="19"/>
    </row>
    <row r="80" customFormat="false" ht="15" hidden="false" customHeight="false" outlineLevel="0" collapsed="false">
      <c r="B80" s="0" t="s">
        <v>336</v>
      </c>
      <c r="C80" s="11" t="s">
        <v>35</v>
      </c>
      <c r="D80" s="13" t="s">
        <v>337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  <c r="N80" s="19"/>
    </row>
    <row r="82" customFormat="false" ht="15" hidden="false" customHeight="false" outlineLevel="0" collapsed="false">
      <c r="A82" s="9" t="s">
        <v>13</v>
      </c>
      <c r="B82" s="9"/>
      <c r="C82" s="9" t="s">
        <v>338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339</v>
      </c>
      <c r="C83" s="11" t="s">
        <v>41</v>
      </c>
      <c r="D83" s="13" t="s">
        <v>340</v>
      </c>
      <c r="F83" s="46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  <c r="N83" s="24"/>
    </row>
    <row r="84" customFormat="false" ht="15" hidden="false" customHeight="false" outlineLevel="0" collapsed="false">
      <c r="B84" s="0" t="s">
        <v>341</v>
      </c>
      <c r="C84" s="11" t="s">
        <v>41</v>
      </c>
      <c r="D84" s="13" t="s">
        <v>342</v>
      </c>
      <c r="F84" s="46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  <c r="N84" s="24" t="n">
        <v>0</v>
      </c>
    </row>
    <row r="85" customFormat="false" ht="15" hidden="false" customHeight="false" outlineLevel="0" collapsed="false">
      <c r="B85" s="0" t="s">
        <v>343</v>
      </c>
      <c r="C85" s="11" t="s">
        <v>41</v>
      </c>
      <c r="D85" s="13" t="s">
        <v>344</v>
      </c>
      <c r="F85" s="46" t="n">
        <f aca="false">IF(INDEX($H85:$O85,1,Scenario_Selected)="",$H85,INDEX($H85:$O85,1,Scenario_Selected))</f>
        <v>1</v>
      </c>
      <c r="H85" s="24" t="n">
        <v>1</v>
      </c>
      <c r="I85" s="24"/>
      <c r="J85" s="24"/>
      <c r="K85" s="24"/>
      <c r="L85" s="24"/>
      <c r="M85" s="24"/>
      <c r="N85" s="24" t="n">
        <v>0</v>
      </c>
    </row>
    <row r="86" customFormat="false" ht="15" hidden="false" customHeight="false" outlineLevel="0" collapsed="false">
      <c r="B86" s="0" t="s">
        <v>345</v>
      </c>
      <c r="C86" s="11" t="s">
        <v>41</v>
      </c>
      <c r="D86" s="13" t="s">
        <v>346</v>
      </c>
      <c r="F86" s="46" t="n">
        <f aca="false">IF(INDEX($H86:$O86,1,Scenario_Selected)="",$H86,INDEX($H86:$O86,1,Scenario_Selected))</f>
        <v>1</v>
      </c>
      <c r="H86" s="24" t="n">
        <v>1</v>
      </c>
      <c r="I86" s="24"/>
      <c r="J86" s="24" t="n">
        <v>2</v>
      </c>
      <c r="K86" s="24"/>
      <c r="L86" s="24"/>
      <c r="M86" s="24"/>
      <c r="N86" s="24" t="n">
        <v>2</v>
      </c>
    </row>
    <row r="87" customFormat="false" ht="15" hidden="false" customHeight="false" outlineLevel="0" collapsed="false">
      <c r="B87" s="0" t="s">
        <v>347</v>
      </c>
      <c r="C87" s="11" t="s">
        <v>35</v>
      </c>
      <c r="D87" s="13" t="s">
        <v>348</v>
      </c>
      <c r="F87" s="47" t="n">
        <f aca="false">IF(INDEX($H87:$O87,1,Scenario_Selected)="",$H87,INDEX($H87:$O87,1,Scenario_Selected))</f>
        <v>0.05</v>
      </c>
      <c r="H87" s="19" t="n">
        <v>0.05</v>
      </c>
      <c r="I87" s="19"/>
      <c r="J87" s="19"/>
      <c r="K87" s="19"/>
      <c r="L87" s="19"/>
      <c r="M87" s="19"/>
      <c r="N87" s="19"/>
    </row>
    <row r="89" customFormat="false" ht="15" hidden="false" customHeight="false" outlineLevel="0" collapsed="false">
      <c r="A89" s="9" t="s">
        <v>13</v>
      </c>
      <c r="B89" s="9"/>
      <c r="C89" s="9" t="s">
        <v>349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</row>
    <row r="90" customFormat="false" ht="15" hidden="false" customHeight="false" outlineLevel="0" collapsed="false">
      <c r="B90" s="0" t="s">
        <v>40</v>
      </c>
      <c r="C90" s="11" t="s">
        <v>41</v>
      </c>
      <c r="D90" s="13" t="s">
        <v>350</v>
      </c>
      <c r="F90" s="46" t="n">
        <f aca="false">IF(INDEX($H90:$O90,1,Scenario_Selected)="",$H90,INDEX($H90:$O90,1,Scenario_Selected))</f>
        <v>0</v>
      </c>
      <c r="H90" s="24" t="n">
        <v>0</v>
      </c>
      <c r="I90" s="24"/>
      <c r="J90" s="24"/>
      <c r="K90" s="24"/>
      <c r="L90" s="24"/>
      <c r="M90" s="24"/>
      <c r="N90" s="24"/>
    </row>
    <row r="91" customFormat="false" ht="15" hidden="false" customHeight="false" outlineLevel="0" collapsed="false">
      <c r="B91" s="0" t="s">
        <v>351</v>
      </c>
      <c r="C91" s="11" t="s">
        <v>27</v>
      </c>
      <c r="D91" s="13" t="s">
        <v>350</v>
      </c>
      <c r="F91" s="33" t="n">
        <f aca="false">IF(INDEX($H91:$O91,1,Scenario_Selected)="",$H91,INDEX($H91:$O91,1,Scenario_Selected))</f>
        <v>600</v>
      </c>
      <c r="H91" s="12" t="n">
        <v>600</v>
      </c>
      <c r="I91" s="12"/>
      <c r="J91" s="12"/>
      <c r="K91" s="12"/>
      <c r="L91" s="12"/>
      <c r="M91" s="12"/>
      <c r="N91" s="12"/>
    </row>
    <row r="92" customFormat="false" ht="15" hidden="false" customHeight="false" outlineLevel="0" collapsed="false">
      <c r="B92" s="0" t="s">
        <v>352</v>
      </c>
      <c r="C92" s="11" t="s">
        <v>27</v>
      </c>
      <c r="D92" s="13" t="s">
        <v>353</v>
      </c>
      <c r="F92" s="33" t="n">
        <f aca="false">IF(INDEX($H92:$O92,1,Scenario_Selected)="",$H92,INDEX($H92:$O92,1,Scenario_Selected))</f>
        <v>500</v>
      </c>
      <c r="H92" s="12" t="n">
        <v>500</v>
      </c>
      <c r="I92" s="12"/>
      <c r="J92" s="12"/>
      <c r="K92" s="12"/>
      <c r="L92" s="12"/>
      <c r="M92" s="12"/>
      <c r="N92" s="12"/>
    </row>
    <row r="93" customFormat="false" ht="15" hidden="false" customHeight="false" outlineLevel="0" collapsed="false">
      <c r="B93" s="0" t="s">
        <v>354</v>
      </c>
      <c r="C93" s="11" t="s">
        <v>27</v>
      </c>
      <c r="D93" s="13" t="s">
        <v>355</v>
      </c>
      <c r="F93" s="33" t="n">
        <f aca="false">IF(INDEX($H93:$O93,1,Scenario_Selected)="",$H93,INDEX($H93:$O93,1,Scenario_Selected))</f>
        <v>80</v>
      </c>
      <c r="H93" s="12" t="n">
        <v>80</v>
      </c>
      <c r="I93" s="12"/>
      <c r="J93" s="12"/>
      <c r="K93" s="12"/>
      <c r="L93" s="12"/>
      <c r="M93" s="12"/>
      <c r="N93" s="12"/>
    </row>
    <row r="94" customFormat="false" ht="15" hidden="false" customHeight="false" outlineLevel="0" collapsed="false">
      <c r="B94" s="0" t="s">
        <v>109</v>
      </c>
      <c r="C94" s="11" t="s">
        <v>27</v>
      </c>
      <c r="D94" s="13" t="s">
        <v>356</v>
      </c>
      <c r="F94" s="33" t="n">
        <f aca="false">IF(INDEX($H94:$O94,1,Scenario_Selected)="",$H94,INDEX($H94:$O94,1,Scenario_Selected))</f>
        <v>90</v>
      </c>
      <c r="H94" s="12" t="n">
        <v>90</v>
      </c>
      <c r="I94" s="12"/>
      <c r="J94" s="12"/>
      <c r="K94" s="12"/>
      <c r="L94" s="12"/>
      <c r="M94" s="12"/>
      <c r="N94" s="12"/>
    </row>
    <row r="95" customFormat="false" ht="15" hidden="false" customHeight="false" outlineLevel="0" collapsed="false">
      <c r="B95" s="0" t="s">
        <v>357</v>
      </c>
      <c r="C95" s="11" t="s">
        <v>27</v>
      </c>
      <c r="D95" s="13" t="s">
        <v>358</v>
      </c>
      <c r="F95" s="33" t="n">
        <f aca="false">IF(INDEX($H95:$O95,1,Scenario_Selected)="",$H95,INDEX($H95:$O95,1,Scenario_Selected))</f>
        <v>130</v>
      </c>
      <c r="H95" s="12" t="n">
        <v>130</v>
      </c>
      <c r="I95" s="12"/>
      <c r="J95" s="12"/>
      <c r="K95" s="12"/>
      <c r="L95" s="12"/>
      <c r="M95" s="12"/>
      <c r="N95" s="12"/>
    </row>
    <row r="96" customFormat="false" ht="15" hidden="false" customHeight="false" outlineLevel="0" collapsed="false">
      <c r="B96" s="0" t="s">
        <v>359</v>
      </c>
      <c r="C96" s="11" t="s">
        <v>27</v>
      </c>
      <c r="D96" s="13" t="s">
        <v>360</v>
      </c>
      <c r="F96" s="33" t="n">
        <f aca="false">IF(INDEX($H96:$O96,1,Scenario_Selected)="",$H96,INDEX($H96:$O96,1,Scenario_Selected))</f>
        <v>40</v>
      </c>
      <c r="H96" s="12" t="n">
        <v>40</v>
      </c>
      <c r="I96" s="12"/>
      <c r="J96" s="12"/>
      <c r="K96" s="12"/>
      <c r="L96" s="12"/>
      <c r="M96" s="12"/>
      <c r="N96" s="12"/>
    </row>
    <row r="97" customFormat="false" ht="15" hidden="false" customHeight="false" outlineLevel="0" collapsed="false">
      <c r="B97" s="0" t="s">
        <v>361</v>
      </c>
      <c r="C97" s="11" t="s">
        <v>27</v>
      </c>
      <c r="D97" s="13" t="s">
        <v>362</v>
      </c>
      <c r="F97" s="33" t="n">
        <f aca="false">IF(INDEX($H97:$O97,1,Scenario_Selected)="",$H97,INDEX($H97:$O97,1,Scenario_Selected))</f>
        <v>15</v>
      </c>
      <c r="H97" s="12" t="n">
        <v>15</v>
      </c>
      <c r="I97" s="12"/>
      <c r="J97" s="12"/>
      <c r="K97" s="12"/>
      <c r="L97" s="12"/>
      <c r="M97" s="12"/>
      <c r="N97" s="12"/>
    </row>
    <row r="98" customFormat="false" ht="15" hidden="false" customHeight="false" outlineLevel="0" collapsed="false">
      <c r="B98" s="0" t="s">
        <v>363</v>
      </c>
      <c r="C98" s="11" t="s">
        <v>253</v>
      </c>
      <c r="D98" s="13" t="s">
        <v>364</v>
      </c>
      <c r="F98" s="33" t="n">
        <f aca="false">IF(INDEX($H98:$O98,1,Scenario_Selected)="",$H98,INDEX($H98:$O98,1,Scenario_Selected))</f>
        <v>12000</v>
      </c>
      <c r="H98" s="12" t="n">
        <v>12000</v>
      </c>
      <c r="I98" s="12"/>
      <c r="J98" s="12"/>
      <c r="K98" s="12"/>
      <c r="L98" s="12"/>
      <c r="M98" s="12"/>
      <c r="N98" s="12"/>
    </row>
    <row r="99" customFormat="false" ht="15" hidden="false" customHeight="false" outlineLevel="0" collapsed="false">
      <c r="B99" s="0" t="s">
        <v>365</v>
      </c>
      <c r="C99" s="11" t="s">
        <v>253</v>
      </c>
      <c r="D99" s="13" t="s">
        <v>366</v>
      </c>
      <c r="F99" s="33" t="n">
        <f aca="false">IF(INDEX($H99:$O99,1,Scenario_Selected)="",$H99,INDEX($H99:$O99,1,Scenario_Selected))</f>
        <v>10800</v>
      </c>
      <c r="H99" s="12" t="n">
        <v>10800</v>
      </c>
      <c r="I99" s="12"/>
      <c r="J99" s="12"/>
      <c r="K99" s="12"/>
      <c r="L99" s="12"/>
      <c r="M99" s="12"/>
      <c r="N99" s="12"/>
    </row>
    <row r="100" customFormat="false" ht="15" hidden="false" customHeight="false" outlineLevel="0" collapsed="false">
      <c r="B100" s="0" t="s">
        <v>367</v>
      </c>
      <c r="C100" s="11" t="s">
        <v>35</v>
      </c>
      <c r="D100" s="13" t="s">
        <v>368</v>
      </c>
      <c r="F100" s="47" t="n">
        <f aca="false">IF(INDEX($H100:$O100,1,Scenario_Selected)="",$H100,INDEX($H100:$O100,1,Scenario_Selected))</f>
        <v>0.05</v>
      </c>
      <c r="H100" s="19" t="n">
        <v>0.05</v>
      </c>
      <c r="I100" s="19"/>
      <c r="J100" s="19"/>
      <c r="K100" s="19"/>
      <c r="L100" s="19"/>
      <c r="M100" s="19"/>
      <c r="N100" s="19"/>
    </row>
    <row r="101" customFormat="false" ht="15" hidden="false" customHeight="false" outlineLevel="0" collapsed="false">
      <c r="B101" s="0" t="s">
        <v>369</v>
      </c>
      <c r="C101" s="11" t="s">
        <v>370</v>
      </c>
      <c r="D101" s="13" t="s">
        <v>344</v>
      </c>
      <c r="F101" s="33" t="n">
        <f aca="false">IF(INDEX($H101:$O101,1,Scenario_Selected)="",$H101,INDEX($H101:$O101,1,Scenario_Selected))</f>
        <v>100</v>
      </c>
      <c r="H101" s="12" t="n">
        <v>100</v>
      </c>
      <c r="I101" s="12"/>
      <c r="J101" s="12"/>
      <c r="K101" s="12"/>
      <c r="L101" s="12"/>
      <c r="M101" s="12"/>
      <c r="N101" s="12"/>
    </row>
    <row r="103" customFormat="false" ht="15" hidden="false" customHeight="false" outlineLevel="0" collapsed="false">
      <c r="A103" s="9" t="s">
        <v>13</v>
      </c>
      <c r="B103" s="9"/>
      <c r="C103" s="9" t="s">
        <v>371</v>
      </c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</row>
    <row r="104" customFormat="false" ht="15" hidden="false" customHeight="false" outlineLevel="0" collapsed="false">
      <c r="B104" s="0" t="s">
        <v>372</v>
      </c>
      <c r="C104" s="11" t="s">
        <v>373</v>
      </c>
      <c r="D104" s="13" t="s">
        <v>374</v>
      </c>
      <c r="F104" s="33" t="n">
        <f aca="false">IF(INDEX($H104:$O104,1,Scenario_Selected)="",$H104,INDEX($H104:$O104,1,Scenario_Selected))</f>
        <v>2460</v>
      </c>
      <c r="H104" s="12" t="n">
        <v>2460</v>
      </c>
      <c r="I104" s="12"/>
      <c r="J104" s="12"/>
      <c r="K104" s="12"/>
      <c r="L104" s="12"/>
      <c r="M104" s="12"/>
      <c r="N104" s="12"/>
    </row>
    <row r="105" customFormat="false" ht="15" hidden="false" customHeight="false" outlineLevel="0" collapsed="false">
      <c r="B105" s="0" t="s">
        <v>375</v>
      </c>
      <c r="C105" s="11" t="s">
        <v>35</v>
      </c>
      <c r="D105" s="13" t="s">
        <v>376</v>
      </c>
      <c r="F105" s="47" t="n">
        <f aca="false">IF(INDEX($H105:$O105,1,Scenario_Selected)="",$H105,INDEX($H105:$O105,1,Scenario_Selected))</f>
        <v>0.02</v>
      </c>
      <c r="H105" s="19" t="n">
        <v>0.02</v>
      </c>
      <c r="I105" s="19"/>
      <c r="J105" s="19"/>
      <c r="K105" s="19"/>
      <c r="L105" s="19"/>
      <c r="M105" s="19"/>
      <c r="N105" s="19"/>
    </row>
    <row r="106" customFormat="false" ht="15" hidden="false" customHeight="false" outlineLevel="0" collapsed="false">
      <c r="B106" s="0" t="s">
        <v>377</v>
      </c>
      <c r="C106" s="11" t="s">
        <v>35</v>
      </c>
      <c r="D106" s="13" t="s">
        <v>378</v>
      </c>
      <c r="F106" s="48" t="n">
        <f aca="false">IF(INDEX($H106:$O106,1,Scenario_Selected)="",$H106,INDEX($H106:$O106,1,Scenario_Selected))</f>
        <v>0.003</v>
      </c>
      <c r="H106" s="49" t="n">
        <v>0.003</v>
      </c>
      <c r="I106" s="49"/>
      <c r="J106" s="49"/>
      <c r="K106" s="49"/>
      <c r="L106" s="49"/>
      <c r="M106" s="49"/>
      <c r="N106" s="49"/>
    </row>
    <row r="107" customFormat="false" ht="15" hidden="false" customHeight="false" outlineLevel="0" collapsed="false">
      <c r="B107" s="0" t="s">
        <v>379</v>
      </c>
      <c r="C107" s="11" t="s">
        <v>32</v>
      </c>
      <c r="D107" s="13" t="s">
        <v>350</v>
      </c>
      <c r="F107" s="32" t="n">
        <f aca="false">IF(INDEX($H107:$O107,1,Scenario_Selected)="",$H107,INDEX($H107:$O107,1,Scenario_Selected))</f>
        <v>90</v>
      </c>
      <c r="H107" s="21" t="n">
        <v>90</v>
      </c>
      <c r="I107" s="21"/>
      <c r="J107" s="21"/>
      <c r="K107" s="21"/>
      <c r="L107" s="21"/>
      <c r="M107" s="21"/>
      <c r="N107" s="21"/>
    </row>
    <row r="108" customFormat="false" ht="15" hidden="false" customHeight="false" outlineLevel="0" collapsed="false">
      <c r="B108" s="0" t="s">
        <v>380</v>
      </c>
      <c r="C108" s="11" t="s">
        <v>35</v>
      </c>
      <c r="D108" s="13" t="s">
        <v>381</v>
      </c>
      <c r="F108" s="47" t="n">
        <f aca="false">IF(INDEX($H108:$O108,1,Scenario_Selected)="",$H108,INDEX($H108:$O108,1,Scenario_Selected))</f>
        <v>0.01</v>
      </c>
      <c r="H108" s="19" t="n">
        <v>0.01</v>
      </c>
      <c r="I108" s="19"/>
      <c r="J108" s="19"/>
      <c r="K108" s="19"/>
      <c r="L108" s="19"/>
      <c r="M108" s="19"/>
      <c r="N108" s="19"/>
    </row>
    <row r="109" customFormat="false" ht="15" hidden="false" customHeight="false" outlineLevel="0" collapsed="false">
      <c r="B109" s="0" t="s">
        <v>382</v>
      </c>
      <c r="C109" s="11" t="s">
        <v>32</v>
      </c>
      <c r="D109" s="13" t="s">
        <v>383</v>
      </c>
      <c r="F109" s="32" t="n">
        <f aca="false">IF(INDEX($H109:$O109,1,Scenario_Selected)="",$H109,INDEX($H109:$O109,1,Scenario_Selected))</f>
        <v>5</v>
      </c>
      <c r="H109" s="21" t="n">
        <v>5</v>
      </c>
      <c r="I109" s="21"/>
      <c r="J109" s="21"/>
      <c r="K109" s="21"/>
      <c r="L109" s="21"/>
      <c r="M109" s="21"/>
      <c r="N109" s="21"/>
    </row>
    <row r="110" customFormat="false" ht="15" hidden="false" customHeight="false" outlineLevel="0" collapsed="false">
      <c r="B110" s="0" t="s">
        <v>384</v>
      </c>
      <c r="C110" s="11" t="s">
        <v>27</v>
      </c>
      <c r="D110" s="13" t="s">
        <v>385</v>
      </c>
      <c r="F110" s="33" t="n">
        <f aca="false">IF(INDEX($H110:$O110,1,Scenario_Selected)="",$H110,INDEX($H110:$O110,1,Scenario_Selected))</f>
        <v>22</v>
      </c>
      <c r="H110" s="12" t="n">
        <v>22</v>
      </c>
      <c r="I110" s="12"/>
      <c r="J110" s="12"/>
      <c r="K110" s="12"/>
      <c r="L110" s="12"/>
      <c r="M110" s="12"/>
      <c r="N110" s="12"/>
    </row>
    <row r="111" customFormat="false" ht="15" hidden="false" customHeight="false" outlineLevel="0" collapsed="false">
      <c r="B111" s="0" t="s">
        <v>386</v>
      </c>
      <c r="C111" s="11" t="s">
        <v>27</v>
      </c>
      <c r="D111" s="13" t="s">
        <v>387</v>
      </c>
      <c r="F111" s="33" t="n">
        <f aca="false">IF(INDEX($H111:$O111,1,Scenario_Selected)="",$H111,INDEX($H111:$O111,1,Scenario_Selected))</f>
        <v>3</v>
      </c>
      <c r="H111" s="12" t="n">
        <v>3</v>
      </c>
      <c r="I111" s="12"/>
      <c r="J111" s="12"/>
      <c r="K111" s="12"/>
      <c r="L111" s="12"/>
      <c r="M111" s="12"/>
      <c r="N111" s="12"/>
    </row>
    <row r="112" customFormat="false" ht="15" hidden="false" customHeight="false" outlineLevel="0" collapsed="false">
      <c r="B112" s="0" t="s">
        <v>388</v>
      </c>
      <c r="C112" s="11" t="s">
        <v>253</v>
      </c>
      <c r="D112" s="13" t="s">
        <v>389</v>
      </c>
      <c r="F112" s="33" t="n">
        <f aca="false">IF(INDEX($H112:$O112,1,Scenario_Selected)="",$H112,INDEX($H112:$O112,1,Scenario_Selected))</f>
        <v>150</v>
      </c>
      <c r="H112" s="12" t="n">
        <v>150</v>
      </c>
      <c r="I112" s="12"/>
      <c r="J112" s="12"/>
      <c r="K112" s="12"/>
      <c r="L112" s="12"/>
      <c r="M112" s="12"/>
      <c r="N112" s="12"/>
    </row>
    <row r="113" customFormat="false" ht="15" hidden="false" customHeight="false" outlineLevel="0" collapsed="false">
      <c r="B113" s="0" t="s">
        <v>390</v>
      </c>
      <c r="C113" s="11" t="s">
        <v>35</v>
      </c>
      <c r="D113" s="13" t="s">
        <v>391</v>
      </c>
      <c r="F113" s="47" t="n">
        <f aca="false">IF(INDEX($H113:$O113,1,Scenario_Selected)="",$H113,INDEX($H113:$O113,1,Scenario_Selected))</f>
        <v>0.05</v>
      </c>
      <c r="H113" s="19" t="n">
        <v>0.05</v>
      </c>
      <c r="I113" s="19"/>
      <c r="J113" s="19"/>
      <c r="K113" s="19"/>
      <c r="L113" s="19"/>
      <c r="M113" s="19"/>
      <c r="N113" s="19"/>
    </row>
    <row r="114" customFormat="false" ht="15" hidden="false" customHeight="false" outlineLevel="0" collapsed="false">
      <c r="B114" s="0" t="s">
        <v>392</v>
      </c>
      <c r="C114" s="11" t="s">
        <v>35</v>
      </c>
      <c r="D114" s="13" t="s">
        <v>393</v>
      </c>
      <c r="F114" s="47" t="n">
        <f aca="false">IF(INDEX($H114:$O114,1,Scenario_Selected)="",$H114,INDEX($H114:$O114,1,Scenario_Selected))</f>
        <v>0.025</v>
      </c>
      <c r="H114" s="19" t="n">
        <v>0.025</v>
      </c>
      <c r="I114" s="19"/>
      <c r="J114" s="19"/>
      <c r="K114" s="19"/>
      <c r="L114" s="19"/>
      <c r="M114" s="19"/>
      <c r="N114" s="19"/>
    </row>
    <row r="115" customFormat="false" ht="15" hidden="false" customHeight="false" outlineLevel="0" collapsed="false">
      <c r="B115" s="0" t="s">
        <v>394</v>
      </c>
      <c r="C115" s="11" t="s">
        <v>35</v>
      </c>
      <c r="D115" s="13" t="s">
        <v>395</v>
      </c>
      <c r="F115" s="48" t="n">
        <f aca="false">IF(INDEX($H115:$O115,1,Scenario_Selected)="",$H115,INDEX($H115:$O115,1,Scenario_Selected))</f>
        <v>0.001</v>
      </c>
      <c r="H115" s="49" t="n">
        <v>0.001</v>
      </c>
      <c r="I115" s="49"/>
      <c r="J115" s="49"/>
      <c r="K115" s="49"/>
      <c r="L115" s="49"/>
      <c r="M115" s="49"/>
      <c r="N115" s="49"/>
    </row>
    <row r="116" customFormat="false" ht="15" hidden="false" customHeight="false" outlineLevel="0" collapsed="false">
      <c r="B116" s="0" t="s">
        <v>396</v>
      </c>
      <c r="C116" s="11" t="s">
        <v>35</v>
      </c>
      <c r="D116" s="13" t="s">
        <v>397</v>
      </c>
      <c r="F116" s="47" t="n">
        <f aca="false">IF(INDEX($H116:$O116,1,Scenario_Selected)="",$H116,INDEX($H116:$O116,1,Scenario_Selected))</f>
        <v>0.02</v>
      </c>
      <c r="H116" s="19" t="n">
        <v>0.02</v>
      </c>
      <c r="I116" s="19"/>
      <c r="J116" s="19"/>
      <c r="K116" s="19"/>
      <c r="L116" s="19"/>
      <c r="M116" s="19"/>
      <c r="N116" s="19"/>
    </row>
    <row r="118" customFormat="false" ht="15" hidden="false" customHeight="false" outlineLevel="0" collapsed="false">
      <c r="A118" s="9" t="s">
        <v>13</v>
      </c>
      <c r="B118" s="9"/>
      <c r="C118" s="9" t="s">
        <v>398</v>
      </c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</row>
    <row r="119" customFormat="false" ht="15" hidden="false" customHeight="false" outlineLevel="0" collapsed="false">
      <c r="B119" s="0" t="s">
        <v>399</v>
      </c>
      <c r="C119" s="11" t="s">
        <v>35</v>
      </c>
      <c r="D119" s="13" t="s">
        <v>400</v>
      </c>
      <c r="F119" s="47" t="n">
        <f aca="false">IF(INDEX($H119:$O119,1,Scenario_Selected)="",$H119,INDEX($H119:$O119,1,Scenario_Selected))</f>
        <v>0.6</v>
      </c>
      <c r="H119" s="19" t="n">
        <v>0.6</v>
      </c>
      <c r="I119" s="19"/>
      <c r="J119" s="19"/>
      <c r="K119" s="19"/>
      <c r="L119" s="19"/>
      <c r="M119" s="19"/>
      <c r="N119" s="19"/>
    </row>
    <row r="120" customFormat="false" ht="15" hidden="false" customHeight="false" outlineLevel="0" collapsed="false">
      <c r="B120" s="0" t="s">
        <v>401</v>
      </c>
      <c r="C120" s="11" t="s">
        <v>35</v>
      </c>
      <c r="D120" s="13" t="s">
        <v>402</v>
      </c>
      <c r="F120" s="47" t="n">
        <f aca="false">IF(INDEX($H120:$O120,1,Scenario_Selected)="",$H120,INDEX($H120:$O120,1,Scenario_Selected))</f>
        <v>0.5</v>
      </c>
      <c r="H120" s="19" t="n">
        <v>0.5</v>
      </c>
      <c r="I120" s="19"/>
      <c r="J120" s="19"/>
      <c r="K120" s="19"/>
      <c r="L120" s="19"/>
      <c r="M120" s="19"/>
      <c r="N120" s="19"/>
    </row>
    <row r="121" customFormat="false" ht="15" hidden="false" customHeight="false" outlineLevel="0" collapsed="false">
      <c r="B121" s="0" t="s">
        <v>403</v>
      </c>
      <c r="C121" s="11" t="s">
        <v>35</v>
      </c>
      <c r="D121" s="13" t="s">
        <v>404</v>
      </c>
      <c r="F121" s="47" t="n">
        <f aca="false">IF(INDEX($H121:$O121,1,Scenario_Selected)="",$H121,INDEX($H121:$O121,1,Scenario_Selected))</f>
        <v>0.05</v>
      </c>
      <c r="H121" s="19" t="n">
        <v>0.05</v>
      </c>
      <c r="I121" s="19"/>
      <c r="J121" s="19"/>
      <c r="K121" s="19"/>
      <c r="L121" s="19"/>
      <c r="M121" s="19"/>
      <c r="N121" s="19"/>
    </row>
    <row r="122" customFormat="false" ht="15" hidden="false" customHeight="false" outlineLevel="0" collapsed="false">
      <c r="B122" s="0" t="s">
        <v>405</v>
      </c>
      <c r="C122" s="11" t="s">
        <v>35</v>
      </c>
      <c r="D122" s="13" t="s">
        <v>406</v>
      </c>
      <c r="F122" s="48" t="n">
        <f aca="false">IF(INDEX($H122:$O122,1,Scenario_Selected)="",$H122,INDEX($H122:$O122,1,Scenario_Selected))</f>
        <v>0.0175</v>
      </c>
      <c r="H122" s="49" t="n">
        <v>0.0175</v>
      </c>
      <c r="I122" s="49"/>
      <c r="J122" s="49"/>
      <c r="K122" s="49"/>
      <c r="L122" s="49"/>
      <c r="M122" s="49"/>
      <c r="N122" s="49"/>
    </row>
    <row r="123" customFormat="false" ht="15" hidden="false" customHeight="false" outlineLevel="0" collapsed="false">
      <c r="B123" s="0" t="s">
        <v>407</v>
      </c>
      <c r="C123" s="11" t="s">
        <v>35</v>
      </c>
      <c r="D123" s="13" t="s">
        <v>408</v>
      </c>
      <c r="F123" s="48" t="n">
        <f aca="false">IF(INDEX($H123:$O123,1,Scenario_Selected)="",$H123,INDEX($H123:$O123,1,Scenario_Selected))</f>
        <v>0.009</v>
      </c>
      <c r="H123" s="49" t="n">
        <v>0.009</v>
      </c>
      <c r="I123" s="49"/>
      <c r="J123" s="49"/>
      <c r="K123" s="49"/>
      <c r="L123" s="49"/>
      <c r="M123" s="49"/>
      <c r="N123" s="49"/>
    </row>
    <row r="124" customFormat="false" ht="15" hidden="false" customHeight="false" outlineLevel="0" collapsed="false">
      <c r="B124" s="0" t="s">
        <v>409</v>
      </c>
      <c r="C124" s="11" t="s">
        <v>237</v>
      </c>
      <c r="D124" s="13" t="s">
        <v>410</v>
      </c>
      <c r="F124" s="42" t="n">
        <f aca="false">IF(INDEX($H124:$O124,1,Scenario_Selected)="",$H124,INDEX($H124:$O124,1,Scenario_Selected))</f>
        <v>10</v>
      </c>
      <c r="H124" s="45" t="n">
        <v>10</v>
      </c>
      <c r="I124" s="45"/>
      <c r="J124" s="45"/>
      <c r="K124" s="45"/>
      <c r="L124" s="45"/>
      <c r="M124" s="45"/>
      <c r="N124" s="45"/>
    </row>
    <row r="125" customFormat="false" ht="15" hidden="false" customHeight="false" outlineLevel="0" collapsed="false">
      <c r="B125" s="0" t="s">
        <v>411</v>
      </c>
      <c r="C125" s="11" t="s">
        <v>237</v>
      </c>
      <c r="D125" s="13" t="s">
        <v>412</v>
      </c>
      <c r="F125" s="42" t="n">
        <f aca="false">IF(INDEX($H125:$O125,1,Scenario_Selected)="",$H125,INDEX($H125:$O125,1,Scenario_Selected))</f>
        <v>20</v>
      </c>
      <c r="H125" s="45" t="n">
        <v>20</v>
      </c>
      <c r="I125" s="45"/>
      <c r="J125" s="45"/>
      <c r="K125" s="45"/>
      <c r="L125" s="45"/>
      <c r="M125" s="45"/>
      <c r="N125" s="45"/>
    </row>
    <row r="127" customFormat="false" ht="15" hidden="false" customHeight="false" outlineLevel="0" collapsed="false">
      <c r="C127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413</v>
      </c>
      <c r="D5" s="9"/>
      <c r="E5" s="9" t="s">
        <v>414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415</v>
      </c>
      <c r="F6" s="8" t="s">
        <v>416</v>
      </c>
      <c r="J6" s="8" t="s">
        <v>417</v>
      </c>
    </row>
    <row r="7" customFormat="false" ht="15" hidden="false" customHeight="false" outlineLevel="0" collapsed="false">
      <c r="C7" s="0" t="s">
        <v>418</v>
      </c>
      <c r="D7" s="11" t="s">
        <v>27</v>
      </c>
      <c r="E7" s="43" t="n">
        <v>10</v>
      </c>
      <c r="F7" s="43" t="n">
        <v>50</v>
      </c>
      <c r="J7" s="43" t="n">
        <v>10</v>
      </c>
      <c r="K7" s="43" t="n">
        <v>15</v>
      </c>
      <c r="L7" s="43" t="n">
        <v>20</v>
      </c>
      <c r="M7" s="43" t="n">
        <v>25</v>
      </c>
      <c r="N7" s="43" t="n">
        <v>30</v>
      </c>
      <c r="O7" s="43" t="n">
        <v>35</v>
      </c>
      <c r="P7" s="43" t="n">
        <v>40</v>
      </c>
      <c r="Q7" s="43" t="n">
        <v>45</v>
      </c>
      <c r="R7" s="43" t="n">
        <v>50</v>
      </c>
    </row>
    <row r="8" customFormat="false" ht="15" hidden="false" customHeight="false" outlineLevel="0" collapsed="false">
      <c r="C8" s="0" t="s">
        <v>419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420</v>
      </c>
      <c r="D9" s="11" t="s">
        <v>70</v>
      </c>
      <c r="E9" s="19" t="n">
        <v>0.2</v>
      </c>
      <c r="J9" s="45" t="n">
        <v>0</v>
      </c>
      <c r="K9" s="45" t="n">
        <v>10</v>
      </c>
      <c r="L9" s="45" t="n">
        <v>20</v>
      </c>
      <c r="M9" s="45" t="n">
        <v>30</v>
      </c>
      <c r="N9" s="45" t="n">
        <v>40</v>
      </c>
      <c r="O9" s="45" t="n">
        <v>55</v>
      </c>
      <c r="P9" s="45" t="n">
        <v>70</v>
      </c>
      <c r="Q9" s="45" t="n">
        <v>80</v>
      </c>
      <c r="R9" s="45" t="n">
        <v>90</v>
      </c>
      <c r="S9" s="45" t="n">
        <v>100</v>
      </c>
    </row>
    <row r="10" customFormat="false" ht="15" hidden="false" customHeight="false" outlineLevel="0" collapsed="false">
      <c r="C10" s="0" t="s">
        <v>421</v>
      </c>
      <c r="D10" s="11" t="s">
        <v>32</v>
      </c>
      <c r="E10" s="43" t="n">
        <v>2</v>
      </c>
      <c r="F10" s="43" t="n">
        <v>3</v>
      </c>
      <c r="J10" s="43" t="n">
        <v>2</v>
      </c>
      <c r="K10" s="43" t="n">
        <v>2.1</v>
      </c>
      <c r="L10" s="43" t="n">
        <v>2.2</v>
      </c>
      <c r="M10" s="43" t="n">
        <v>2.3</v>
      </c>
      <c r="N10" s="43" t="n">
        <v>2.4</v>
      </c>
      <c r="O10" s="43" t="n">
        <v>2.5</v>
      </c>
      <c r="P10" s="43" t="n">
        <v>2.6</v>
      </c>
      <c r="Q10" s="43" t="n">
        <v>2.7</v>
      </c>
      <c r="R10" s="43" t="n">
        <v>2.8</v>
      </c>
      <c r="S10" s="43" t="n">
        <v>2.9</v>
      </c>
      <c r="T10" s="43" t="n">
        <v>3</v>
      </c>
    </row>
    <row r="11" customFormat="false" ht="15" hidden="false" customHeight="false" outlineLevel="0" collapsed="false">
      <c r="C11" s="0" t="s">
        <v>422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423</v>
      </c>
      <c r="D12" s="11" t="s">
        <v>70</v>
      </c>
      <c r="E12" s="19" t="n">
        <v>0.15</v>
      </c>
      <c r="J12" s="45" t="n">
        <v>0</v>
      </c>
      <c r="K12" s="45" t="n">
        <v>5</v>
      </c>
      <c r="L12" s="45" t="n">
        <v>10</v>
      </c>
      <c r="M12" s="45" t="n">
        <v>20</v>
      </c>
      <c r="N12" s="45" t="n">
        <v>30</v>
      </c>
      <c r="O12" s="45" t="n">
        <v>40</v>
      </c>
      <c r="P12" s="45" t="n">
        <v>50</v>
      </c>
      <c r="Q12" s="45" t="n">
        <v>60</v>
      </c>
      <c r="R12" s="45" t="n">
        <v>70</v>
      </c>
      <c r="S12" s="45" t="n">
        <v>80</v>
      </c>
      <c r="T12" s="45" t="n">
        <v>90</v>
      </c>
      <c r="U12" s="45" t="n">
        <v>100</v>
      </c>
    </row>
    <row r="13" customFormat="false" ht="15" hidden="false" customHeight="false" outlineLevel="0" collapsed="false">
      <c r="C13" s="0" t="s">
        <v>424</v>
      </c>
      <c r="D13" s="11" t="s">
        <v>35</v>
      </c>
      <c r="J13" s="43" t="n">
        <v>0.02</v>
      </c>
      <c r="K13" s="43" t="n">
        <v>0.05</v>
      </c>
      <c r="L13" s="43" t="n">
        <v>0.1</v>
      </c>
      <c r="M13" s="43" t="n">
        <v>0.15</v>
      </c>
      <c r="N13" s="43" t="n">
        <v>0.2</v>
      </c>
      <c r="O13" s="43" t="n">
        <v>0.25</v>
      </c>
      <c r="P13" s="43" t="n">
        <v>0.3</v>
      </c>
      <c r="Q13" s="43" t="n">
        <v>0.35</v>
      </c>
      <c r="R13" s="43" t="n">
        <v>0.4</v>
      </c>
      <c r="S13" s="43" t="n">
        <v>0.5</v>
      </c>
    </row>
    <row r="14" customFormat="false" ht="15" hidden="false" customHeight="false" outlineLevel="0" collapsed="false">
      <c r="C14" s="0" t="s">
        <v>425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426</v>
      </c>
      <c r="D15" s="11" t="s">
        <v>70</v>
      </c>
      <c r="E15" s="19" t="n">
        <v>0.1</v>
      </c>
      <c r="J15" s="45" t="n">
        <v>0</v>
      </c>
      <c r="K15" s="45" t="n">
        <v>10</v>
      </c>
      <c r="L15" s="45" t="n">
        <v>20</v>
      </c>
      <c r="M15" s="45" t="n">
        <v>30</v>
      </c>
      <c r="N15" s="45" t="n">
        <v>40</v>
      </c>
      <c r="O15" s="45" t="n">
        <v>50</v>
      </c>
      <c r="P15" s="45" t="n">
        <v>60</v>
      </c>
      <c r="Q15" s="45" t="n">
        <v>70</v>
      </c>
      <c r="R15" s="45" t="n">
        <v>80</v>
      </c>
      <c r="S15" s="45" t="n">
        <v>90</v>
      </c>
      <c r="T15" s="45" t="n">
        <v>100</v>
      </c>
    </row>
    <row r="16" customFormat="false" ht="15" hidden="false" customHeight="false" outlineLevel="0" collapsed="false">
      <c r="C16" s="0" t="s">
        <v>427</v>
      </c>
      <c r="D16" s="11" t="s">
        <v>35</v>
      </c>
      <c r="E16" s="43" t="n">
        <v>0.05</v>
      </c>
      <c r="J16" s="43" t="n">
        <v>0.02</v>
      </c>
      <c r="K16" s="43" t="n">
        <v>0.05</v>
      </c>
      <c r="L16" s="43" t="n">
        <v>0.1</v>
      </c>
      <c r="M16" s="43" t="n">
        <v>0.15</v>
      </c>
      <c r="N16" s="43" t="n">
        <v>0.2</v>
      </c>
      <c r="O16" s="43" t="n">
        <v>0.25</v>
      </c>
      <c r="P16" s="43" t="n">
        <v>0.3</v>
      </c>
      <c r="Q16" s="43" t="n">
        <v>0.35</v>
      </c>
      <c r="R16" s="43" t="n">
        <v>0.4</v>
      </c>
      <c r="S16" s="43" t="n">
        <v>0.5</v>
      </c>
    </row>
    <row r="17" customFormat="false" ht="15" hidden="false" customHeight="false" outlineLevel="0" collapsed="false">
      <c r="C17" s="0" t="s">
        <v>428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429</v>
      </c>
      <c r="D18" s="11" t="s">
        <v>70</v>
      </c>
      <c r="E18" s="19" t="n">
        <v>0.15</v>
      </c>
      <c r="J18" s="45" t="n">
        <v>0</v>
      </c>
      <c r="K18" s="45" t="n">
        <v>10</v>
      </c>
      <c r="L18" s="45" t="n">
        <v>20</v>
      </c>
      <c r="M18" s="45" t="n">
        <v>30</v>
      </c>
      <c r="N18" s="45" t="n">
        <v>40</v>
      </c>
      <c r="O18" s="45" t="n">
        <v>50</v>
      </c>
      <c r="P18" s="45" t="n">
        <v>60</v>
      </c>
      <c r="Q18" s="45" t="n">
        <v>70</v>
      </c>
      <c r="R18" s="45" t="n">
        <v>80</v>
      </c>
      <c r="S18" s="45" t="n">
        <v>90</v>
      </c>
      <c r="T18" s="45" t="n">
        <v>100</v>
      </c>
    </row>
    <row r="19" customFormat="false" ht="15" hidden="false" customHeight="false" outlineLevel="0" collapsed="false">
      <c r="C19" s="0" t="s">
        <v>430</v>
      </c>
      <c r="D19" s="11" t="s">
        <v>13</v>
      </c>
      <c r="J19" s="43" t="n">
        <v>1</v>
      </c>
      <c r="K19" s="43" t="n">
        <v>1.2</v>
      </c>
      <c r="L19" s="43" t="n">
        <v>1.3</v>
      </c>
      <c r="M19" s="43" t="n">
        <v>1.4</v>
      </c>
      <c r="N19" s="43" t="n">
        <v>1.5</v>
      </c>
      <c r="O19" s="43" t="n">
        <v>1.6</v>
      </c>
      <c r="P19" s="43" t="n">
        <v>1.7</v>
      </c>
      <c r="Q19" s="43" t="n">
        <v>1.8</v>
      </c>
      <c r="R19" s="43" t="n">
        <v>1.9</v>
      </c>
      <c r="S19" s="43" t="n">
        <v>2</v>
      </c>
    </row>
    <row r="20" customFormat="false" ht="15" hidden="false" customHeight="false" outlineLevel="0" collapsed="false">
      <c r="C20" s="0" t="s">
        <v>431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432</v>
      </c>
      <c r="D21" s="11" t="s">
        <v>70</v>
      </c>
      <c r="E21" s="19" t="n">
        <v>0.05</v>
      </c>
      <c r="J21" s="45" t="n">
        <v>0</v>
      </c>
      <c r="K21" s="45" t="n">
        <v>10</v>
      </c>
      <c r="L21" s="45" t="n">
        <v>20</v>
      </c>
      <c r="M21" s="45" t="n">
        <v>30</v>
      </c>
      <c r="N21" s="45" t="n">
        <v>40</v>
      </c>
      <c r="O21" s="45" t="n">
        <v>50</v>
      </c>
      <c r="P21" s="45" t="n">
        <v>60</v>
      </c>
      <c r="Q21" s="45" t="n">
        <v>70</v>
      </c>
      <c r="R21" s="45" t="n">
        <v>80</v>
      </c>
      <c r="S21" s="45" t="n">
        <v>90</v>
      </c>
      <c r="T21" s="45" t="n">
        <v>100</v>
      </c>
    </row>
    <row r="22" customFormat="false" ht="15" hidden="false" customHeight="false" outlineLevel="0" collapsed="false">
      <c r="C22" s="0" t="s">
        <v>433</v>
      </c>
      <c r="D22" s="11" t="s">
        <v>70</v>
      </c>
      <c r="E22" s="19" t="n">
        <v>0.05</v>
      </c>
      <c r="J22" s="45" t="n">
        <v>100</v>
      </c>
    </row>
    <row r="23" customFormat="false" ht="15" hidden="false" customHeight="false" outlineLevel="0" collapsed="false">
      <c r="C23" s="0" t="s">
        <v>434</v>
      </c>
      <c r="D23" s="11" t="s">
        <v>70</v>
      </c>
      <c r="E23" s="19" t="n">
        <v>0.1</v>
      </c>
      <c r="J23" s="45" t="n">
        <v>100</v>
      </c>
    </row>
    <row r="24" customFormat="false" ht="15" hidden="false" customHeight="false" outlineLevel="0" collapsed="false">
      <c r="C24" s="0" t="s">
        <v>435</v>
      </c>
      <c r="D24" s="11" t="s">
        <v>70</v>
      </c>
      <c r="E24" s="19" t="n">
        <v>0.05</v>
      </c>
      <c r="J24" s="45" t="n">
        <v>100</v>
      </c>
    </row>
    <row r="25" customFormat="false" ht="15" hidden="false" customHeight="false" outlineLevel="0" collapsed="false">
      <c r="C25" s="0" t="s">
        <v>436</v>
      </c>
      <c r="D25" s="11" t="s">
        <v>70</v>
      </c>
      <c r="E25" s="19" t="n">
        <v>0.15</v>
      </c>
      <c r="J25" s="45" t="n">
        <v>80</v>
      </c>
    </row>
    <row r="26" customFormat="false" ht="15" hidden="false" customHeight="false" outlineLevel="0" collapsed="false">
      <c r="C26" s="0" t="s">
        <v>437</v>
      </c>
      <c r="D26" s="11" t="s">
        <v>70</v>
      </c>
      <c r="J26" s="45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438</v>
      </c>
      <c r="D28" s="9"/>
      <c r="E28" s="9" t="s">
        <v>439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440</v>
      </c>
      <c r="E29" s="8" t="s">
        <v>441</v>
      </c>
      <c r="F29" s="8" t="s">
        <v>253</v>
      </c>
      <c r="I29" s="8" t="s">
        <v>442</v>
      </c>
      <c r="J29" s="8" t="s">
        <v>443</v>
      </c>
      <c r="K29" s="8" t="s">
        <v>444</v>
      </c>
    </row>
    <row r="30" customFormat="false" ht="15" hidden="false" customHeight="false" outlineLevel="0" collapsed="false">
      <c r="C30" s="0" t="s">
        <v>445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446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447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448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449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450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451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452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453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454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455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456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457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458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459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460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461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462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463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464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465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466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467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468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469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470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471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472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473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474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475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476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1</v>
      </c>
      <c r="C1" s="13" t="s">
        <v>477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478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479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480</v>
      </c>
      <c r="D5" s="11" t="s">
        <v>215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481</v>
      </c>
      <c r="D6" s="11" t="s">
        <v>482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483</v>
      </c>
      <c r="D7" s="11" t="s">
        <v>484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485</v>
      </c>
      <c r="D8" s="11" t="s">
        <v>211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486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487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488</v>
      </c>
      <c r="D13" s="11" t="s">
        <v>482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371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489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490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491</v>
      </c>
      <c r="D18" s="11" t="s">
        <v>482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492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493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494</v>
      </c>
      <c r="D21" s="11" t="s">
        <v>482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495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496</v>
      </c>
      <c r="D24" s="11" t="s">
        <v>123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497</v>
      </c>
      <c r="D25" s="11" t="s">
        <v>123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498</v>
      </c>
      <c r="D26" s="11" t="s">
        <v>499</v>
      </c>
      <c r="E26" s="32" t="n">
        <f aca="false">$E25*INDEX(Dash_BESS_Hours,1,$A$1)</f>
        <v>204</v>
      </c>
      <c r="F26" s="32" t="n">
        <f aca="false">$E26*In_BESS_Built</f>
        <v>204</v>
      </c>
    </row>
    <row r="27" customFormat="false" ht="15" hidden="false" customHeight="false" outlineLevel="0" collapsed="false">
      <c r="C27" s="0" t="s">
        <v>500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501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502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503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504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505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506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507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508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509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510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511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512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513</v>
      </c>
      <c r="D42" s="11" t="s">
        <v>211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514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515</v>
      </c>
      <c r="D45" s="11" t="s">
        <v>287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90</v>
      </c>
      <c r="D46" s="11" t="s">
        <v>253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516</v>
      </c>
      <c r="D47" s="11" t="s">
        <v>253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517</v>
      </c>
      <c r="D48" s="11" t="s">
        <v>253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518</v>
      </c>
      <c r="D49" s="11" t="s">
        <v>253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519</v>
      </c>
      <c r="D50" s="11" t="s">
        <v>253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520</v>
      </c>
      <c r="D51" s="11" t="s">
        <v>253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521</v>
      </c>
      <c r="D52" s="11" t="s">
        <v>253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116</v>
      </c>
      <c r="D53" s="11" t="s">
        <v>253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522</v>
      </c>
      <c r="D54" s="11" t="s">
        <v>253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523</v>
      </c>
      <c r="D55" s="11" t="s">
        <v>253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524</v>
      </c>
      <c r="D56" s="11" t="s">
        <v>253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525</v>
      </c>
      <c r="D57" s="11" t="s">
        <v>253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526</v>
      </c>
      <c r="D58" s="11" t="s">
        <v>253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527</v>
      </c>
      <c r="D59" s="11" t="s">
        <v>253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528</v>
      </c>
      <c r="D60" s="11" t="s">
        <v>253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529</v>
      </c>
      <c r="D61" s="11" t="s">
        <v>253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530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531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532</v>
      </c>
      <c r="D65" s="11" t="s">
        <v>253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533</v>
      </c>
      <c r="D66" s="11" t="s">
        <v>211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534</v>
      </c>
      <c r="D67" s="11" t="s">
        <v>253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535</v>
      </c>
      <c r="D68" s="11" t="s">
        <v>253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536</v>
      </c>
      <c r="D69" s="11" t="s">
        <v>253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537</v>
      </c>
      <c r="D70" s="11" t="s">
        <v>253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538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539</v>
      </c>
      <c r="D72" s="11" t="s">
        <v>253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535</v>
      </c>
      <c r="D73" s="11" t="s">
        <v>253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536</v>
      </c>
      <c r="D74" s="11" t="s">
        <v>253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540</v>
      </c>
      <c r="D75" s="11" t="s">
        <v>253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541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533</v>
      </c>
      <c r="D77" s="11" t="s">
        <v>211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534</v>
      </c>
      <c r="D78" s="11" t="s">
        <v>253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542</v>
      </c>
      <c r="D79" s="11" t="s">
        <v>253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536</v>
      </c>
      <c r="D80" s="11" t="s">
        <v>253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537</v>
      </c>
      <c r="D81" s="11" t="s">
        <v>253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543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544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545</v>
      </c>
      <c r="D85" s="11" t="s">
        <v>253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546</v>
      </c>
      <c r="D86" s="11" t="s">
        <v>253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547</v>
      </c>
      <c r="D87" s="11" t="s">
        <v>253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548</v>
      </c>
      <c r="D88" s="11" t="s">
        <v>147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148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549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550</v>
      </c>
      <c r="D92" s="11" t="s">
        <v>41</v>
      </c>
      <c r="E92" s="46" t="n">
        <f aca="false">MAX(In_CN_Turbine,1-In_Delivered)</f>
        <v>0</v>
      </c>
    </row>
    <row r="93" customFormat="false" ht="15" hidden="false" customHeight="false" outlineLevel="0" collapsed="false">
      <c r="C93" s="0" t="s">
        <v>551</v>
      </c>
      <c r="D93" s="11" t="s">
        <v>27</v>
      </c>
      <c r="E93" s="33" t="n">
        <f aca="false">IF($E92=1,In_Turbine_CN,In_Turbine)</f>
        <v>600</v>
      </c>
      <c r="F93" s="33" t="n">
        <f aca="false">In_Installation+In_Foundations+In_BoP+In_Owner+In_Easements</f>
        <v>355</v>
      </c>
    </row>
    <row r="94" customFormat="false" ht="15" hidden="false" customHeight="false" outlineLevel="0" collapsed="false">
      <c r="C94" s="0" t="s">
        <v>552</v>
      </c>
      <c r="D94" s="11" t="s">
        <v>253</v>
      </c>
      <c r="E94" s="33" t="n">
        <f aca="false">IF($E92=1,In_Substation_CN,In_Substation)</f>
        <v>12000</v>
      </c>
    </row>
    <row r="95" customFormat="false" ht="15" hidden="false" customHeight="false" outlineLevel="0" collapsed="false">
      <c r="C95" s="0" t="s">
        <v>553</v>
      </c>
      <c r="D95" s="11" t="s">
        <v>253</v>
      </c>
      <c r="E95" s="33" t="n">
        <f aca="false">(($E93+$F93)*$F24+$E94)*(1+In_Capex_Contingency)+In_BESS_Capex*$F26</f>
        <v>133275</v>
      </c>
      <c r="I95" s="33" t="n">
        <f aca="false">SUM(J95:ET95)</f>
        <v>-133275</v>
      </c>
      <c r="J95" s="33" t="n">
        <f aca="false">-$E95*J13</f>
        <v>-0</v>
      </c>
      <c r="K95" s="33" t="n">
        <f aca="false">-$E95*K13</f>
        <v>-0</v>
      </c>
      <c r="L95" s="33" t="n">
        <f aca="false">-$E95*L13</f>
        <v>-0</v>
      </c>
      <c r="M95" s="33" t="n">
        <f aca="false">-$E95*M13</f>
        <v>-0</v>
      </c>
      <c r="N95" s="33" t="n">
        <f aca="false">-$E95*N13</f>
        <v>-0</v>
      </c>
      <c r="O95" s="33" t="n">
        <f aca="false">-$E95*O13</f>
        <v>-0</v>
      </c>
      <c r="P95" s="33" t="n">
        <f aca="false">-$E95*P13</f>
        <v>-0</v>
      </c>
      <c r="Q95" s="33" t="n">
        <f aca="false">-$E95*Q13</f>
        <v>-0</v>
      </c>
      <c r="R95" s="33" t="n">
        <f aca="false">-$E95*R13</f>
        <v>-0</v>
      </c>
      <c r="S95" s="33" t="n">
        <f aca="false">-$E95*S13</f>
        <v>-0</v>
      </c>
      <c r="T95" s="33" t="n">
        <f aca="false">-$E95*T13</f>
        <v>-0</v>
      </c>
      <c r="U95" s="33" t="n">
        <f aca="false">-$E95*U13</f>
        <v>-0</v>
      </c>
      <c r="V95" s="33" t="n">
        <f aca="false">-$E95*V13</f>
        <v>-0</v>
      </c>
      <c r="W95" s="33" t="n">
        <f aca="false">-$E95*W13</f>
        <v>-16796.301369863</v>
      </c>
      <c r="X95" s="33" t="n">
        <f aca="false">-$E95*X13</f>
        <v>-16431.1643835616</v>
      </c>
      <c r="Y95" s="33" t="n">
        <f aca="false">-$E95*Y13</f>
        <v>-16613.7328767123</v>
      </c>
      <c r="Z95" s="33" t="n">
        <f aca="false">-$E95*Z13</f>
        <v>-16796.301369863</v>
      </c>
      <c r="AA95" s="33" t="n">
        <f aca="false">-$E95*AA13</f>
        <v>-16796.301369863</v>
      </c>
      <c r="AB95" s="33" t="n">
        <f aca="false">-$E95*AB13</f>
        <v>-16431.1643835616</v>
      </c>
      <c r="AC95" s="33" t="n">
        <f aca="false">-$E95*AC13</f>
        <v>-16613.7328767123</v>
      </c>
      <c r="AD95" s="33" t="n">
        <f aca="false">-$E95*AD13</f>
        <v>-16796.301369863</v>
      </c>
      <c r="AE95" s="33" t="n">
        <f aca="false">-$E95*AE13</f>
        <v>-0</v>
      </c>
      <c r="AF95" s="33" t="n">
        <f aca="false">-$E95*AF13</f>
        <v>-0</v>
      </c>
      <c r="AG95" s="33" t="n">
        <f aca="false">-$E95*AG13</f>
        <v>-0</v>
      </c>
      <c r="AH95" s="33" t="n">
        <f aca="false">-$E95*AH13</f>
        <v>-0</v>
      </c>
      <c r="AI95" s="33" t="n">
        <f aca="false">-$E95*AI13</f>
        <v>-0</v>
      </c>
      <c r="AJ95" s="33" t="n">
        <f aca="false">-$E95*AJ13</f>
        <v>-0</v>
      </c>
      <c r="AK95" s="33" t="n">
        <f aca="false">-$E95*AK13</f>
        <v>-0</v>
      </c>
      <c r="AL95" s="33" t="n">
        <f aca="false">-$E95*AL13</f>
        <v>-0</v>
      </c>
      <c r="AM95" s="33" t="n">
        <f aca="false">-$E95*AM13</f>
        <v>-0</v>
      </c>
      <c r="AN95" s="33" t="n">
        <f aca="false">-$E95*AN13</f>
        <v>-0</v>
      </c>
      <c r="AO95" s="33" t="n">
        <f aca="false">-$E95*AO13</f>
        <v>-0</v>
      </c>
      <c r="AP95" s="33" t="n">
        <f aca="false">-$E95*AP13</f>
        <v>-0</v>
      </c>
      <c r="AQ95" s="33" t="n">
        <f aca="false">-$E95*AQ13</f>
        <v>-0</v>
      </c>
      <c r="AR95" s="33" t="n">
        <f aca="false">-$E95*AR13</f>
        <v>-0</v>
      </c>
      <c r="AS95" s="33" t="n">
        <f aca="false">-$E95*AS13</f>
        <v>-0</v>
      </c>
      <c r="AT95" s="33" t="n">
        <f aca="false">-$E95*AT13</f>
        <v>-0</v>
      </c>
      <c r="AU95" s="33" t="n">
        <f aca="false">-$E95*AU13</f>
        <v>-0</v>
      </c>
      <c r="AV95" s="33" t="n">
        <f aca="false">-$E95*AV13</f>
        <v>-0</v>
      </c>
      <c r="AW95" s="33" t="n">
        <f aca="false">-$E95*AW13</f>
        <v>-0</v>
      </c>
      <c r="AX95" s="33" t="n">
        <f aca="false">-$E95*AX13</f>
        <v>-0</v>
      </c>
      <c r="AY95" s="33" t="n">
        <f aca="false">-$E95*AY13</f>
        <v>-0</v>
      </c>
      <c r="AZ95" s="33" t="n">
        <f aca="false">-$E95*AZ13</f>
        <v>-0</v>
      </c>
      <c r="BA95" s="33" t="n">
        <f aca="false">-$E95*BA13</f>
        <v>-0</v>
      </c>
      <c r="BB95" s="33" t="n">
        <f aca="false">-$E95*BB13</f>
        <v>-0</v>
      </c>
      <c r="BC95" s="33" t="n">
        <f aca="false">-$E95*BC13</f>
        <v>-0</v>
      </c>
      <c r="BD95" s="33" t="n">
        <f aca="false">-$E95*BD13</f>
        <v>-0</v>
      </c>
      <c r="BE95" s="33" t="n">
        <f aca="false">-$E95*BE13</f>
        <v>-0</v>
      </c>
      <c r="BF95" s="33" t="n">
        <f aca="false">-$E95*BF13</f>
        <v>-0</v>
      </c>
      <c r="BG95" s="33" t="n">
        <f aca="false">-$E95*BG13</f>
        <v>-0</v>
      </c>
      <c r="BH95" s="33" t="n">
        <f aca="false">-$E95*BH13</f>
        <v>-0</v>
      </c>
      <c r="BI95" s="33" t="n">
        <f aca="false">-$E95*BI13</f>
        <v>-0</v>
      </c>
      <c r="BJ95" s="33" t="n">
        <f aca="false">-$E95*BJ13</f>
        <v>-0</v>
      </c>
      <c r="BK95" s="33" t="n">
        <f aca="false">-$E95*BK13</f>
        <v>-0</v>
      </c>
      <c r="BL95" s="33" t="n">
        <f aca="false">-$E95*BL13</f>
        <v>-0</v>
      </c>
      <c r="BM95" s="33" t="n">
        <f aca="false">-$E95*BM13</f>
        <v>-0</v>
      </c>
      <c r="BN95" s="33" t="n">
        <f aca="false">-$E95*BN13</f>
        <v>-0</v>
      </c>
      <c r="BO95" s="33" t="n">
        <f aca="false">-$E95*BO13</f>
        <v>-0</v>
      </c>
      <c r="BP95" s="33" t="n">
        <f aca="false">-$E95*BP13</f>
        <v>-0</v>
      </c>
      <c r="BQ95" s="33" t="n">
        <f aca="false">-$E95*BQ13</f>
        <v>-0</v>
      </c>
      <c r="BR95" s="33" t="n">
        <f aca="false">-$E95*BR13</f>
        <v>-0</v>
      </c>
      <c r="BS95" s="33" t="n">
        <f aca="false">-$E95*BS13</f>
        <v>-0</v>
      </c>
      <c r="BT95" s="33" t="n">
        <f aca="false">-$E95*BT13</f>
        <v>-0</v>
      </c>
      <c r="BU95" s="33" t="n">
        <f aca="false">-$E95*BU13</f>
        <v>-0</v>
      </c>
      <c r="BV95" s="33" t="n">
        <f aca="false">-$E95*BV13</f>
        <v>-0</v>
      </c>
      <c r="BW95" s="33" t="n">
        <f aca="false">-$E95*BW13</f>
        <v>-0</v>
      </c>
      <c r="BX95" s="33" t="n">
        <f aca="false">-$E95*BX13</f>
        <v>-0</v>
      </c>
      <c r="BY95" s="33" t="n">
        <f aca="false">-$E95*BY13</f>
        <v>-0</v>
      </c>
      <c r="BZ95" s="33" t="n">
        <f aca="false">-$E95*BZ13</f>
        <v>-0</v>
      </c>
      <c r="CA95" s="33" t="n">
        <f aca="false">-$E95*CA13</f>
        <v>-0</v>
      </c>
      <c r="CB95" s="33" t="n">
        <f aca="false">-$E95*CB13</f>
        <v>-0</v>
      </c>
      <c r="CC95" s="33" t="n">
        <f aca="false">-$E95*CC13</f>
        <v>-0</v>
      </c>
      <c r="CD95" s="33" t="n">
        <f aca="false">-$E95*CD13</f>
        <v>-0</v>
      </c>
      <c r="CE95" s="33" t="n">
        <f aca="false">-$E95*CE13</f>
        <v>-0</v>
      </c>
      <c r="CF95" s="33" t="n">
        <f aca="false">-$E95*CF13</f>
        <v>-0</v>
      </c>
      <c r="CG95" s="33" t="n">
        <f aca="false">-$E95*CG13</f>
        <v>-0</v>
      </c>
      <c r="CH95" s="33" t="n">
        <f aca="false">-$E95*CH13</f>
        <v>-0</v>
      </c>
      <c r="CI95" s="33" t="n">
        <f aca="false">-$E95*CI13</f>
        <v>-0</v>
      </c>
      <c r="CJ95" s="33" t="n">
        <f aca="false">-$E95*CJ13</f>
        <v>-0</v>
      </c>
      <c r="CK95" s="33" t="n">
        <f aca="false">-$E95*CK13</f>
        <v>-0</v>
      </c>
      <c r="CL95" s="33" t="n">
        <f aca="false">-$E95*CL13</f>
        <v>-0</v>
      </c>
      <c r="CM95" s="33" t="n">
        <f aca="false">-$E95*CM13</f>
        <v>-0</v>
      </c>
      <c r="CN95" s="33" t="n">
        <f aca="false">-$E95*CN13</f>
        <v>-0</v>
      </c>
      <c r="CO95" s="33" t="n">
        <f aca="false">-$E95*CO13</f>
        <v>-0</v>
      </c>
      <c r="CP95" s="33" t="n">
        <f aca="false">-$E95*CP13</f>
        <v>-0</v>
      </c>
      <c r="CQ95" s="33" t="n">
        <f aca="false">-$E95*CQ13</f>
        <v>-0</v>
      </c>
      <c r="CR95" s="33" t="n">
        <f aca="false">-$E95*CR13</f>
        <v>-0</v>
      </c>
      <c r="CS95" s="33" t="n">
        <f aca="false">-$E95*CS13</f>
        <v>-0</v>
      </c>
      <c r="CT95" s="33" t="n">
        <f aca="false">-$E95*CT13</f>
        <v>-0</v>
      </c>
      <c r="CU95" s="33" t="n">
        <f aca="false">-$E95*CU13</f>
        <v>-0</v>
      </c>
      <c r="CV95" s="33" t="n">
        <f aca="false">-$E95*CV13</f>
        <v>-0</v>
      </c>
      <c r="CW95" s="33" t="n">
        <f aca="false">-$E95*CW13</f>
        <v>-0</v>
      </c>
      <c r="CX95" s="33" t="n">
        <f aca="false">-$E95*CX13</f>
        <v>-0</v>
      </c>
      <c r="CY95" s="33" t="n">
        <f aca="false">-$E95*CY13</f>
        <v>-0</v>
      </c>
      <c r="CZ95" s="33" t="n">
        <f aca="false">-$E95*CZ13</f>
        <v>-0</v>
      </c>
      <c r="DA95" s="33" t="n">
        <f aca="false">-$E95*DA13</f>
        <v>-0</v>
      </c>
      <c r="DB95" s="33" t="n">
        <f aca="false">-$E95*DB13</f>
        <v>-0</v>
      </c>
      <c r="DC95" s="33" t="n">
        <f aca="false">-$E95*DC13</f>
        <v>-0</v>
      </c>
      <c r="DD95" s="33" t="n">
        <f aca="false">-$E95*DD13</f>
        <v>-0</v>
      </c>
      <c r="DE95" s="33" t="n">
        <f aca="false">-$E95*DE13</f>
        <v>-0</v>
      </c>
      <c r="DF95" s="33" t="n">
        <f aca="false">-$E95*DF13</f>
        <v>-0</v>
      </c>
      <c r="DG95" s="33" t="n">
        <f aca="false">-$E95*DG13</f>
        <v>-0</v>
      </c>
      <c r="DH95" s="33" t="n">
        <f aca="false">-$E95*DH13</f>
        <v>-0</v>
      </c>
      <c r="DI95" s="33" t="n">
        <f aca="false">-$E95*DI13</f>
        <v>-0</v>
      </c>
      <c r="DJ95" s="33" t="n">
        <f aca="false">-$E95*DJ13</f>
        <v>-0</v>
      </c>
      <c r="DK95" s="33" t="n">
        <f aca="false">-$E95*DK13</f>
        <v>-0</v>
      </c>
      <c r="DL95" s="33" t="n">
        <f aca="false">-$E95*DL13</f>
        <v>-0</v>
      </c>
      <c r="DM95" s="33" t="n">
        <f aca="false">-$E95*DM13</f>
        <v>-0</v>
      </c>
      <c r="DN95" s="33" t="n">
        <f aca="false">-$E95*DN13</f>
        <v>-0</v>
      </c>
      <c r="DO95" s="33" t="n">
        <f aca="false">-$E95*DO13</f>
        <v>-0</v>
      </c>
      <c r="DP95" s="33" t="n">
        <f aca="false">-$E95*DP13</f>
        <v>-0</v>
      </c>
      <c r="DQ95" s="33" t="n">
        <f aca="false">-$E95*DQ13</f>
        <v>-0</v>
      </c>
      <c r="DR95" s="33" t="n">
        <f aca="false">-$E95*DR13</f>
        <v>-0</v>
      </c>
      <c r="DS95" s="33" t="n">
        <f aca="false">-$E95*DS13</f>
        <v>-0</v>
      </c>
      <c r="DT95" s="33" t="n">
        <f aca="false">-$E95*DT13</f>
        <v>-0</v>
      </c>
      <c r="DU95" s="33" t="n">
        <f aca="false">-$E95*DU13</f>
        <v>-0</v>
      </c>
      <c r="DV95" s="33" t="n">
        <f aca="false">-$E95*DV13</f>
        <v>-0</v>
      </c>
      <c r="DW95" s="33" t="n">
        <f aca="false">-$E95*DW13</f>
        <v>-0</v>
      </c>
      <c r="DX95" s="33" t="n">
        <f aca="false">-$E95*DX13</f>
        <v>-0</v>
      </c>
      <c r="DY95" s="33" t="n">
        <f aca="false">-$E95*DY13</f>
        <v>-0</v>
      </c>
      <c r="DZ95" s="33" t="n">
        <f aca="false">-$E95*DZ13</f>
        <v>-0</v>
      </c>
      <c r="EA95" s="33" t="n">
        <f aca="false">-$E95*EA13</f>
        <v>-0</v>
      </c>
      <c r="EB95" s="33" t="n">
        <f aca="false">-$E95*EB13</f>
        <v>-0</v>
      </c>
      <c r="EC95" s="33" t="n">
        <f aca="false">-$E95*EC13</f>
        <v>-0</v>
      </c>
      <c r="ED95" s="33" t="n">
        <f aca="false">-$E95*ED13</f>
        <v>-0</v>
      </c>
      <c r="EE95" s="33" t="n">
        <f aca="false">-$E95*EE13</f>
        <v>-0</v>
      </c>
      <c r="EF95" s="33" t="n">
        <f aca="false">-$E95*EF13</f>
        <v>-0</v>
      </c>
      <c r="EG95" s="33" t="n">
        <f aca="false">-$E95*EG13</f>
        <v>-0</v>
      </c>
      <c r="EH95" s="33" t="n">
        <f aca="false">-$E95*EH13</f>
        <v>-0</v>
      </c>
      <c r="EI95" s="33" t="n">
        <f aca="false">-$E95*EI13</f>
        <v>-0</v>
      </c>
      <c r="EJ95" s="33" t="n">
        <f aca="false">-$E95*EJ13</f>
        <v>-0</v>
      </c>
      <c r="EK95" s="33" t="n">
        <f aca="false">-$E95*EK13</f>
        <v>-0</v>
      </c>
      <c r="EL95" s="33" t="n">
        <f aca="false">-$E95*EL13</f>
        <v>-0</v>
      </c>
      <c r="EM95" s="33" t="n">
        <f aca="false">-$E95*EM13</f>
        <v>-0</v>
      </c>
      <c r="EN95" s="33" t="n">
        <f aca="false">-$E95*EN13</f>
        <v>-0</v>
      </c>
      <c r="EO95" s="33" t="n">
        <f aca="false">-$E95*EO13</f>
        <v>-0</v>
      </c>
      <c r="EP95" s="33" t="n">
        <f aca="false">-$E95*EP13</f>
        <v>-0</v>
      </c>
      <c r="EQ95" s="33" t="n">
        <f aca="false">-$E95*EQ13</f>
        <v>-0</v>
      </c>
      <c r="ER95" s="33" t="n">
        <f aca="false">-$E95*ER13</f>
        <v>-0</v>
      </c>
      <c r="ES95" s="33" t="n">
        <f aca="false">-$E95*ES13</f>
        <v>-0</v>
      </c>
      <c r="ET95" s="33" t="n">
        <f aca="false">-$E95*ET13</f>
        <v>-0</v>
      </c>
    </row>
    <row r="96" customFormat="false" ht="15" hidden="false" customHeight="false" outlineLevel="0" collapsed="false">
      <c r="C96" s="0" t="s">
        <v>554</v>
      </c>
      <c r="D96" s="11" t="s">
        <v>253</v>
      </c>
      <c r="E96" s="33" t="n">
        <f aca="false">$E30*In_MVA*In_Delivered</f>
        <v>5000</v>
      </c>
      <c r="I96" s="33" t="n">
        <f aca="false">SUM(J96:ET96)</f>
        <v>-5000</v>
      </c>
      <c r="J96" s="33" t="n">
        <f aca="false">-$E96*J14</f>
        <v>-0</v>
      </c>
      <c r="K96" s="33" t="n">
        <f aca="false">-$E96*K14</f>
        <v>-0</v>
      </c>
      <c r="L96" s="33" t="n">
        <f aca="false">-$E96*L14</f>
        <v>-0</v>
      </c>
      <c r="M96" s="33" t="n">
        <f aca="false">-$E96*M14</f>
        <v>-0</v>
      </c>
      <c r="N96" s="33" t="n">
        <f aca="false">-$E96*N14</f>
        <v>-0</v>
      </c>
      <c r="O96" s="33" t="n">
        <f aca="false">-$E96*O14</f>
        <v>-0</v>
      </c>
      <c r="P96" s="33" t="n">
        <f aca="false">-$E96*P14</f>
        <v>-0</v>
      </c>
      <c r="Q96" s="33" t="n">
        <f aca="false">-$E96*Q14</f>
        <v>-0</v>
      </c>
      <c r="R96" s="33" t="n">
        <f aca="false">-$E96*R14</f>
        <v>-0</v>
      </c>
      <c r="S96" s="33" t="n">
        <f aca="false">-$E96*S14</f>
        <v>-0</v>
      </c>
      <c r="T96" s="33" t="n">
        <f aca="false">-$E96*T14</f>
        <v>-0</v>
      </c>
      <c r="U96" s="33" t="n">
        <f aca="false">-$E96*U14</f>
        <v>-0</v>
      </c>
      <c r="V96" s="33" t="n">
        <f aca="false">-$E96*V14</f>
        <v>-0</v>
      </c>
      <c r="W96" s="33" t="n">
        <f aca="false">-$E96*W14</f>
        <v>-0</v>
      </c>
      <c r="X96" s="33" t="n">
        <f aca="false">-$E96*X14</f>
        <v>-0</v>
      </c>
      <c r="Y96" s="33" t="n">
        <f aca="false">-$E96*Y14</f>
        <v>-0</v>
      </c>
      <c r="Z96" s="33" t="n">
        <f aca="false">-$E96*Z14</f>
        <v>-0</v>
      </c>
      <c r="AA96" s="33" t="n">
        <f aca="false">-$E96*AA14</f>
        <v>-0</v>
      </c>
      <c r="AB96" s="33" t="n">
        <f aca="false">-$E96*AB14</f>
        <v>-0</v>
      </c>
      <c r="AC96" s="33" t="n">
        <f aca="false">-$E96*AC14</f>
        <v>-0</v>
      </c>
      <c r="AD96" s="33" t="n">
        <f aca="false">-$E96*AD14</f>
        <v>-5000</v>
      </c>
      <c r="AE96" s="33" t="n">
        <f aca="false">-$E96*AE14</f>
        <v>-0</v>
      </c>
      <c r="AF96" s="33" t="n">
        <f aca="false">-$E96*AF14</f>
        <v>-0</v>
      </c>
      <c r="AG96" s="33" t="n">
        <f aca="false">-$E96*AG14</f>
        <v>-0</v>
      </c>
      <c r="AH96" s="33" t="n">
        <f aca="false">-$E96*AH14</f>
        <v>-0</v>
      </c>
      <c r="AI96" s="33" t="n">
        <f aca="false">-$E96*AI14</f>
        <v>-0</v>
      </c>
      <c r="AJ96" s="33" t="n">
        <f aca="false">-$E96*AJ14</f>
        <v>-0</v>
      </c>
      <c r="AK96" s="33" t="n">
        <f aca="false">-$E96*AK14</f>
        <v>-0</v>
      </c>
      <c r="AL96" s="33" t="n">
        <f aca="false">-$E96*AL14</f>
        <v>-0</v>
      </c>
      <c r="AM96" s="33" t="n">
        <f aca="false">-$E96*AM14</f>
        <v>-0</v>
      </c>
      <c r="AN96" s="33" t="n">
        <f aca="false">-$E96*AN14</f>
        <v>-0</v>
      </c>
      <c r="AO96" s="33" t="n">
        <f aca="false">-$E96*AO14</f>
        <v>-0</v>
      </c>
      <c r="AP96" s="33" t="n">
        <f aca="false">-$E96*AP14</f>
        <v>-0</v>
      </c>
      <c r="AQ96" s="33" t="n">
        <f aca="false">-$E96*AQ14</f>
        <v>-0</v>
      </c>
      <c r="AR96" s="33" t="n">
        <f aca="false">-$E96*AR14</f>
        <v>-0</v>
      </c>
      <c r="AS96" s="33" t="n">
        <f aca="false">-$E96*AS14</f>
        <v>-0</v>
      </c>
      <c r="AT96" s="33" t="n">
        <f aca="false">-$E96*AT14</f>
        <v>-0</v>
      </c>
      <c r="AU96" s="33" t="n">
        <f aca="false">-$E96*AU14</f>
        <v>-0</v>
      </c>
      <c r="AV96" s="33" t="n">
        <f aca="false">-$E96*AV14</f>
        <v>-0</v>
      </c>
      <c r="AW96" s="33" t="n">
        <f aca="false">-$E96*AW14</f>
        <v>-0</v>
      </c>
      <c r="AX96" s="33" t="n">
        <f aca="false">-$E96*AX14</f>
        <v>-0</v>
      </c>
      <c r="AY96" s="33" t="n">
        <f aca="false">-$E96*AY14</f>
        <v>-0</v>
      </c>
      <c r="AZ96" s="33" t="n">
        <f aca="false">-$E96*AZ14</f>
        <v>-0</v>
      </c>
      <c r="BA96" s="33" t="n">
        <f aca="false">-$E96*BA14</f>
        <v>-0</v>
      </c>
      <c r="BB96" s="33" t="n">
        <f aca="false">-$E96*BB14</f>
        <v>-0</v>
      </c>
      <c r="BC96" s="33" t="n">
        <f aca="false">-$E96*BC14</f>
        <v>-0</v>
      </c>
      <c r="BD96" s="33" t="n">
        <f aca="false">-$E96*BD14</f>
        <v>-0</v>
      </c>
      <c r="BE96" s="33" t="n">
        <f aca="false">-$E96*BE14</f>
        <v>-0</v>
      </c>
      <c r="BF96" s="33" t="n">
        <f aca="false">-$E96*BF14</f>
        <v>-0</v>
      </c>
      <c r="BG96" s="33" t="n">
        <f aca="false">-$E96*BG14</f>
        <v>-0</v>
      </c>
      <c r="BH96" s="33" t="n">
        <f aca="false">-$E96*BH14</f>
        <v>-0</v>
      </c>
      <c r="BI96" s="33" t="n">
        <f aca="false">-$E96*BI14</f>
        <v>-0</v>
      </c>
      <c r="BJ96" s="33" t="n">
        <f aca="false">-$E96*BJ14</f>
        <v>-0</v>
      </c>
      <c r="BK96" s="33" t="n">
        <f aca="false">-$E96*BK14</f>
        <v>-0</v>
      </c>
      <c r="BL96" s="33" t="n">
        <f aca="false">-$E96*BL14</f>
        <v>-0</v>
      </c>
      <c r="BM96" s="33" t="n">
        <f aca="false">-$E96*BM14</f>
        <v>-0</v>
      </c>
      <c r="BN96" s="33" t="n">
        <f aca="false">-$E96*BN14</f>
        <v>-0</v>
      </c>
      <c r="BO96" s="33" t="n">
        <f aca="false">-$E96*BO14</f>
        <v>-0</v>
      </c>
      <c r="BP96" s="33" t="n">
        <f aca="false">-$E96*BP14</f>
        <v>-0</v>
      </c>
      <c r="BQ96" s="33" t="n">
        <f aca="false">-$E96*BQ14</f>
        <v>-0</v>
      </c>
      <c r="BR96" s="33" t="n">
        <f aca="false">-$E96*BR14</f>
        <v>-0</v>
      </c>
      <c r="BS96" s="33" t="n">
        <f aca="false">-$E96*BS14</f>
        <v>-0</v>
      </c>
      <c r="BT96" s="33" t="n">
        <f aca="false">-$E96*BT14</f>
        <v>-0</v>
      </c>
      <c r="BU96" s="33" t="n">
        <f aca="false">-$E96*BU14</f>
        <v>-0</v>
      </c>
      <c r="BV96" s="33" t="n">
        <f aca="false">-$E96*BV14</f>
        <v>-0</v>
      </c>
      <c r="BW96" s="33" t="n">
        <f aca="false">-$E96*BW14</f>
        <v>-0</v>
      </c>
      <c r="BX96" s="33" t="n">
        <f aca="false">-$E96*BX14</f>
        <v>-0</v>
      </c>
      <c r="BY96" s="33" t="n">
        <f aca="false">-$E96*BY14</f>
        <v>-0</v>
      </c>
      <c r="BZ96" s="33" t="n">
        <f aca="false">-$E96*BZ14</f>
        <v>-0</v>
      </c>
      <c r="CA96" s="33" t="n">
        <f aca="false">-$E96*CA14</f>
        <v>-0</v>
      </c>
      <c r="CB96" s="33" t="n">
        <f aca="false">-$E96*CB14</f>
        <v>-0</v>
      </c>
      <c r="CC96" s="33" t="n">
        <f aca="false">-$E96*CC14</f>
        <v>-0</v>
      </c>
      <c r="CD96" s="33" t="n">
        <f aca="false">-$E96*CD14</f>
        <v>-0</v>
      </c>
      <c r="CE96" s="33" t="n">
        <f aca="false">-$E96*CE14</f>
        <v>-0</v>
      </c>
      <c r="CF96" s="33" t="n">
        <f aca="false">-$E96*CF14</f>
        <v>-0</v>
      </c>
      <c r="CG96" s="33" t="n">
        <f aca="false">-$E96*CG14</f>
        <v>-0</v>
      </c>
      <c r="CH96" s="33" t="n">
        <f aca="false">-$E96*CH14</f>
        <v>-0</v>
      </c>
      <c r="CI96" s="33" t="n">
        <f aca="false">-$E96*CI14</f>
        <v>-0</v>
      </c>
      <c r="CJ96" s="33" t="n">
        <f aca="false">-$E96*CJ14</f>
        <v>-0</v>
      </c>
      <c r="CK96" s="33" t="n">
        <f aca="false">-$E96*CK14</f>
        <v>-0</v>
      </c>
      <c r="CL96" s="33" t="n">
        <f aca="false">-$E96*CL14</f>
        <v>-0</v>
      </c>
      <c r="CM96" s="33" t="n">
        <f aca="false">-$E96*CM14</f>
        <v>-0</v>
      </c>
      <c r="CN96" s="33" t="n">
        <f aca="false">-$E96*CN14</f>
        <v>-0</v>
      </c>
      <c r="CO96" s="33" t="n">
        <f aca="false">-$E96*CO14</f>
        <v>-0</v>
      </c>
      <c r="CP96" s="33" t="n">
        <f aca="false">-$E96*CP14</f>
        <v>-0</v>
      </c>
      <c r="CQ96" s="33" t="n">
        <f aca="false">-$E96*CQ14</f>
        <v>-0</v>
      </c>
      <c r="CR96" s="33" t="n">
        <f aca="false">-$E96*CR14</f>
        <v>-0</v>
      </c>
      <c r="CS96" s="33" t="n">
        <f aca="false">-$E96*CS14</f>
        <v>-0</v>
      </c>
      <c r="CT96" s="33" t="n">
        <f aca="false">-$E96*CT14</f>
        <v>-0</v>
      </c>
      <c r="CU96" s="33" t="n">
        <f aca="false">-$E96*CU14</f>
        <v>-0</v>
      </c>
      <c r="CV96" s="33" t="n">
        <f aca="false">-$E96*CV14</f>
        <v>-0</v>
      </c>
      <c r="CW96" s="33" t="n">
        <f aca="false">-$E96*CW14</f>
        <v>-0</v>
      </c>
      <c r="CX96" s="33" t="n">
        <f aca="false">-$E96*CX14</f>
        <v>-0</v>
      </c>
      <c r="CY96" s="33" t="n">
        <f aca="false">-$E96*CY14</f>
        <v>-0</v>
      </c>
      <c r="CZ96" s="33" t="n">
        <f aca="false">-$E96*CZ14</f>
        <v>-0</v>
      </c>
      <c r="DA96" s="33" t="n">
        <f aca="false">-$E96*DA14</f>
        <v>-0</v>
      </c>
      <c r="DB96" s="33" t="n">
        <f aca="false">-$E96*DB14</f>
        <v>-0</v>
      </c>
      <c r="DC96" s="33" t="n">
        <f aca="false">-$E96*DC14</f>
        <v>-0</v>
      </c>
      <c r="DD96" s="33" t="n">
        <f aca="false">-$E96*DD14</f>
        <v>-0</v>
      </c>
      <c r="DE96" s="33" t="n">
        <f aca="false">-$E96*DE14</f>
        <v>-0</v>
      </c>
      <c r="DF96" s="33" t="n">
        <f aca="false">-$E96*DF14</f>
        <v>-0</v>
      </c>
      <c r="DG96" s="33" t="n">
        <f aca="false">-$E96*DG14</f>
        <v>-0</v>
      </c>
      <c r="DH96" s="33" t="n">
        <f aca="false">-$E96*DH14</f>
        <v>-0</v>
      </c>
      <c r="DI96" s="33" t="n">
        <f aca="false">-$E96*DI14</f>
        <v>-0</v>
      </c>
      <c r="DJ96" s="33" t="n">
        <f aca="false">-$E96*DJ14</f>
        <v>-0</v>
      </c>
      <c r="DK96" s="33" t="n">
        <f aca="false">-$E96*DK14</f>
        <v>-0</v>
      </c>
      <c r="DL96" s="33" t="n">
        <f aca="false">-$E96*DL14</f>
        <v>-0</v>
      </c>
      <c r="DM96" s="33" t="n">
        <f aca="false">-$E96*DM14</f>
        <v>-0</v>
      </c>
      <c r="DN96" s="33" t="n">
        <f aca="false">-$E96*DN14</f>
        <v>-0</v>
      </c>
      <c r="DO96" s="33" t="n">
        <f aca="false">-$E96*DO14</f>
        <v>-0</v>
      </c>
      <c r="DP96" s="33" t="n">
        <f aca="false">-$E96*DP14</f>
        <v>-0</v>
      </c>
      <c r="DQ96" s="33" t="n">
        <f aca="false">-$E96*DQ14</f>
        <v>-0</v>
      </c>
      <c r="DR96" s="33" t="n">
        <f aca="false">-$E96*DR14</f>
        <v>-0</v>
      </c>
      <c r="DS96" s="33" t="n">
        <f aca="false">-$E96*DS14</f>
        <v>-0</v>
      </c>
      <c r="DT96" s="33" t="n">
        <f aca="false">-$E96*DT14</f>
        <v>-0</v>
      </c>
      <c r="DU96" s="33" t="n">
        <f aca="false">-$E96*DU14</f>
        <v>-0</v>
      </c>
      <c r="DV96" s="33" t="n">
        <f aca="false">-$E96*DV14</f>
        <v>-0</v>
      </c>
      <c r="DW96" s="33" t="n">
        <f aca="false">-$E96*DW14</f>
        <v>-0</v>
      </c>
      <c r="DX96" s="33" t="n">
        <f aca="false">-$E96*DX14</f>
        <v>-0</v>
      </c>
      <c r="DY96" s="33" t="n">
        <f aca="false">-$E96*DY14</f>
        <v>-0</v>
      </c>
      <c r="DZ96" s="33" t="n">
        <f aca="false">-$E96*DZ14</f>
        <v>-0</v>
      </c>
      <c r="EA96" s="33" t="n">
        <f aca="false">-$E96*EA14</f>
        <v>-0</v>
      </c>
      <c r="EB96" s="33" t="n">
        <f aca="false">-$E96*EB14</f>
        <v>-0</v>
      </c>
      <c r="EC96" s="33" t="n">
        <f aca="false">-$E96*EC14</f>
        <v>-0</v>
      </c>
      <c r="ED96" s="33" t="n">
        <f aca="false">-$E96*ED14</f>
        <v>-0</v>
      </c>
      <c r="EE96" s="33" t="n">
        <f aca="false">-$E96*EE14</f>
        <v>-0</v>
      </c>
      <c r="EF96" s="33" t="n">
        <f aca="false">-$E96*EF14</f>
        <v>-0</v>
      </c>
      <c r="EG96" s="33" t="n">
        <f aca="false">-$E96*EG14</f>
        <v>-0</v>
      </c>
      <c r="EH96" s="33" t="n">
        <f aca="false">-$E96*EH14</f>
        <v>-0</v>
      </c>
      <c r="EI96" s="33" t="n">
        <f aca="false">-$E96*EI14</f>
        <v>-0</v>
      </c>
      <c r="EJ96" s="33" t="n">
        <f aca="false">-$E96*EJ14</f>
        <v>-0</v>
      </c>
      <c r="EK96" s="33" t="n">
        <f aca="false">-$E96*EK14</f>
        <v>-0</v>
      </c>
      <c r="EL96" s="33" t="n">
        <f aca="false">-$E96*EL14</f>
        <v>-0</v>
      </c>
      <c r="EM96" s="33" t="n">
        <f aca="false">-$E96*EM14</f>
        <v>-0</v>
      </c>
      <c r="EN96" s="33" t="n">
        <f aca="false">-$E96*EN14</f>
        <v>-0</v>
      </c>
      <c r="EO96" s="33" t="n">
        <f aca="false">-$E96*EO14</f>
        <v>-0</v>
      </c>
      <c r="EP96" s="33" t="n">
        <f aca="false">-$E96*EP14</f>
        <v>-0</v>
      </c>
      <c r="EQ96" s="33" t="n">
        <f aca="false">-$E96*EQ14</f>
        <v>-0</v>
      </c>
      <c r="ER96" s="33" t="n">
        <f aca="false">-$E96*ER14</f>
        <v>-0</v>
      </c>
      <c r="ES96" s="33" t="n">
        <f aca="false">-$E96*ES14</f>
        <v>-0</v>
      </c>
      <c r="ET96" s="33" t="n">
        <f aca="false">-$E96*ET14</f>
        <v>-0</v>
      </c>
    </row>
    <row r="97" customFormat="false" ht="15" hidden="false" customHeight="false" outlineLevel="0" collapsed="false">
      <c r="A97" s="55"/>
      <c r="B97" s="55"/>
      <c r="C97" s="55" t="s">
        <v>555</v>
      </c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5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55"/>
      <c r="CO97" s="55"/>
      <c r="CP97" s="55"/>
      <c r="CQ97" s="55"/>
      <c r="CR97" s="55"/>
      <c r="CS97" s="55"/>
      <c r="CT97" s="55"/>
      <c r="CU97" s="55"/>
      <c r="CV97" s="55"/>
      <c r="CW97" s="55"/>
      <c r="CX97" s="55"/>
      <c r="CY97" s="55"/>
      <c r="CZ97" s="55"/>
      <c r="DA97" s="55"/>
      <c r="DB97" s="55"/>
      <c r="DC97" s="55"/>
      <c r="DD97" s="55"/>
      <c r="DE97" s="55"/>
      <c r="DF97" s="55"/>
      <c r="DG97" s="55"/>
      <c r="DH97" s="55"/>
      <c r="DI97" s="55"/>
      <c r="DJ97" s="55"/>
      <c r="DK97" s="55"/>
      <c r="DL97" s="55"/>
      <c r="DM97" s="55"/>
      <c r="DN97" s="55"/>
      <c r="DO97" s="55"/>
      <c r="DP97" s="55"/>
      <c r="DQ97" s="55"/>
      <c r="DR97" s="55"/>
      <c r="DS97" s="55"/>
      <c r="DT97" s="55"/>
      <c r="DU97" s="55"/>
      <c r="DV97" s="55"/>
      <c r="DW97" s="55"/>
      <c r="DX97" s="55"/>
      <c r="DY97" s="55"/>
      <c r="DZ97" s="55"/>
      <c r="EA97" s="55"/>
      <c r="EB97" s="55"/>
      <c r="EC97" s="55"/>
      <c r="ED97" s="55"/>
      <c r="EE97" s="55"/>
      <c r="EF97" s="55"/>
      <c r="EG97" s="55"/>
      <c r="EH97" s="55"/>
      <c r="EI97" s="55"/>
      <c r="EJ97" s="55"/>
      <c r="EK97" s="55"/>
      <c r="EL97" s="55"/>
      <c r="EM97" s="55"/>
      <c r="EN97" s="55"/>
      <c r="EO97" s="55"/>
      <c r="EP97" s="55"/>
      <c r="EQ97" s="55"/>
      <c r="ER97" s="55"/>
      <c r="ES97" s="55"/>
      <c r="ET97" s="55"/>
    </row>
    <row r="98" customFormat="false" ht="15" hidden="false" customHeight="false" outlineLevel="0" collapsed="false">
      <c r="C98" s="0" t="s">
        <v>534</v>
      </c>
      <c r="D98" s="11" t="s">
        <v>253</v>
      </c>
      <c r="J98" s="22" t="n">
        <f aca="false">I102</f>
        <v>0</v>
      </c>
      <c r="K98" s="22" t="n">
        <f aca="false">J102</f>
        <v>0</v>
      </c>
      <c r="L98" s="22" t="n">
        <f aca="false">K102</f>
        <v>0</v>
      </c>
      <c r="M98" s="22" t="n">
        <f aca="false">L102</f>
        <v>0</v>
      </c>
      <c r="N98" s="22" t="n">
        <f aca="false">M102</f>
        <v>0</v>
      </c>
      <c r="O98" s="22" t="n">
        <f aca="false">N102</f>
        <v>0</v>
      </c>
      <c r="P98" s="22" t="n">
        <f aca="false">O102</f>
        <v>0</v>
      </c>
      <c r="Q98" s="22" t="n">
        <f aca="false">P102</f>
        <v>0</v>
      </c>
      <c r="R98" s="22" t="n">
        <f aca="false">Q102</f>
        <v>0</v>
      </c>
      <c r="S98" s="22" t="n">
        <f aca="false">R102</f>
        <v>0</v>
      </c>
      <c r="T98" s="22" t="n">
        <f aca="false">S102</f>
        <v>0</v>
      </c>
      <c r="U98" s="22" t="n">
        <f aca="false">T102</f>
        <v>0</v>
      </c>
      <c r="V98" s="22" t="n">
        <f aca="false">U102</f>
        <v>0</v>
      </c>
      <c r="W98" s="22" t="n">
        <f aca="false">V102</f>
        <v>0</v>
      </c>
      <c r="X98" s="22" t="n">
        <f aca="false">W102</f>
        <v>11981.7564177174</v>
      </c>
      <c r="Y98" s="22" t="n">
        <f aca="false">X102</f>
        <v>23852.8118250537</v>
      </c>
      <c r="Z98" s="22" t="n">
        <f aca="false">Y102</f>
        <v>36002.491907783</v>
      </c>
      <c r="AA98" s="22" t="n">
        <f aca="false">Z102</f>
        <v>48434.2794743477</v>
      </c>
      <c r="AB98" s="22" t="n">
        <f aca="false">AA102</f>
        <v>61021.4643854944</v>
      </c>
      <c r="AC98" s="22" t="n">
        <f aca="false">AB102</f>
        <v>73505.516142428</v>
      </c>
      <c r="AD98" s="22" t="n">
        <f aca="false">AC102</f>
        <v>86275.8550291244</v>
      </c>
      <c r="AE98" s="22" t="n">
        <f aca="false">AD102</f>
        <v>99336.0596347059</v>
      </c>
      <c r="AF98" s="22" t="n">
        <f aca="false">AE102</f>
        <v>97406.8129044928</v>
      </c>
      <c r="AG98" s="22" t="n">
        <f aca="false">AF102</f>
        <v>95453.450590152</v>
      </c>
      <c r="AH98" s="22" t="n">
        <f aca="false">AG102</f>
        <v>93475.671246882</v>
      </c>
      <c r="AI98" s="22" t="n">
        <f aca="false">AH102</f>
        <v>91473.1696618211</v>
      </c>
      <c r="AJ98" s="22" t="n">
        <f aca="false">AI102</f>
        <v>89445.636806947</v>
      </c>
      <c r="AK98" s="22" t="n">
        <f aca="false">AJ102</f>
        <v>87392.7597913869</v>
      </c>
      <c r="AL98" s="22" t="n">
        <f aca="false">AK102</f>
        <v>85314.2218131323</v>
      </c>
      <c r="AM98" s="22" t="n">
        <f aca="false">AL102</f>
        <v>83209.7021101496</v>
      </c>
      <c r="AN98" s="22" t="n">
        <f aca="false">AM102</f>
        <v>81078.8759108795</v>
      </c>
      <c r="AO98" s="22" t="n">
        <f aca="false">AN102</f>
        <v>78921.4143841186</v>
      </c>
      <c r="AP98" s="22" t="n">
        <f aca="false">AO102</f>
        <v>76736.9845882732</v>
      </c>
      <c r="AQ98" s="22" t="n">
        <f aca="false">AP102</f>
        <v>74525.2494199797</v>
      </c>
      <c r="AR98" s="22" t="n">
        <f aca="false">AQ102</f>
        <v>72285.8675620825</v>
      </c>
      <c r="AS98" s="22" t="n">
        <f aca="false">AR102</f>
        <v>70018.4934309616</v>
      </c>
      <c r="AT98" s="22" t="n">
        <f aca="false">AS102</f>
        <v>67722.7771232017</v>
      </c>
      <c r="AU98" s="22" t="n">
        <f aca="false">AT102</f>
        <v>65398.3643615948</v>
      </c>
      <c r="AV98" s="22" t="n">
        <f aca="false">AU102</f>
        <v>63044.8964404679</v>
      </c>
      <c r="AW98" s="22" t="n">
        <f aca="false">AV102</f>
        <v>60662.0101703268</v>
      </c>
      <c r="AX98" s="22" t="n">
        <f aca="false">AW102</f>
        <v>58249.337821809</v>
      </c>
      <c r="AY98" s="22" t="n">
        <f aca="false">AX102</f>
        <v>55806.5070689347</v>
      </c>
      <c r="AZ98" s="22" t="n">
        <f aca="false">AY102</f>
        <v>53333.1409316494</v>
      </c>
      <c r="BA98" s="22" t="n">
        <f aca="false">AZ102</f>
        <v>50828.8577176481</v>
      </c>
      <c r="BB98" s="22" t="n">
        <f aca="false">BA102</f>
        <v>48293.2709634718</v>
      </c>
      <c r="BC98" s="22" t="n">
        <f aca="false">BB102</f>
        <v>45725.9893748683</v>
      </c>
      <c r="BD98" s="22" t="n">
        <f aca="false">BC102</f>
        <v>43126.6167664073</v>
      </c>
      <c r="BE98" s="22" t="n">
        <f aca="false">BD102</f>
        <v>40494.7520003404</v>
      </c>
      <c r="BF98" s="22" t="n">
        <f aca="false">BE102</f>
        <v>37829.9889246978</v>
      </c>
      <c r="BG98" s="22" t="n">
        <f aca="false">BF102</f>
        <v>35131.9163106096</v>
      </c>
      <c r="BH98" s="22" t="n">
        <f aca="false">BG102</f>
        <v>32400.1177888453</v>
      </c>
      <c r="BI98" s="22" t="n">
        <f aca="false">BH102</f>
        <v>29634.1717855589</v>
      </c>
      <c r="BJ98" s="22" t="n">
        <f aca="false">BI102</f>
        <v>26833.6514572315</v>
      </c>
      <c r="BK98" s="22" t="n">
        <f aca="false">BJ102</f>
        <v>23998.1246248</v>
      </c>
      <c r="BL98" s="22" t="n">
        <f aca="false">BK102</f>
        <v>21127.1537069631</v>
      </c>
      <c r="BM98" s="22" t="n">
        <f aca="false">BL102</f>
        <v>18220.2956526532</v>
      </c>
      <c r="BN98" s="22" t="n">
        <f aca="false">BM102</f>
        <v>15277.1018726645</v>
      </c>
      <c r="BO98" s="22" t="n">
        <f aca="false">BN102</f>
        <v>12297.1181704259</v>
      </c>
      <c r="BP98" s="22" t="n">
        <f aca="false">BO102</f>
        <v>9279.88467190926</v>
      </c>
      <c r="BQ98" s="22" t="n">
        <f aca="false">BP102</f>
        <v>6224.93575466122</v>
      </c>
      <c r="BR98" s="22" t="n">
        <f aca="false">BQ102</f>
        <v>3131.79997594757</v>
      </c>
      <c r="BS98" s="22" t="n">
        <f aca="false">BR102</f>
        <v>0</v>
      </c>
      <c r="BT98" s="22" t="n">
        <f aca="false">BS102</f>
        <v>0</v>
      </c>
      <c r="BU98" s="22" t="n">
        <f aca="false">BT102</f>
        <v>0</v>
      </c>
      <c r="BV98" s="22" t="n">
        <f aca="false">BU102</f>
        <v>0</v>
      </c>
      <c r="BW98" s="22" t="n">
        <f aca="false">BV102</f>
        <v>0</v>
      </c>
      <c r="BX98" s="22" t="n">
        <f aca="false">BW102</f>
        <v>0</v>
      </c>
      <c r="BY98" s="22" t="n">
        <f aca="false">BX102</f>
        <v>0</v>
      </c>
      <c r="BZ98" s="22" t="n">
        <f aca="false">BY102</f>
        <v>0</v>
      </c>
      <c r="CA98" s="22" t="n">
        <f aca="false">BZ102</f>
        <v>0</v>
      </c>
      <c r="CB98" s="22" t="n">
        <f aca="false">CA102</f>
        <v>0</v>
      </c>
      <c r="CC98" s="22" t="n">
        <f aca="false">CB102</f>
        <v>0</v>
      </c>
      <c r="CD98" s="22" t="n">
        <f aca="false">CC102</f>
        <v>0</v>
      </c>
      <c r="CE98" s="22" t="n">
        <f aca="false">CD102</f>
        <v>0</v>
      </c>
      <c r="CF98" s="22" t="n">
        <f aca="false">CE102</f>
        <v>0</v>
      </c>
      <c r="CG98" s="22" t="n">
        <f aca="false">CF102</f>
        <v>0</v>
      </c>
      <c r="CH98" s="22" t="n">
        <f aca="false">CG102</f>
        <v>0</v>
      </c>
      <c r="CI98" s="22" t="n">
        <f aca="false">CH102</f>
        <v>0</v>
      </c>
      <c r="CJ98" s="22" t="n">
        <f aca="false">CI102</f>
        <v>0</v>
      </c>
      <c r="CK98" s="22" t="n">
        <f aca="false">CJ102</f>
        <v>0</v>
      </c>
      <c r="CL98" s="22" t="n">
        <f aca="false">CK102</f>
        <v>0</v>
      </c>
      <c r="CM98" s="22" t="n">
        <f aca="false">CL102</f>
        <v>0</v>
      </c>
      <c r="CN98" s="22" t="n">
        <f aca="false">CM102</f>
        <v>0</v>
      </c>
      <c r="CO98" s="22" t="n">
        <f aca="false">CN102</f>
        <v>0</v>
      </c>
      <c r="CP98" s="22" t="n">
        <f aca="false">CO102</f>
        <v>0</v>
      </c>
      <c r="CQ98" s="22" t="n">
        <f aca="false">CP102</f>
        <v>0</v>
      </c>
      <c r="CR98" s="22" t="n">
        <f aca="false">CQ102</f>
        <v>0</v>
      </c>
      <c r="CS98" s="22" t="n">
        <f aca="false">CR102</f>
        <v>0</v>
      </c>
      <c r="CT98" s="22" t="n">
        <f aca="false">CS102</f>
        <v>0</v>
      </c>
      <c r="CU98" s="22" t="n">
        <f aca="false">CT102</f>
        <v>0</v>
      </c>
      <c r="CV98" s="22" t="n">
        <f aca="false">CU102</f>
        <v>0</v>
      </c>
      <c r="CW98" s="22" t="n">
        <f aca="false">CV102</f>
        <v>0</v>
      </c>
      <c r="CX98" s="22" t="n">
        <f aca="false">CW102</f>
        <v>0</v>
      </c>
      <c r="CY98" s="22" t="n">
        <f aca="false">CX102</f>
        <v>0</v>
      </c>
      <c r="CZ98" s="22" t="n">
        <f aca="false">CY102</f>
        <v>0</v>
      </c>
      <c r="DA98" s="22" t="n">
        <f aca="false">CZ102</f>
        <v>0</v>
      </c>
      <c r="DB98" s="22" t="n">
        <f aca="false">DA102</f>
        <v>0</v>
      </c>
      <c r="DC98" s="22" t="n">
        <f aca="false">DB102</f>
        <v>0</v>
      </c>
      <c r="DD98" s="22" t="n">
        <f aca="false">DC102</f>
        <v>0</v>
      </c>
      <c r="DE98" s="22" t="n">
        <f aca="false">DD102</f>
        <v>0</v>
      </c>
      <c r="DF98" s="22" t="n">
        <f aca="false">DE102</f>
        <v>0</v>
      </c>
      <c r="DG98" s="22" t="n">
        <f aca="false">DF102</f>
        <v>0</v>
      </c>
      <c r="DH98" s="22" t="n">
        <f aca="false">DG102</f>
        <v>0</v>
      </c>
      <c r="DI98" s="22" t="n">
        <f aca="false">DH102</f>
        <v>0</v>
      </c>
      <c r="DJ98" s="22" t="n">
        <f aca="false">DI102</f>
        <v>0</v>
      </c>
      <c r="DK98" s="22" t="n">
        <f aca="false">DJ102</f>
        <v>0</v>
      </c>
      <c r="DL98" s="22" t="n">
        <f aca="false">DK102</f>
        <v>0</v>
      </c>
      <c r="DM98" s="22" t="n">
        <f aca="false">DL102</f>
        <v>0</v>
      </c>
      <c r="DN98" s="22" t="n">
        <f aca="false">DM102</f>
        <v>0</v>
      </c>
      <c r="DO98" s="22" t="n">
        <f aca="false">DN102</f>
        <v>0</v>
      </c>
      <c r="DP98" s="22" t="n">
        <f aca="false">DO102</f>
        <v>0</v>
      </c>
      <c r="DQ98" s="22" t="n">
        <f aca="false">DP102</f>
        <v>0</v>
      </c>
      <c r="DR98" s="22" t="n">
        <f aca="false">DQ102</f>
        <v>0</v>
      </c>
      <c r="DS98" s="22" t="n">
        <f aca="false">DR102</f>
        <v>0</v>
      </c>
      <c r="DT98" s="22" t="n">
        <f aca="false">DS102</f>
        <v>0</v>
      </c>
      <c r="DU98" s="22" t="n">
        <f aca="false">DT102</f>
        <v>0</v>
      </c>
      <c r="DV98" s="22" t="n">
        <f aca="false">DU102</f>
        <v>0</v>
      </c>
      <c r="DW98" s="22" t="n">
        <f aca="false">DV102</f>
        <v>0</v>
      </c>
      <c r="DX98" s="22" t="n">
        <f aca="false">DW102</f>
        <v>0</v>
      </c>
      <c r="DY98" s="22" t="n">
        <f aca="false">DX102</f>
        <v>0</v>
      </c>
      <c r="DZ98" s="22" t="n">
        <f aca="false">DY102</f>
        <v>0</v>
      </c>
      <c r="EA98" s="22" t="n">
        <f aca="false">DZ102</f>
        <v>0</v>
      </c>
      <c r="EB98" s="22" t="n">
        <f aca="false">EA102</f>
        <v>0</v>
      </c>
      <c r="EC98" s="22" t="n">
        <f aca="false">EB102</f>
        <v>0</v>
      </c>
      <c r="ED98" s="22" t="n">
        <f aca="false">EC102</f>
        <v>0</v>
      </c>
      <c r="EE98" s="22" t="n">
        <f aca="false">ED102</f>
        <v>0</v>
      </c>
      <c r="EF98" s="22" t="n">
        <f aca="false">EE102</f>
        <v>0</v>
      </c>
      <c r="EG98" s="22" t="n">
        <f aca="false">EF102</f>
        <v>0</v>
      </c>
      <c r="EH98" s="22" t="n">
        <f aca="false">EG102</f>
        <v>0</v>
      </c>
      <c r="EI98" s="22" t="n">
        <f aca="false">EH102</f>
        <v>0</v>
      </c>
      <c r="EJ98" s="22" t="n">
        <f aca="false">EI102</f>
        <v>0</v>
      </c>
      <c r="EK98" s="22" t="n">
        <f aca="false">EJ102</f>
        <v>0</v>
      </c>
      <c r="EL98" s="22" t="n">
        <f aca="false">EK102</f>
        <v>0</v>
      </c>
      <c r="EM98" s="22" t="n">
        <f aca="false">EL102</f>
        <v>0</v>
      </c>
      <c r="EN98" s="22" t="n">
        <f aca="false">EM102</f>
        <v>0</v>
      </c>
      <c r="EO98" s="22" t="n">
        <f aca="false">EN102</f>
        <v>0</v>
      </c>
      <c r="EP98" s="22" t="n">
        <f aca="false">EO102</f>
        <v>0</v>
      </c>
      <c r="EQ98" s="22" t="n">
        <f aca="false">EP102</f>
        <v>0</v>
      </c>
      <c r="ER98" s="22" t="n">
        <f aca="false">EQ102</f>
        <v>0</v>
      </c>
      <c r="ES98" s="22" t="n">
        <f aca="false">ER102</f>
        <v>0</v>
      </c>
      <c r="ET98" s="22" t="n">
        <f aca="false">ES102</f>
        <v>0</v>
      </c>
    </row>
    <row r="99" customFormat="false" ht="15" hidden="false" customHeight="false" outlineLevel="0" collapsed="false">
      <c r="C99" s="0" t="s">
        <v>556</v>
      </c>
      <c r="D99" s="11" t="s">
        <v>253</v>
      </c>
      <c r="E99" s="33" t="n">
        <f aca="false">-IF(In_CN_Turbine=1,In_Gearing_CN,In_Gearing)*($I95+$I53+$I96)</f>
        <v>95072.6324449315</v>
      </c>
      <c r="I99" s="33" t="n">
        <f aca="false">SUM(J99:ET99)</f>
        <v>95072.6324449315</v>
      </c>
      <c r="J99" s="33" t="n">
        <f aca="false">$E99*J13</f>
        <v>0</v>
      </c>
      <c r="K99" s="33" t="n">
        <f aca="false">$E99*K13</f>
        <v>0</v>
      </c>
      <c r="L99" s="33" t="n">
        <f aca="false">$E99*L13</f>
        <v>0</v>
      </c>
      <c r="M99" s="33" t="n">
        <f aca="false">$E99*M13</f>
        <v>0</v>
      </c>
      <c r="N99" s="33" t="n">
        <f aca="false">$E99*N13</f>
        <v>0</v>
      </c>
      <c r="O99" s="33" t="n">
        <f aca="false">$E99*O13</f>
        <v>0</v>
      </c>
      <c r="P99" s="33" t="n">
        <f aca="false">$E99*P13</f>
        <v>0</v>
      </c>
      <c r="Q99" s="33" t="n">
        <f aca="false">$E99*Q13</f>
        <v>0</v>
      </c>
      <c r="R99" s="33" t="n">
        <f aca="false">$E99*R13</f>
        <v>0</v>
      </c>
      <c r="S99" s="33" t="n">
        <f aca="false">$E99*S13</f>
        <v>0</v>
      </c>
      <c r="T99" s="33" t="n">
        <f aca="false">$E99*T13</f>
        <v>0</v>
      </c>
      <c r="U99" s="33" t="n">
        <f aca="false">$E99*U13</f>
        <v>0</v>
      </c>
      <c r="V99" s="33" t="n">
        <f aca="false">$E99*V13</f>
        <v>0</v>
      </c>
      <c r="W99" s="33" t="n">
        <f aca="false">$E99*W13</f>
        <v>11981.7564177174</v>
      </c>
      <c r="X99" s="33" t="n">
        <f aca="false">$E99*X13</f>
        <v>11721.2834521148</v>
      </c>
      <c r="Y99" s="33" t="n">
        <f aca="false">$E99*Y13</f>
        <v>11851.5199349161</v>
      </c>
      <c r="Z99" s="33" t="n">
        <f aca="false">$E99*Z13</f>
        <v>11981.7564177174</v>
      </c>
      <c r="AA99" s="33" t="n">
        <f aca="false">$E99*AA13</f>
        <v>11981.7564177174</v>
      </c>
      <c r="AB99" s="33" t="n">
        <f aca="false">$E99*AB13</f>
        <v>11721.2834521148</v>
      </c>
      <c r="AC99" s="33" t="n">
        <f aca="false">$E99*AC13</f>
        <v>11851.5199349161</v>
      </c>
      <c r="AD99" s="33" t="n">
        <f aca="false">$E99*AD13</f>
        <v>11981.7564177174</v>
      </c>
      <c r="AE99" s="33" t="n">
        <f aca="false">$E99*AE13</f>
        <v>0</v>
      </c>
      <c r="AF99" s="33" t="n">
        <f aca="false">$E99*AF13</f>
        <v>0</v>
      </c>
      <c r="AG99" s="33" t="n">
        <f aca="false">$E99*AG13</f>
        <v>0</v>
      </c>
      <c r="AH99" s="33" t="n">
        <f aca="false">$E99*AH13</f>
        <v>0</v>
      </c>
      <c r="AI99" s="33" t="n">
        <f aca="false">$E99*AI13</f>
        <v>0</v>
      </c>
      <c r="AJ99" s="33" t="n">
        <f aca="false">$E99*AJ13</f>
        <v>0</v>
      </c>
      <c r="AK99" s="33" t="n">
        <f aca="false">$E99*AK13</f>
        <v>0</v>
      </c>
      <c r="AL99" s="33" t="n">
        <f aca="false">$E99*AL13</f>
        <v>0</v>
      </c>
      <c r="AM99" s="33" t="n">
        <f aca="false">$E99*AM13</f>
        <v>0</v>
      </c>
      <c r="AN99" s="33" t="n">
        <f aca="false">$E99*AN13</f>
        <v>0</v>
      </c>
      <c r="AO99" s="33" t="n">
        <f aca="false">$E99*AO13</f>
        <v>0</v>
      </c>
      <c r="AP99" s="33" t="n">
        <f aca="false">$E99*AP13</f>
        <v>0</v>
      </c>
      <c r="AQ99" s="33" t="n">
        <f aca="false">$E99*AQ13</f>
        <v>0</v>
      </c>
      <c r="AR99" s="33" t="n">
        <f aca="false">$E99*AR13</f>
        <v>0</v>
      </c>
      <c r="AS99" s="33" t="n">
        <f aca="false">$E99*AS13</f>
        <v>0</v>
      </c>
      <c r="AT99" s="33" t="n">
        <f aca="false">$E99*AT13</f>
        <v>0</v>
      </c>
      <c r="AU99" s="33" t="n">
        <f aca="false">$E99*AU13</f>
        <v>0</v>
      </c>
      <c r="AV99" s="33" t="n">
        <f aca="false">$E99*AV13</f>
        <v>0</v>
      </c>
      <c r="AW99" s="33" t="n">
        <f aca="false">$E99*AW13</f>
        <v>0</v>
      </c>
      <c r="AX99" s="33" t="n">
        <f aca="false">$E99*AX13</f>
        <v>0</v>
      </c>
      <c r="AY99" s="33" t="n">
        <f aca="false">$E99*AY13</f>
        <v>0</v>
      </c>
      <c r="AZ99" s="33" t="n">
        <f aca="false">$E99*AZ13</f>
        <v>0</v>
      </c>
      <c r="BA99" s="33" t="n">
        <f aca="false">$E99*BA13</f>
        <v>0</v>
      </c>
      <c r="BB99" s="33" t="n">
        <f aca="false">$E99*BB13</f>
        <v>0</v>
      </c>
      <c r="BC99" s="33" t="n">
        <f aca="false">$E99*BC13</f>
        <v>0</v>
      </c>
      <c r="BD99" s="33" t="n">
        <f aca="false">$E99*BD13</f>
        <v>0</v>
      </c>
      <c r="BE99" s="33" t="n">
        <f aca="false">$E99*BE13</f>
        <v>0</v>
      </c>
      <c r="BF99" s="33" t="n">
        <f aca="false">$E99*BF13</f>
        <v>0</v>
      </c>
      <c r="BG99" s="33" t="n">
        <f aca="false">$E99*BG13</f>
        <v>0</v>
      </c>
      <c r="BH99" s="33" t="n">
        <f aca="false">$E99*BH13</f>
        <v>0</v>
      </c>
      <c r="BI99" s="33" t="n">
        <f aca="false">$E99*BI13</f>
        <v>0</v>
      </c>
      <c r="BJ99" s="33" t="n">
        <f aca="false">$E99*BJ13</f>
        <v>0</v>
      </c>
      <c r="BK99" s="33" t="n">
        <f aca="false">$E99*BK13</f>
        <v>0</v>
      </c>
      <c r="BL99" s="33" t="n">
        <f aca="false">$E99*BL13</f>
        <v>0</v>
      </c>
      <c r="BM99" s="33" t="n">
        <f aca="false">$E99*BM13</f>
        <v>0</v>
      </c>
      <c r="BN99" s="33" t="n">
        <f aca="false">$E99*BN13</f>
        <v>0</v>
      </c>
      <c r="BO99" s="33" t="n">
        <f aca="false">$E99*BO13</f>
        <v>0</v>
      </c>
      <c r="BP99" s="33" t="n">
        <f aca="false">$E99*BP13</f>
        <v>0</v>
      </c>
      <c r="BQ99" s="33" t="n">
        <f aca="false">$E99*BQ13</f>
        <v>0</v>
      </c>
      <c r="BR99" s="33" t="n">
        <f aca="false">$E99*BR13</f>
        <v>0</v>
      </c>
      <c r="BS99" s="33" t="n">
        <f aca="false">$E99*BS13</f>
        <v>0</v>
      </c>
      <c r="BT99" s="33" t="n">
        <f aca="false">$E99*BT13</f>
        <v>0</v>
      </c>
      <c r="BU99" s="33" t="n">
        <f aca="false">$E99*BU13</f>
        <v>0</v>
      </c>
      <c r="BV99" s="33" t="n">
        <f aca="false">$E99*BV13</f>
        <v>0</v>
      </c>
      <c r="BW99" s="33" t="n">
        <f aca="false">$E99*BW13</f>
        <v>0</v>
      </c>
      <c r="BX99" s="33" t="n">
        <f aca="false">$E99*BX13</f>
        <v>0</v>
      </c>
      <c r="BY99" s="33" t="n">
        <f aca="false">$E99*BY13</f>
        <v>0</v>
      </c>
      <c r="BZ99" s="33" t="n">
        <f aca="false">$E99*BZ13</f>
        <v>0</v>
      </c>
      <c r="CA99" s="33" t="n">
        <f aca="false">$E99*CA13</f>
        <v>0</v>
      </c>
      <c r="CB99" s="33" t="n">
        <f aca="false">$E99*CB13</f>
        <v>0</v>
      </c>
      <c r="CC99" s="33" t="n">
        <f aca="false">$E99*CC13</f>
        <v>0</v>
      </c>
      <c r="CD99" s="33" t="n">
        <f aca="false">$E99*CD13</f>
        <v>0</v>
      </c>
      <c r="CE99" s="33" t="n">
        <f aca="false">$E99*CE13</f>
        <v>0</v>
      </c>
      <c r="CF99" s="33" t="n">
        <f aca="false">$E99*CF13</f>
        <v>0</v>
      </c>
      <c r="CG99" s="33" t="n">
        <f aca="false">$E99*CG13</f>
        <v>0</v>
      </c>
      <c r="CH99" s="33" t="n">
        <f aca="false">$E99*CH13</f>
        <v>0</v>
      </c>
      <c r="CI99" s="33" t="n">
        <f aca="false">$E99*CI13</f>
        <v>0</v>
      </c>
      <c r="CJ99" s="33" t="n">
        <f aca="false">$E99*CJ13</f>
        <v>0</v>
      </c>
      <c r="CK99" s="33" t="n">
        <f aca="false">$E99*CK13</f>
        <v>0</v>
      </c>
      <c r="CL99" s="33" t="n">
        <f aca="false">$E99*CL13</f>
        <v>0</v>
      </c>
      <c r="CM99" s="33" t="n">
        <f aca="false">$E99*CM13</f>
        <v>0</v>
      </c>
      <c r="CN99" s="33" t="n">
        <f aca="false">$E99*CN13</f>
        <v>0</v>
      </c>
      <c r="CO99" s="33" t="n">
        <f aca="false">$E99*CO13</f>
        <v>0</v>
      </c>
      <c r="CP99" s="33" t="n">
        <f aca="false">$E99*CP13</f>
        <v>0</v>
      </c>
      <c r="CQ99" s="33" t="n">
        <f aca="false">$E99*CQ13</f>
        <v>0</v>
      </c>
      <c r="CR99" s="33" t="n">
        <f aca="false">$E99*CR13</f>
        <v>0</v>
      </c>
      <c r="CS99" s="33" t="n">
        <f aca="false">$E99*CS13</f>
        <v>0</v>
      </c>
      <c r="CT99" s="33" t="n">
        <f aca="false">$E99*CT13</f>
        <v>0</v>
      </c>
      <c r="CU99" s="33" t="n">
        <f aca="false">$E99*CU13</f>
        <v>0</v>
      </c>
      <c r="CV99" s="33" t="n">
        <f aca="false">$E99*CV13</f>
        <v>0</v>
      </c>
      <c r="CW99" s="33" t="n">
        <f aca="false">$E99*CW13</f>
        <v>0</v>
      </c>
      <c r="CX99" s="33" t="n">
        <f aca="false">$E99*CX13</f>
        <v>0</v>
      </c>
      <c r="CY99" s="33" t="n">
        <f aca="false">$E99*CY13</f>
        <v>0</v>
      </c>
      <c r="CZ99" s="33" t="n">
        <f aca="false">$E99*CZ13</f>
        <v>0</v>
      </c>
      <c r="DA99" s="33" t="n">
        <f aca="false">$E99*DA13</f>
        <v>0</v>
      </c>
      <c r="DB99" s="33" t="n">
        <f aca="false">$E99*DB13</f>
        <v>0</v>
      </c>
      <c r="DC99" s="33" t="n">
        <f aca="false">$E99*DC13</f>
        <v>0</v>
      </c>
      <c r="DD99" s="33" t="n">
        <f aca="false">$E99*DD13</f>
        <v>0</v>
      </c>
      <c r="DE99" s="33" t="n">
        <f aca="false">$E99*DE13</f>
        <v>0</v>
      </c>
      <c r="DF99" s="33" t="n">
        <f aca="false">$E99*DF13</f>
        <v>0</v>
      </c>
      <c r="DG99" s="33" t="n">
        <f aca="false">$E99*DG13</f>
        <v>0</v>
      </c>
      <c r="DH99" s="33" t="n">
        <f aca="false">$E99*DH13</f>
        <v>0</v>
      </c>
      <c r="DI99" s="33" t="n">
        <f aca="false">$E99*DI13</f>
        <v>0</v>
      </c>
      <c r="DJ99" s="33" t="n">
        <f aca="false">$E99*DJ13</f>
        <v>0</v>
      </c>
      <c r="DK99" s="33" t="n">
        <f aca="false">$E99*DK13</f>
        <v>0</v>
      </c>
      <c r="DL99" s="33" t="n">
        <f aca="false">$E99*DL13</f>
        <v>0</v>
      </c>
      <c r="DM99" s="33" t="n">
        <f aca="false">$E99*DM13</f>
        <v>0</v>
      </c>
      <c r="DN99" s="33" t="n">
        <f aca="false">$E99*DN13</f>
        <v>0</v>
      </c>
      <c r="DO99" s="33" t="n">
        <f aca="false">$E99*DO13</f>
        <v>0</v>
      </c>
      <c r="DP99" s="33" t="n">
        <f aca="false">$E99*DP13</f>
        <v>0</v>
      </c>
      <c r="DQ99" s="33" t="n">
        <f aca="false">$E99*DQ13</f>
        <v>0</v>
      </c>
      <c r="DR99" s="33" t="n">
        <f aca="false">$E99*DR13</f>
        <v>0</v>
      </c>
      <c r="DS99" s="33" t="n">
        <f aca="false">$E99*DS13</f>
        <v>0</v>
      </c>
      <c r="DT99" s="33" t="n">
        <f aca="false">$E99*DT13</f>
        <v>0</v>
      </c>
      <c r="DU99" s="33" t="n">
        <f aca="false">$E99*DU13</f>
        <v>0</v>
      </c>
      <c r="DV99" s="33" t="n">
        <f aca="false">$E99*DV13</f>
        <v>0</v>
      </c>
      <c r="DW99" s="33" t="n">
        <f aca="false">$E99*DW13</f>
        <v>0</v>
      </c>
      <c r="DX99" s="33" t="n">
        <f aca="false">$E99*DX13</f>
        <v>0</v>
      </c>
      <c r="DY99" s="33" t="n">
        <f aca="false">$E99*DY13</f>
        <v>0</v>
      </c>
      <c r="DZ99" s="33" t="n">
        <f aca="false">$E99*DZ13</f>
        <v>0</v>
      </c>
      <c r="EA99" s="33" t="n">
        <f aca="false">$E99*EA13</f>
        <v>0</v>
      </c>
      <c r="EB99" s="33" t="n">
        <f aca="false">$E99*EB13</f>
        <v>0</v>
      </c>
      <c r="EC99" s="33" t="n">
        <f aca="false">$E99*EC13</f>
        <v>0</v>
      </c>
      <c r="ED99" s="33" t="n">
        <f aca="false">$E99*ED13</f>
        <v>0</v>
      </c>
      <c r="EE99" s="33" t="n">
        <f aca="false">$E99*EE13</f>
        <v>0</v>
      </c>
      <c r="EF99" s="33" t="n">
        <f aca="false">$E99*EF13</f>
        <v>0</v>
      </c>
      <c r="EG99" s="33" t="n">
        <f aca="false">$E99*EG13</f>
        <v>0</v>
      </c>
      <c r="EH99" s="33" t="n">
        <f aca="false">$E99*EH13</f>
        <v>0</v>
      </c>
      <c r="EI99" s="33" t="n">
        <f aca="false">$E99*EI13</f>
        <v>0</v>
      </c>
      <c r="EJ99" s="33" t="n">
        <f aca="false">$E99*EJ13</f>
        <v>0</v>
      </c>
      <c r="EK99" s="33" t="n">
        <f aca="false">$E99*EK13</f>
        <v>0</v>
      </c>
      <c r="EL99" s="33" t="n">
        <f aca="false">$E99*EL13</f>
        <v>0</v>
      </c>
      <c r="EM99" s="33" t="n">
        <f aca="false">$E99*EM13</f>
        <v>0</v>
      </c>
      <c r="EN99" s="33" t="n">
        <f aca="false">$E99*EN13</f>
        <v>0</v>
      </c>
      <c r="EO99" s="33" t="n">
        <f aca="false">$E99*EO13</f>
        <v>0</v>
      </c>
      <c r="EP99" s="33" t="n">
        <f aca="false">$E99*EP13</f>
        <v>0</v>
      </c>
      <c r="EQ99" s="33" t="n">
        <f aca="false">$E99*EQ13</f>
        <v>0</v>
      </c>
      <c r="ER99" s="33" t="n">
        <f aca="false">$E99*ER13</f>
        <v>0</v>
      </c>
      <c r="ES99" s="33" t="n">
        <f aca="false">$E99*ES13</f>
        <v>0</v>
      </c>
      <c r="ET99" s="33" t="n">
        <f aca="false">$E99*ET13</f>
        <v>0</v>
      </c>
    </row>
    <row r="100" customFormat="false" ht="15" hidden="false" customHeight="false" outlineLevel="0" collapsed="false">
      <c r="C100" s="0" t="s">
        <v>557</v>
      </c>
      <c r="D100" s="11" t="s">
        <v>253</v>
      </c>
      <c r="F100" s="53" t="n">
        <f aca="false">In_Debt_Rate*Months_Per_Period/Months_In_Year</f>
        <v>0.0125</v>
      </c>
      <c r="I100" s="33" t="n">
        <f aca="false">SUM(J100:ET100)</f>
        <v>4263.42718977436</v>
      </c>
      <c r="J100" s="33" t="n">
        <f aca="false">J98*$F100*(J$4&lt;=In_COD)</f>
        <v>0</v>
      </c>
      <c r="K100" s="33" t="n">
        <f aca="false">K98*$F100*(K$4&lt;=In_COD)</f>
        <v>0</v>
      </c>
      <c r="L100" s="33" t="n">
        <f aca="false">L98*$F100*(L$4&lt;=In_COD)</f>
        <v>0</v>
      </c>
      <c r="M100" s="33" t="n">
        <f aca="false">M98*$F100*(M$4&lt;=In_COD)</f>
        <v>0</v>
      </c>
      <c r="N100" s="33" t="n">
        <f aca="false">N98*$F100*(N$4&lt;=In_COD)</f>
        <v>0</v>
      </c>
      <c r="O100" s="33" t="n">
        <f aca="false">O98*$F100*(O$4&lt;=In_COD)</f>
        <v>0</v>
      </c>
      <c r="P100" s="33" t="n">
        <f aca="false">P98*$F100*(P$4&lt;=In_COD)</f>
        <v>0</v>
      </c>
      <c r="Q100" s="33" t="n">
        <f aca="false">Q98*$F100*(Q$4&lt;=In_COD)</f>
        <v>0</v>
      </c>
      <c r="R100" s="33" t="n">
        <f aca="false">R98*$F100*(R$4&lt;=In_COD)</f>
        <v>0</v>
      </c>
      <c r="S100" s="33" t="n">
        <f aca="false">S98*$F100*(S$4&lt;=In_COD)</f>
        <v>0</v>
      </c>
      <c r="T100" s="33" t="n">
        <f aca="false">T98*$F100*(T$4&lt;=In_COD)</f>
        <v>0</v>
      </c>
      <c r="U100" s="33" t="n">
        <f aca="false">U98*$F100*(U$4&lt;=In_COD)</f>
        <v>0</v>
      </c>
      <c r="V100" s="33" t="n">
        <f aca="false">V98*$F100*(V$4&lt;=In_COD)</f>
        <v>0</v>
      </c>
      <c r="W100" s="33" t="n">
        <f aca="false">W98*$F100*(W$4&lt;=In_COD)</f>
        <v>0</v>
      </c>
      <c r="X100" s="33" t="n">
        <f aca="false">X98*$F100*(X$4&lt;=In_COD)</f>
        <v>149.771955221468</v>
      </c>
      <c r="Y100" s="33" t="n">
        <f aca="false">Y98*$F100*(Y$4&lt;=In_COD)</f>
        <v>298.160147813171</v>
      </c>
      <c r="Z100" s="33" t="n">
        <f aca="false">Z98*$F100*(Z$4&lt;=In_COD)</f>
        <v>450.031148847288</v>
      </c>
      <c r="AA100" s="33" t="n">
        <f aca="false">AA98*$F100*(AA$4&lt;=In_COD)</f>
        <v>605.428493429346</v>
      </c>
      <c r="AB100" s="33" t="n">
        <f aca="false">AB98*$F100*(AB$4&lt;=In_COD)</f>
        <v>762.768304818681</v>
      </c>
      <c r="AC100" s="33" t="n">
        <f aca="false">AC98*$F100*(AC$4&lt;=In_COD)</f>
        <v>918.81895178035</v>
      </c>
      <c r="AD100" s="33" t="n">
        <f aca="false">AD98*$F100*(AD$4&lt;=In_COD)</f>
        <v>1078.44818786406</v>
      </c>
      <c r="AE100" s="33" t="n">
        <f aca="false">AE98*$F100*(AE$4&lt;=In_COD)</f>
        <v>0</v>
      </c>
      <c r="AF100" s="33" t="n">
        <f aca="false">AF98*$F100*(AF$4&lt;=In_COD)</f>
        <v>0</v>
      </c>
      <c r="AG100" s="33" t="n">
        <f aca="false">AG98*$F100*(AG$4&lt;=In_COD)</f>
        <v>0</v>
      </c>
      <c r="AH100" s="33" t="n">
        <f aca="false">AH98*$F100*(AH$4&lt;=In_COD)</f>
        <v>0</v>
      </c>
      <c r="AI100" s="33" t="n">
        <f aca="false">AI98*$F100*(AI$4&lt;=In_COD)</f>
        <v>0</v>
      </c>
      <c r="AJ100" s="33" t="n">
        <f aca="false">AJ98*$F100*(AJ$4&lt;=In_COD)</f>
        <v>0</v>
      </c>
      <c r="AK100" s="33" t="n">
        <f aca="false">AK98*$F100*(AK$4&lt;=In_COD)</f>
        <v>0</v>
      </c>
      <c r="AL100" s="33" t="n">
        <f aca="false">AL98*$F100*(AL$4&lt;=In_COD)</f>
        <v>0</v>
      </c>
      <c r="AM100" s="33" t="n">
        <f aca="false">AM98*$F100*(AM$4&lt;=In_COD)</f>
        <v>0</v>
      </c>
      <c r="AN100" s="33" t="n">
        <f aca="false">AN98*$F100*(AN$4&lt;=In_COD)</f>
        <v>0</v>
      </c>
      <c r="AO100" s="33" t="n">
        <f aca="false">AO98*$F100*(AO$4&lt;=In_COD)</f>
        <v>0</v>
      </c>
      <c r="AP100" s="33" t="n">
        <f aca="false">AP98*$F100*(AP$4&lt;=In_COD)</f>
        <v>0</v>
      </c>
      <c r="AQ100" s="33" t="n">
        <f aca="false">AQ98*$F100*(AQ$4&lt;=In_COD)</f>
        <v>0</v>
      </c>
      <c r="AR100" s="33" t="n">
        <f aca="false">AR98*$F100*(AR$4&lt;=In_COD)</f>
        <v>0</v>
      </c>
      <c r="AS100" s="33" t="n">
        <f aca="false">AS98*$F100*(AS$4&lt;=In_COD)</f>
        <v>0</v>
      </c>
      <c r="AT100" s="33" t="n">
        <f aca="false">AT98*$F100*(AT$4&lt;=In_COD)</f>
        <v>0</v>
      </c>
      <c r="AU100" s="33" t="n">
        <f aca="false">AU98*$F100*(AU$4&lt;=In_COD)</f>
        <v>0</v>
      </c>
      <c r="AV100" s="33" t="n">
        <f aca="false">AV98*$F100*(AV$4&lt;=In_COD)</f>
        <v>0</v>
      </c>
      <c r="AW100" s="33" t="n">
        <f aca="false">AW98*$F100*(AW$4&lt;=In_COD)</f>
        <v>0</v>
      </c>
      <c r="AX100" s="33" t="n">
        <f aca="false">AX98*$F100*(AX$4&lt;=In_COD)</f>
        <v>0</v>
      </c>
      <c r="AY100" s="33" t="n">
        <f aca="false">AY98*$F100*(AY$4&lt;=In_COD)</f>
        <v>0</v>
      </c>
      <c r="AZ100" s="33" t="n">
        <f aca="false">AZ98*$F100*(AZ$4&lt;=In_COD)</f>
        <v>0</v>
      </c>
      <c r="BA100" s="33" t="n">
        <f aca="false">BA98*$F100*(BA$4&lt;=In_COD)</f>
        <v>0</v>
      </c>
      <c r="BB100" s="33" t="n">
        <f aca="false">BB98*$F100*(BB$4&lt;=In_COD)</f>
        <v>0</v>
      </c>
      <c r="BC100" s="33" t="n">
        <f aca="false">BC98*$F100*(BC$4&lt;=In_COD)</f>
        <v>0</v>
      </c>
      <c r="BD100" s="33" t="n">
        <f aca="false">BD98*$F100*(BD$4&lt;=In_COD)</f>
        <v>0</v>
      </c>
      <c r="BE100" s="33" t="n">
        <f aca="false">BE98*$F100*(BE$4&lt;=In_COD)</f>
        <v>0</v>
      </c>
      <c r="BF100" s="33" t="n">
        <f aca="false">BF98*$F100*(BF$4&lt;=In_COD)</f>
        <v>0</v>
      </c>
      <c r="BG100" s="33" t="n">
        <f aca="false">BG98*$F100*(BG$4&lt;=In_COD)</f>
        <v>0</v>
      </c>
      <c r="BH100" s="33" t="n">
        <f aca="false">BH98*$F100*(BH$4&lt;=In_COD)</f>
        <v>0</v>
      </c>
      <c r="BI100" s="33" t="n">
        <f aca="false">BI98*$F100*(BI$4&lt;=In_COD)</f>
        <v>0</v>
      </c>
      <c r="BJ100" s="33" t="n">
        <f aca="false">BJ98*$F100*(BJ$4&lt;=In_COD)</f>
        <v>0</v>
      </c>
      <c r="BK100" s="33" t="n">
        <f aca="false">BK98*$F100*(BK$4&lt;=In_COD)</f>
        <v>0</v>
      </c>
      <c r="BL100" s="33" t="n">
        <f aca="false">BL98*$F100*(BL$4&lt;=In_COD)</f>
        <v>0</v>
      </c>
      <c r="BM100" s="33" t="n">
        <f aca="false">BM98*$F100*(BM$4&lt;=In_COD)</f>
        <v>0</v>
      </c>
      <c r="BN100" s="33" t="n">
        <f aca="false">BN98*$F100*(BN$4&lt;=In_COD)</f>
        <v>0</v>
      </c>
      <c r="BO100" s="33" t="n">
        <f aca="false">BO98*$F100*(BO$4&lt;=In_COD)</f>
        <v>0</v>
      </c>
      <c r="BP100" s="33" t="n">
        <f aca="false">BP98*$F100*(BP$4&lt;=In_COD)</f>
        <v>0</v>
      </c>
      <c r="BQ100" s="33" t="n">
        <f aca="false">BQ98*$F100*(BQ$4&lt;=In_COD)</f>
        <v>0</v>
      </c>
      <c r="BR100" s="33" t="n">
        <f aca="false">BR98*$F100*(BR$4&lt;=In_COD)</f>
        <v>0</v>
      </c>
      <c r="BS100" s="33" t="n">
        <f aca="false">BS98*$F100*(BS$4&lt;=In_COD)</f>
        <v>0</v>
      </c>
      <c r="BT100" s="33" t="n">
        <f aca="false">BT98*$F100*(BT$4&lt;=In_COD)</f>
        <v>0</v>
      </c>
      <c r="BU100" s="33" t="n">
        <f aca="false">BU98*$F100*(BU$4&lt;=In_COD)</f>
        <v>0</v>
      </c>
      <c r="BV100" s="33" t="n">
        <f aca="false">BV98*$F100*(BV$4&lt;=In_COD)</f>
        <v>0</v>
      </c>
      <c r="BW100" s="33" t="n">
        <f aca="false">BW98*$F100*(BW$4&lt;=In_COD)</f>
        <v>0</v>
      </c>
      <c r="BX100" s="33" t="n">
        <f aca="false">BX98*$F100*(BX$4&lt;=In_COD)</f>
        <v>0</v>
      </c>
      <c r="BY100" s="33" t="n">
        <f aca="false">BY98*$F100*(BY$4&lt;=In_COD)</f>
        <v>0</v>
      </c>
      <c r="BZ100" s="33" t="n">
        <f aca="false">BZ98*$F100*(BZ$4&lt;=In_COD)</f>
        <v>0</v>
      </c>
      <c r="CA100" s="33" t="n">
        <f aca="false">CA98*$F100*(CA$4&lt;=In_COD)</f>
        <v>0</v>
      </c>
      <c r="CB100" s="33" t="n">
        <f aca="false">CB98*$F100*(CB$4&lt;=In_COD)</f>
        <v>0</v>
      </c>
      <c r="CC100" s="33" t="n">
        <f aca="false">CC98*$F100*(CC$4&lt;=In_COD)</f>
        <v>0</v>
      </c>
      <c r="CD100" s="33" t="n">
        <f aca="false">CD98*$F100*(CD$4&lt;=In_COD)</f>
        <v>0</v>
      </c>
      <c r="CE100" s="33" t="n">
        <f aca="false">CE98*$F100*(CE$4&lt;=In_COD)</f>
        <v>0</v>
      </c>
      <c r="CF100" s="33" t="n">
        <f aca="false">CF98*$F100*(CF$4&lt;=In_COD)</f>
        <v>0</v>
      </c>
      <c r="CG100" s="33" t="n">
        <f aca="false">CG98*$F100*(CG$4&lt;=In_COD)</f>
        <v>0</v>
      </c>
      <c r="CH100" s="33" t="n">
        <f aca="false">CH98*$F100*(CH$4&lt;=In_COD)</f>
        <v>0</v>
      </c>
      <c r="CI100" s="33" t="n">
        <f aca="false">CI98*$F100*(CI$4&lt;=In_COD)</f>
        <v>0</v>
      </c>
      <c r="CJ100" s="33" t="n">
        <f aca="false">CJ98*$F100*(CJ$4&lt;=In_COD)</f>
        <v>0</v>
      </c>
      <c r="CK100" s="33" t="n">
        <f aca="false">CK98*$F100*(CK$4&lt;=In_COD)</f>
        <v>0</v>
      </c>
      <c r="CL100" s="33" t="n">
        <f aca="false">CL98*$F100*(CL$4&lt;=In_COD)</f>
        <v>0</v>
      </c>
      <c r="CM100" s="33" t="n">
        <f aca="false">CM98*$F100*(CM$4&lt;=In_COD)</f>
        <v>0</v>
      </c>
      <c r="CN100" s="33" t="n">
        <f aca="false">CN98*$F100*(CN$4&lt;=In_COD)</f>
        <v>0</v>
      </c>
      <c r="CO100" s="33" t="n">
        <f aca="false">CO98*$F100*(CO$4&lt;=In_COD)</f>
        <v>0</v>
      </c>
      <c r="CP100" s="33" t="n">
        <f aca="false">CP98*$F100*(CP$4&lt;=In_COD)</f>
        <v>0</v>
      </c>
      <c r="CQ100" s="33" t="n">
        <f aca="false">CQ98*$F100*(CQ$4&lt;=In_COD)</f>
        <v>0</v>
      </c>
      <c r="CR100" s="33" t="n">
        <f aca="false">CR98*$F100*(CR$4&lt;=In_COD)</f>
        <v>0</v>
      </c>
      <c r="CS100" s="33" t="n">
        <f aca="false">CS98*$F100*(CS$4&lt;=In_COD)</f>
        <v>0</v>
      </c>
      <c r="CT100" s="33" t="n">
        <f aca="false">CT98*$F100*(CT$4&lt;=In_COD)</f>
        <v>0</v>
      </c>
      <c r="CU100" s="33" t="n">
        <f aca="false">CU98*$F100*(CU$4&lt;=In_COD)</f>
        <v>0</v>
      </c>
      <c r="CV100" s="33" t="n">
        <f aca="false">CV98*$F100*(CV$4&lt;=In_COD)</f>
        <v>0</v>
      </c>
      <c r="CW100" s="33" t="n">
        <f aca="false">CW98*$F100*(CW$4&lt;=In_COD)</f>
        <v>0</v>
      </c>
      <c r="CX100" s="33" t="n">
        <f aca="false">CX98*$F100*(CX$4&lt;=In_COD)</f>
        <v>0</v>
      </c>
      <c r="CY100" s="33" t="n">
        <f aca="false">CY98*$F100*(CY$4&lt;=In_COD)</f>
        <v>0</v>
      </c>
      <c r="CZ100" s="33" t="n">
        <f aca="false">CZ98*$F100*(CZ$4&lt;=In_COD)</f>
        <v>0</v>
      </c>
      <c r="DA100" s="33" t="n">
        <f aca="false">DA98*$F100*(DA$4&lt;=In_COD)</f>
        <v>0</v>
      </c>
      <c r="DB100" s="33" t="n">
        <f aca="false">DB98*$F100*(DB$4&lt;=In_COD)</f>
        <v>0</v>
      </c>
      <c r="DC100" s="33" t="n">
        <f aca="false">DC98*$F100*(DC$4&lt;=In_COD)</f>
        <v>0</v>
      </c>
      <c r="DD100" s="33" t="n">
        <f aca="false">DD98*$F100*(DD$4&lt;=In_COD)</f>
        <v>0</v>
      </c>
      <c r="DE100" s="33" t="n">
        <f aca="false">DE98*$F100*(DE$4&lt;=In_COD)</f>
        <v>0</v>
      </c>
      <c r="DF100" s="33" t="n">
        <f aca="false">DF98*$F100*(DF$4&lt;=In_COD)</f>
        <v>0</v>
      </c>
      <c r="DG100" s="33" t="n">
        <f aca="false">DG98*$F100*(DG$4&lt;=In_COD)</f>
        <v>0</v>
      </c>
      <c r="DH100" s="33" t="n">
        <f aca="false">DH98*$F100*(DH$4&lt;=In_COD)</f>
        <v>0</v>
      </c>
      <c r="DI100" s="33" t="n">
        <f aca="false">DI98*$F100*(DI$4&lt;=In_COD)</f>
        <v>0</v>
      </c>
      <c r="DJ100" s="33" t="n">
        <f aca="false">DJ98*$F100*(DJ$4&lt;=In_COD)</f>
        <v>0</v>
      </c>
      <c r="DK100" s="33" t="n">
        <f aca="false">DK98*$F100*(DK$4&lt;=In_COD)</f>
        <v>0</v>
      </c>
      <c r="DL100" s="33" t="n">
        <f aca="false">DL98*$F100*(DL$4&lt;=In_COD)</f>
        <v>0</v>
      </c>
      <c r="DM100" s="33" t="n">
        <f aca="false">DM98*$F100*(DM$4&lt;=In_COD)</f>
        <v>0</v>
      </c>
      <c r="DN100" s="33" t="n">
        <f aca="false">DN98*$F100*(DN$4&lt;=In_COD)</f>
        <v>0</v>
      </c>
      <c r="DO100" s="33" t="n">
        <f aca="false">DO98*$F100*(DO$4&lt;=In_COD)</f>
        <v>0</v>
      </c>
      <c r="DP100" s="33" t="n">
        <f aca="false">DP98*$F100*(DP$4&lt;=In_COD)</f>
        <v>0</v>
      </c>
      <c r="DQ100" s="33" t="n">
        <f aca="false">DQ98*$F100*(DQ$4&lt;=In_COD)</f>
        <v>0</v>
      </c>
      <c r="DR100" s="33" t="n">
        <f aca="false">DR98*$F100*(DR$4&lt;=In_COD)</f>
        <v>0</v>
      </c>
      <c r="DS100" s="33" t="n">
        <f aca="false">DS98*$F100*(DS$4&lt;=In_COD)</f>
        <v>0</v>
      </c>
      <c r="DT100" s="33" t="n">
        <f aca="false">DT98*$F100*(DT$4&lt;=In_COD)</f>
        <v>0</v>
      </c>
      <c r="DU100" s="33" t="n">
        <f aca="false">DU98*$F100*(DU$4&lt;=In_COD)</f>
        <v>0</v>
      </c>
      <c r="DV100" s="33" t="n">
        <f aca="false">DV98*$F100*(DV$4&lt;=In_COD)</f>
        <v>0</v>
      </c>
      <c r="DW100" s="33" t="n">
        <f aca="false">DW98*$F100*(DW$4&lt;=In_COD)</f>
        <v>0</v>
      </c>
      <c r="DX100" s="33" t="n">
        <f aca="false">DX98*$F100*(DX$4&lt;=In_COD)</f>
        <v>0</v>
      </c>
      <c r="DY100" s="33" t="n">
        <f aca="false">DY98*$F100*(DY$4&lt;=In_COD)</f>
        <v>0</v>
      </c>
      <c r="DZ100" s="33" t="n">
        <f aca="false">DZ98*$F100*(DZ$4&lt;=In_COD)</f>
        <v>0</v>
      </c>
      <c r="EA100" s="33" t="n">
        <f aca="false">EA98*$F100*(EA$4&lt;=In_COD)</f>
        <v>0</v>
      </c>
      <c r="EB100" s="33" t="n">
        <f aca="false">EB98*$F100*(EB$4&lt;=In_COD)</f>
        <v>0</v>
      </c>
      <c r="EC100" s="33" t="n">
        <f aca="false">EC98*$F100*(EC$4&lt;=In_COD)</f>
        <v>0</v>
      </c>
      <c r="ED100" s="33" t="n">
        <f aca="false">ED98*$F100*(ED$4&lt;=In_COD)</f>
        <v>0</v>
      </c>
      <c r="EE100" s="33" t="n">
        <f aca="false">EE98*$F100*(EE$4&lt;=In_COD)</f>
        <v>0</v>
      </c>
      <c r="EF100" s="33" t="n">
        <f aca="false">EF98*$F100*(EF$4&lt;=In_COD)</f>
        <v>0</v>
      </c>
      <c r="EG100" s="33" t="n">
        <f aca="false">EG98*$F100*(EG$4&lt;=In_COD)</f>
        <v>0</v>
      </c>
      <c r="EH100" s="33" t="n">
        <f aca="false">EH98*$F100*(EH$4&lt;=In_COD)</f>
        <v>0</v>
      </c>
      <c r="EI100" s="33" t="n">
        <f aca="false">EI98*$F100*(EI$4&lt;=In_COD)</f>
        <v>0</v>
      </c>
      <c r="EJ100" s="33" t="n">
        <f aca="false">EJ98*$F100*(EJ$4&lt;=In_COD)</f>
        <v>0</v>
      </c>
      <c r="EK100" s="33" t="n">
        <f aca="false">EK98*$F100*(EK$4&lt;=In_COD)</f>
        <v>0</v>
      </c>
      <c r="EL100" s="33" t="n">
        <f aca="false">EL98*$F100*(EL$4&lt;=In_COD)</f>
        <v>0</v>
      </c>
      <c r="EM100" s="33" t="n">
        <f aca="false">EM98*$F100*(EM$4&lt;=In_COD)</f>
        <v>0</v>
      </c>
      <c r="EN100" s="33" t="n">
        <f aca="false">EN98*$F100*(EN$4&lt;=In_COD)</f>
        <v>0</v>
      </c>
      <c r="EO100" s="33" t="n">
        <f aca="false">EO98*$F100*(EO$4&lt;=In_COD)</f>
        <v>0</v>
      </c>
      <c r="EP100" s="33" t="n">
        <f aca="false">EP98*$F100*(EP$4&lt;=In_COD)</f>
        <v>0</v>
      </c>
      <c r="EQ100" s="33" t="n">
        <f aca="false">EQ98*$F100*(EQ$4&lt;=In_COD)</f>
        <v>0</v>
      </c>
      <c r="ER100" s="33" t="n">
        <f aca="false">ER98*$F100*(ER$4&lt;=In_COD)</f>
        <v>0</v>
      </c>
      <c r="ES100" s="33" t="n">
        <f aca="false">ES98*$F100*(ES$4&lt;=In_COD)</f>
        <v>0</v>
      </c>
      <c r="ET100" s="33" t="n">
        <f aca="false">ET98*$F100*(ET$4&lt;=In_COD)</f>
        <v>0</v>
      </c>
    </row>
    <row r="101" customFormat="false" ht="15" hidden="false" customHeight="false" outlineLevel="0" collapsed="false">
      <c r="C101" s="0" t="s">
        <v>558</v>
      </c>
      <c r="D101" s="11" t="s">
        <v>253</v>
      </c>
      <c r="I101" s="33" t="n">
        <f aca="false">SUM(J101:ET101)</f>
        <v>-99336.0596347059</v>
      </c>
      <c r="J101" s="33" t="n">
        <f aca="false">PPMT($F100,1,In_Debt_Tenor*Months_In_Year/Months_Per_Period-SUM($J17:J17)+1,J98)*J17</f>
        <v>0</v>
      </c>
      <c r="K101" s="33" t="n">
        <f aca="false">PPMT($F100,1,In_Debt_Tenor*Months_In_Year/Months_Per_Period-SUM($J17:K17)+1,K98)*K17</f>
        <v>0</v>
      </c>
      <c r="L101" s="33" t="n">
        <f aca="false">PPMT($F100,1,In_Debt_Tenor*Months_In_Year/Months_Per_Period-SUM($J17:L17)+1,L98)*L17</f>
        <v>0</v>
      </c>
      <c r="M101" s="33" t="n">
        <f aca="false">PPMT($F100,1,In_Debt_Tenor*Months_In_Year/Months_Per_Period-SUM($J17:M17)+1,M98)*M17</f>
        <v>0</v>
      </c>
      <c r="N101" s="33" t="n">
        <f aca="false">PPMT($F100,1,In_Debt_Tenor*Months_In_Year/Months_Per_Period-SUM($J17:N17)+1,N98)*N17</f>
        <v>0</v>
      </c>
      <c r="O101" s="33" t="n">
        <f aca="false">PPMT($F100,1,In_Debt_Tenor*Months_In_Year/Months_Per_Period-SUM($J17:O17)+1,O98)*O17</f>
        <v>0</v>
      </c>
      <c r="P101" s="33" t="n">
        <f aca="false">PPMT($F100,1,In_Debt_Tenor*Months_In_Year/Months_Per_Period-SUM($J17:P17)+1,P98)*P17</f>
        <v>0</v>
      </c>
      <c r="Q101" s="33" t="n">
        <f aca="false">PPMT($F100,1,In_Debt_Tenor*Months_In_Year/Months_Per_Period-SUM($J17:Q17)+1,Q98)*Q17</f>
        <v>0</v>
      </c>
      <c r="R101" s="33" t="n">
        <f aca="false">PPMT($F100,1,In_Debt_Tenor*Months_In_Year/Months_Per_Period-SUM($J17:R17)+1,R98)*R17</f>
        <v>0</v>
      </c>
      <c r="S101" s="33" t="n">
        <f aca="false">PPMT($F100,1,In_Debt_Tenor*Months_In_Year/Months_Per_Period-SUM($J17:S17)+1,S98)*S17</f>
        <v>0</v>
      </c>
      <c r="T101" s="33" t="n">
        <f aca="false">PPMT($F100,1,In_Debt_Tenor*Months_In_Year/Months_Per_Period-SUM($J17:T17)+1,T98)*T17</f>
        <v>0</v>
      </c>
      <c r="U101" s="33" t="n">
        <f aca="false">PPMT($F100,1,In_Debt_Tenor*Months_In_Year/Months_Per_Period-SUM($J17:U17)+1,U98)*U17</f>
        <v>0</v>
      </c>
      <c r="V101" s="33" t="n">
        <f aca="false">PPMT($F100,1,In_Debt_Tenor*Months_In_Year/Months_Per_Period-SUM($J17:V17)+1,V98)*V17</f>
        <v>0</v>
      </c>
      <c r="W101" s="33" t="n">
        <f aca="false">PPMT($F100,1,In_Debt_Tenor*Months_In_Year/Months_Per_Period-SUM($J17:W17)+1,W98)*W17</f>
        <v>0</v>
      </c>
      <c r="X101" s="33" t="n">
        <f aca="false">PPMT($F100,1,In_Debt_Tenor*Months_In_Year/Months_Per_Period-SUM($J17:X17)+1,X98)*X17</f>
        <v>-0</v>
      </c>
      <c r="Y101" s="33" t="n">
        <f aca="false">PPMT($F100,1,In_Debt_Tenor*Months_In_Year/Months_Per_Period-SUM($J17:Y17)+1,Y98)*Y17</f>
        <v>-0</v>
      </c>
      <c r="Z101" s="33" t="n">
        <f aca="false">PPMT($F100,1,In_Debt_Tenor*Months_In_Year/Months_Per_Period-SUM($J17:Z17)+1,Z98)*Z17</f>
        <v>-0</v>
      </c>
      <c r="AA101" s="33" t="n">
        <f aca="false">PPMT($F100,1,In_Debt_Tenor*Months_In_Year/Months_Per_Period-SUM($J17:AA17)+1,AA98)*AA17</f>
        <v>-0</v>
      </c>
      <c r="AB101" s="33" t="n">
        <f aca="false">PPMT($F100,1,In_Debt_Tenor*Months_In_Year/Months_Per_Period-SUM($J17:AB17)+1,AB98)*AB17</f>
        <v>-0</v>
      </c>
      <c r="AC101" s="33" t="n">
        <f aca="false">PPMT($F100,1,In_Debt_Tenor*Months_In_Year/Months_Per_Period-SUM($J17:AC17)+1,AC98)*AC17</f>
        <v>-0</v>
      </c>
      <c r="AD101" s="33" t="n">
        <f aca="false">PPMT($F100,1,In_Debt_Tenor*Months_In_Year/Months_Per_Period-SUM($J17:AD17)+1,AD98)*AD17</f>
        <v>-0</v>
      </c>
      <c r="AE101" s="33" t="n">
        <f aca="false">PPMT($F100,1,In_Debt_Tenor*Months_In_Year/Months_Per_Period-SUM($J17:AE17)+1,AE98)*AE17</f>
        <v>-1929.24673021309</v>
      </c>
      <c r="AF101" s="33" t="n">
        <f aca="false">PPMT($F100,1,In_Debt_Tenor*Months_In_Year/Months_Per_Period-SUM($J17:AF17)+1,AF98)*AF17</f>
        <v>-1953.36231434075</v>
      </c>
      <c r="AG101" s="33" t="n">
        <f aca="false">PPMT($F100,1,In_Debt_Tenor*Months_In_Year/Months_Per_Period-SUM($J17:AG17)+1,AG98)*AG17</f>
        <v>-1977.77934327001</v>
      </c>
      <c r="AH101" s="33" t="n">
        <f aca="false">PPMT($F100,1,In_Debt_Tenor*Months_In_Year/Months_Per_Period-SUM($J17:AH17)+1,AH98)*AH17</f>
        <v>-2002.50158506089</v>
      </c>
      <c r="AI101" s="33" t="n">
        <f aca="false">PPMT($F100,1,In_Debt_Tenor*Months_In_Year/Months_Per_Period-SUM($J17:AI17)+1,AI98)*AI17</f>
        <v>-2027.53285487415</v>
      </c>
      <c r="AJ101" s="33" t="n">
        <f aca="false">PPMT($F100,1,In_Debt_Tenor*Months_In_Year/Months_Per_Period-SUM($J17:AJ17)+1,AJ98)*AJ17</f>
        <v>-2052.87701556008</v>
      </c>
      <c r="AK101" s="33" t="n">
        <f aca="false">PPMT($F100,1,In_Debt_Tenor*Months_In_Year/Months_Per_Period-SUM($J17:AK17)+1,AK98)*AK17</f>
        <v>-2078.53797825458</v>
      </c>
      <c r="AL101" s="33" t="n">
        <f aca="false">PPMT($F100,1,In_Debt_Tenor*Months_In_Year/Months_Per_Period-SUM($J17:AL17)+1,AL98)*AL17</f>
        <v>-2104.51970298276</v>
      </c>
      <c r="AM101" s="33" t="n">
        <f aca="false">PPMT($F100,1,In_Debt_Tenor*Months_In_Year/Months_Per_Period-SUM($J17:AM17)+1,AM98)*AM17</f>
        <v>-2130.82619927004</v>
      </c>
      <c r="AN101" s="33" t="n">
        <f aca="false">PPMT($F100,1,In_Debt_Tenor*Months_In_Year/Months_Per_Period-SUM($J17:AN17)+1,AN98)*AN17</f>
        <v>-2157.46152676092</v>
      </c>
      <c r="AO101" s="33" t="n">
        <f aca="false">PPMT($F100,1,In_Debt_Tenor*Months_In_Year/Months_Per_Period-SUM($J17:AO17)+1,AO98)*AO17</f>
        <v>-2184.42979584543</v>
      </c>
      <c r="AP101" s="33" t="n">
        <f aca="false">PPMT($F100,1,In_Debt_Tenor*Months_In_Year/Months_Per_Period-SUM($J17:AP17)+1,AP98)*AP17</f>
        <v>-2211.7351682935</v>
      </c>
      <c r="AQ101" s="33" t="n">
        <f aca="false">PPMT($F100,1,In_Debt_Tenor*Months_In_Year/Months_Per_Period-SUM($J17:AQ17)+1,AQ98)*AQ17</f>
        <v>-2239.38185789717</v>
      </c>
      <c r="AR101" s="33" t="n">
        <f aca="false">PPMT($F100,1,In_Debt_Tenor*Months_In_Year/Months_Per_Period-SUM($J17:AR17)+1,AR98)*AR17</f>
        <v>-2267.37413112088</v>
      </c>
      <c r="AS101" s="33" t="n">
        <f aca="false">PPMT($F100,1,In_Debt_Tenor*Months_In_Year/Months_Per_Period-SUM($J17:AS17)+1,AS98)*AS17</f>
        <v>-2295.71630775989</v>
      </c>
      <c r="AT101" s="33" t="n">
        <f aca="false">PPMT($F100,1,In_Debt_Tenor*Months_In_Year/Months_Per_Period-SUM($J17:AT17)+1,AT98)*AT17</f>
        <v>-2324.41276160689</v>
      </c>
      <c r="AU101" s="33" t="n">
        <f aca="false">PPMT($F100,1,In_Debt_Tenor*Months_In_Year/Months_Per_Period-SUM($J17:AU17)+1,AU98)*AU17</f>
        <v>-2353.46792112698</v>
      </c>
      <c r="AV101" s="33" t="n">
        <f aca="false">PPMT($F100,1,In_Debt_Tenor*Months_In_Year/Months_Per_Period-SUM($J17:AV17)+1,AV98)*AV17</f>
        <v>-2382.88627014107</v>
      </c>
      <c r="AW101" s="33" t="n">
        <f aca="false">PPMT($F100,1,In_Debt_Tenor*Months_In_Year/Months_Per_Period-SUM($J17:AW17)+1,AW98)*AW17</f>
        <v>-2412.67234851783</v>
      </c>
      <c r="AX101" s="33" t="n">
        <f aca="false">PPMT($F100,1,In_Debt_Tenor*Months_In_Year/Months_Per_Period-SUM($J17:AX17)+1,AX98)*AX17</f>
        <v>-2442.8307528743</v>
      </c>
      <c r="AY101" s="33" t="n">
        <f aca="false">PPMT($F100,1,In_Debt_Tenor*Months_In_Year/Months_Per_Period-SUM($J17:AY17)+1,AY98)*AY17</f>
        <v>-2473.36613728523</v>
      </c>
      <c r="AZ101" s="33" t="n">
        <f aca="false">PPMT($F100,1,In_Debt_Tenor*Months_In_Year/Months_Per_Period-SUM($J17:AZ17)+1,AZ98)*AZ17</f>
        <v>-2504.2832140013</v>
      </c>
      <c r="BA101" s="33" t="n">
        <f aca="false">PPMT($F100,1,In_Debt_Tenor*Months_In_Year/Months_Per_Period-SUM($J17:BA17)+1,BA98)*BA17</f>
        <v>-2535.58675417631</v>
      </c>
      <c r="BB101" s="33" t="n">
        <f aca="false">PPMT($F100,1,In_Debt_Tenor*Months_In_Year/Months_Per_Period-SUM($J17:BB17)+1,BB98)*BB17</f>
        <v>-2567.28158860352</v>
      </c>
      <c r="BC101" s="33" t="n">
        <f aca="false">PPMT($F100,1,In_Debt_Tenor*Months_In_Year/Months_Per_Period-SUM($J17:BC17)+1,BC98)*BC17</f>
        <v>-2599.37260846106</v>
      </c>
      <c r="BD101" s="33" t="n">
        <f aca="false">PPMT($F100,1,In_Debt_Tenor*Months_In_Year/Months_Per_Period-SUM($J17:BD17)+1,BD98)*BD17</f>
        <v>-2631.86476606682</v>
      </c>
      <c r="BE101" s="33" t="n">
        <f aca="false">PPMT($F100,1,In_Debt_Tenor*Months_In_Year/Months_Per_Period-SUM($J17:BE17)+1,BE98)*BE17</f>
        <v>-2664.76307564266</v>
      </c>
      <c r="BF101" s="33" t="n">
        <f aca="false">PPMT($F100,1,In_Debt_Tenor*Months_In_Year/Months_Per_Period-SUM($J17:BF17)+1,BF98)*BF17</f>
        <v>-2698.07261408819</v>
      </c>
      <c r="BG101" s="33" t="n">
        <f aca="false">PPMT($F100,1,In_Debt_Tenor*Months_In_Year/Months_Per_Period-SUM($J17:BG17)+1,BG98)*BG17</f>
        <v>-2731.79852176429</v>
      </c>
      <c r="BH101" s="33" t="n">
        <f aca="false">PPMT($F100,1,In_Debt_Tenor*Months_In_Year/Months_Per_Period-SUM($J17:BH17)+1,BH98)*BH17</f>
        <v>-2765.94600328635</v>
      </c>
      <c r="BI101" s="33" t="n">
        <f aca="false">PPMT($F100,1,In_Debt_Tenor*Months_In_Year/Months_Per_Period-SUM($J17:BI17)+1,BI98)*BI17</f>
        <v>-2800.52032832743</v>
      </c>
      <c r="BJ101" s="33" t="n">
        <f aca="false">PPMT($F100,1,In_Debt_Tenor*Months_In_Year/Months_Per_Period-SUM($J17:BJ17)+1,BJ98)*BJ17</f>
        <v>-2835.52683243152</v>
      </c>
      <c r="BK101" s="33" t="n">
        <f aca="false">PPMT($F100,1,In_Debt_Tenor*Months_In_Year/Months_Per_Period-SUM($J17:BK17)+1,BK98)*BK17</f>
        <v>-2870.97091783691</v>
      </c>
      <c r="BL101" s="33" t="n">
        <f aca="false">PPMT($F100,1,In_Debt_Tenor*Months_In_Year/Months_Per_Period-SUM($J17:BL17)+1,BL98)*BL17</f>
        <v>-2906.85805430987</v>
      </c>
      <c r="BM101" s="33" t="n">
        <f aca="false">PPMT($F100,1,In_Debt_Tenor*Months_In_Year/Months_Per_Period-SUM($J17:BM17)+1,BM98)*BM17</f>
        <v>-2943.19377998875</v>
      </c>
      <c r="BN101" s="33" t="n">
        <f aca="false">PPMT($F100,1,In_Debt_Tenor*Months_In_Year/Months_Per_Period-SUM($J17:BN17)+1,BN98)*BN17</f>
        <v>-2979.98370223861</v>
      </c>
      <c r="BO101" s="33" t="n">
        <f aca="false">PPMT($F100,1,In_Debt_Tenor*Months_In_Year/Months_Per_Period-SUM($J17:BO17)+1,BO98)*BO17</f>
        <v>-3017.23349851659</v>
      </c>
      <c r="BP101" s="33" t="n">
        <f aca="false">PPMT($F100,1,In_Debt_Tenor*Months_In_Year/Months_Per_Period-SUM($J17:BP17)+1,BP98)*BP17</f>
        <v>-3054.94891724805</v>
      </c>
      <c r="BQ101" s="33" t="n">
        <f aca="false">PPMT($F100,1,In_Debt_Tenor*Months_In_Year/Months_Per_Period-SUM($J17:BQ17)+1,BQ98)*BQ17</f>
        <v>-3093.13577871365</v>
      </c>
      <c r="BR101" s="33" t="n">
        <f aca="false">PPMT($F100,1,In_Debt_Tenor*Months_In_Year/Months_Per_Period-SUM($J17:BR17)+1,BR98)*BR17</f>
        <v>-3131.79997594757</v>
      </c>
      <c r="BS101" s="33" t="n">
        <f aca="false">PPMT($F100,1,In_Debt_Tenor*Months_In_Year/Months_Per_Period-SUM($J17:BS17)+1,BS98)*BS17</f>
        <v>0</v>
      </c>
      <c r="BT101" s="33" t="n">
        <f aca="false">PPMT($F100,1,In_Debt_Tenor*Months_In_Year/Months_Per_Period-SUM($J17:BT17)+1,BT98)*BT17</f>
        <v>0</v>
      </c>
      <c r="BU101" s="33" t="n">
        <f aca="false">PPMT($F100,1,In_Debt_Tenor*Months_In_Year/Months_Per_Period-SUM($J17:BU17)+1,BU98)*BU17</f>
        <v>0</v>
      </c>
      <c r="BV101" s="33" t="n">
        <f aca="false">PPMT($F100,1,In_Debt_Tenor*Months_In_Year/Months_Per_Period-SUM($J17:BV17)+1,BV98)*BV17</f>
        <v>0</v>
      </c>
      <c r="BW101" s="33" t="n">
        <f aca="false">PPMT($F100,1,In_Debt_Tenor*Months_In_Year/Months_Per_Period-SUM($J17:BW17)+1,BW98)*BW17</f>
        <v>0</v>
      </c>
      <c r="BX101" s="33" t="n">
        <f aca="false">PPMT($F100,1,In_Debt_Tenor*Months_In_Year/Months_Per_Period-SUM($J17:BX17)+1,BX98)*BX17</f>
        <v>0</v>
      </c>
      <c r="BY101" s="33" t="n">
        <f aca="false">PPMT($F100,1,In_Debt_Tenor*Months_In_Year/Months_Per_Period-SUM($J17:BY17)+1,BY98)*BY17</f>
        <v>0</v>
      </c>
      <c r="BZ101" s="33" t="n">
        <f aca="false">PPMT($F100,1,In_Debt_Tenor*Months_In_Year/Months_Per_Period-SUM($J17:BZ17)+1,BZ98)*BZ17</f>
        <v>0</v>
      </c>
      <c r="CA101" s="33" t="n">
        <f aca="false">PPMT($F100,1,In_Debt_Tenor*Months_In_Year/Months_Per_Period-SUM($J17:CA17)+1,CA98)*CA17</f>
        <v>0</v>
      </c>
      <c r="CB101" s="33" t="n">
        <f aca="false">PPMT($F100,1,In_Debt_Tenor*Months_In_Year/Months_Per_Period-SUM($J17:CB17)+1,CB98)*CB17</f>
        <v>0</v>
      </c>
      <c r="CC101" s="33" t="n">
        <f aca="false">PPMT($F100,1,In_Debt_Tenor*Months_In_Year/Months_Per_Period-SUM($J17:CC17)+1,CC98)*CC17</f>
        <v>0</v>
      </c>
      <c r="CD101" s="33" t="n">
        <f aca="false">PPMT($F100,1,In_Debt_Tenor*Months_In_Year/Months_Per_Period-SUM($J17:CD17)+1,CD98)*CD17</f>
        <v>0</v>
      </c>
      <c r="CE101" s="33" t="n">
        <f aca="false">PPMT($F100,1,In_Debt_Tenor*Months_In_Year/Months_Per_Period-SUM($J17:CE17)+1,CE98)*CE17</f>
        <v>0</v>
      </c>
      <c r="CF101" s="33" t="n">
        <f aca="false">PPMT($F100,1,In_Debt_Tenor*Months_In_Year/Months_Per_Period-SUM($J17:CF17)+1,CF98)*CF17</f>
        <v>0</v>
      </c>
      <c r="CG101" s="33" t="n">
        <f aca="false">PPMT($F100,1,In_Debt_Tenor*Months_In_Year/Months_Per_Period-SUM($J17:CG17)+1,CG98)*CG17</f>
        <v>0</v>
      </c>
      <c r="CH101" s="33" t="n">
        <f aca="false">PPMT($F100,1,In_Debt_Tenor*Months_In_Year/Months_Per_Period-SUM($J17:CH17)+1,CH98)*CH17</f>
        <v>0</v>
      </c>
      <c r="CI101" s="33" t="n">
        <f aca="false">PPMT($F100,1,In_Debt_Tenor*Months_In_Year/Months_Per_Period-SUM($J17:CI17)+1,CI98)*CI17</f>
        <v>0</v>
      </c>
      <c r="CJ101" s="33" t="n">
        <f aca="false">PPMT($F100,1,In_Debt_Tenor*Months_In_Year/Months_Per_Period-SUM($J17:CJ17)+1,CJ98)*CJ17</f>
        <v>0</v>
      </c>
      <c r="CK101" s="33" t="n">
        <f aca="false">PPMT($F100,1,In_Debt_Tenor*Months_In_Year/Months_Per_Period-SUM($J17:CK17)+1,CK98)*CK17</f>
        <v>0</v>
      </c>
      <c r="CL101" s="33" t="n">
        <f aca="false">PPMT($F100,1,In_Debt_Tenor*Months_In_Year/Months_Per_Period-SUM($J17:CL17)+1,CL98)*CL17</f>
        <v>0</v>
      </c>
      <c r="CM101" s="33" t="n">
        <f aca="false">PPMT($F100,1,In_Debt_Tenor*Months_In_Year/Months_Per_Period-SUM($J17:CM17)+1,CM98)*CM17</f>
        <v>0</v>
      </c>
      <c r="CN101" s="33" t="n">
        <f aca="false">PPMT($F100,1,In_Debt_Tenor*Months_In_Year/Months_Per_Period-SUM($J17:CN17)+1,CN98)*CN17</f>
        <v>0</v>
      </c>
      <c r="CO101" s="33" t="n">
        <f aca="false">PPMT($F100,1,In_Debt_Tenor*Months_In_Year/Months_Per_Period-SUM($J17:CO17)+1,CO98)*CO17</f>
        <v>0</v>
      </c>
      <c r="CP101" s="33" t="n">
        <f aca="false">PPMT($F100,1,In_Debt_Tenor*Months_In_Year/Months_Per_Period-SUM($J17:CP17)+1,CP98)*CP17</f>
        <v>0</v>
      </c>
      <c r="CQ101" s="33" t="n">
        <f aca="false">PPMT($F100,1,In_Debt_Tenor*Months_In_Year/Months_Per_Period-SUM($J17:CQ17)+1,CQ98)*CQ17</f>
        <v>0</v>
      </c>
      <c r="CR101" s="33" t="n">
        <f aca="false">PPMT($F100,1,In_Debt_Tenor*Months_In_Year/Months_Per_Period-SUM($J17:CR17)+1,CR98)*CR17</f>
        <v>0</v>
      </c>
      <c r="CS101" s="33" t="n">
        <f aca="false">PPMT($F100,1,In_Debt_Tenor*Months_In_Year/Months_Per_Period-SUM($J17:CS17)+1,CS98)*CS17</f>
        <v>0</v>
      </c>
      <c r="CT101" s="33" t="n">
        <f aca="false">PPMT($F100,1,In_Debt_Tenor*Months_In_Year/Months_Per_Period-SUM($J17:CT17)+1,CT98)*CT17</f>
        <v>0</v>
      </c>
      <c r="CU101" s="33" t="n">
        <f aca="false">PPMT($F100,1,In_Debt_Tenor*Months_In_Year/Months_Per_Period-SUM($J17:CU17)+1,CU98)*CU17</f>
        <v>0</v>
      </c>
      <c r="CV101" s="33" t="n">
        <f aca="false">PPMT($F100,1,In_Debt_Tenor*Months_In_Year/Months_Per_Period-SUM($J17:CV17)+1,CV98)*CV17</f>
        <v>0</v>
      </c>
      <c r="CW101" s="33" t="n">
        <f aca="false">PPMT($F100,1,In_Debt_Tenor*Months_In_Year/Months_Per_Period-SUM($J17:CW17)+1,CW98)*CW17</f>
        <v>0</v>
      </c>
      <c r="CX101" s="33" t="n">
        <f aca="false">PPMT($F100,1,In_Debt_Tenor*Months_In_Year/Months_Per_Period-SUM($J17:CX17)+1,CX98)*CX17</f>
        <v>0</v>
      </c>
      <c r="CY101" s="33" t="n">
        <f aca="false">PPMT($F100,1,In_Debt_Tenor*Months_In_Year/Months_Per_Period-SUM($J17:CY17)+1,CY98)*CY17</f>
        <v>0</v>
      </c>
      <c r="CZ101" s="33" t="n">
        <f aca="false">PPMT($F100,1,In_Debt_Tenor*Months_In_Year/Months_Per_Period-SUM($J17:CZ17)+1,CZ98)*CZ17</f>
        <v>0</v>
      </c>
      <c r="DA101" s="33" t="n">
        <f aca="false">PPMT($F100,1,In_Debt_Tenor*Months_In_Year/Months_Per_Period-SUM($J17:DA17)+1,DA98)*DA17</f>
        <v>0</v>
      </c>
      <c r="DB101" s="33" t="n">
        <f aca="false">PPMT($F100,1,In_Debt_Tenor*Months_In_Year/Months_Per_Period-SUM($J17:DB17)+1,DB98)*DB17</f>
        <v>0</v>
      </c>
      <c r="DC101" s="33" t="n">
        <f aca="false">PPMT($F100,1,In_Debt_Tenor*Months_In_Year/Months_Per_Period-SUM($J17:DC17)+1,DC98)*DC17</f>
        <v>0</v>
      </c>
      <c r="DD101" s="33" t="n">
        <f aca="false">PPMT($F100,1,In_Debt_Tenor*Months_In_Year/Months_Per_Period-SUM($J17:DD17)+1,DD98)*DD17</f>
        <v>0</v>
      </c>
      <c r="DE101" s="33" t="n">
        <f aca="false">PPMT($F100,1,In_Debt_Tenor*Months_In_Year/Months_Per_Period-SUM($J17:DE17)+1,DE98)*DE17</f>
        <v>0</v>
      </c>
      <c r="DF101" s="33" t="n">
        <f aca="false">PPMT($F100,1,In_Debt_Tenor*Months_In_Year/Months_Per_Period-SUM($J17:DF17)+1,DF98)*DF17</f>
        <v>0</v>
      </c>
      <c r="DG101" s="33" t="n">
        <f aca="false">PPMT($F100,1,In_Debt_Tenor*Months_In_Year/Months_Per_Period-SUM($J17:DG17)+1,DG98)*DG17</f>
        <v>0</v>
      </c>
      <c r="DH101" s="33" t="n">
        <f aca="false">PPMT($F100,1,In_Debt_Tenor*Months_In_Year/Months_Per_Period-SUM($J17:DH17)+1,DH98)*DH17</f>
        <v>0</v>
      </c>
      <c r="DI101" s="33" t="n">
        <f aca="false">PPMT($F100,1,In_Debt_Tenor*Months_In_Year/Months_Per_Period-SUM($J17:DI17)+1,DI98)*DI17</f>
        <v>0</v>
      </c>
      <c r="DJ101" s="33" t="n">
        <f aca="false">PPMT($F100,1,In_Debt_Tenor*Months_In_Year/Months_Per_Period-SUM($J17:DJ17)+1,DJ98)*DJ17</f>
        <v>0</v>
      </c>
      <c r="DK101" s="33" t="n">
        <f aca="false">PPMT($F100,1,In_Debt_Tenor*Months_In_Year/Months_Per_Period-SUM($J17:DK17)+1,DK98)*DK17</f>
        <v>0</v>
      </c>
      <c r="DL101" s="33" t="n">
        <f aca="false">PPMT($F100,1,In_Debt_Tenor*Months_In_Year/Months_Per_Period-SUM($J17:DL17)+1,DL98)*DL17</f>
        <v>0</v>
      </c>
      <c r="DM101" s="33" t="n">
        <f aca="false">PPMT($F100,1,In_Debt_Tenor*Months_In_Year/Months_Per_Period-SUM($J17:DM17)+1,DM98)*DM17</f>
        <v>0</v>
      </c>
      <c r="DN101" s="33" t="n">
        <f aca="false">PPMT($F100,1,In_Debt_Tenor*Months_In_Year/Months_Per_Period-SUM($J17:DN17)+1,DN98)*DN17</f>
        <v>0</v>
      </c>
      <c r="DO101" s="33" t="n">
        <f aca="false">PPMT($F100,1,In_Debt_Tenor*Months_In_Year/Months_Per_Period-SUM($J17:DO17)+1,DO98)*DO17</f>
        <v>0</v>
      </c>
      <c r="DP101" s="33" t="n">
        <f aca="false">PPMT($F100,1,In_Debt_Tenor*Months_In_Year/Months_Per_Period-SUM($J17:DP17)+1,DP98)*DP17</f>
        <v>0</v>
      </c>
      <c r="DQ101" s="33" t="n">
        <f aca="false">PPMT($F100,1,In_Debt_Tenor*Months_In_Year/Months_Per_Period-SUM($J17:DQ17)+1,DQ98)*DQ17</f>
        <v>0</v>
      </c>
      <c r="DR101" s="33" t="n">
        <f aca="false">PPMT($F100,1,In_Debt_Tenor*Months_In_Year/Months_Per_Period-SUM($J17:DR17)+1,DR98)*DR17</f>
        <v>0</v>
      </c>
      <c r="DS101" s="33" t="n">
        <f aca="false">PPMT($F100,1,In_Debt_Tenor*Months_In_Year/Months_Per_Period-SUM($J17:DS17)+1,DS98)*DS17</f>
        <v>0</v>
      </c>
      <c r="DT101" s="33" t="n">
        <f aca="false">PPMT($F100,1,In_Debt_Tenor*Months_In_Year/Months_Per_Period-SUM($J17:DT17)+1,DT98)*DT17</f>
        <v>0</v>
      </c>
      <c r="DU101" s="33" t="n">
        <f aca="false">PPMT($F100,1,In_Debt_Tenor*Months_In_Year/Months_Per_Period-SUM($J17:DU17)+1,DU98)*DU17</f>
        <v>0</v>
      </c>
      <c r="DV101" s="33" t="n">
        <f aca="false">PPMT($F100,1,In_Debt_Tenor*Months_In_Year/Months_Per_Period-SUM($J17:DV17)+1,DV98)*DV17</f>
        <v>0</v>
      </c>
      <c r="DW101" s="33" t="n">
        <f aca="false">PPMT($F100,1,In_Debt_Tenor*Months_In_Year/Months_Per_Period-SUM($J17:DW17)+1,DW98)*DW17</f>
        <v>0</v>
      </c>
      <c r="DX101" s="33" t="n">
        <f aca="false">PPMT($F100,1,In_Debt_Tenor*Months_In_Year/Months_Per_Period-SUM($J17:DX17)+1,DX98)*DX17</f>
        <v>0</v>
      </c>
      <c r="DY101" s="33" t="n">
        <f aca="false">PPMT($F100,1,In_Debt_Tenor*Months_In_Year/Months_Per_Period-SUM($J17:DY17)+1,DY98)*DY17</f>
        <v>0</v>
      </c>
      <c r="DZ101" s="33" t="n">
        <f aca="false">PPMT($F100,1,In_Debt_Tenor*Months_In_Year/Months_Per_Period-SUM($J17:DZ17)+1,DZ98)*DZ17</f>
        <v>0</v>
      </c>
      <c r="EA101" s="33" t="n">
        <f aca="false">PPMT($F100,1,In_Debt_Tenor*Months_In_Year/Months_Per_Period-SUM($J17:EA17)+1,EA98)*EA17</f>
        <v>0</v>
      </c>
      <c r="EB101" s="33" t="n">
        <f aca="false">PPMT($F100,1,In_Debt_Tenor*Months_In_Year/Months_Per_Period-SUM($J17:EB17)+1,EB98)*EB17</f>
        <v>0</v>
      </c>
      <c r="EC101" s="33" t="n">
        <f aca="false">PPMT($F100,1,In_Debt_Tenor*Months_In_Year/Months_Per_Period-SUM($J17:EC17)+1,EC98)*EC17</f>
        <v>0</v>
      </c>
      <c r="ED101" s="33" t="n">
        <f aca="false">PPMT($F100,1,In_Debt_Tenor*Months_In_Year/Months_Per_Period-SUM($J17:ED17)+1,ED98)*ED17</f>
        <v>0</v>
      </c>
      <c r="EE101" s="33" t="n">
        <f aca="false">PPMT($F100,1,In_Debt_Tenor*Months_In_Year/Months_Per_Period-SUM($J17:EE17)+1,EE98)*EE17</f>
        <v>0</v>
      </c>
      <c r="EF101" s="33" t="n">
        <f aca="false">PPMT($F100,1,In_Debt_Tenor*Months_In_Year/Months_Per_Period-SUM($J17:EF17)+1,EF98)*EF17</f>
        <v>0</v>
      </c>
      <c r="EG101" s="33" t="n">
        <f aca="false">PPMT($F100,1,In_Debt_Tenor*Months_In_Year/Months_Per_Period-SUM($J17:EG17)+1,EG98)*EG17</f>
        <v>0</v>
      </c>
      <c r="EH101" s="33" t="n">
        <f aca="false">PPMT($F100,1,In_Debt_Tenor*Months_In_Year/Months_Per_Period-SUM($J17:EH17)+1,EH98)*EH17</f>
        <v>0</v>
      </c>
      <c r="EI101" s="33" t="n">
        <f aca="false">PPMT($F100,1,In_Debt_Tenor*Months_In_Year/Months_Per_Period-SUM($J17:EI17)+1,EI98)*EI17</f>
        <v>0</v>
      </c>
      <c r="EJ101" s="33" t="n">
        <f aca="false">PPMT($F100,1,In_Debt_Tenor*Months_In_Year/Months_Per_Period-SUM($J17:EJ17)+1,EJ98)*EJ17</f>
        <v>0</v>
      </c>
      <c r="EK101" s="33" t="n">
        <f aca="false">PPMT($F100,1,In_Debt_Tenor*Months_In_Year/Months_Per_Period-SUM($J17:EK17)+1,EK98)*EK17</f>
        <v>0</v>
      </c>
      <c r="EL101" s="33" t="n">
        <f aca="false">PPMT($F100,1,In_Debt_Tenor*Months_In_Year/Months_Per_Period-SUM($J17:EL17)+1,EL98)*EL17</f>
        <v>0</v>
      </c>
      <c r="EM101" s="33" t="n">
        <f aca="false">PPMT($F100,1,In_Debt_Tenor*Months_In_Year/Months_Per_Period-SUM($J17:EM17)+1,EM98)*EM17</f>
        <v>0</v>
      </c>
      <c r="EN101" s="33" t="n">
        <f aca="false">PPMT($F100,1,In_Debt_Tenor*Months_In_Year/Months_Per_Period-SUM($J17:EN17)+1,EN98)*EN17</f>
        <v>0</v>
      </c>
      <c r="EO101" s="33" t="n">
        <f aca="false">PPMT($F100,1,In_Debt_Tenor*Months_In_Year/Months_Per_Period-SUM($J17:EO17)+1,EO98)*EO17</f>
        <v>0</v>
      </c>
      <c r="EP101" s="33" t="n">
        <f aca="false">PPMT($F100,1,In_Debt_Tenor*Months_In_Year/Months_Per_Period-SUM($J17:EP17)+1,EP98)*EP17</f>
        <v>0</v>
      </c>
      <c r="EQ101" s="33" t="n">
        <f aca="false">PPMT($F100,1,In_Debt_Tenor*Months_In_Year/Months_Per_Period-SUM($J17:EQ17)+1,EQ98)*EQ17</f>
        <v>0</v>
      </c>
      <c r="ER101" s="33" t="n">
        <f aca="false">PPMT($F100,1,In_Debt_Tenor*Months_In_Year/Months_Per_Period-SUM($J17:ER17)+1,ER98)*ER17</f>
        <v>0</v>
      </c>
      <c r="ES101" s="33" t="n">
        <f aca="false">PPMT($F100,1,In_Debt_Tenor*Months_In_Year/Months_Per_Period-SUM($J17:ES17)+1,ES98)*ES17</f>
        <v>0</v>
      </c>
      <c r="ET101" s="33" t="n">
        <f aca="false">PPMT($F100,1,In_Debt_Tenor*Months_In_Year/Months_Per_Period-SUM($J17:ET17)+1,ET98)*ET17</f>
        <v>0</v>
      </c>
    </row>
    <row r="102" customFormat="false" ht="15" hidden="false" customHeight="false" outlineLevel="0" collapsed="false">
      <c r="C102" s="30" t="s">
        <v>537</v>
      </c>
      <c r="D102" s="11" t="s">
        <v>253</v>
      </c>
      <c r="I102" s="54"/>
      <c r="J102" s="35" t="n">
        <f aca="false">SUM(J98:J101)</f>
        <v>0</v>
      </c>
      <c r="K102" s="35" t="n">
        <f aca="false">SUM(K98:K101)</f>
        <v>0</v>
      </c>
      <c r="L102" s="35" t="n">
        <f aca="false">SUM(L98:L101)</f>
        <v>0</v>
      </c>
      <c r="M102" s="35" t="n">
        <f aca="false">SUM(M98:M101)</f>
        <v>0</v>
      </c>
      <c r="N102" s="35" t="n">
        <f aca="false">SUM(N98:N101)</f>
        <v>0</v>
      </c>
      <c r="O102" s="35" t="n">
        <f aca="false">SUM(O98:O101)</f>
        <v>0</v>
      </c>
      <c r="P102" s="35" t="n">
        <f aca="false">SUM(P98:P101)</f>
        <v>0</v>
      </c>
      <c r="Q102" s="35" t="n">
        <f aca="false">SUM(Q98:Q101)</f>
        <v>0</v>
      </c>
      <c r="R102" s="35" t="n">
        <f aca="false">SUM(R98:R101)</f>
        <v>0</v>
      </c>
      <c r="S102" s="35" t="n">
        <f aca="false">SUM(S98:S101)</f>
        <v>0</v>
      </c>
      <c r="T102" s="35" t="n">
        <f aca="false">SUM(T98:T101)</f>
        <v>0</v>
      </c>
      <c r="U102" s="35" t="n">
        <f aca="false">SUM(U98:U101)</f>
        <v>0</v>
      </c>
      <c r="V102" s="35" t="n">
        <f aca="false">SUM(V98:V101)</f>
        <v>0</v>
      </c>
      <c r="W102" s="35" t="n">
        <f aca="false">SUM(W98:W101)</f>
        <v>11981.7564177174</v>
      </c>
      <c r="X102" s="35" t="n">
        <f aca="false">SUM(X98:X101)</f>
        <v>23852.8118250537</v>
      </c>
      <c r="Y102" s="35" t="n">
        <f aca="false">SUM(Y98:Y101)</f>
        <v>36002.491907783</v>
      </c>
      <c r="Z102" s="35" t="n">
        <f aca="false">SUM(Z98:Z101)</f>
        <v>48434.2794743477</v>
      </c>
      <c r="AA102" s="35" t="n">
        <f aca="false">SUM(AA98:AA101)</f>
        <v>61021.4643854944</v>
      </c>
      <c r="AB102" s="35" t="n">
        <f aca="false">SUM(AB98:AB101)</f>
        <v>73505.516142428</v>
      </c>
      <c r="AC102" s="35" t="n">
        <f aca="false">SUM(AC98:AC101)</f>
        <v>86275.8550291244</v>
      </c>
      <c r="AD102" s="35" t="n">
        <f aca="false">SUM(AD98:AD101)</f>
        <v>99336.0596347059</v>
      </c>
      <c r="AE102" s="35" t="n">
        <f aca="false">SUM(AE98:AE101)</f>
        <v>97406.8129044928</v>
      </c>
      <c r="AF102" s="35" t="n">
        <f aca="false">SUM(AF98:AF101)</f>
        <v>95453.450590152</v>
      </c>
      <c r="AG102" s="35" t="n">
        <f aca="false">SUM(AG98:AG101)</f>
        <v>93475.671246882</v>
      </c>
      <c r="AH102" s="35" t="n">
        <f aca="false">SUM(AH98:AH101)</f>
        <v>91473.1696618211</v>
      </c>
      <c r="AI102" s="35" t="n">
        <f aca="false">SUM(AI98:AI101)</f>
        <v>89445.636806947</v>
      </c>
      <c r="AJ102" s="35" t="n">
        <f aca="false">SUM(AJ98:AJ101)</f>
        <v>87392.7597913869</v>
      </c>
      <c r="AK102" s="35" t="n">
        <f aca="false">SUM(AK98:AK101)</f>
        <v>85314.2218131323</v>
      </c>
      <c r="AL102" s="35" t="n">
        <f aca="false">SUM(AL98:AL101)</f>
        <v>83209.7021101496</v>
      </c>
      <c r="AM102" s="35" t="n">
        <f aca="false">SUM(AM98:AM101)</f>
        <v>81078.8759108795</v>
      </c>
      <c r="AN102" s="35" t="n">
        <f aca="false">SUM(AN98:AN101)</f>
        <v>78921.4143841186</v>
      </c>
      <c r="AO102" s="35" t="n">
        <f aca="false">SUM(AO98:AO101)</f>
        <v>76736.9845882732</v>
      </c>
      <c r="AP102" s="35" t="n">
        <f aca="false">SUM(AP98:AP101)</f>
        <v>74525.2494199797</v>
      </c>
      <c r="AQ102" s="35" t="n">
        <f aca="false">SUM(AQ98:AQ101)</f>
        <v>72285.8675620825</v>
      </c>
      <c r="AR102" s="35" t="n">
        <f aca="false">SUM(AR98:AR101)</f>
        <v>70018.4934309616</v>
      </c>
      <c r="AS102" s="35" t="n">
        <f aca="false">SUM(AS98:AS101)</f>
        <v>67722.7771232017</v>
      </c>
      <c r="AT102" s="35" t="n">
        <f aca="false">SUM(AT98:AT101)</f>
        <v>65398.3643615948</v>
      </c>
      <c r="AU102" s="35" t="n">
        <f aca="false">SUM(AU98:AU101)</f>
        <v>63044.8964404679</v>
      </c>
      <c r="AV102" s="35" t="n">
        <f aca="false">SUM(AV98:AV101)</f>
        <v>60662.0101703268</v>
      </c>
      <c r="AW102" s="35" t="n">
        <f aca="false">SUM(AW98:AW101)</f>
        <v>58249.337821809</v>
      </c>
      <c r="AX102" s="35" t="n">
        <f aca="false">SUM(AX98:AX101)</f>
        <v>55806.5070689347</v>
      </c>
      <c r="AY102" s="35" t="n">
        <f aca="false">SUM(AY98:AY101)</f>
        <v>53333.1409316494</v>
      </c>
      <c r="AZ102" s="35" t="n">
        <f aca="false">SUM(AZ98:AZ101)</f>
        <v>50828.8577176481</v>
      </c>
      <c r="BA102" s="35" t="n">
        <f aca="false">SUM(BA98:BA101)</f>
        <v>48293.2709634718</v>
      </c>
      <c r="BB102" s="35" t="n">
        <f aca="false">SUM(BB98:BB101)</f>
        <v>45725.9893748683</v>
      </c>
      <c r="BC102" s="35" t="n">
        <f aca="false">SUM(BC98:BC101)</f>
        <v>43126.6167664073</v>
      </c>
      <c r="BD102" s="35" t="n">
        <f aca="false">SUM(BD98:BD101)</f>
        <v>40494.7520003404</v>
      </c>
      <c r="BE102" s="35" t="n">
        <f aca="false">SUM(BE98:BE101)</f>
        <v>37829.9889246978</v>
      </c>
      <c r="BF102" s="35" t="n">
        <f aca="false">SUM(BF98:BF101)</f>
        <v>35131.9163106096</v>
      </c>
      <c r="BG102" s="35" t="n">
        <f aca="false">SUM(BG98:BG101)</f>
        <v>32400.1177888453</v>
      </c>
      <c r="BH102" s="35" t="n">
        <f aca="false">SUM(BH98:BH101)</f>
        <v>29634.1717855589</v>
      </c>
      <c r="BI102" s="35" t="n">
        <f aca="false">SUM(BI98:BI101)</f>
        <v>26833.6514572315</v>
      </c>
      <c r="BJ102" s="35" t="n">
        <f aca="false">SUM(BJ98:BJ101)</f>
        <v>23998.1246248</v>
      </c>
      <c r="BK102" s="35" t="n">
        <f aca="false">SUM(BK98:BK101)</f>
        <v>21127.1537069631</v>
      </c>
      <c r="BL102" s="35" t="n">
        <f aca="false">SUM(BL98:BL101)</f>
        <v>18220.2956526532</v>
      </c>
      <c r="BM102" s="35" t="n">
        <f aca="false">SUM(BM98:BM101)</f>
        <v>15277.1018726645</v>
      </c>
      <c r="BN102" s="35" t="n">
        <f aca="false">SUM(BN98:BN101)</f>
        <v>12297.1181704259</v>
      </c>
      <c r="BO102" s="35" t="n">
        <f aca="false">SUM(BO98:BO101)</f>
        <v>9279.88467190926</v>
      </c>
      <c r="BP102" s="35" t="n">
        <f aca="false">SUM(BP98:BP101)</f>
        <v>6224.93575466122</v>
      </c>
      <c r="BQ102" s="35" t="n">
        <f aca="false">SUM(BQ98:BQ101)</f>
        <v>3131.79997594757</v>
      </c>
      <c r="BR102" s="35" t="n">
        <f aca="false">SUM(BR98:BR101)</f>
        <v>0</v>
      </c>
      <c r="BS102" s="35" t="n">
        <f aca="false">SUM(BS98:BS101)</f>
        <v>0</v>
      </c>
      <c r="BT102" s="35" t="n">
        <f aca="false">SUM(BT98:BT101)</f>
        <v>0</v>
      </c>
      <c r="BU102" s="35" t="n">
        <f aca="false">SUM(BU98:BU101)</f>
        <v>0</v>
      </c>
      <c r="BV102" s="35" t="n">
        <f aca="false">SUM(BV98:BV101)</f>
        <v>0</v>
      </c>
      <c r="BW102" s="35" t="n">
        <f aca="false">SUM(BW98:BW101)</f>
        <v>0</v>
      </c>
      <c r="BX102" s="35" t="n">
        <f aca="false">SUM(BX98:BX101)</f>
        <v>0</v>
      </c>
      <c r="BY102" s="35" t="n">
        <f aca="false">SUM(BY98:BY101)</f>
        <v>0</v>
      </c>
      <c r="BZ102" s="35" t="n">
        <f aca="false">SUM(BZ98:BZ101)</f>
        <v>0</v>
      </c>
      <c r="CA102" s="35" t="n">
        <f aca="false">SUM(CA98:CA101)</f>
        <v>0</v>
      </c>
      <c r="CB102" s="35" t="n">
        <f aca="false">SUM(CB98:CB101)</f>
        <v>0</v>
      </c>
      <c r="CC102" s="35" t="n">
        <f aca="false">SUM(CC98:CC101)</f>
        <v>0</v>
      </c>
      <c r="CD102" s="35" t="n">
        <f aca="false">SUM(CD98:CD101)</f>
        <v>0</v>
      </c>
      <c r="CE102" s="35" t="n">
        <f aca="false">SUM(CE98:CE101)</f>
        <v>0</v>
      </c>
      <c r="CF102" s="35" t="n">
        <f aca="false">SUM(CF98:CF101)</f>
        <v>0</v>
      </c>
      <c r="CG102" s="35" t="n">
        <f aca="false">SUM(CG98:CG101)</f>
        <v>0</v>
      </c>
      <c r="CH102" s="35" t="n">
        <f aca="false">SUM(CH98:CH101)</f>
        <v>0</v>
      </c>
      <c r="CI102" s="35" t="n">
        <f aca="false">SUM(CI98:CI101)</f>
        <v>0</v>
      </c>
      <c r="CJ102" s="35" t="n">
        <f aca="false">SUM(CJ98:CJ101)</f>
        <v>0</v>
      </c>
      <c r="CK102" s="35" t="n">
        <f aca="false">SUM(CK98:CK101)</f>
        <v>0</v>
      </c>
      <c r="CL102" s="35" t="n">
        <f aca="false">SUM(CL98:CL101)</f>
        <v>0</v>
      </c>
      <c r="CM102" s="35" t="n">
        <f aca="false">SUM(CM98:CM101)</f>
        <v>0</v>
      </c>
      <c r="CN102" s="35" t="n">
        <f aca="false">SUM(CN98:CN101)</f>
        <v>0</v>
      </c>
      <c r="CO102" s="35" t="n">
        <f aca="false">SUM(CO98:CO101)</f>
        <v>0</v>
      </c>
      <c r="CP102" s="35" t="n">
        <f aca="false">SUM(CP98:CP101)</f>
        <v>0</v>
      </c>
      <c r="CQ102" s="35" t="n">
        <f aca="false">SUM(CQ98:CQ101)</f>
        <v>0</v>
      </c>
      <c r="CR102" s="35" t="n">
        <f aca="false">SUM(CR98:CR101)</f>
        <v>0</v>
      </c>
      <c r="CS102" s="35" t="n">
        <f aca="false">SUM(CS98:CS101)</f>
        <v>0</v>
      </c>
      <c r="CT102" s="35" t="n">
        <f aca="false">SUM(CT98:CT101)</f>
        <v>0</v>
      </c>
      <c r="CU102" s="35" t="n">
        <f aca="false">SUM(CU98:CU101)</f>
        <v>0</v>
      </c>
      <c r="CV102" s="35" t="n">
        <f aca="false">SUM(CV98:CV101)</f>
        <v>0</v>
      </c>
      <c r="CW102" s="35" t="n">
        <f aca="false">SUM(CW98:CW101)</f>
        <v>0</v>
      </c>
      <c r="CX102" s="35" t="n">
        <f aca="false">SUM(CX98:CX101)</f>
        <v>0</v>
      </c>
      <c r="CY102" s="35" t="n">
        <f aca="false">SUM(CY98:CY101)</f>
        <v>0</v>
      </c>
      <c r="CZ102" s="35" t="n">
        <f aca="false">SUM(CZ98:CZ101)</f>
        <v>0</v>
      </c>
      <c r="DA102" s="35" t="n">
        <f aca="false">SUM(DA98:DA101)</f>
        <v>0</v>
      </c>
      <c r="DB102" s="35" t="n">
        <f aca="false">SUM(DB98:DB101)</f>
        <v>0</v>
      </c>
      <c r="DC102" s="35" t="n">
        <f aca="false">SUM(DC98:DC101)</f>
        <v>0</v>
      </c>
      <c r="DD102" s="35" t="n">
        <f aca="false">SUM(DD98:DD101)</f>
        <v>0</v>
      </c>
      <c r="DE102" s="35" t="n">
        <f aca="false">SUM(DE98:DE101)</f>
        <v>0</v>
      </c>
      <c r="DF102" s="35" t="n">
        <f aca="false">SUM(DF98:DF101)</f>
        <v>0</v>
      </c>
      <c r="DG102" s="35" t="n">
        <f aca="false">SUM(DG98:DG101)</f>
        <v>0</v>
      </c>
      <c r="DH102" s="35" t="n">
        <f aca="false">SUM(DH98:DH101)</f>
        <v>0</v>
      </c>
      <c r="DI102" s="35" t="n">
        <f aca="false">SUM(DI98:DI101)</f>
        <v>0</v>
      </c>
      <c r="DJ102" s="35" t="n">
        <f aca="false">SUM(DJ98:DJ101)</f>
        <v>0</v>
      </c>
      <c r="DK102" s="35" t="n">
        <f aca="false">SUM(DK98:DK101)</f>
        <v>0</v>
      </c>
      <c r="DL102" s="35" t="n">
        <f aca="false">SUM(DL98:DL101)</f>
        <v>0</v>
      </c>
      <c r="DM102" s="35" t="n">
        <f aca="false">SUM(DM98:DM101)</f>
        <v>0</v>
      </c>
      <c r="DN102" s="35" t="n">
        <f aca="false">SUM(DN98:DN101)</f>
        <v>0</v>
      </c>
      <c r="DO102" s="35" t="n">
        <f aca="false">SUM(DO98:DO101)</f>
        <v>0</v>
      </c>
      <c r="DP102" s="35" t="n">
        <f aca="false">SUM(DP98:DP101)</f>
        <v>0</v>
      </c>
      <c r="DQ102" s="35" t="n">
        <f aca="false">SUM(DQ98:DQ101)</f>
        <v>0</v>
      </c>
      <c r="DR102" s="35" t="n">
        <f aca="false">SUM(DR98:DR101)</f>
        <v>0</v>
      </c>
      <c r="DS102" s="35" t="n">
        <f aca="false">SUM(DS98:DS101)</f>
        <v>0</v>
      </c>
      <c r="DT102" s="35" t="n">
        <f aca="false">SUM(DT98:DT101)</f>
        <v>0</v>
      </c>
      <c r="DU102" s="35" t="n">
        <f aca="false">SUM(DU98:DU101)</f>
        <v>0</v>
      </c>
      <c r="DV102" s="35" t="n">
        <f aca="false">SUM(DV98:DV101)</f>
        <v>0</v>
      </c>
      <c r="DW102" s="35" t="n">
        <f aca="false">SUM(DW98:DW101)</f>
        <v>0</v>
      </c>
      <c r="DX102" s="35" t="n">
        <f aca="false">SUM(DX98:DX101)</f>
        <v>0</v>
      </c>
      <c r="DY102" s="35" t="n">
        <f aca="false">SUM(DY98:DY101)</f>
        <v>0</v>
      </c>
      <c r="DZ102" s="35" t="n">
        <f aca="false">SUM(DZ98:DZ101)</f>
        <v>0</v>
      </c>
      <c r="EA102" s="35" t="n">
        <f aca="false">SUM(EA98:EA101)</f>
        <v>0</v>
      </c>
      <c r="EB102" s="35" t="n">
        <f aca="false">SUM(EB98:EB101)</f>
        <v>0</v>
      </c>
      <c r="EC102" s="35" t="n">
        <f aca="false">SUM(EC98:EC101)</f>
        <v>0</v>
      </c>
      <c r="ED102" s="35" t="n">
        <f aca="false">SUM(ED98:ED101)</f>
        <v>0</v>
      </c>
      <c r="EE102" s="35" t="n">
        <f aca="false">SUM(EE98:EE101)</f>
        <v>0</v>
      </c>
      <c r="EF102" s="35" t="n">
        <f aca="false">SUM(EF98:EF101)</f>
        <v>0</v>
      </c>
      <c r="EG102" s="35" t="n">
        <f aca="false">SUM(EG98:EG101)</f>
        <v>0</v>
      </c>
      <c r="EH102" s="35" t="n">
        <f aca="false">SUM(EH98:EH101)</f>
        <v>0</v>
      </c>
      <c r="EI102" s="35" t="n">
        <f aca="false">SUM(EI98:EI101)</f>
        <v>0</v>
      </c>
      <c r="EJ102" s="35" t="n">
        <f aca="false">SUM(EJ98:EJ101)</f>
        <v>0</v>
      </c>
      <c r="EK102" s="35" t="n">
        <f aca="false">SUM(EK98:EK101)</f>
        <v>0</v>
      </c>
      <c r="EL102" s="35" t="n">
        <f aca="false">SUM(EL98:EL101)</f>
        <v>0</v>
      </c>
      <c r="EM102" s="35" t="n">
        <f aca="false">SUM(EM98:EM101)</f>
        <v>0</v>
      </c>
      <c r="EN102" s="35" t="n">
        <f aca="false">SUM(EN98:EN101)</f>
        <v>0</v>
      </c>
      <c r="EO102" s="35" t="n">
        <f aca="false">SUM(EO98:EO101)</f>
        <v>0</v>
      </c>
      <c r="EP102" s="35" t="n">
        <f aca="false">SUM(EP98:EP101)</f>
        <v>0</v>
      </c>
      <c r="EQ102" s="35" t="n">
        <f aca="false">SUM(EQ98:EQ101)</f>
        <v>0</v>
      </c>
      <c r="ER102" s="35" t="n">
        <f aca="false">SUM(ER98:ER101)</f>
        <v>0</v>
      </c>
      <c r="ES102" s="35" t="n">
        <f aca="false">SUM(ES98:ES101)</f>
        <v>0</v>
      </c>
      <c r="ET102" s="35" t="n">
        <f aca="false">SUM(ET98:ET101)</f>
        <v>0</v>
      </c>
    </row>
    <row r="103" customFormat="false" ht="15" hidden="false" customHeight="false" outlineLevel="0" collapsed="false">
      <c r="C103" s="0" t="s">
        <v>559</v>
      </c>
      <c r="D103" s="11" t="s">
        <v>253</v>
      </c>
      <c r="I103" s="33" t="n">
        <f aca="false">SUM(J103:ET103)</f>
        <v>-27501.8393911707</v>
      </c>
      <c r="J103" s="33" t="n">
        <f aca="false">-J98*$F100*(J$4&gt;In_COD)</f>
        <v>-0</v>
      </c>
      <c r="K103" s="33" t="n">
        <f aca="false">-K98*$F100*(K$4&gt;In_COD)</f>
        <v>-0</v>
      </c>
      <c r="L103" s="33" t="n">
        <f aca="false">-L98*$F100*(L$4&gt;In_COD)</f>
        <v>-0</v>
      </c>
      <c r="M103" s="33" t="n">
        <f aca="false">-M98*$F100*(M$4&gt;In_COD)</f>
        <v>-0</v>
      </c>
      <c r="N103" s="33" t="n">
        <f aca="false">-N98*$F100*(N$4&gt;In_COD)</f>
        <v>-0</v>
      </c>
      <c r="O103" s="33" t="n">
        <f aca="false">-O98*$F100*(O$4&gt;In_COD)</f>
        <v>-0</v>
      </c>
      <c r="P103" s="33" t="n">
        <f aca="false">-P98*$F100*(P$4&gt;In_COD)</f>
        <v>-0</v>
      </c>
      <c r="Q103" s="33" t="n">
        <f aca="false">-Q98*$F100*(Q$4&gt;In_COD)</f>
        <v>-0</v>
      </c>
      <c r="R103" s="33" t="n">
        <f aca="false">-R98*$F100*(R$4&gt;In_COD)</f>
        <v>-0</v>
      </c>
      <c r="S103" s="33" t="n">
        <f aca="false">-S98*$F100*(S$4&gt;In_COD)</f>
        <v>-0</v>
      </c>
      <c r="T103" s="33" t="n">
        <f aca="false">-T98*$F100*(T$4&gt;In_COD)</f>
        <v>-0</v>
      </c>
      <c r="U103" s="33" t="n">
        <f aca="false">-U98*$F100*(U$4&gt;In_COD)</f>
        <v>-0</v>
      </c>
      <c r="V103" s="33" t="n">
        <f aca="false">-V98*$F100*(V$4&gt;In_COD)</f>
        <v>-0</v>
      </c>
      <c r="W103" s="33" t="n">
        <f aca="false">-W98*$F100*(W$4&gt;In_COD)</f>
        <v>-0</v>
      </c>
      <c r="X103" s="33" t="n">
        <f aca="false">-X98*$F100*(X$4&gt;In_COD)</f>
        <v>-0</v>
      </c>
      <c r="Y103" s="33" t="n">
        <f aca="false">-Y98*$F100*(Y$4&gt;In_COD)</f>
        <v>-0</v>
      </c>
      <c r="Z103" s="33" t="n">
        <f aca="false">-Z98*$F100*(Z$4&gt;In_COD)</f>
        <v>-0</v>
      </c>
      <c r="AA103" s="33" t="n">
        <f aca="false">-AA98*$F100*(AA$4&gt;In_COD)</f>
        <v>-0</v>
      </c>
      <c r="AB103" s="33" t="n">
        <f aca="false">-AB98*$F100*(AB$4&gt;In_COD)</f>
        <v>-0</v>
      </c>
      <c r="AC103" s="33" t="n">
        <f aca="false">-AC98*$F100*(AC$4&gt;In_COD)</f>
        <v>-0</v>
      </c>
      <c r="AD103" s="33" t="n">
        <f aca="false">-AD98*$F100*(AD$4&gt;In_COD)</f>
        <v>-0</v>
      </c>
      <c r="AE103" s="33" t="n">
        <f aca="false">-AE98*$F100*(AE$4&gt;In_COD)</f>
        <v>-1241.70074543382</v>
      </c>
      <c r="AF103" s="33" t="n">
        <f aca="false">-AF98*$F100*(AF$4&gt;In_COD)</f>
        <v>-1217.58516130616</v>
      </c>
      <c r="AG103" s="33" t="n">
        <f aca="false">-AG98*$F100*(AG$4&gt;In_COD)</f>
        <v>-1193.1681323769</v>
      </c>
      <c r="AH103" s="33" t="n">
        <f aca="false">-AH98*$F100*(AH$4&gt;In_COD)</f>
        <v>-1168.44589058603</v>
      </c>
      <c r="AI103" s="33" t="n">
        <f aca="false">-AI98*$F100*(AI$4&gt;In_COD)</f>
        <v>-1143.41462077276</v>
      </c>
      <c r="AJ103" s="33" t="n">
        <f aca="false">-AJ98*$F100*(AJ$4&gt;In_COD)</f>
        <v>-1118.07046008684</v>
      </c>
      <c r="AK103" s="33" t="n">
        <f aca="false">-AK98*$F100*(AK$4&gt;In_COD)</f>
        <v>-1092.40949739234</v>
      </c>
      <c r="AL103" s="33" t="n">
        <f aca="false">-AL98*$F100*(AL$4&gt;In_COD)</f>
        <v>-1066.42777266415</v>
      </c>
      <c r="AM103" s="33" t="n">
        <f aca="false">-AM98*$F100*(AM$4&gt;In_COD)</f>
        <v>-1040.12127637687</v>
      </c>
      <c r="AN103" s="33" t="n">
        <f aca="false">-AN98*$F100*(AN$4&gt;In_COD)</f>
        <v>-1013.48594888599</v>
      </c>
      <c r="AO103" s="33" t="n">
        <f aca="false">-AO98*$F100*(AO$4&gt;In_COD)</f>
        <v>-986.517679801483</v>
      </c>
      <c r="AP103" s="33" t="n">
        <f aca="false">-AP98*$F100*(AP$4&gt;In_COD)</f>
        <v>-959.212307353415</v>
      </c>
      <c r="AQ103" s="33" t="n">
        <f aca="false">-AQ98*$F100*(AQ$4&gt;In_COD)</f>
        <v>-931.565617749746</v>
      </c>
      <c r="AR103" s="33" t="n">
        <f aca="false">-AR98*$F100*(AR$4&gt;In_COD)</f>
        <v>-903.573344526032</v>
      </c>
      <c r="AS103" s="33" t="n">
        <f aca="false">-AS98*$F100*(AS$4&gt;In_COD)</f>
        <v>-875.23116788702</v>
      </c>
      <c r="AT103" s="33" t="n">
        <f aca="false">-AT98*$F100*(AT$4&gt;In_COD)</f>
        <v>-846.534714040022</v>
      </c>
      <c r="AU103" s="33" t="n">
        <f aca="false">-AU98*$F100*(AU$4&gt;In_COD)</f>
        <v>-817.479554519936</v>
      </c>
      <c r="AV103" s="33" t="n">
        <f aca="false">-AV98*$F100*(AV$4&gt;In_COD)</f>
        <v>-788.061205505848</v>
      </c>
      <c r="AW103" s="33" t="n">
        <f aca="false">-AW98*$F100*(AW$4&gt;In_COD)</f>
        <v>-758.275127129085</v>
      </c>
      <c r="AX103" s="33" t="n">
        <f aca="false">-AX98*$F100*(AX$4&gt;In_COD)</f>
        <v>-728.116722772612</v>
      </c>
      <c r="AY103" s="33" t="n">
        <f aca="false">-AY98*$F100*(AY$4&gt;In_COD)</f>
        <v>-697.581338361684</v>
      </c>
      <c r="AZ103" s="33" t="n">
        <f aca="false">-AZ98*$F100*(AZ$4&gt;In_COD)</f>
        <v>-666.664261645618</v>
      </c>
      <c r="BA103" s="33" t="n">
        <f aca="false">-BA98*$F100*(BA$4&gt;In_COD)</f>
        <v>-635.360721470602</v>
      </c>
      <c r="BB103" s="33" t="n">
        <f aca="false">-BB98*$F100*(BB$4&gt;In_COD)</f>
        <v>-603.665887043398</v>
      </c>
      <c r="BC103" s="33" t="n">
        <f aca="false">-BC98*$F100*(BC$4&gt;In_COD)</f>
        <v>-571.574867185854</v>
      </c>
      <c r="BD103" s="33" t="n">
        <f aca="false">-BD98*$F100*(BD$4&gt;In_COD)</f>
        <v>-539.082709580091</v>
      </c>
      <c r="BE103" s="33" t="n">
        <f aca="false">-BE98*$F100*(BE$4&gt;In_COD)</f>
        <v>-506.184400004255</v>
      </c>
      <c r="BF103" s="33" t="n">
        <f aca="false">-BF98*$F100*(BF$4&gt;In_COD)</f>
        <v>-472.874861558722</v>
      </c>
      <c r="BG103" s="33" t="n">
        <f aca="false">-BG98*$F100*(BG$4&gt;In_COD)</f>
        <v>-439.14895388262</v>
      </c>
      <c r="BH103" s="33" t="n">
        <f aca="false">-BH98*$F100*(BH$4&gt;In_COD)</f>
        <v>-405.001472360566</v>
      </c>
      <c r="BI103" s="33" t="n">
        <f aca="false">-BI98*$F100*(BI$4&gt;In_COD)</f>
        <v>-370.427147319487</v>
      </c>
      <c r="BJ103" s="33" t="n">
        <f aca="false">-BJ98*$F100*(BJ$4&gt;In_COD)</f>
        <v>-335.420643215394</v>
      </c>
      <c r="BK103" s="33" t="n">
        <f aca="false">-BK98*$F100*(BK$4&gt;In_COD)</f>
        <v>-299.97655781</v>
      </c>
      <c r="BL103" s="33" t="n">
        <f aca="false">-BL98*$F100*(BL$4&gt;In_COD)</f>
        <v>-264.089421337039</v>
      </c>
      <c r="BM103" s="33" t="n">
        <f aca="false">-BM98*$F100*(BM$4&gt;In_COD)</f>
        <v>-227.753695658165</v>
      </c>
      <c r="BN103" s="33" t="n">
        <f aca="false">-BN98*$F100*(BN$4&gt;In_COD)</f>
        <v>-190.963773408306</v>
      </c>
      <c r="BO103" s="33" t="n">
        <f aca="false">-BO98*$F100*(BO$4&gt;In_COD)</f>
        <v>-153.713977130323</v>
      </c>
      <c r="BP103" s="33" t="n">
        <f aca="false">-BP98*$F100*(BP$4&gt;In_COD)</f>
        <v>-115.998558398866</v>
      </c>
      <c r="BQ103" s="33" t="n">
        <f aca="false">-BQ98*$F100*(BQ$4&gt;In_COD)</f>
        <v>-77.8116969332652</v>
      </c>
      <c r="BR103" s="33" t="n">
        <f aca="false">-BR98*$F100*(BR$4&gt;In_COD)</f>
        <v>-39.1474996993446</v>
      </c>
      <c r="BS103" s="33" t="n">
        <f aca="false">-BS98*$F100*(BS$4&gt;In_COD)</f>
        <v>-0</v>
      </c>
      <c r="BT103" s="33" t="n">
        <f aca="false">-BT98*$F100*(BT$4&gt;In_COD)</f>
        <v>-0</v>
      </c>
      <c r="BU103" s="33" t="n">
        <f aca="false">-BU98*$F100*(BU$4&gt;In_COD)</f>
        <v>-0</v>
      </c>
      <c r="BV103" s="33" t="n">
        <f aca="false">-BV98*$F100*(BV$4&gt;In_COD)</f>
        <v>-0</v>
      </c>
      <c r="BW103" s="33" t="n">
        <f aca="false">-BW98*$F100*(BW$4&gt;In_COD)</f>
        <v>-0</v>
      </c>
      <c r="BX103" s="33" t="n">
        <f aca="false">-BX98*$F100*(BX$4&gt;In_COD)</f>
        <v>-0</v>
      </c>
      <c r="BY103" s="33" t="n">
        <f aca="false">-BY98*$F100*(BY$4&gt;In_COD)</f>
        <v>-0</v>
      </c>
      <c r="BZ103" s="33" t="n">
        <f aca="false">-BZ98*$F100*(BZ$4&gt;In_COD)</f>
        <v>-0</v>
      </c>
      <c r="CA103" s="33" t="n">
        <f aca="false">-CA98*$F100*(CA$4&gt;In_COD)</f>
        <v>-0</v>
      </c>
      <c r="CB103" s="33" t="n">
        <f aca="false">-CB98*$F100*(CB$4&gt;In_COD)</f>
        <v>-0</v>
      </c>
      <c r="CC103" s="33" t="n">
        <f aca="false">-CC98*$F100*(CC$4&gt;In_COD)</f>
        <v>-0</v>
      </c>
      <c r="CD103" s="33" t="n">
        <f aca="false">-CD98*$F100*(CD$4&gt;In_COD)</f>
        <v>-0</v>
      </c>
      <c r="CE103" s="33" t="n">
        <f aca="false">-CE98*$F100*(CE$4&gt;In_COD)</f>
        <v>-0</v>
      </c>
      <c r="CF103" s="33" t="n">
        <f aca="false">-CF98*$F100*(CF$4&gt;In_COD)</f>
        <v>-0</v>
      </c>
      <c r="CG103" s="33" t="n">
        <f aca="false">-CG98*$F100*(CG$4&gt;In_COD)</f>
        <v>-0</v>
      </c>
      <c r="CH103" s="33" t="n">
        <f aca="false">-CH98*$F100*(CH$4&gt;In_COD)</f>
        <v>-0</v>
      </c>
      <c r="CI103" s="33" t="n">
        <f aca="false">-CI98*$F100*(CI$4&gt;In_COD)</f>
        <v>-0</v>
      </c>
      <c r="CJ103" s="33" t="n">
        <f aca="false">-CJ98*$F100*(CJ$4&gt;In_COD)</f>
        <v>-0</v>
      </c>
      <c r="CK103" s="33" t="n">
        <f aca="false">-CK98*$F100*(CK$4&gt;In_COD)</f>
        <v>-0</v>
      </c>
      <c r="CL103" s="33" t="n">
        <f aca="false">-CL98*$F100*(CL$4&gt;In_COD)</f>
        <v>-0</v>
      </c>
      <c r="CM103" s="33" t="n">
        <f aca="false">-CM98*$F100*(CM$4&gt;In_COD)</f>
        <v>-0</v>
      </c>
      <c r="CN103" s="33" t="n">
        <f aca="false">-CN98*$F100*(CN$4&gt;In_COD)</f>
        <v>-0</v>
      </c>
      <c r="CO103" s="33" t="n">
        <f aca="false">-CO98*$F100*(CO$4&gt;In_COD)</f>
        <v>-0</v>
      </c>
      <c r="CP103" s="33" t="n">
        <f aca="false">-CP98*$F100*(CP$4&gt;In_COD)</f>
        <v>-0</v>
      </c>
      <c r="CQ103" s="33" t="n">
        <f aca="false">-CQ98*$F100*(CQ$4&gt;In_COD)</f>
        <v>-0</v>
      </c>
      <c r="CR103" s="33" t="n">
        <f aca="false">-CR98*$F100*(CR$4&gt;In_COD)</f>
        <v>-0</v>
      </c>
      <c r="CS103" s="33" t="n">
        <f aca="false">-CS98*$F100*(CS$4&gt;In_COD)</f>
        <v>-0</v>
      </c>
      <c r="CT103" s="33" t="n">
        <f aca="false">-CT98*$F100*(CT$4&gt;In_COD)</f>
        <v>-0</v>
      </c>
      <c r="CU103" s="33" t="n">
        <f aca="false">-CU98*$F100*(CU$4&gt;In_COD)</f>
        <v>-0</v>
      </c>
      <c r="CV103" s="33" t="n">
        <f aca="false">-CV98*$F100*(CV$4&gt;In_COD)</f>
        <v>-0</v>
      </c>
      <c r="CW103" s="33" t="n">
        <f aca="false">-CW98*$F100*(CW$4&gt;In_COD)</f>
        <v>-0</v>
      </c>
      <c r="CX103" s="33" t="n">
        <f aca="false">-CX98*$F100*(CX$4&gt;In_COD)</f>
        <v>-0</v>
      </c>
      <c r="CY103" s="33" t="n">
        <f aca="false">-CY98*$F100*(CY$4&gt;In_COD)</f>
        <v>-0</v>
      </c>
      <c r="CZ103" s="33" t="n">
        <f aca="false">-CZ98*$F100*(CZ$4&gt;In_COD)</f>
        <v>-0</v>
      </c>
      <c r="DA103" s="33" t="n">
        <f aca="false">-DA98*$F100*(DA$4&gt;In_COD)</f>
        <v>-0</v>
      </c>
      <c r="DB103" s="33" t="n">
        <f aca="false">-DB98*$F100*(DB$4&gt;In_COD)</f>
        <v>-0</v>
      </c>
      <c r="DC103" s="33" t="n">
        <f aca="false">-DC98*$F100*(DC$4&gt;In_COD)</f>
        <v>-0</v>
      </c>
      <c r="DD103" s="33" t="n">
        <f aca="false">-DD98*$F100*(DD$4&gt;In_COD)</f>
        <v>-0</v>
      </c>
      <c r="DE103" s="33" t="n">
        <f aca="false">-DE98*$F100*(DE$4&gt;In_COD)</f>
        <v>-0</v>
      </c>
      <c r="DF103" s="33" t="n">
        <f aca="false">-DF98*$F100*(DF$4&gt;In_COD)</f>
        <v>-0</v>
      </c>
      <c r="DG103" s="33" t="n">
        <f aca="false">-DG98*$F100*(DG$4&gt;In_COD)</f>
        <v>-0</v>
      </c>
      <c r="DH103" s="33" t="n">
        <f aca="false">-DH98*$F100*(DH$4&gt;In_COD)</f>
        <v>-0</v>
      </c>
      <c r="DI103" s="33" t="n">
        <f aca="false">-DI98*$F100*(DI$4&gt;In_COD)</f>
        <v>-0</v>
      </c>
      <c r="DJ103" s="33" t="n">
        <f aca="false">-DJ98*$F100*(DJ$4&gt;In_COD)</f>
        <v>-0</v>
      </c>
      <c r="DK103" s="33" t="n">
        <f aca="false">-DK98*$F100*(DK$4&gt;In_COD)</f>
        <v>-0</v>
      </c>
      <c r="DL103" s="33" t="n">
        <f aca="false">-DL98*$F100*(DL$4&gt;In_COD)</f>
        <v>-0</v>
      </c>
      <c r="DM103" s="33" t="n">
        <f aca="false">-DM98*$F100*(DM$4&gt;In_COD)</f>
        <v>-0</v>
      </c>
      <c r="DN103" s="33" t="n">
        <f aca="false">-DN98*$F100*(DN$4&gt;In_COD)</f>
        <v>-0</v>
      </c>
      <c r="DO103" s="33" t="n">
        <f aca="false">-DO98*$F100*(DO$4&gt;In_COD)</f>
        <v>-0</v>
      </c>
      <c r="DP103" s="33" t="n">
        <f aca="false">-DP98*$F100*(DP$4&gt;In_COD)</f>
        <v>-0</v>
      </c>
      <c r="DQ103" s="33" t="n">
        <f aca="false">-DQ98*$F100*(DQ$4&gt;In_COD)</f>
        <v>-0</v>
      </c>
      <c r="DR103" s="33" t="n">
        <f aca="false">-DR98*$F100*(DR$4&gt;In_COD)</f>
        <v>-0</v>
      </c>
      <c r="DS103" s="33" t="n">
        <f aca="false">-DS98*$F100*(DS$4&gt;In_COD)</f>
        <v>-0</v>
      </c>
      <c r="DT103" s="33" t="n">
        <f aca="false">-DT98*$F100*(DT$4&gt;In_COD)</f>
        <v>-0</v>
      </c>
      <c r="DU103" s="33" t="n">
        <f aca="false">-DU98*$F100*(DU$4&gt;In_COD)</f>
        <v>-0</v>
      </c>
      <c r="DV103" s="33" t="n">
        <f aca="false">-DV98*$F100*(DV$4&gt;In_COD)</f>
        <v>-0</v>
      </c>
      <c r="DW103" s="33" t="n">
        <f aca="false">-DW98*$F100*(DW$4&gt;In_COD)</f>
        <v>-0</v>
      </c>
      <c r="DX103" s="33" t="n">
        <f aca="false">-DX98*$F100*(DX$4&gt;In_COD)</f>
        <v>-0</v>
      </c>
      <c r="DY103" s="33" t="n">
        <f aca="false">-DY98*$F100*(DY$4&gt;In_COD)</f>
        <v>-0</v>
      </c>
      <c r="DZ103" s="33" t="n">
        <f aca="false">-DZ98*$F100*(DZ$4&gt;In_COD)</f>
        <v>-0</v>
      </c>
      <c r="EA103" s="33" t="n">
        <f aca="false">-EA98*$F100*(EA$4&gt;In_COD)</f>
        <v>-0</v>
      </c>
      <c r="EB103" s="33" t="n">
        <f aca="false">-EB98*$F100*(EB$4&gt;In_COD)</f>
        <v>-0</v>
      </c>
      <c r="EC103" s="33" t="n">
        <f aca="false">-EC98*$F100*(EC$4&gt;In_COD)</f>
        <v>-0</v>
      </c>
      <c r="ED103" s="33" t="n">
        <f aca="false">-ED98*$F100*(ED$4&gt;In_COD)</f>
        <v>-0</v>
      </c>
      <c r="EE103" s="33" t="n">
        <f aca="false">-EE98*$F100*(EE$4&gt;In_COD)</f>
        <v>-0</v>
      </c>
      <c r="EF103" s="33" t="n">
        <f aca="false">-EF98*$F100*(EF$4&gt;In_COD)</f>
        <v>-0</v>
      </c>
      <c r="EG103" s="33" t="n">
        <f aca="false">-EG98*$F100*(EG$4&gt;In_COD)</f>
        <v>-0</v>
      </c>
      <c r="EH103" s="33" t="n">
        <f aca="false">-EH98*$F100*(EH$4&gt;In_COD)</f>
        <v>-0</v>
      </c>
      <c r="EI103" s="33" t="n">
        <f aca="false">-EI98*$F100*(EI$4&gt;In_COD)</f>
        <v>-0</v>
      </c>
      <c r="EJ103" s="33" t="n">
        <f aca="false">-EJ98*$F100*(EJ$4&gt;In_COD)</f>
        <v>-0</v>
      </c>
      <c r="EK103" s="33" t="n">
        <f aca="false">-EK98*$F100*(EK$4&gt;In_COD)</f>
        <v>-0</v>
      </c>
      <c r="EL103" s="33" t="n">
        <f aca="false">-EL98*$F100*(EL$4&gt;In_COD)</f>
        <v>-0</v>
      </c>
      <c r="EM103" s="33" t="n">
        <f aca="false">-EM98*$F100*(EM$4&gt;In_COD)</f>
        <v>-0</v>
      </c>
      <c r="EN103" s="33" t="n">
        <f aca="false">-EN98*$F100*(EN$4&gt;In_COD)</f>
        <v>-0</v>
      </c>
      <c r="EO103" s="33" t="n">
        <f aca="false">-EO98*$F100*(EO$4&gt;In_COD)</f>
        <v>-0</v>
      </c>
      <c r="EP103" s="33" t="n">
        <f aca="false">-EP98*$F100*(EP$4&gt;In_COD)</f>
        <v>-0</v>
      </c>
      <c r="EQ103" s="33" t="n">
        <f aca="false">-EQ98*$F100*(EQ$4&gt;In_COD)</f>
        <v>-0</v>
      </c>
      <c r="ER103" s="33" t="n">
        <f aca="false">-ER98*$F100*(ER$4&gt;In_COD)</f>
        <v>-0</v>
      </c>
      <c r="ES103" s="33" t="n">
        <f aca="false">-ES98*$F100*(ES$4&gt;In_COD)</f>
        <v>-0</v>
      </c>
      <c r="ET103" s="33" t="n">
        <f aca="false">-ET98*$F100*(ET$4&gt;In_COD)</f>
        <v>-0</v>
      </c>
    </row>
    <row r="104" customFormat="false" ht="15" hidden="false" customHeight="false" outlineLevel="0" collapsed="false">
      <c r="C104" s="0" t="s">
        <v>405</v>
      </c>
      <c r="D104" s="11" t="s">
        <v>253</v>
      </c>
      <c r="I104" s="33" t="n">
        <f aca="false">SUM(J104:ET104)</f>
        <v>-1663.7710677863</v>
      </c>
      <c r="J104" s="33" t="n">
        <f aca="false">-In_Upfront_Fee*$E99*(J98=0)*(J99&gt;0)</f>
        <v>-0</v>
      </c>
      <c r="K104" s="33" t="n">
        <f aca="false">-In_Upfront_Fee*$E99*(K98=0)*(K99&gt;0)</f>
        <v>-0</v>
      </c>
      <c r="L104" s="33" t="n">
        <f aca="false">-In_Upfront_Fee*$E99*(L98=0)*(L99&gt;0)</f>
        <v>-0</v>
      </c>
      <c r="M104" s="33" t="n">
        <f aca="false">-In_Upfront_Fee*$E99*(M98=0)*(M99&gt;0)</f>
        <v>-0</v>
      </c>
      <c r="N104" s="33" t="n">
        <f aca="false">-In_Upfront_Fee*$E99*(N98=0)*(N99&gt;0)</f>
        <v>-0</v>
      </c>
      <c r="O104" s="33" t="n">
        <f aca="false">-In_Upfront_Fee*$E99*(O98=0)*(O99&gt;0)</f>
        <v>-0</v>
      </c>
      <c r="P104" s="33" t="n">
        <f aca="false">-In_Upfront_Fee*$E99*(P98=0)*(P99&gt;0)</f>
        <v>-0</v>
      </c>
      <c r="Q104" s="33" t="n">
        <f aca="false">-In_Upfront_Fee*$E99*(Q98=0)*(Q99&gt;0)</f>
        <v>-0</v>
      </c>
      <c r="R104" s="33" t="n">
        <f aca="false">-In_Upfront_Fee*$E99*(R98=0)*(R99&gt;0)</f>
        <v>-0</v>
      </c>
      <c r="S104" s="33" t="n">
        <f aca="false">-In_Upfront_Fee*$E99*(S98=0)*(S99&gt;0)</f>
        <v>-0</v>
      </c>
      <c r="T104" s="33" t="n">
        <f aca="false">-In_Upfront_Fee*$E99*(T98=0)*(T99&gt;0)</f>
        <v>-0</v>
      </c>
      <c r="U104" s="33" t="n">
        <f aca="false">-In_Upfront_Fee*$E99*(U98=0)*(U99&gt;0)</f>
        <v>-0</v>
      </c>
      <c r="V104" s="33" t="n">
        <f aca="false">-In_Upfront_Fee*$E99*(V98=0)*(V99&gt;0)</f>
        <v>-0</v>
      </c>
      <c r="W104" s="33" t="n">
        <f aca="false">-In_Upfront_Fee*$E99*(W98=0)*(W99&gt;0)</f>
        <v>-1663.7710677863</v>
      </c>
      <c r="X104" s="33" t="n">
        <f aca="false">-In_Upfront_Fee*$E99*(X98=0)*(X99&gt;0)</f>
        <v>-0</v>
      </c>
      <c r="Y104" s="33" t="n">
        <f aca="false">-In_Upfront_Fee*$E99*(Y98=0)*(Y99&gt;0)</f>
        <v>-0</v>
      </c>
      <c r="Z104" s="33" t="n">
        <f aca="false">-In_Upfront_Fee*$E99*(Z98=0)*(Z99&gt;0)</f>
        <v>-0</v>
      </c>
      <c r="AA104" s="33" t="n">
        <f aca="false">-In_Upfront_Fee*$E99*(AA98=0)*(AA99&gt;0)</f>
        <v>-0</v>
      </c>
      <c r="AB104" s="33" t="n">
        <f aca="false">-In_Upfront_Fee*$E99*(AB98=0)*(AB99&gt;0)</f>
        <v>-0</v>
      </c>
      <c r="AC104" s="33" t="n">
        <f aca="false">-In_Upfront_Fee*$E99*(AC98=0)*(AC99&gt;0)</f>
        <v>-0</v>
      </c>
      <c r="AD104" s="33" t="n">
        <f aca="false">-In_Upfront_Fee*$E99*(AD98=0)*(AD99&gt;0)</f>
        <v>-0</v>
      </c>
      <c r="AE104" s="33" t="n">
        <f aca="false">-In_Upfront_Fee*$E99*(AE98=0)*(AE99&gt;0)</f>
        <v>-0</v>
      </c>
      <c r="AF104" s="33" t="n">
        <f aca="false">-In_Upfront_Fee*$E99*(AF98=0)*(AF99&gt;0)</f>
        <v>-0</v>
      </c>
      <c r="AG104" s="33" t="n">
        <f aca="false">-In_Upfront_Fee*$E99*(AG98=0)*(AG99&gt;0)</f>
        <v>-0</v>
      </c>
      <c r="AH104" s="33" t="n">
        <f aca="false">-In_Upfront_Fee*$E99*(AH98=0)*(AH99&gt;0)</f>
        <v>-0</v>
      </c>
      <c r="AI104" s="33" t="n">
        <f aca="false">-In_Upfront_Fee*$E99*(AI98=0)*(AI99&gt;0)</f>
        <v>-0</v>
      </c>
      <c r="AJ104" s="33" t="n">
        <f aca="false">-In_Upfront_Fee*$E99*(AJ98=0)*(AJ99&gt;0)</f>
        <v>-0</v>
      </c>
      <c r="AK104" s="33" t="n">
        <f aca="false">-In_Upfront_Fee*$E99*(AK98=0)*(AK99&gt;0)</f>
        <v>-0</v>
      </c>
      <c r="AL104" s="33" t="n">
        <f aca="false">-In_Upfront_Fee*$E99*(AL98=0)*(AL99&gt;0)</f>
        <v>-0</v>
      </c>
      <c r="AM104" s="33" t="n">
        <f aca="false">-In_Upfront_Fee*$E99*(AM98=0)*(AM99&gt;0)</f>
        <v>-0</v>
      </c>
      <c r="AN104" s="33" t="n">
        <f aca="false">-In_Upfront_Fee*$E99*(AN98=0)*(AN99&gt;0)</f>
        <v>-0</v>
      </c>
      <c r="AO104" s="33" t="n">
        <f aca="false">-In_Upfront_Fee*$E99*(AO98=0)*(AO99&gt;0)</f>
        <v>-0</v>
      </c>
      <c r="AP104" s="33" t="n">
        <f aca="false">-In_Upfront_Fee*$E99*(AP98=0)*(AP99&gt;0)</f>
        <v>-0</v>
      </c>
      <c r="AQ104" s="33" t="n">
        <f aca="false">-In_Upfront_Fee*$E99*(AQ98=0)*(AQ99&gt;0)</f>
        <v>-0</v>
      </c>
      <c r="AR104" s="33" t="n">
        <f aca="false">-In_Upfront_Fee*$E99*(AR98=0)*(AR99&gt;0)</f>
        <v>-0</v>
      </c>
      <c r="AS104" s="33" t="n">
        <f aca="false">-In_Upfront_Fee*$E99*(AS98=0)*(AS99&gt;0)</f>
        <v>-0</v>
      </c>
      <c r="AT104" s="33" t="n">
        <f aca="false">-In_Upfront_Fee*$E99*(AT98=0)*(AT99&gt;0)</f>
        <v>-0</v>
      </c>
      <c r="AU104" s="33" t="n">
        <f aca="false">-In_Upfront_Fee*$E99*(AU98=0)*(AU99&gt;0)</f>
        <v>-0</v>
      </c>
      <c r="AV104" s="33" t="n">
        <f aca="false">-In_Upfront_Fee*$E99*(AV98=0)*(AV99&gt;0)</f>
        <v>-0</v>
      </c>
      <c r="AW104" s="33" t="n">
        <f aca="false">-In_Upfront_Fee*$E99*(AW98=0)*(AW99&gt;0)</f>
        <v>-0</v>
      </c>
      <c r="AX104" s="33" t="n">
        <f aca="false">-In_Upfront_Fee*$E99*(AX98=0)*(AX99&gt;0)</f>
        <v>-0</v>
      </c>
      <c r="AY104" s="33" t="n">
        <f aca="false">-In_Upfront_Fee*$E99*(AY98=0)*(AY99&gt;0)</f>
        <v>-0</v>
      </c>
      <c r="AZ104" s="33" t="n">
        <f aca="false">-In_Upfront_Fee*$E99*(AZ98=0)*(AZ99&gt;0)</f>
        <v>-0</v>
      </c>
      <c r="BA104" s="33" t="n">
        <f aca="false">-In_Upfront_Fee*$E99*(BA98=0)*(BA99&gt;0)</f>
        <v>-0</v>
      </c>
      <c r="BB104" s="33" t="n">
        <f aca="false">-In_Upfront_Fee*$E99*(BB98=0)*(BB99&gt;0)</f>
        <v>-0</v>
      </c>
      <c r="BC104" s="33" t="n">
        <f aca="false">-In_Upfront_Fee*$E99*(BC98=0)*(BC99&gt;0)</f>
        <v>-0</v>
      </c>
      <c r="BD104" s="33" t="n">
        <f aca="false">-In_Upfront_Fee*$E99*(BD98=0)*(BD99&gt;0)</f>
        <v>-0</v>
      </c>
      <c r="BE104" s="33" t="n">
        <f aca="false">-In_Upfront_Fee*$E99*(BE98=0)*(BE99&gt;0)</f>
        <v>-0</v>
      </c>
      <c r="BF104" s="33" t="n">
        <f aca="false">-In_Upfront_Fee*$E99*(BF98=0)*(BF99&gt;0)</f>
        <v>-0</v>
      </c>
      <c r="BG104" s="33" t="n">
        <f aca="false">-In_Upfront_Fee*$E99*(BG98=0)*(BG99&gt;0)</f>
        <v>-0</v>
      </c>
      <c r="BH104" s="33" t="n">
        <f aca="false">-In_Upfront_Fee*$E99*(BH98=0)*(BH99&gt;0)</f>
        <v>-0</v>
      </c>
      <c r="BI104" s="33" t="n">
        <f aca="false">-In_Upfront_Fee*$E99*(BI98=0)*(BI99&gt;0)</f>
        <v>-0</v>
      </c>
      <c r="BJ104" s="33" t="n">
        <f aca="false">-In_Upfront_Fee*$E99*(BJ98=0)*(BJ99&gt;0)</f>
        <v>-0</v>
      </c>
      <c r="BK104" s="33" t="n">
        <f aca="false">-In_Upfront_Fee*$E99*(BK98=0)*(BK99&gt;0)</f>
        <v>-0</v>
      </c>
      <c r="BL104" s="33" t="n">
        <f aca="false">-In_Upfront_Fee*$E99*(BL98=0)*(BL99&gt;0)</f>
        <v>-0</v>
      </c>
      <c r="BM104" s="33" t="n">
        <f aca="false">-In_Upfront_Fee*$E99*(BM98=0)*(BM99&gt;0)</f>
        <v>-0</v>
      </c>
      <c r="BN104" s="33" t="n">
        <f aca="false">-In_Upfront_Fee*$E99*(BN98=0)*(BN99&gt;0)</f>
        <v>-0</v>
      </c>
      <c r="BO104" s="33" t="n">
        <f aca="false">-In_Upfront_Fee*$E99*(BO98=0)*(BO99&gt;0)</f>
        <v>-0</v>
      </c>
      <c r="BP104" s="33" t="n">
        <f aca="false">-In_Upfront_Fee*$E99*(BP98=0)*(BP99&gt;0)</f>
        <v>-0</v>
      </c>
      <c r="BQ104" s="33" t="n">
        <f aca="false">-In_Upfront_Fee*$E99*(BQ98=0)*(BQ99&gt;0)</f>
        <v>-0</v>
      </c>
      <c r="BR104" s="33" t="n">
        <f aca="false">-In_Upfront_Fee*$E99*(BR98=0)*(BR99&gt;0)</f>
        <v>-0</v>
      </c>
      <c r="BS104" s="33" t="n">
        <f aca="false">-In_Upfront_Fee*$E99*(BS98=0)*(BS99&gt;0)</f>
        <v>-0</v>
      </c>
      <c r="BT104" s="33" t="n">
        <f aca="false">-In_Upfront_Fee*$E99*(BT98=0)*(BT99&gt;0)</f>
        <v>-0</v>
      </c>
      <c r="BU104" s="33" t="n">
        <f aca="false">-In_Upfront_Fee*$E99*(BU98=0)*(BU99&gt;0)</f>
        <v>-0</v>
      </c>
      <c r="BV104" s="33" t="n">
        <f aca="false">-In_Upfront_Fee*$E99*(BV98=0)*(BV99&gt;0)</f>
        <v>-0</v>
      </c>
      <c r="BW104" s="33" t="n">
        <f aca="false">-In_Upfront_Fee*$E99*(BW98=0)*(BW99&gt;0)</f>
        <v>-0</v>
      </c>
      <c r="BX104" s="33" t="n">
        <f aca="false">-In_Upfront_Fee*$E99*(BX98=0)*(BX99&gt;0)</f>
        <v>-0</v>
      </c>
      <c r="BY104" s="33" t="n">
        <f aca="false">-In_Upfront_Fee*$E99*(BY98=0)*(BY99&gt;0)</f>
        <v>-0</v>
      </c>
      <c r="BZ104" s="33" t="n">
        <f aca="false">-In_Upfront_Fee*$E99*(BZ98=0)*(BZ99&gt;0)</f>
        <v>-0</v>
      </c>
      <c r="CA104" s="33" t="n">
        <f aca="false">-In_Upfront_Fee*$E99*(CA98=0)*(CA99&gt;0)</f>
        <v>-0</v>
      </c>
      <c r="CB104" s="33" t="n">
        <f aca="false">-In_Upfront_Fee*$E99*(CB98=0)*(CB99&gt;0)</f>
        <v>-0</v>
      </c>
      <c r="CC104" s="33" t="n">
        <f aca="false">-In_Upfront_Fee*$E99*(CC98=0)*(CC99&gt;0)</f>
        <v>-0</v>
      </c>
      <c r="CD104" s="33" t="n">
        <f aca="false">-In_Upfront_Fee*$E99*(CD98=0)*(CD99&gt;0)</f>
        <v>-0</v>
      </c>
      <c r="CE104" s="33" t="n">
        <f aca="false">-In_Upfront_Fee*$E99*(CE98=0)*(CE99&gt;0)</f>
        <v>-0</v>
      </c>
      <c r="CF104" s="33" t="n">
        <f aca="false">-In_Upfront_Fee*$E99*(CF98=0)*(CF99&gt;0)</f>
        <v>-0</v>
      </c>
      <c r="CG104" s="33" t="n">
        <f aca="false">-In_Upfront_Fee*$E99*(CG98=0)*(CG99&gt;0)</f>
        <v>-0</v>
      </c>
      <c r="CH104" s="33" t="n">
        <f aca="false">-In_Upfront_Fee*$E99*(CH98=0)*(CH99&gt;0)</f>
        <v>-0</v>
      </c>
      <c r="CI104" s="33" t="n">
        <f aca="false">-In_Upfront_Fee*$E99*(CI98=0)*(CI99&gt;0)</f>
        <v>-0</v>
      </c>
      <c r="CJ104" s="33" t="n">
        <f aca="false">-In_Upfront_Fee*$E99*(CJ98=0)*(CJ99&gt;0)</f>
        <v>-0</v>
      </c>
      <c r="CK104" s="33" t="n">
        <f aca="false">-In_Upfront_Fee*$E99*(CK98=0)*(CK99&gt;0)</f>
        <v>-0</v>
      </c>
      <c r="CL104" s="33" t="n">
        <f aca="false">-In_Upfront_Fee*$E99*(CL98=0)*(CL99&gt;0)</f>
        <v>-0</v>
      </c>
      <c r="CM104" s="33" t="n">
        <f aca="false">-In_Upfront_Fee*$E99*(CM98=0)*(CM99&gt;0)</f>
        <v>-0</v>
      </c>
      <c r="CN104" s="33" t="n">
        <f aca="false">-In_Upfront_Fee*$E99*(CN98=0)*(CN99&gt;0)</f>
        <v>-0</v>
      </c>
      <c r="CO104" s="33" t="n">
        <f aca="false">-In_Upfront_Fee*$E99*(CO98=0)*(CO99&gt;0)</f>
        <v>-0</v>
      </c>
      <c r="CP104" s="33" t="n">
        <f aca="false">-In_Upfront_Fee*$E99*(CP98=0)*(CP99&gt;0)</f>
        <v>-0</v>
      </c>
      <c r="CQ104" s="33" t="n">
        <f aca="false">-In_Upfront_Fee*$E99*(CQ98=0)*(CQ99&gt;0)</f>
        <v>-0</v>
      </c>
      <c r="CR104" s="33" t="n">
        <f aca="false">-In_Upfront_Fee*$E99*(CR98=0)*(CR99&gt;0)</f>
        <v>-0</v>
      </c>
      <c r="CS104" s="33" t="n">
        <f aca="false">-In_Upfront_Fee*$E99*(CS98=0)*(CS99&gt;0)</f>
        <v>-0</v>
      </c>
      <c r="CT104" s="33" t="n">
        <f aca="false">-In_Upfront_Fee*$E99*(CT98=0)*(CT99&gt;0)</f>
        <v>-0</v>
      </c>
      <c r="CU104" s="33" t="n">
        <f aca="false">-In_Upfront_Fee*$E99*(CU98=0)*(CU99&gt;0)</f>
        <v>-0</v>
      </c>
      <c r="CV104" s="33" t="n">
        <f aca="false">-In_Upfront_Fee*$E99*(CV98=0)*(CV99&gt;0)</f>
        <v>-0</v>
      </c>
      <c r="CW104" s="33" t="n">
        <f aca="false">-In_Upfront_Fee*$E99*(CW98=0)*(CW99&gt;0)</f>
        <v>-0</v>
      </c>
      <c r="CX104" s="33" t="n">
        <f aca="false">-In_Upfront_Fee*$E99*(CX98=0)*(CX99&gt;0)</f>
        <v>-0</v>
      </c>
      <c r="CY104" s="33" t="n">
        <f aca="false">-In_Upfront_Fee*$E99*(CY98=0)*(CY99&gt;0)</f>
        <v>-0</v>
      </c>
      <c r="CZ104" s="33" t="n">
        <f aca="false">-In_Upfront_Fee*$E99*(CZ98=0)*(CZ99&gt;0)</f>
        <v>-0</v>
      </c>
      <c r="DA104" s="33" t="n">
        <f aca="false">-In_Upfront_Fee*$E99*(DA98=0)*(DA99&gt;0)</f>
        <v>-0</v>
      </c>
      <c r="DB104" s="33" t="n">
        <f aca="false">-In_Upfront_Fee*$E99*(DB98=0)*(DB99&gt;0)</f>
        <v>-0</v>
      </c>
      <c r="DC104" s="33" t="n">
        <f aca="false">-In_Upfront_Fee*$E99*(DC98=0)*(DC99&gt;0)</f>
        <v>-0</v>
      </c>
      <c r="DD104" s="33" t="n">
        <f aca="false">-In_Upfront_Fee*$E99*(DD98=0)*(DD99&gt;0)</f>
        <v>-0</v>
      </c>
      <c r="DE104" s="33" t="n">
        <f aca="false">-In_Upfront_Fee*$E99*(DE98=0)*(DE99&gt;0)</f>
        <v>-0</v>
      </c>
      <c r="DF104" s="33" t="n">
        <f aca="false">-In_Upfront_Fee*$E99*(DF98=0)*(DF99&gt;0)</f>
        <v>-0</v>
      </c>
      <c r="DG104" s="33" t="n">
        <f aca="false">-In_Upfront_Fee*$E99*(DG98=0)*(DG99&gt;0)</f>
        <v>-0</v>
      </c>
      <c r="DH104" s="33" t="n">
        <f aca="false">-In_Upfront_Fee*$E99*(DH98=0)*(DH99&gt;0)</f>
        <v>-0</v>
      </c>
      <c r="DI104" s="33" t="n">
        <f aca="false">-In_Upfront_Fee*$E99*(DI98=0)*(DI99&gt;0)</f>
        <v>-0</v>
      </c>
      <c r="DJ104" s="33" t="n">
        <f aca="false">-In_Upfront_Fee*$E99*(DJ98=0)*(DJ99&gt;0)</f>
        <v>-0</v>
      </c>
      <c r="DK104" s="33" t="n">
        <f aca="false">-In_Upfront_Fee*$E99*(DK98=0)*(DK99&gt;0)</f>
        <v>-0</v>
      </c>
      <c r="DL104" s="33" t="n">
        <f aca="false">-In_Upfront_Fee*$E99*(DL98=0)*(DL99&gt;0)</f>
        <v>-0</v>
      </c>
      <c r="DM104" s="33" t="n">
        <f aca="false">-In_Upfront_Fee*$E99*(DM98=0)*(DM99&gt;0)</f>
        <v>-0</v>
      </c>
      <c r="DN104" s="33" t="n">
        <f aca="false">-In_Upfront_Fee*$E99*(DN98=0)*(DN99&gt;0)</f>
        <v>-0</v>
      </c>
      <c r="DO104" s="33" t="n">
        <f aca="false">-In_Upfront_Fee*$E99*(DO98=0)*(DO99&gt;0)</f>
        <v>-0</v>
      </c>
      <c r="DP104" s="33" t="n">
        <f aca="false">-In_Upfront_Fee*$E99*(DP98=0)*(DP99&gt;0)</f>
        <v>-0</v>
      </c>
      <c r="DQ104" s="33" t="n">
        <f aca="false">-In_Upfront_Fee*$E99*(DQ98=0)*(DQ99&gt;0)</f>
        <v>-0</v>
      </c>
      <c r="DR104" s="33" t="n">
        <f aca="false">-In_Upfront_Fee*$E99*(DR98=0)*(DR99&gt;0)</f>
        <v>-0</v>
      </c>
      <c r="DS104" s="33" t="n">
        <f aca="false">-In_Upfront_Fee*$E99*(DS98=0)*(DS99&gt;0)</f>
        <v>-0</v>
      </c>
      <c r="DT104" s="33" t="n">
        <f aca="false">-In_Upfront_Fee*$E99*(DT98=0)*(DT99&gt;0)</f>
        <v>-0</v>
      </c>
      <c r="DU104" s="33" t="n">
        <f aca="false">-In_Upfront_Fee*$E99*(DU98=0)*(DU99&gt;0)</f>
        <v>-0</v>
      </c>
      <c r="DV104" s="33" t="n">
        <f aca="false">-In_Upfront_Fee*$E99*(DV98=0)*(DV99&gt;0)</f>
        <v>-0</v>
      </c>
      <c r="DW104" s="33" t="n">
        <f aca="false">-In_Upfront_Fee*$E99*(DW98=0)*(DW99&gt;0)</f>
        <v>-0</v>
      </c>
      <c r="DX104" s="33" t="n">
        <f aca="false">-In_Upfront_Fee*$E99*(DX98=0)*(DX99&gt;0)</f>
        <v>-0</v>
      </c>
      <c r="DY104" s="33" t="n">
        <f aca="false">-In_Upfront_Fee*$E99*(DY98=0)*(DY99&gt;0)</f>
        <v>-0</v>
      </c>
      <c r="DZ104" s="33" t="n">
        <f aca="false">-In_Upfront_Fee*$E99*(DZ98=0)*(DZ99&gt;0)</f>
        <v>-0</v>
      </c>
      <c r="EA104" s="33" t="n">
        <f aca="false">-In_Upfront_Fee*$E99*(EA98=0)*(EA99&gt;0)</f>
        <v>-0</v>
      </c>
      <c r="EB104" s="33" t="n">
        <f aca="false">-In_Upfront_Fee*$E99*(EB98=0)*(EB99&gt;0)</f>
        <v>-0</v>
      </c>
      <c r="EC104" s="33" t="n">
        <f aca="false">-In_Upfront_Fee*$E99*(EC98=0)*(EC99&gt;0)</f>
        <v>-0</v>
      </c>
      <c r="ED104" s="33" t="n">
        <f aca="false">-In_Upfront_Fee*$E99*(ED98=0)*(ED99&gt;0)</f>
        <v>-0</v>
      </c>
      <c r="EE104" s="33" t="n">
        <f aca="false">-In_Upfront_Fee*$E99*(EE98=0)*(EE99&gt;0)</f>
        <v>-0</v>
      </c>
      <c r="EF104" s="33" t="n">
        <f aca="false">-In_Upfront_Fee*$E99*(EF98=0)*(EF99&gt;0)</f>
        <v>-0</v>
      </c>
      <c r="EG104" s="33" t="n">
        <f aca="false">-In_Upfront_Fee*$E99*(EG98=0)*(EG99&gt;0)</f>
        <v>-0</v>
      </c>
      <c r="EH104" s="33" t="n">
        <f aca="false">-In_Upfront_Fee*$E99*(EH98=0)*(EH99&gt;0)</f>
        <v>-0</v>
      </c>
      <c r="EI104" s="33" t="n">
        <f aca="false">-In_Upfront_Fee*$E99*(EI98=0)*(EI99&gt;0)</f>
        <v>-0</v>
      </c>
      <c r="EJ104" s="33" t="n">
        <f aca="false">-In_Upfront_Fee*$E99*(EJ98=0)*(EJ99&gt;0)</f>
        <v>-0</v>
      </c>
      <c r="EK104" s="33" t="n">
        <f aca="false">-In_Upfront_Fee*$E99*(EK98=0)*(EK99&gt;0)</f>
        <v>-0</v>
      </c>
      <c r="EL104" s="33" t="n">
        <f aca="false">-In_Upfront_Fee*$E99*(EL98=0)*(EL99&gt;0)</f>
        <v>-0</v>
      </c>
      <c r="EM104" s="33" t="n">
        <f aca="false">-In_Upfront_Fee*$E99*(EM98=0)*(EM99&gt;0)</f>
        <v>-0</v>
      </c>
      <c r="EN104" s="33" t="n">
        <f aca="false">-In_Upfront_Fee*$E99*(EN98=0)*(EN99&gt;0)</f>
        <v>-0</v>
      </c>
      <c r="EO104" s="33" t="n">
        <f aca="false">-In_Upfront_Fee*$E99*(EO98=0)*(EO99&gt;0)</f>
        <v>-0</v>
      </c>
      <c r="EP104" s="33" t="n">
        <f aca="false">-In_Upfront_Fee*$E99*(EP98=0)*(EP99&gt;0)</f>
        <v>-0</v>
      </c>
      <c r="EQ104" s="33" t="n">
        <f aca="false">-In_Upfront_Fee*$E99*(EQ98=0)*(EQ99&gt;0)</f>
        <v>-0</v>
      </c>
      <c r="ER104" s="33" t="n">
        <f aca="false">-In_Upfront_Fee*$E99*(ER98=0)*(ER99&gt;0)</f>
        <v>-0</v>
      </c>
      <c r="ES104" s="33" t="n">
        <f aca="false">-In_Upfront_Fee*$E99*(ES98=0)*(ES99&gt;0)</f>
        <v>-0</v>
      </c>
      <c r="ET104" s="33" t="n">
        <f aca="false">-In_Upfront_Fee*$E99*(ET98=0)*(ET99&gt;0)</f>
        <v>-0</v>
      </c>
    </row>
    <row r="105" customFormat="false" ht="15" hidden="false" customHeight="false" outlineLevel="0" collapsed="false">
      <c r="C105" s="0" t="s">
        <v>560</v>
      </c>
      <c r="D105" s="11" t="s">
        <v>253</v>
      </c>
      <c r="I105" s="33" t="n">
        <f aca="false">SUM(J105:ET105)</f>
        <v>-962.619234608902</v>
      </c>
      <c r="J105" s="33" t="n">
        <f aca="false">-In_Commitment_Fee*($E99-SUM($J99:J99)+J99)*J$6*(J13&gt;0)</f>
        <v>-0</v>
      </c>
      <c r="K105" s="33" t="n">
        <f aca="false">-In_Commitment_Fee*($E99-SUM($J99:K99)+K99)*K$6*(K13&gt;0)</f>
        <v>-0</v>
      </c>
      <c r="L105" s="33" t="n">
        <f aca="false">-In_Commitment_Fee*($E99-SUM($J99:L99)+L99)*L$6*(L13&gt;0)</f>
        <v>-0</v>
      </c>
      <c r="M105" s="33" t="n">
        <f aca="false">-In_Commitment_Fee*($E99-SUM($J99:M99)+M99)*M$6*(M13&gt;0)</f>
        <v>-0</v>
      </c>
      <c r="N105" s="33" t="n">
        <f aca="false">-In_Commitment_Fee*($E99-SUM($J99:N99)+N99)*N$6*(N13&gt;0)</f>
        <v>-0</v>
      </c>
      <c r="O105" s="33" t="n">
        <f aca="false">-In_Commitment_Fee*($E99-SUM($J99:O99)+O99)*O$6*(O13&gt;0)</f>
        <v>-0</v>
      </c>
      <c r="P105" s="33" t="n">
        <f aca="false">-In_Commitment_Fee*($E99-SUM($J99:P99)+P99)*P$6*(P13&gt;0)</f>
        <v>-0</v>
      </c>
      <c r="Q105" s="33" t="n">
        <f aca="false">-In_Commitment_Fee*($E99-SUM($J99:Q99)+Q99)*Q$6*(Q13&gt;0)</f>
        <v>-0</v>
      </c>
      <c r="R105" s="33" t="n">
        <f aca="false">-In_Commitment_Fee*($E99-SUM($J99:R99)+R99)*R$6*(R13&gt;0)</f>
        <v>-0</v>
      </c>
      <c r="S105" s="33" t="n">
        <f aca="false">-In_Commitment_Fee*($E99-SUM($J99:S99)+S99)*S$6*(S13&gt;0)</f>
        <v>-0</v>
      </c>
      <c r="T105" s="33" t="n">
        <f aca="false">-In_Commitment_Fee*($E99-SUM($J99:T99)+T99)*T$6*(T13&gt;0)</f>
        <v>-0</v>
      </c>
      <c r="U105" s="33" t="n">
        <f aca="false">-In_Commitment_Fee*($E99-SUM($J99:U99)+U99)*U$6*(U13&gt;0)</f>
        <v>-0</v>
      </c>
      <c r="V105" s="33" t="n">
        <f aca="false">-In_Commitment_Fee*($E99-SUM($J99:V99)+V99)*V$6*(V13&gt;0)</f>
        <v>-0</v>
      </c>
      <c r="W105" s="33" t="n">
        <f aca="false">-In_Commitment_Fee*($E99-SUM($J99:W99)+W99)*W$6*(W13&gt;0)</f>
        <v>-215.671615518913</v>
      </c>
      <c r="X105" s="33" t="n">
        <f aca="false">-In_Commitment_Fee*($E99-SUM($J99:X99)+X99)*X$6*(X13&gt;0)</f>
        <v>-184.393450909708</v>
      </c>
      <c r="Y105" s="33" t="n">
        <f aca="false">-In_Commitment_Fee*($E99-SUM($J99:Y99)+Y99)*Y$6*(Y13&gt;0)</f>
        <v>-160.141633750702</v>
      </c>
      <c r="Z105" s="33" t="n">
        <f aca="false">-In_Commitment_Fee*($E99-SUM($J99:Z99)+Z99)*Z$6*(Z13&gt;0)</f>
        <v>-135.016340126224</v>
      </c>
      <c r="AA105" s="33" t="n">
        <f aca="false">-In_Commitment_Fee*($E99-SUM($J99:AA99)+AA99)*AA$6*(AA13&gt;0)</f>
        <v>-107.835807759457</v>
      </c>
      <c r="AB105" s="33" t="n">
        <f aca="false">-In_Commitment_Fee*($E99-SUM($J99:AB99)+AB99)*AB$6*(AB13&gt;0)</f>
        <v>-78.9018998406745</v>
      </c>
      <c r="AC105" s="33" t="n">
        <f aca="false">-In_Commitment_Fee*($E99-SUM($J99:AC99)+AC99)*AC$6*(AC13&gt;0)</f>
        <v>-53.4779543364571</v>
      </c>
      <c r="AD105" s="33" t="n">
        <f aca="false">-In_Commitment_Fee*($E99-SUM($J99:AD99)+AD99)*AD$6*(AD13&gt;0)</f>
        <v>-27.1805323667671</v>
      </c>
      <c r="AE105" s="33" t="n">
        <f aca="false">-In_Commitment_Fee*($E99-SUM($J99:AE99)+AE99)*AE$6*(AE13&gt;0)</f>
        <v>-0</v>
      </c>
      <c r="AF105" s="33" t="n">
        <f aca="false">-In_Commitment_Fee*($E99-SUM($J99:AF99)+AF99)*AF$6*(AF13&gt;0)</f>
        <v>-0</v>
      </c>
      <c r="AG105" s="33" t="n">
        <f aca="false">-In_Commitment_Fee*($E99-SUM($J99:AG99)+AG99)*AG$6*(AG13&gt;0)</f>
        <v>-0</v>
      </c>
      <c r="AH105" s="33" t="n">
        <f aca="false">-In_Commitment_Fee*($E99-SUM($J99:AH99)+AH99)*AH$6*(AH13&gt;0)</f>
        <v>-0</v>
      </c>
      <c r="AI105" s="33" t="n">
        <f aca="false">-In_Commitment_Fee*($E99-SUM($J99:AI99)+AI99)*AI$6*(AI13&gt;0)</f>
        <v>-0</v>
      </c>
      <c r="AJ105" s="33" t="n">
        <f aca="false">-In_Commitment_Fee*($E99-SUM($J99:AJ99)+AJ99)*AJ$6*(AJ13&gt;0)</f>
        <v>-0</v>
      </c>
      <c r="AK105" s="33" t="n">
        <f aca="false">-In_Commitment_Fee*($E99-SUM($J99:AK99)+AK99)*AK$6*(AK13&gt;0)</f>
        <v>-0</v>
      </c>
      <c r="AL105" s="33" t="n">
        <f aca="false">-In_Commitment_Fee*($E99-SUM($J99:AL99)+AL99)*AL$6*(AL13&gt;0)</f>
        <v>-0</v>
      </c>
      <c r="AM105" s="33" t="n">
        <f aca="false">-In_Commitment_Fee*($E99-SUM($J99:AM99)+AM99)*AM$6*(AM13&gt;0)</f>
        <v>-0</v>
      </c>
      <c r="AN105" s="33" t="n">
        <f aca="false">-In_Commitment_Fee*($E99-SUM($J99:AN99)+AN99)*AN$6*(AN13&gt;0)</f>
        <v>-0</v>
      </c>
      <c r="AO105" s="33" t="n">
        <f aca="false">-In_Commitment_Fee*($E99-SUM($J99:AO99)+AO99)*AO$6*(AO13&gt;0)</f>
        <v>-0</v>
      </c>
      <c r="AP105" s="33" t="n">
        <f aca="false">-In_Commitment_Fee*($E99-SUM($J99:AP99)+AP99)*AP$6*(AP13&gt;0)</f>
        <v>-0</v>
      </c>
      <c r="AQ105" s="33" t="n">
        <f aca="false">-In_Commitment_Fee*($E99-SUM($J99:AQ99)+AQ99)*AQ$6*(AQ13&gt;0)</f>
        <v>-0</v>
      </c>
      <c r="AR105" s="33" t="n">
        <f aca="false">-In_Commitment_Fee*($E99-SUM($J99:AR99)+AR99)*AR$6*(AR13&gt;0)</f>
        <v>-0</v>
      </c>
      <c r="AS105" s="33" t="n">
        <f aca="false">-In_Commitment_Fee*($E99-SUM($J99:AS99)+AS99)*AS$6*(AS13&gt;0)</f>
        <v>-0</v>
      </c>
      <c r="AT105" s="33" t="n">
        <f aca="false">-In_Commitment_Fee*($E99-SUM($J99:AT99)+AT99)*AT$6*(AT13&gt;0)</f>
        <v>-0</v>
      </c>
      <c r="AU105" s="33" t="n">
        <f aca="false">-In_Commitment_Fee*($E99-SUM($J99:AU99)+AU99)*AU$6*(AU13&gt;0)</f>
        <v>-0</v>
      </c>
      <c r="AV105" s="33" t="n">
        <f aca="false">-In_Commitment_Fee*($E99-SUM($J99:AV99)+AV99)*AV$6*(AV13&gt;0)</f>
        <v>-0</v>
      </c>
      <c r="AW105" s="33" t="n">
        <f aca="false">-In_Commitment_Fee*($E99-SUM($J99:AW99)+AW99)*AW$6*(AW13&gt;0)</f>
        <v>-0</v>
      </c>
      <c r="AX105" s="33" t="n">
        <f aca="false">-In_Commitment_Fee*($E99-SUM($J99:AX99)+AX99)*AX$6*(AX13&gt;0)</f>
        <v>-0</v>
      </c>
      <c r="AY105" s="33" t="n">
        <f aca="false">-In_Commitment_Fee*($E99-SUM($J99:AY99)+AY99)*AY$6*(AY13&gt;0)</f>
        <v>-0</v>
      </c>
      <c r="AZ105" s="33" t="n">
        <f aca="false">-In_Commitment_Fee*($E99-SUM($J99:AZ99)+AZ99)*AZ$6*(AZ13&gt;0)</f>
        <v>-0</v>
      </c>
      <c r="BA105" s="33" t="n">
        <f aca="false">-In_Commitment_Fee*($E99-SUM($J99:BA99)+BA99)*BA$6*(BA13&gt;0)</f>
        <v>-0</v>
      </c>
      <c r="BB105" s="33" t="n">
        <f aca="false">-In_Commitment_Fee*($E99-SUM($J99:BB99)+BB99)*BB$6*(BB13&gt;0)</f>
        <v>-0</v>
      </c>
      <c r="BC105" s="33" t="n">
        <f aca="false">-In_Commitment_Fee*($E99-SUM($J99:BC99)+BC99)*BC$6*(BC13&gt;0)</f>
        <v>-0</v>
      </c>
      <c r="BD105" s="33" t="n">
        <f aca="false">-In_Commitment_Fee*($E99-SUM($J99:BD99)+BD99)*BD$6*(BD13&gt;0)</f>
        <v>-0</v>
      </c>
      <c r="BE105" s="33" t="n">
        <f aca="false">-In_Commitment_Fee*($E99-SUM($J99:BE99)+BE99)*BE$6*(BE13&gt;0)</f>
        <v>-0</v>
      </c>
      <c r="BF105" s="33" t="n">
        <f aca="false">-In_Commitment_Fee*($E99-SUM($J99:BF99)+BF99)*BF$6*(BF13&gt;0)</f>
        <v>-0</v>
      </c>
      <c r="BG105" s="33" t="n">
        <f aca="false">-In_Commitment_Fee*($E99-SUM($J99:BG99)+BG99)*BG$6*(BG13&gt;0)</f>
        <v>-0</v>
      </c>
      <c r="BH105" s="33" t="n">
        <f aca="false">-In_Commitment_Fee*($E99-SUM($J99:BH99)+BH99)*BH$6*(BH13&gt;0)</f>
        <v>-0</v>
      </c>
      <c r="BI105" s="33" t="n">
        <f aca="false">-In_Commitment_Fee*($E99-SUM($J99:BI99)+BI99)*BI$6*(BI13&gt;0)</f>
        <v>-0</v>
      </c>
      <c r="BJ105" s="33" t="n">
        <f aca="false">-In_Commitment_Fee*($E99-SUM($J99:BJ99)+BJ99)*BJ$6*(BJ13&gt;0)</f>
        <v>-0</v>
      </c>
      <c r="BK105" s="33" t="n">
        <f aca="false">-In_Commitment_Fee*($E99-SUM($J99:BK99)+BK99)*BK$6*(BK13&gt;0)</f>
        <v>-0</v>
      </c>
      <c r="BL105" s="33" t="n">
        <f aca="false">-In_Commitment_Fee*($E99-SUM($J99:BL99)+BL99)*BL$6*(BL13&gt;0)</f>
        <v>-0</v>
      </c>
      <c r="BM105" s="33" t="n">
        <f aca="false">-In_Commitment_Fee*($E99-SUM($J99:BM99)+BM99)*BM$6*(BM13&gt;0)</f>
        <v>-0</v>
      </c>
      <c r="BN105" s="33" t="n">
        <f aca="false">-In_Commitment_Fee*($E99-SUM($J99:BN99)+BN99)*BN$6*(BN13&gt;0)</f>
        <v>-0</v>
      </c>
      <c r="BO105" s="33" t="n">
        <f aca="false">-In_Commitment_Fee*($E99-SUM($J99:BO99)+BO99)*BO$6*(BO13&gt;0)</f>
        <v>-0</v>
      </c>
      <c r="BP105" s="33" t="n">
        <f aca="false">-In_Commitment_Fee*($E99-SUM($J99:BP99)+BP99)*BP$6*(BP13&gt;0)</f>
        <v>-0</v>
      </c>
      <c r="BQ105" s="33" t="n">
        <f aca="false">-In_Commitment_Fee*($E99-SUM($J99:BQ99)+BQ99)*BQ$6*(BQ13&gt;0)</f>
        <v>-0</v>
      </c>
      <c r="BR105" s="33" t="n">
        <f aca="false">-In_Commitment_Fee*($E99-SUM($J99:BR99)+BR99)*BR$6*(BR13&gt;0)</f>
        <v>-0</v>
      </c>
      <c r="BS105" s="33" t="n">
        <f aca="false">-In_Commitment_Fee*($E99-SUM($J99:BS99)+BS99)*BS$6*(BS13&gt;0)</f>
        <v>-0</v>
      </c>
      <c r="BT105" s="33" t="n">
        <f aca="false">-In_Commitment_Fee*($E99-SUM($J99:BT99)+BT99)*BT$6*(BT13&gt;0)</f>
        <v>-0</v>
      </c>
      <c r="BU105" s="33" t="n">
        <f aca="false">-In_Commitment_Fee*($E99-SUM($J99:BU99)+BU99)*BU$6*(BU13&gt;0)</f>
        <v>-0</v>
      </c>
      <c r="BV105" s="33" t="n">
        <f aca="false">-In_Commitment_Fee*($E99-SUM($J99:BV99)+BV99)*BV$6*(BV13&gt;0)</f>
        <v>-0</v>
      </c>
      <c r="BW105" s="33" t="n">
        <f aca="false">-In_Commitment_Fee*($E99-SUM($J99:BW99)+BW99)*BW$6*(BW13&gt;0)</f>
        <v>-0</v>
      </c>
      <c r="BX105" s="33" t="n">
        <f aca="false">-In_Commitment_Fee*($E99-SUM($J99:BX99)+BX99)*BX$6*(BX13&gt;0)</f>
        <v>-0</v>
      </c>
      <c r="BY105" s="33" t="n">
        <f aca="false">-In_Commitment_Fee*($E99-SUM($J99:BY99)+BY99)*BY$6*(BY13&gt;0)</f>
        <v>-0</v>
      </c>
      <c r="BZ105" s="33" t="n">
        <f aca="false">-In_Commitment_Fee*($E99-SUM($J99:BZ99)+BZ99)*BZ$6*(BZ13&gt;0)</f>
        <v>-0</v>
      </c>
      <c r="CA105" s="33" t="n">
        <f aca="false">-In_Commitment_Fee*($E99-SUM($J99:CA99)+CA99)*CA$6*(CA13&gt;0)</f>
        <v>-0</v>
      </c>
      <c r="CB105" s="33" t="n">
        <f aca="false">-In_Commitment_Fee*($E99-SUM($J99:CB99)+CB99)*CB$6*(CB13&gt;0)</f>
        <v>-0</v>
      </c>
      <c r="CC105" s="33" t="n">
        <f aca="false">-In_Commitment_Fee*($E99-SUM($J99:CC99)+CC99)*CC$6*(CC13&gt;0)</f>
        <v>-0</v>
      </c>
      <c r="CD105" s="33" t="n">
        <f aca="false">-In_Commitment_Fee*($E99-SUM($J99:CD99)+CD99)*CD$6*(CD13&gt;0)</f>
        <v>-0</v>
      </c>
      <c r="CE105" s="33" t="n">
        <f aca="false">-In_Commitment_Fee*($E99-SUM($J99:CE99)+CE99)*CE$6*(CE13&gt;0)</f>
        <v>-0</v>
      </c>
      <c r="CF105" s="33" t="n">
        <f aca="false">-In_Commitment_Fee*($E99-SUM($J99:CF99)+CF99)*CF$6*(CF13&gt;0)</f>
        <v>-0</v>
      </c>
      <c r="CG105" s="33" t="n">
        <f aca="false">-In_Commitment_Fee*($E99-SUM($J99:CG99)+CG99)*CG$6*(CG13&gt;0)</f>
        <v>-0</v>
      </c>
      <c r="CH105" s="33" t="n">
        <f aca="false">-In_Commitment_Fee*($E99-SUM($J99:CH99)+CH99)*CH$6*(CH13&gt;0)</f>
        <v>-0</v>
      </c>
      <c r="CI105" s="33" t="n">
        <f aca="false">-In_Commitment_Fee*($E99-SUM($J99:CI99)+CI99)*CI$6*(CI13&gt;0)</f>
        <v>-0</v>
      </c>
      <c r="CJ105" s="33" t="n">
        <f aca="false">-In_Commitment_Fee*($E99-SUM($J99:CJ99)+CJ99)*CJ$6*(CJ13&gt;0)</f>
        <v>-0</v>
      </c>
      <c r="CK105" s="33" t="n">
        <f aca="false">-In_Commitment_Fee*($E99-SUM($J99:CK99)+CK99)*CK$6*(CK13&gt;0)</f>
        <v>-0</v>
      </c>
      <c r="CL105" s="33" t="n">
        <f aca="false">-In_Commitment_Fee*($E99-SUM($J99:CL99)+CL99)*CL$6*(CL13&gt;0)</f>
        <v>-0</v>
      </c>
      <c r="CM105" s="33" t="n">
        <f aca="false">-In_Commitment_Fee*($E99-SUM($J99:CM99)+CM99)*CM$6*(CM13&gt;0)</f>
        <v>-0</v>
      </c>
      <c r="CN105" s="33" t="n">
        <f aca="false">-In_Commitment_Fee*($E99-SUM($J99:CN99)+CN99)*CN$6*(CN13&gt;0)</f>
        <v>-0</v>
      </c>
      <c r="CO105" s="33" t="n">
        <f aca="false">-In_Commitment_Fee*($E99-SUM($J99:CO99)+CO99)*CO$6*(CO13&gt;0)</f>
        <v>-0</v>
      </c>
      <c r="CP105" s="33" t="n">
        <f aca="false">-In_Commitment_Fee*($E99-SUM($J99:CP99)+CP99)*CP$6*(CP13&gt;0)</f>
        <v>-0</v>
      </c>
      <c r="CQ105" s="33" t="n">
        <f aca="false">-In_Commitment_Fee*($E99-SUM($J99:CQ99)+CQ99)*CQ$6*(CQ13&gt;0)</f>
        <v>-0</v>
      </c>
      <c r="CR105" s="33" t="n">
        <f aca="false">-In_Commitment_Fee*($E99-SUM($J99:CR99)+CR99)*CR$6*(CR13&gt;0)</f>
        <v>-0</v>
      </c>
      <c r="CS105" s="33" t="n">
        <f aca="false">-In_Commitment_Fee*($E99-SUM($J99:CS99)+CS99)*CS$6*(CS13&gt;0)</f>
        <v>-0</v>
      </c>
      <c r="CT105" s="33" t="n">
        <f aca="false">-In_Commitment_Fee*($E99-SUM($J99:CT99)+CT99)*CT$6*(CT13&gt;0)</f>
        <v>-0</v>
      </c>
      <c r="CU105" s="33" t="n">
        <f aca="false">-In_Commitment_Fee*($E99-SUM($J99:CU99)+CU99)*CU$6*(CU13&gt;0)</f>
        <v>-0</v>
      </c>
      <c r="CV105" s="33" t="n">
        <f aca="false">-In_Commitment_Fee*($E99-SUM($J99:CV99)+CV99)*CV$6*(CV13&gt;0)</f>
        <v>-0</v>
      </c>
      <c r="CW105" s="33" t="n">
        <f aca="false">-In_Commitment_Fee*($E99-SUM($J99:CW99)+CW99)*CW$6*(CW13&gt;0)</f>
        <v>-0</v>
      </c>
      <c r="CX105" s="33" t="n">
        <f aca="false">-In_Commitment_Fee*($E99-SUM($J99:CX99)+CX99)*CX$6*(CX13&gt;0)</f>
        <v>-0</v>
      </c>
      <c r="CY105" s="33" t="n">
        <f aca="false">-In_Commitment_Fee*($E99-SUM($J99:CY99)+CY99)*CY$6*(CY13&gt;0)</f>
        <v>-0</v>
      </c>
      <c r="CZ105" s="33" t="n">
        <f aca="false">-In_Commitment_Fee*($E99-SUM($J99:CZ99)+CZ99)*CZ$6*(CZ13&gt;0)</f>
        <v>-0</v>
      </c>
      <c r="DA105" s="33" t="n">
        <f aca="false">-In_Commitment_Fee*($E99-SUM($J99:DA99)+DA99)*DA$6*(DA13&gt;0)</f>
        <v>-0</v>
      </c>
      <c r="DB105" s="33" t="n">
        <f aca="false">-In_Commitment_Fee*($E99-SUM($J99:DB99)+DB99)*DB$6*(DB13&gt;0)</f>
        <v>-0</v>
      </c>
      <c r="DC105" s="33" t="n">
        <f aca="false">-In_Commitment_Fee*($E99-SUM($J99:DC99)+DC99)*DC$6*(DC13&gt;0)</f>
        <v>-0</v>
      </c>
      <c r="DD105" s="33" t="n">
        <f aca="false">-In_Commitment_Fee*($E99-SUM($J99:DD99)+DD99)*DD$6*(DD13&gt;0)</f>
        <v>-0</v>
      </c>
      <c r="DE105" s="33" t="n">
        <f aca="false">-In_Commitment_Fee*($E99-SUM($J99:DE99)+DE99)*DE$6*(DE13&gt;0)</f>
        <v>-0</v>
      </c>
      <c r="DF105" s="33" t="n">
        <f aca="false">-In_Commitment_Fee*($E99-SUM($J99:DF99)+DF99)*DF$6*(DF13&gt;0)</f>
        <v>-0</v>
      </c>
      <c r="DG105" s="33" t="n">
        <f aca="false">-In_Commitment_Fee*($E99-SUM($J99:DG99)+DG99)*DG$6*(DG13&gt;0)</f>
        <v>-0</v>
      </c>
      <c r="DH105" s="33" t="n">
        <f aca="false">-In_Commitment_Fee*($E99-SUM($J99:DH99)+DH99)*DH$6*(DH13&gt;0)</f>
        <v>-0</v>
      </c>
      <c r="DI105" s="33" t="n">
        <f aca="false">-In_Commitment_Fee*($E99-SUM($J99:DI99)+DI99)*DI$6*(DI13&gt;0)</f>
        <v>-0</v>
      </c>
      <c r="DJ105" s="33" t="n">
        <f aca="false">-In_Commitment_Fee*($E99-SUM($J99:DJ99)+DJ99)*DJ$6*(DJ13&gt;0)</f>
        <v>-0</v>
      </c>
      <c r="DK105" s="33" t="n">
        <f aca="false">-In_Commitment_Fee*($E99-SUM($J99:DK99)+DK99)*DK$6*(DK13&gt;0)</f>
        <v>-0</v>
      </c>
      <c r="DL105" s="33" t="n">
        <f aca="false">-In_Commitment_Fee*($E99-SUM($J99:DL99)+DL99)*DL$6*(DL13&gt;0)</f>
        <v>-0</v>
      </c>
      <c r="DM105" s="33" t="n">
        <f aca="false">-In_Commitment_Fee*($E99-SUM($J99:DM99)+DM99)*DM$6*(DM13&gt;0)</f>
        <v>-0</v>
      </c>
      <c r="DN105" s="33" t="n">
        <f aca="false">-In_Commitment_Fee*($E99-SUM($J99:DN99)+DN99)*DN$6*(DN13&gt;0)</f>
        <v>-0</v>
      </c>
      <c r="DO105" s="33" t="n">
        <f aca="false">-In_Commitment_Fee*($E99-SUM($J99:DO99)+DO99)*DO$6*(DO13&gt;0)</f>
        <v>-0</v>
      </c>
      <c r="DP105" s="33" t="n">
        <f aca="false">-In_Commitment_Fee*($E99-SUM($J99:DP99)+DP99)*DP$6*(DP13&gt;0)</f>
        <v>-0</v>
      </c>
      <c r="DQ105" s="33" t="n">
        <f aca="false">-In_Commitment_Fee*($E99-SUM($J99:DQ99)+DQ99)*DQ$6*(DQ13&gt;0)</f>
        <v>-0</v>
      </c>
      <c r="DR105" s="33" t="n">
        <f aca="false">-In_Commitment_Fee*($E99-SUM($J99:DR99)+DR99)*DR$6*(DR13&gt;0)</f>
        <v>-0</v>
      </c>
      <c r="DS105" s="33" t="n">
        <f aca="false">-In_Commitment_Fee*($E99-SUM($J99:DS99)+DS99)*DS$6*(DS13&gt;0)</f>
        <v>-0</v>
      </c>
      <c r="DT105" s="33" t="n">
        <f aca="false">-In_Commitment_Fee*($E99-SUM($J99:DT99)+DT99)*DT$6*(DT13&gt;0)</f>
        <v>-0</v>
      </c>
      <c r="DU105" s="33" t="n">
        <f aca="false">-In_Commitment_Fee*($E99-SUM($J99:DU99)+DU99)*DU$6*(DU13&gt;0)</f>
        <v>-0</v>
      </c>
      <c r="DV105" s="33" t="n">
        <f aca="false">-In_Commitment_Fee*($E99-SUM($J99:DV99)+DV99)*DV$6*(DV13&gt;0)</f>
        <v>-0</v>
      </c>
      <c r="DW105" s="33" t="n">
        <f aca="false">-In_Commitment_Fee*($E99-SUM($J99:DW99)+DW99)*DW$6*(DW13&gt;0)</f>
        <v>-0</v>
      </c>
      <c r="DX105" s="33" t="n">
        <f aca="false">-In_Commitment_Fee*($E99-SUM($J99:DX99)+DX99)*DX$6*(DX13&gt;0)</f>
        <v>-0</v>
      </c>
      <c r="DY105" s="33" t="n">
        <f aca="false">-In_Commitment_Fee*($E99-SUM($J99:DY99)+DY99)*DY$6*(DY13&gt;0)</f>
        <v>-0</v>
      </c>
      <c r="DZ105" s="33" t="n">
        <f aca="false">-In_Commitment_Fee*($E99-SUM($J99:DZ99)+DZ99)*DZ$6*(DZ13&gt;0)</f>
        <v>-0</v>
      </c>
      <c r="EA105" s="33" t="n">
        <f aca="false">-In_Commitment_Fee*($E99-SUM($J99:EA99)+EA99)*EA$6*(EA13&gt;0)</f>
        <v>-0</v>
      </c>
      <c r="EB105" s="33" t="n">
        <f aca="false">-In_Commitment_Fee*($E99-SUM($J99:EB99)+EB99)*EB$6*(EB13&gt;0)</f>
        <v>-0</v>
      </c>
      <c r="EC105" s="33" t="n">
        <f aca="false">-In_Commitment_Fee*($E99-SUM($J99:EC99)+EC99)*EC$6*(EC13&gt;0)</f>
        <v>-0</v>
      </c>
      <c r="ED105" s="33" t="n">
        <f aca="false">-In_Commitment_Fee*($E99-SUM($J99:ED99)+ED99)*ED$6*(ED13&gt;0)</f>
        <v>-0</v>
      </c>
      <c r="EE105" s="33" t="n">
        <f aca="false">-In_Commitment_Fee*($E99-SUM($J99:EE99)+EE99)*EE$6*(EE13&gt;0)</f>
        <v>-0</v>
      </c>
      <c r="EF105" s="33" t="n">
        <f aca="false">-In_Commitment_Fee*($E99-SUM($J99:EF99)+EF99)*EF$6*(EF13&gt;0)</f>
        <v>-0</v>
      </c>
      <c r="EG105" s="33" t="n">
        <f aca="false">-In_Commitment_Fee*($E99-SUM($J99:EG99)+EG99)*EG$6*(EG13&gt;0)</f>
        <v>-0</v>
      </c>
      <c r="EH105" s="33" t="n">
        <f aca="false">-In_Commitment_Fee*($E99-SUM($J99:EH99)+EH99)*EH$6*(EH13&gt;0)</f>
        <v>-0</v>
      </c>
      <c r="EI105" s="33" t="n">
        <f aca="false">-In_Commitment_Fee*($E99-SUM($J99:EI99)+EI99)*EI$6*(EI13&gt;0)</f>
        <v>-0</v>
      </c>
      <c r="EJ105" s="33" t="n">
        <f aca="false">-In_Commitment_Fee*($E99-SUM($J99:EJ99)+EJ99)*EJ$6*(EJ13&gt;0)</f>
        <v>-0</v>
      </c>
      <c r="EK105" s="33" t="n">
        <f aca="false">-In_Commitment_Fee*($E99-SUM($J99:EK99)+EK99)*EK$6*(EK13&gt;0)</f>
        <v>-0</v>
      </c>
      <c r="EL105" s="33" t="n">
        <f aca="false">-In_Commitment_Fee*($E99-SUM($J99:EL99)+EL99)*EL$6*(EL13&gt;0)</f>
        <v>-0</v>
      </c>
      <c r="EM105" s="33" t="n">
        <f aca="false">-In_Commitment_Fee*($E99-SUM($J99:EM99)+EM99)*EM$6*(EM13&gt;0)</f>
        <v>-0</v>
      </c>
      <c r="EN105" s="33" t="n">
        <f aca="false">-In_Commitment_Fee*($E99-SUM($J99:EN99)+EN99)*EN$6*(EN13&gt;0)</f>
        <v>-0</v>
      </c>
      <c r="EO105" s="33" t="n">
        <f aca="false">-In_Commitment_Fee*($E99-SUM($J99:EO99)+EO99)*EO$6*(EO13&gt;0)</f>
        <v>-0</v>
      </c>
      <c r="EP105" s="33" t="n">
        <f aca="false">-In_Commitment_Fee*($E99-SUM($J99:EP99)+EP99)*EP$6*(EP13&gt;0)</f>
        <v>-0</v>
      </c>
      <c r="EQ105" s="33" t="n">
        <f aca="false">-In_Commitment_Fee*($E99-SUM($J99:EQ99)+EQ99)*EQ$6*(EQ13&gt;0)</f>
        <v>-0</v>
      </c>
      <c r="ER105" s="33" t="n">
        <f aca="false">-In_Commitment_Fee*($E99-SUM($J99:ER99)+ER99)*ER$6*(ER13&gt;0)</f>
        <v>-0</v>
      </c>
      <c r="ES105" s="33" t="n">
        <f aca="false">-In_Commitment_Fee*($E99-SUM($J99:ES99)+ES99)*ES$6*(ES13&gt;0)</f>
        <v>-0</v>
      </c>
      <c r="ET105" s="33" t="n">
        <f aca="false">-In_Commitment_Fee*($E99-SUM($J99:ET99)+ET99)*ET$6*(ET13&gt;0)</f>
        <v>-0</v>
      </c>
    </row>
    <row r="106" customFormat="false" ht="15" hidden="false" customHeight="false" outlineLevel="0" collapsed="false">
      <c r="C106" s="30" t="s">
        <v>561</v>
      </c>
      <c r="D106" s="11" t="s">
        <v>253</v>
      </c>
      <c r="I106" s="35" t="n">
        <f aca="false">SUM(J106:ET106)</f>
        <v>-161080.777710614</v>
      </c>
      <c r="J106" s="35" t="n">
        <f aca="false">J95+J53+J96+J104+J105</f>
        <v>-0</v>
      </c>
      <c r="K106" s="35" t="n">
        <f aca="false">K95+K53+K96+K104+K105</f>
        <v>-0</v>
      </c>
      <c r="L106" s="35" t="n">
        <f aca="false">L95+L53+L96+L104+L105</f>
        <v>-0</v>
      </c>
      <c r="M106" s="35" t="n">
        <f aca="false">M95+M53+M96+M104+M105</f>
        <v>-0</v>
      </c>
      <c r="N106" s="35" t="n">
        <f aca="false">N95+N53+N96+N104+N105</f>
        <v>-0</v>
      </c>
      <c r="O106" s="35" t="n">
        <f aca="false">O95+O53+O96+O104+O105</f>
        <v>-0</v>
      </c>
      <c r="P106" s="35" t="n">
        <f aca="false">P95+P53+P96+P104+P105</f>
        <v>-0</v>
      </c>
      <c r="Q106" s="35" t="n">
        <f aca="false">Q95+Q53+Q96+Q104+Q105</f>
        <v>-0</v>
      </c>
      <c r="R106" s="35" t="n">
        <f aca="false">R95+R53+R96+R104+R105</f>
        <v>-0</v>
      </c>
      <c r="S106" s="35" t="n">
        <f aca="false">S95+S53+S96+S104+S105</f>
        <v>-0</v>
      </c>
      <c r="T106" s="35" t="n">
        <f aca="false">T95+T53+T96+T104+T105</f>
        <v>-20179.3874082192</v>
      </c>
      <c r="U106" s="35" t="n">
        <f aca="false">U95+U53+U96+U104+U105</f>
        <v>-0</v>
      </c>
      <c r="V106" s="35" t="n">
        <f aca="false">V95+V53+V96+V104+V105</f>
        <v>-0</v>
      </c>
      <c r="W106" s="35" t="n">
        <f aca="false">W95+W53+W96+W104+W105</f>
        <v>-18675.7440531682</v>
      </c>
      <c r="X106" s="35" t="n">
        <f aca="false">X95+X53+X96+X104+X105</f>
        <v>-16615.5578344714</v>
      </c>
      <c r="Y106" s="35" t="n">
        <f aca="false">Y95+Y53+Y96+Y104+Y105</f>
        <v>-16773.874510463</v>
      </c>
      <c r="Z106" s="35" t="n">
        <f aca="false">Z95+Z53+Z96+Z104+Z105</f>
        <v>-16931.3177099892</v>
      </c>
      <c r="AA106" s="35" t="n">
        <f aca="false">AA95+AA53+AA96+AA104+AA105</f>
        <v>-16904.1371776225</v>
      </c>
      <c r="AB106" s="35" t="n">
        <f aca="false">AB95+AB53+AB96+AB104+AB105</f>
        <v>-16510.0662834023</v>
      </c>
      <c r="AC106" s="35" t="n">
        <f aca="false">AC95+AC53+AC96+AC104+AC105</f>
        <v>-16667.2108310488</v>
      </c>
      <c r="AD106" s="35" t="n">
        <f aca="false">AD95+AD53+AD96+AD104+AD105</f>
        <v>-21823.4819022298</v>
      </c>
      <c r="AE106" s="35" t="n">
        <f aca="false">AE95+AE53+AE96+AE104+AE105</f>
        <v>-0</v>
      </c>
      <c r="AF106" s="35" t="n">
        <f aca="false">AF95+AF53+AF96+AF104+AF105</f>
        <v>-0</v>
      </c>
      <c r="AG106" s="35" t="n">
        <f aca="false">AG95+AG53+AG96+AG104+AG105</f>
        <v>-0</v>
      </c>
      <c r="AH106" s="35" t="n">
        <f aca="false">AH95+AH53+AH96+AH104+AH105</f>
        <v>-0</v>
      </c>
      <c r="AI106" s="35" t="n">
        <f aca="false">AI95+AI53+AI96+AI104+AI105</f>
        <v>-0</v>
      </c>
      <c r="AJ106" s="35" t="n">
        <f aca="false">AJ95+AJ53+AJ96+AJ104+AJ105</f>
        <v>-0</v>
      </c>
      <c r="AK106" s="35" t="n">
        <f aca="false">AK95+AK53+AK96+AK104+AK105</f>
        <v>-0</v>
      </c>
      <c r="AL106" s="35" t="n">
        <f aca="false">AL95+AL53+AL96+AL104+AL105</f>
        <v>-0</v>
      </c>
      <c r="AM106" s="35" t="n">
        <f aca="false">AM95+AM53+AM96+AM104+AM105</f>
        <v>-0</v>
      </c>
      <c r="AN106" s="35" t="n">
        <f aca="false">AN95+AN53+AN96+AN104+AN105</f>
        <v>-0</v>
      </c>
      <c r="AO106" s="35" t="n">
        <f aca="false">AO95+AO53+AO96+AO104+AO105</f>
        <v>-0</v>
      </c>
      <c r="AP106" s="35" t="n">
        <f aca="false">AP95+AP53+AP96+AP104+AP105</f>
        <v>-0</v>
      </c>
      <c r="AQ106" s="35" t="n">
        <f aca="false">AQ95+AQ53+AQ96+AQ104+AQ105</f>
        <v>-0</v>
      </c>
      <c r="AR106" s="35" t="n">
        <f aca="false">AR95+AR53+AR96+AR104+AR105</f>
        <v>-0</v>
      </c>
      <c r="AS106" s="35" t="n">
        <f aca="false">AS95+AS53+AS96+AS104+AS105</f>
        <v>-0</v>
      </c>
      <c r="AT106" s="35" t="n">
        <f aca="false">AT95+AT53+AT96+AT104+AT105</f>
        <v>-0</v>
      </c>
      <c r="AU106" s="35" t="n">
        <f aca="false">AU95+AU53+AU96+AU104+AU105</f>
        <v>-0</v>
      </c>
      <c r="AV106" s="35" t="n">
        <f aca="false">AV95+AV53+AV96+AV104+AV105</f>
        <v>-0</v>
      </c>
      <c r="AW106" s="35" t="n">
        <f aca="false">AW95+AW53+AW96+AW104+AW105</f>
        <v>-0</v>
      </c>
      <c r="AX106" s="35" t="n">
        <f aca="false">AX95+AX53+AX96+AX104+AX105</f>
        <v>-0</v>
      </c>
      <c r="AY106" s="35" t="n">
        <f aca="false">AY95+AY53+AY96+AY104+AY105</f>
        <v>-0</v>
      </c>
      <c r="AZ106" s="35" t="n">
        <f aca="false">AZ95+AZ53+AZ96+AZ104+AZ105</f>
        <v>-0</v>
      </c>
      <c r="BA106" s="35" t="n">
        <f aca="false">BA95+BA53+BA96+BA104+BA105</f>
        <v>-0</v>
      </c>
      <c r="BB106" s="35" t="n">
        <f aca="false">BB95+BB53+BB96+BB104+BB105</f>
        <v>-0</v>
      </c>
      <c r="BC106" s="35" t="n">
        <f aca="false">BC95+BC53+BC96+BC104+BC105</f>
        <v>-0</v>
      </c>
      <c r="BD106" s="35" t="n">
        <f aca="false">BD95+BD53+BD96+BD104+BD105</f>
        <v>-0</v>
      </c>
      <c r="BE106" s="35" t="n">
        <f aca="false">BE95+BE53+BE96+BE104+BE105</f>
        <v>-0</v>
      </c>
      <c r="BF106" s="35" t="n">
        <f aca="false">BF95+BF53+BF96+BF104+BF105</f>
        <v>-0</v>
      </c>
      <c r="BG106" s="35" t="n">
        <f aca="false">BG95+BG53+BG96+BG104+BG105</f>
        <v>-0</v>
      </c>
      <c r="BH106" s="35" t="n">
        <f aca="false">BH95+BH53+BH96+BH104+BH105</f>
        <v>-0</v>
      </c>
      <c r="BI106" s="35" t="n">
        <f aca="false">BI95+BI53+BI96+BI104+BI105</f>
        <v>-0</v>
      </c>
      <c r="BJ106" s="35" t="n">
        <f aca="false">BJ95+BJ53+BJ96+BJ104+BJ105</f>
        <v>-0</v>
      </c>
      <c r="BK106" s="35" t="n">
        <f aca="false">BK95+BK53+BK96+BK104+BK105</f>
        <v>-0</v>
      </c>
      <c r="BL106" s="35" t="n">
        <f aca="false">BL95+BL53+BL96+BL104+BL105</f>
        <v>-0</v>
      </c>
      <c r="BM106" s="35" t="n">
        <f aca="false">BM95+BM53+BM96+BM104+BM105</f>
        <v>-0</v>
      </c>
      <c r="BN106" s="35" t="n">
        <f aca="false">BN95+BN53+BN96+BN104+BN105</f>
        <v>-0</v>
      </c>
      <c r="BO106" s="35" t="n">
        <f aca="false">BO95+BO53+BO96+BO104+BO105</f>
        <v>-0</v>
      </c>
      <c r="BP106" s="35" t="n">
        <f aca="false">BP95+BP53+BP96+BP104+BP105</f>
        <v>-0</v>
      </c>
      <c r="BQ106" s="35" t="n">
        <f aca="false">BQ95+BQ53+BQ96+BQ104+BQ105</f>
        <v>-0</v>
      </c>
      <c r="BR106" s="35" t="n">
        <f aca="false">BR95+BR53+BR96+BR104+BR105</f>
        <v>-0</v>
      </c>
      <c r="BS106" s="35" t="n">
        <f aca="false">BS95+BS53+BS96+BS104+BS105</f>
        <v>-0</v>
      </c>
      <c r="BT106" s="35" t="n">
        <f aca="false">BT95+BT53+BT96+BT104+BT105</f>
        <v>-0</v>
      </c>
      <c r="BU106" s="35" t="n">
        <f aca="false">BU95+BU53+BU96+BU104+BU105</f>
        <v>-0</v>
      </c>
      <c r="BV106" s="35" t="n">
        <f aca="false">BV95+BV53+BV96+BV104+BV105</f>
        <v>-0</v>
      </c>
      <c r="BW106" s="35" t="n">
        <f aca="false">BW95+BW53+BW96+BW104+BW105</f>
        <v>-0</v>
      </c>
      <c r="BX106" s="35" t="n">
        <f aca="false">BX95+BX53+BX96+BX104+BX105</f>
        <v>-0</v>
      </c>
      <c r="BY106" s="35" t="n">
        <f aca="false">BY95+BY53+BY96+BY104+BY105</f>
        <v>-0</v>
      </c>
      <c r="BZ106" s="35" t="n">
        <f aca="false">BZ95+BZ53+BZ96+BZ104+BZ105</f>
        <v>-0</v>
      </c>
      <c r="CA106" s="35" t="n">
        <f aca="false">CA95+CA53+CA96+CA104+CA105</f>
        <v>-0</v>
      </c>
      <c r="CB106" s="35" t="n">
        <f aca="false">CB95+CB53+CB96+CB104+CB105</f>
        <v>-0</v>
      </c>
      <c r="CC106" s="35" t="n">
        <f aca="false">CC95+CC53+CC96+CC104+CC105</f>
        <v>-0</v>
      </c>
      <c r="CD106" s="35" t="n">
        <f aca="false">CD95+CD53+CD96+CD104+CD105</f>
        <v>-0</v>
      </c>
      <c r="CE106" s="35" t="n">
        <f aca="false">CE95+CE53+CE96+CE104+CE105</f>
        <v>-0</v>
      </c>
      <c r="CF106" s="35" t="n">
        <f aca="false">CF95+CF53+CF96+CF104+CF105</f>
        <v>-0</v>
      </c>
      <c r="CG106" s="35" t="n">
        <f aca="false">CG95+CG53+CG96+CG104+CG105</f>
        <v>-0</v>
      </c>
      <c r="CH106" s="35" t="n">
        <f aca="false">CH95+CH53+CH96+CH104+CH105</f>
        <v>-0</v>
      </c>
      <c r="CI106" s="35" t="n">
        <f aca="false">CI95+CI53+CI96+CI104+CI105</f>
        <v>-0</v>
      </c>
      <c r="CJ106" s="35" t="n">
        <f aca="false">CJ95+CJ53+CJ96+CJ104+CJ105</f>
        <v>-0</v>
      </c>
      <c r="CK106" s="35" t="n">
        <f aca="false">CK95+CK53+CK96+CK104+CK105</f>
        <v>-0</v>
      </c>
      <c r="CL106" s="35" t="n">
        <f aca="false">CL95+CL53+CL96+CL104+CL105</f>
        <v>-0</v>
      </c>
      <c r="CM106" s="35" t="n">
        <f aca="false">CM95+CM53+CM96+CM104+CM105</f>
        <v>-0</v>
      </c>
      <c r="CN106" s="35" t="n">
        <f aca="false">CN95+CN53+CN96+CN104+CN105</f>
        <v>-0</v>
      </c>
      <c r="CO106" s="35" t="n">
        <f aca="false">CO95+CO53+CO96+CO104+CO105</f>
        <v>-0</v>
      </c>
      <c r="CP106" s="35" t="n">
        <f aca="false">CP95+CP53+CP96+CP104+CP105</f>
        <v>-0</v>
      </c>
      <c r="CQ106" s="35" t="n">
        <f aca="false">CQ95+CQ53+CQ96+CQ104+CQ105</f>
        <v>-0</v>
      </c>
      <c r="CR106" s="35" t="n">
        <f aca="false">CR95+CR53+CR96+CR104+CR105</f>
        <v>-0</v>
      </c>
      <c r="CS106" s="35" t="n">
        <f aca="false">CS95+CS53+CS96+CS104+CS105</f>
        <v>-0</v>
      </c>
      <c r="CT106" s="35" t="n">
        <f aca="false">CT95+CT53+CT96+CT104+CT105</f>
        <v>-0</v>
      </c>
      <c r="CU106" s="35" t="n">
        <f aca="false">CU95+CU53+CU96+CU104+CU105</f>
        <v>-0</v>
      </c>
      <c r="CV106" s="35" t="n">
        <f aca="false">CV95+CV53+CV96+CV104+CV105</f>
        <v>-0</v>
      </c>
      <c r="CW106" s="35" t="n">
        <f aca="false">CW95+CW53+CW96+CW104+CW105</f>
        <v>-0</v>
      </c>
      <c r="CX106" s="35" t="n">
        <f aca="false">CX95+CX53+CX96+CX104+CX105</f>
        <v>-0</v>
      </c>
      <c r="CY106" s="35" t="n">
        <f aca="false">CY95+CY53+CY96+CY104+CY105</f>
        <v>-0</v>
      </c>
      <c r="CZ106" s="35" t="n">
        <f aca="false">CZ95+CZ53+CZ96+CZ104+CZ105</f>
        <v>-0</v>
      </c>
      <c r="DA106" s="35" t="n">
        <f aca="false">DA95+DA53+DA96+DA104+DA105</f>
        <v>-0</v>
      </c>
      <c r="DB106" s="35" t="n">
        <f aca="false">DB95+DB53+DB96+DB104+DB105</f>
        <v>-0</v>
      </c>
      <c r="DC106" s="35" t="n">
        <f aca="false">DC95+DC53+DC96+DC104+DC105</f>
        <v>-0</v>
      </c>
      <c r="DD106" s="35" t="n">
        <f aca="false">DD95+DD53+DD96+DD104+DD105</f>
        <v>-0</v>
      </c>
      <c r="DE106" s="35" t="n">
        <f aca="false">DE95+DE53+DE96+DE104+DE105</f>
        <v>-0</v>
      </c>
      <c r="DF106" s="35" t="n">
        <f aca="false">DF95+DF53+DF96+DF104+DF105</f>
        <v>-0</v>
      </c>
      <c r="DG106" s="35" t="n">
        <f aca="false">DG95+DG53+DG96+DG104+DG105</f>
        <v>-0</v>
      </c>
      <c r="DH106" s="35" t="n">
        <f aca="false">DH95+DH53+DH96+DH104+DH105</f>
        <v>-0</v>
      </c>
      <c r="DI106" s="35" t="n">
        <f aca="false">DI95+DI53+DI96+DI104+DI105</f>
        <v>-0</v>
      </c>
      <c r="DJ106" s="35" t="n">
        <f aca="false">DJ95+DJ53+DJ96+DJ104+DJ105</f>
        <v>-0</v>
      </c>
      <c r="DK106" s="35" t="n">
        <f aca="false">DK95+DK53+DK96+DK104+DK105</f>
        <v>-0</v>
      </c>
      <c r="DL106" s="35" t="n">
        <f aca="false">DL95+DL53+DL96+DL104+DL105</f>
        <v>-0</v>
      </c>
      <c r="DM106" s="35" t="n">
        <f aca="false">DM95+DM53+DM96+DM104+DM105</f>
        <v>-0</v>
      </c>
      <c r="DN106" s="35" t="n">
        <f aca="false">DN95+DN53+DN96+DN104+DN105</f>
        <v>-0</v>
      </c>
      <c r="DO106" s="35" t="n">
        <f aca="false">DO95+DO53+DO96+DO104+DO105</f>
        <v>-0</v>
      </c>
      <c r="DP106" s="35" t="n">
        <f aca="false">DP95+DP53+DP96+DP104+DP105</f>
        <v>-0</v>
      </c>
      <c r="DQ106" s="35" t="n">
        <f aca="false">DQ95+DQ53+DQ96+DQ104+DQ105</f>
        <v>-0</v>
      </c>
      <c r="DR106" s="35" t="n">
        <f aca="false">DR95+DR53+DR96+DR104+DR105</f>
        <v>-0</v>
      </c>
      <c r="DS106" s="35" t="n">
        <f aca="false">DS95+DS53+DS96+DS104+DS105</f>
        <v>-0</v>
      </c>
      <c r="DT106" s="35" t="n">
        <f aca="false">DT95+DT53+DT96+DT104+DT105</f>
        <v>-0</v>
      </c>
      <c r="DU106" s="35" t="n">
        <f aca="false">DU95+DU53+DU96+DU104+DU105</f>
        <v>-0</v>
      </c>
      <c r="DV106" s="35" t="n">
        <f aca="false">DV95+DV53+DV96+DV104+DV105</f>
        <v>-0</v>
      </c>
      <c r="DW106" s="35" t="n">
        <f aca="false">DW95+DW53+DW96+DW104+DW105</f>
        <v>-0</v>
      </c>
      <c r="DX106" s="35" t="n">
        <f aca="false">DX95+DX53+DX96+DX104+DX105</f>
        <v>-0</v>
      </c>
      <c r="DY106" s="35" t="n">
        <f aca="false">DY95+DY53+DY96+DY104+DY105</f>
        <v>-0</v>
      </c>
      <c r="DZ106" s="35" t="n">
        <f aca="false">DZ95+DZ53+DZ96+DZ104+DZ105</f>
        <v>-0</v>
      </c>
      <c r="EA106" s="35" t="n">
        <f aca="false">EA95+EA53+EA96+EA104+EA105</f>
        <v>-0</v>
      </c>
      <c r="EB106" s="35" t="n">
        <f aca="false">EB95+EB53+EB96+EB104+EB105</f>
        <v>-0</v>
      </c>
      <c r="EC106" s="35" t="n">
        <f aca="false">EC95+EC53+EC96+EC104+EC105</f>
        <v>-0</v>
      </c>
      <c r="ED106" s="35" t="n">
        <f aca="false">ED95+ED53+ED96+ED104+ED105</f>
        <v>-0</v>
      </c>
      <c r="EE106" s="35" t="n">
        <f aca="false">EE95+EE53+EE96+EE104+EE105</f>
        <v>-0</v>
      </c>
      <c r="EF106" s="35" t="n">
        <f aca="false">EF95+EF53+EF96+EF104+EF105</f>
        <v>-0</v>
      </c>
      <c r="EG106" s="35" t="n">
        <f aca="false">EG95+EG53+EG96+EG104+EG105</f>
        <v>-0</v>
      </c>
      <c r="EH106" s="35" t="n">
        <f aca="false">EH95+EH53+EH96+EH104+EH105</f>
        <v>-0</v>
      </c>
      <c r="EI106" s="35" t="n">
        <f aca="false">EI95+EI53+EI96+EI104+EI105</f>
        <v>-0</v>
      </c>
      <c r="EJ106" s="35" t="n">
        <f aca="false">EJ95+EJ53+EJ96+EJ104+EJ105</f>
        <v>-0</v>
      </c>
      <c r="EK106" s="35" t="n">
        <f aca="false">EK95+EK53+EK96+EK104+EK105</f>
        <v>-0</v>
      </c>
      <c r="EL106" s="35" t="n">
        <f aca="false">EL95+EL53+EL96+EL104+EL105</f>
        <v>-0</v>
      </c>
      <c r="EM106" s="35" t="n">
        <f aca="false">EM95+EM53+EM96+EM104+EM105</f>
        <v>-0</v>
      </c>
      <c r="EN106" s="35" t="n">
        <f aca="false">EN95+EN53+EN96+EN104+EN105</f>
        <v>-0</v>
      </c>
      <c r="EO106" s="35" t="n">
        <f aca="false">EO95+EO53+EO96+EO104+EO105</f>
        <v>-0</v>
      </c>
      <c r="EP106" s="35" t="n">
        <f aca="false">EP95+EP53+EP96+EP104+EP105</f>
        <v>-0</v>
      </c>
      <c r="EQ106" s="35" t="n">
        <f aca="false">EQ95+EQ53+EQ96+EQ104+EQ105</f>
        <v>-0</v>
      </c>
      <c r="ER106" s="35" t="n">
        <f aca="false">ER95+ER53+ER96+ER104+ER105</f>
        <v>-0</v>
      </c>
      <c r="ES106" s="35" t="n">
        <f aca="false">ES95+ES53+ES96+ES104+ES105</f>
        <v>-0</v>
      </c>
      <c r="ET106" s="35" t="n">
        <f aca="false">ET95+ET53+ET96+ET104+ET105</f>
        <v>-0</v>
      </c>
    </row>
    <row r="108" customFormat="false" ht="15" hidden="false" customHeight="false" outlineLevel="0" collapsed="false">
      <c r="A108" s="9" t="s">
        <v>13</v>
      </c>
      <c r="B108" s="9"/>
      <c r="C108" s="9" t="s">
        <v>371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</row>
    <row r="109" customFormat="false" ht="15" hidden="false" customHeight="false" outlineLevel="0" collapsed="false">
      <c r="C109" s="0" t="s">
        <v>562</v>
      </c>
      <c r="D109" s="11" t="s">
        <v>211</v>
      </c>
      <c r="J109" s="42" t="n">
        <f aca="false">ROUNDUP(YEARFRAC(In_COD,J$4),0)*(J$4&gt;In_COD)</f>
        <v>0</v>
      </c>
      <c r="K109" s="42" t="n">
        <f aca="false">ROUNDUP(YEARFRAC(In_COD,K$4),0)*(K$4&gt;In_COD)</f>
        <v>0</v>
      </c>
      <c r="L109" s="42" t="n">
        <f aca="false">ROUNDUP(YEARFRAC(In_COD,L$4),0)*(L$4&gt;In_COD)</f>
        <v>0</v>
      </c>
      <c r="M109" s="42" t="n">
        <f aca="false">ROUNDUP(YEARFRAC(In_COD,M$4),0)*(M$4&gt;In_COD)</f>
        <v>0</v>
      </c>
      <c r="N109" s="42" t="n">
        <f aca="false">ROUNDUP(YEARFRAC(In_COD,N$4),0)*(N$4&gt;In_COD)</f>
        <v>0</v>
      </c>
      <c r="O109" s="42" t="n">
        <f aca="false">ROUNDUP(YEARFRAC(In_COD,O$4),0)*(O$4&gt;In_COD)</f>
        <v>0</v>
      </c>
      <c r="P109" s="42" t="n">
        <f aca="false">ROUNDUP(YEARFRAC(In_COD,P$4),0)*(P$4&gt;In_COD)</f>
        <v>0</v>
      </c>
      <c r="Q109" s="42" t="n">
        <f aca="false">ROUNDUP(YEARFRAC(In_COD,Q$4),0)*(Q$4&gt;In_COD)</f>
        <v>0</v>
      </c>
      <c r="R109" s="42" t="n">
        <f aca="false">ROUNDUP(YEARFRAC(In_COD,R$4),0)*(R$4&gt;In_COD)</f>
        <v>0</v>
      </c>
      <c r="S109" s="42" t="n">
        <f aca="false">ROUNDUP(YEARFRAC(In_COD,S$4),0)*(S$4&gt;In_COD)</f>
        <v>0</v>
      </c>
      <c r="T109" s="42" t="n">
        <f aca="false">ROUNDUP(YEARFRAC(In_COD,T$4),0)*(T$4&gt;In_COD)</f>
        <v>0</v>
      </c>
      <c r="U109" s="42" t="n">
        <f aca="false">ROUNDUP(YEARFRAC(In_COD,U$4),0)*(U$4&gt;In_COD)</f>
        <v>0</v>
      </c>
      <c r="V109" s="42" t="n">
        <f aca="false">ROUNDUP(YEARFRAC(In_COD,V$4),0)*(V$4&gt;In_COD)</f>
        <v>0</v>
      </c>
      <c r="W109" s="42" t="n">
        <f aca="false">ROUNDUP(YEARFRAC(In_COD,W$4),0)*(W$4&gt;In_COD)</f>
        <v>0</v>
      </c>
      <c r="X109" s="42" t="n">
        <f aca="false">ROUNDUP(YEARFRAC(In_COD,X$4),0)*(X$4&gt;In_COD)</f>
        <v>0</v>
      </c>
      <c r="Y109" s="42" t="n">
        <f aca="false">ROUNDUP(YEARFRAC(In_COD,Y$4),0)*(Y$4&gt;In_COD)</f>
        <v>0</v>
      </c>
      <c r="Z109" s="42" t="n">
        <f aca="false">ROUNDUP(YEARFRAC(In_COD,Z$4),0)*(Z$4&gt;In_COD)</f>
        <v>0</v>
      </c>
      <c r="AA109" s="42" t="n">
        <f aca="false">ROUNDUP(YEARFRAC(In_COD,AA$4),0)*(AA$4&gt;In_COD)</f>
        <v>0</v>
      </c>
      <c r="AB109" s="42" t="n">
        <f aca="false">ROUNDUP(YEARFRAC(In_COD,AB$4),0)*(AB$4&gt;In_COD)</f>
        <v>0</v>
      </c>
      <c r="AC109" s="42" t="n">
        <f aca="false">ROUNDUP(YEARFRAC(In_COD,AC$4),0)*(AC$4&gt;In_COD)</f>
        <v>0</v>
      </c>
      <c r="AD109" s="42" t="n">
        <f aca="false">ROUNDUP(YEARFRAC(In_COD,AD$4),0)*(AD$4&gt;In_COD)</f>
        <v>0</v>
      </c>
      <c r="AE109" s="42" t="n">
        <f aca="false">ROUNDUP(YEARFRAC(In_COD,AE$4),0)*(AE$4&gt;In_COD)</f>
        <v>1</v>
      </c>
      <c r="AF109" s="42" t="n">
        <f aca="false">ROUNDUP(YEARFRAC(In_COD,AF$4),0)*(AF$4&gt;In_COD)</f>
        <v>1</v>
      </c>
      <c r="AG109" s="42" t="n">
        <f aca="false">ROUNDUP(YEARFRAC(In_COD,AG$4),0)*(AG$4&gt;In_COD)</f>
        <v>1</v>
      </c>
      <c r="AH109" s="42" t="n">
        <f aca="false">ROUNDUP(YEARFRAC(In_COD,AH$4),0)*(AH$4&gt;In_COD)</f>
        <v>1</v>
      </c>
      <c r="AI109" s="42" t="n">
        <f aca="false">ROUNDUP(YEARFRAC(In_COD,AI$4),0)*(AI$4&gt;In_COD)</f>
        <v>2</v>
      </c>
      <c r="AJ109" s="42" t="n">
        <f aca="false">ROUNDUP(YEARFRAC(In_COD,AJ$4),0)*(AJ$4&gt;In_COD)</f>
        <v>2</v>
      </c>
      <c r="AK109" s="42" t="n">
        <f aca="false">ROUNDUP(YEARFRAC(In_COD,AK$4),0)*(AK$4&gt;In_COD)</f>
        <v>2</v>
      </c>
      <c r="AL109" s="42" t="n">
        <f aca="false">ROUNDUP(YEARFRAC(In_COD,AL$4),0)*(AL$4&gt;In_COD)</f>
        <v>2</v>
      </c>
      <c r="AM109" s="42" t="n">
        <f aca="false">ROUNDUP(YEARFRAC(In_COD,AM$4),0)*(AM$4&gt;In_COD)</f>
        <v>3</v>
      </c>
      <c r="AN109" s="42" t="n">
        <f aca="false">ROUNDUP(YEARFRAC(In_COD,AN$4),0)*(AN$4&gt;In_COD)</f>
        <v>3</v>
      </c>
      <c r="AO109" s="42" t="n">
        <f aca="false">ROUNDUP(YEARFRAC(In_COD,AO$4),0)*(AO$4&gt;In_COD)</f>
        <v>3</v>
      </c>
      <c r="AP109" s="42" t="n">
        <f aca="false">ROUNDUP(YEARFRAC(In_COD,AP$4),0)*(AP$4&gt;In_COD)</f>
        <v>3</v>
      </c>
      <c r="AQ109" s="42" t="n">
        <f aca="false">ROUNDUP(YEARFRAC(In_COD,AQ$4),0)*(AQ$4&gt;In_COD)</f>
        <v>4</v>
      </c>
      <c r="AR109" s="42" t="n">
        <f aca="false">ROUNDUP(YEARFRAC(In_COD,AR$4),0)*(AR$4&gt;In_COD)</f>
        <v>4</v>
      </c>
      <c r="AS109" s="42" t="n">
        <f aca="false">ROUNDUP(YEARFRAC(In_COD,AS$4),0)*(AS$4&gt;In_COD)</f>
        <v>4</v>
      </c>
      <c r="AT109" s="42" t="n">
        <f aca="false">ROUNDUP(YEARFRAC(In_COD,AT$4),0)*(AT$4&gt;In_COD)</f>
        <v>4</v>
      </c>
      <c r="AU109" s="42" t="n">
        <f aca="false">ROUNDUP(YEARFRAC(In_COD,AU$4),0)*(AU$4&gt;In_COD)</f>
        <v>5</v>
      </c>
      <c r="AV109" s="42" t="n">
        <f aca="false">ROUNDUP(YEARFRAC(In_COD,AV$4),0)*(AV$4&gt;In_COD)</f>
        <v>5</v>
      </c>
      <c r="AW109" s="42" t="n">
        <f aca="false">ROUNDUP(YEARFRAC(In_COD,AW$4),0)*(AW$4&gt;In_COD)</f>
        <v>5</v>
      </c>
      <c r="AX109" s="42" t="n">
        <f aca="false">ROUNDUP(YEARFRAC(In_COD,AX$4),0)*(AX$4&gt;In_COD)</f>
        <v>5</v>
      </c>
      <c r="AY109" s="42" t="n">
        <f aca="false">ROUNDUP(YEARFRAC(In_COD,AY$4),0)*(AY$4&gt;In_COD)</f>
        <v>6</v>
      </c>
      <c r="AZ109" s="42" t="n">
        <f aca="false">ROUNDUP(YEARFRAC(In_COD,AZ$4),0)*(AZ$4&gt;In_COD)</f>
        <v>6</v>
      </c>
      <c r="BA109" s="42" t="n">
        <f aca="false">ROUNDUP(YEARFRAC(In_COD,BA$4),0)*(BA$4&gt;In_COD)</f>
        <v>6</v>
      </c>
      <c r="BB109" s="42" t="n">
        <f aca="false">ROUNDUP(YEARFRAC(In_COD,BB$4),0)*(BB$4&gt;In_COD)</f>
        <v>6</v>
      </c>
      <c r="BC109" s="42" t="n">
        <f aca="false">ROUNDUP(YEARFRAC(In_COD,BC$4),0)*(BC$4&gt;In_COD)</f>
        <v>7</v>
      </c>
      <c r="BD109" s="42" t="n">
        <f aca="false">ROUNDUP(YEARFRAC(In_COD,BD$4),0)*(BD$4&gt;In_COD)</f>
        <v>7</v>
      </c>
      <c r="BE109" s="42" t="n">
        <f aca="false">ROUNDUP(YEARFRAC(In_COD,BE$4),0)*(BE$4&gt;In_COD)</f>
        <v>7</v>
      </c>
      <c r="BF109" s="42" t="n">
        <f aca="false">ROUNDUP(YEARFRAC(In_COD,BF$4),0)*(BF$4&gt;In_COD)</f>
        <v>7</v>
      </c>
      <c r="BG109" s="42" t="n">
        <f aca="false">ROUNDUP(YEARFRAC(In_COD,BG$4),0)*(BG$4&gt;In_COD)</f>
        <v>8</v>
      </c>
      <c r="BH109" s="42" t="n">
        <f aca="false">ROUNDUP(YEARFRAC(In_COD,BH$4),0)*(BH$4&gt;In_COD)</f>
        <v>8</v>
      </c>
      <c r="BI109" s="42" t="n">
        <f aca="false">ROUNDUP(YEARFRAC(In_COD,BI$4),0)*(BI$4&gt;In_COD)</f>
        <v>8</v>
      </c>
      <c r="BJ109" s="42" t="n">
        <f aca="false">ROUNDUP(YEARFRAC(In_COD,BJ$4),0)*(BJ$4&gt;In_COD)</f>
        <v>8</v>
      </c>
      <c r="BK109" s="42" t="n">
        <f aca="false">ROUNDUP(YEARFRAC(In_COD,BK$4),0)*(BK$4&gt;In_COD)</f>
        <v>9</v>
      </c>
      <c r="BL109" s="42" t="n">
        <f aca="false">ROUNDUP(YEARFRAC(In_COD,BL$4),0)*(BL$4&gt;In_COD)</f>
        <v>9</v>
      </c>
      <c r="BM109" s="42" t="n">
        <f aca="false">ROUNDUP(YEARFRAC(In_COD,BM$4),0)*(BM$4&gt;In_COD)</f>
        <v>9</v>
      </c>
      <c r="BN109" s="42" t="n">
        <f aca="false">ROUNDUP(YEARFRAC(In_COD,BN$4),0)*(BN$4&gt;In_COD)</f>
        <v>9</v>
      </c>
      <c r="BO109" s="42" t="n">
        <f aca="false">ROUNDUP(YEARFRAC(In_COD,BO$4),0)*(BO$4&gt;In_COD)</f>
        <v>10</v>
      </c>
      <c r="BP109" s="42" t="n">
        <f aca="false">ROUNDUP(YEARFRAC(In_COD,BP$4),0)*(BP$4&gt;In_COD)</f>
        <v>10</v>
      </c>
      <c r="BQ109" s="42" t="n">
        <f aca="false">ROUNDUP(YEARFRAC(In_COD,BQ$4),0)*(BQ$4&gt;In_COD)</f>
        <v>10</v>
      </c>
      <c r="BR109" s="42" t="n">
        <f aca="false">ROUNDUP(YEARFRAC(In_COD,BR$4),0)*(BR$4&gt;In_COD)</f>
        <v>10</v>
      </c>
      <c r="BS109" s="42" t="n">
        <f aca="false">ROUNDUP(YEARFRAC(In_COD,BS$4),0)*(BS$4&gt;In_COD)</f>
        <v>11</v>
      </c>
      <c r="BT109" s="42" t="n">
        <f aca="false">ROUNDUP(YEARFRAC(In_COD,BT$4),0)*(BT$4&gt;In_COD)</f>
        <v>11</v>
      </c>
      <c r="BU109" s="42" t="n">
        <f aca="false">ROUNDUP(YEARFRAC(In_COD,BU$4),0)*(BU$4&gt;In_COD)</f>
        <v>11</v>
      </c>
      <c r="BV109" s="42" t="n">
        <f aca="false">ROUNDUP(YEARFRAC(In_COD,BV$4),0)*(BV$4&gt;In_COD)</f>
        <v>11</v>
      </c>
      <c r="BW109" s="42" t="n">
        <f aca="false">ROUNDUP(YEARFRAC(In_COD,BW$4),0)*(BW$4&gt;In_COD)</f>
        <v>12</v>
      </c>
      <c r="BX109" s="42" t="n">
        <f aca="false">ROUNDUP(YEARFRAC(In_COD,BX$4),0)*(BX$4&gt;In_COD)</f>
        <v>12</v>
      </c>
      <c r="BY109" s="42" t="n">
        <f aca="false">ROUNDUP(YEARFRAC(In_COD,BY$4),0)*(BY$4&gt;In_COD)</f>
        <v>12</v>
      </c>
      <c r="BZ109" s="42" t="n">
        <f aca="false">ROUNDUP(YEARFRAC(In_COD,BZ$4),0)*(BZ$4&gt;In_COD)</f>
        <v>12</v>
      </c>
      <c r="CA109" s="42" t="n">
        <f aca="false">ROUNDUP(YEARFRAC(In_COD,CA$4),0)*(CA$4&gt;In_COD)</f>
        <v>13</v>
      </c>
      <c r="CB109" s="42" t="n">
        <f aca="false">ROUNDUP(YEARFRAC(In_COD,CB$4),0)*(CB$4&gt;In_COD)</f>
        <v>13</v>
      </c>
      <c r="CC109" s="42" t="n">
        <f aca="false">ROUNDUP(YEARFRAC(In_COD,CC$4),0)*(CC$4&gt;In_COD)</f>
        <v>13</v>
      </c>
      <c r="CD109" s="42" t="n">
        <f aca="false">ROUNDUP(YEARFRAC(In_COD,CD$4),0)*(CD$4&gt;In_COD)</f>
        <v>13</v>
      </c>
      <c r="CE109" s="42" t="n">
        <f aca="false">ROUNDUP(YEARFRAC(In_COD,CE$4),0)*(CE$4&gt;In_COD)</f>
        <v>14</v>
      </c>
      <c r="CF109" s="42" t="n">
        <f aca="false">ROUNDUP(YEARFRAC(In_COD,CF$4),0)*(CF$4&gt;In_COD)</f>
        <v>14</v>
      </c>
      <c r="CG109" s="42" t="n">
        <f aca="false">ROUNDUP(YEARFRAC(In_COD,CG$4),0)*(CG$4&gt;In_COD)</f>
        <v>14</v>
      </c>
      <c r="CH109" s="42" t="n">
        <f aca="false">ROUNDUP(YEARFRAC(In_COD,CH$4),0)*(CH$4&gt;In_COD)</f>
        <v>14</v>
      </c>
      <c r="CI109" s="42" t="n">
        <f aca="false">ROUNDUP(YEARFRAC(In_COD,CI$4),0)*(CI$4&gt;In_COD)</f>
        <v>15</v>
      </c>
      <c r="CJ109" s="42" t="n">
        <f aca="false">ROUNDUP(YEARFRAC(In_COD,CJ$4),0)*(CJ$4&gt;In_COD)</f>
        <v>15</v>
      </c>
      <c r="CK109" s="42" t="n">
        <f aca="false">ROUNDUP(YEARFRAC(In_COD,CK$4),0)*(CK$4&gt;In_COD)</f>
        <v>15</v>
      </c>
      <c r="CL109" s="42" t="n">
        <f aca="false">ROUNDUP(YEARFRAC(In_COD,CL$4),0)*(CL$4&gt;In_COD)</f>
        <v>15</v>
      </c>
      <c r="CM109" s="42" t="n">
        <f aca="false">ROUNDUP(YEARFRAC(In_COD,CM$4),0)*(CM$4&gt;In_COD)</f>
        <v>16</v>
      </c>
      <c r="CN109" s="42" t="n">
        <f aca="false">ROUNDUP(YEARFRAC(In_COD,CN$4),0)*(CN$4&gt;In_COD)</f>
        <v>16</v>
      </c>
      <c r="CO109" s="42" t="n">
        <f aca="false">ROUNDUP(YEARFRAC(In_COD,CO$4),0)*(CO$4&gt;In_COD)</f>
        <v>16</v>
      </c>
      <c r="CP109" s="42" t="n">
        <f aca="false">ROUNDUP(YEARFRAC(In_COD,CP$4),0)*(CP$4&gt;In_COD)</f>
        <v>16</v>
      </c>
      <c r="CQ109" s="42" t="n">
        <f aca="false">ROUNDUP(YEARFRAC(In_COD,CQ$4),0)*(CQ$4&gt;In_COD)</f>
        <v>17</v>
      </c>
      <c r="CR109" s="42" t="n">
        <f aca="false">ROUNDUP(YEARFRAC(In_COD,CR$4),0)*(CR$4&gt;In_COD)</f>
        <v>17</v>
      </c>
      <c r="CS109" s="42" t="n">
        <f aca="false">ROUNDUP(YEARFRAC(In_COD,CS$4),0)*(CS$4&gt;In_COD)</f>
        <v>17</v>
      </c>
      <c r="CT109" s="42" t="n">
        <f aca="false">ROUNDUP(YEARFRAC(In_COD,CT$4),0)*(CT$4&gt;In_COD)</f>
        <v>17</v>
      </c>
      <c r="CU109" s="42" t="n">
        <f aca="false">ROUNDUP(YEARFRAC(In_COD,CU$4),0)*(CU$4&gt;In_COD)</f>
        <v>18</v>
      </c>
      <c r="CV109" s="42" t="n">
        <f aca="false">ROUNDUP(YEARFRAC(In_COD,CV$4),0)*(CV$4&gt;In_COD)</f>
        <v>18</v>
      </c>
      <c r="CW109" s="42" t="n">
        <f aca="false">ROUNDUP(YEARFRAC(In_COD,CW$4),0)*(CW$4&gt;In_COD)</f>
        <v>18</v>
      </c>
      <c r="CX109" s="42" t="n">
        <f aca="false">ROUNDUP(YEARFRAC(In_COD,CX$4),0)*(CX$4&gt;In_COD)</f>
        <v>18</v>
      </c>
      <c r="CY109" s="42" t="n">
        <f aca="false">ROUNDUP(YEARFRAC(In_COD,CY$4),0)*(CY$4&gt;In_COD)</f>
        <v>19</v>
      </c>
      <c r="CZ109" s="42" t="n">
        <f aca="false">ROUNDUP(YEARFRAC(In_COD,CZ$4),0)*(CZ$4&gt;In_COD)</f>
        <v>19</v>
      </c>
      <c r="DA109" s="42" t="n">
        <f aca="false">ROUNDUP(YEARFRAC(In_COD,DA$4),0)*(DA$4&gt;In_COD)</f>
        <v>19</v>
      </c>
      <c r="DB109" s="42" t="n">
        <f aca="false">ROUNDUP(YEARFRAC(In_COD,DB$4),0)*(DB$4&gt;In_COD)</f>
        <v>19</v>
      </c>
      <c r="DC109" s="42" t="n">
        <f aca="false">ROUNDUP(YEARFRAC(In_COD,DC$4),0)*(DC$4&gt;In_COD)</f>
        <v>20</v>
      </c>
      <c r="DD109" s="42" t="n">
        <f aca="false">ROUNDUP(YEARFRAC(In_COD,DD$4),0)*(DD$4&gt;In_COD)</f>
        <v>20</v>
      </c>
      <c r="DE109" s="42" t="n">
        <f aca="false">ROUNDUP(YEARFRAC(In_COD,DE$4),0)*(DE$4&gt;In_COD)</f>
        <v>20</v>
      </c>
      <c r="DF109" s="42" t="n">
        <f aca="false">ROUNDUP(YEARFRAC(In_COD,DF$4),0)*(DF$4&gt;In_COD)</f>
        <v>20</v>
      </c>
      <c r="DG109" s="42" t="n">
        <f aca="false">ROUNDUP(YEARFRAC(In_COD,DG$4),0)*(DG$4&gt;In_COD)</f>
        <v>21</v>
      </c>
      <c r="DH109" s="42" t="n">
        <f aca="false">ROUNDUP(YEARFRAC(In_COD,DH$4),0)*(DH$4&gt;In_COD)</f>
        <v>21</v>
      </c>
      <c r="DI109" s="42" t="n">
        <f aca="false">ROUNDUP(YEARFRAC(In_COD,DI$4),0)*(DI$4&gt;In_COD)</f>
        <v>21</v>
      </c>
      <c r="DJ109" s="42" t="n">
        <f aca="false">ROUNDUP(YEARFRAC(In_COD,DJ$4),0)*(DJ$4&gt;In_COD)</f>
        <v>21</v>
      </c>
      <c r="DK109" s="42" t="n">
        <f aca="false">ROUNDUP(YEARFRAC(In_COD,DK$4),0)*(DK$4&gt;In_COD)</f>
        <v>22</v>
      </c>
      <c r="DL109" s="42" t="n">
        <f aca="false">ROUNDUP(YEARFRAC(In_COD,DL$4),0)*(DL$4&gt;In_COD)</f>
        <v>22</v>
      </c>
      <c r="DM109" s="42" t="n">
        <f aca="false">ROUNDUP(YEARFRAC(In_COD,DM$4),0)*(DM$4&gt;In_COD)</f>
        <v>22</v>
      </c>
      <c r="DN109" s="42" t="n">
        <f aca="false">ROUNDUP(YEARFRAC(In_COD,DN$4),0)*(DN$4&gt;In_COD)</f>
        <v>22</v>
      </c>
      <c r="DO109" s="42" t="n">
        <f aca="false">ROUNDUP(YEARFRAC(In_COD,DO$4),0)*(DO$4&gt;In_COD)</f>
        <v>23</v>
      </c>
      <c r="DP109" s="42" t="n">
        <f aca="false">ROUNDUP(YEARFRAC(In_COD,DP$4),0)*(DP$4&gt;In_COD)</f>
        <v>23</v>
      </c>
      <c r="DQ109" s="42" t="n">
        <f aca="false">ROUNDUP(YEARFRAC(In_COD,DQ$4),0)*(DQ$4&gt;In_COD)</f>
        <v>23</v>
      </c>
      <c r="DR109" s="42" t="n">
        <f aca="false">ROUNDUP(YEARFRAC(In_COD,DR$4),0)*(DR$4&gt;In_COD)</f>
        <v>23</v>
      </c>
      <c r="DS109" s="42" t="n">
        <f aca="false">ROUNDUP(YEARFRAC(In_COD,DS$4),0)*(DS$4&gt;In_COD)</f>
        <v>24</v>
      </c>
      <c r="DT109" s="42" t="n">
        <f aca="false">ROUNDUP(YEARFRAC(In_COD,DT$4),0)*(DT$4&gt;In_COD)</f>
        <v>24</v>
      </c>
      <c r="DU109" s="42" t="n">
        <f aca="false">ROUNDUP(YEARFRAC(In_COD,DU$4),0)*(DU$4&gt;In_COD)</f>
        <v>24</v>
      </c>
      <c r="DV109" s="42" t="n">
        <f aca="false">ROUNDUP(YEARFRAC(In_COD,DV$4),0)*(DV$4&gt;In_COD)</f>
        <v>24</v>
      </c>
      <c r="DW109" s="42" t="n">
        <f aca="false">ROUNDUP(YEARFRAC(In_COD,DW$4),0)*(DW$4&gt;In_COD)</f>
        <v>25</v>
      </c>
      <c r="DX109" s="42" t="n">
        <f aca="false">ROUNDUP(YEARFRAC(In_COD,DX$4),0)*(DX$4&gt;In_COD)</f>
        <v>25</v>
      </c>
      <c r="DY109" s="42" t="n">
        <f aca="false">ROUNDUP(YEARFRAC(In_COD,DY$4),0)*(DY$4&gt;In_COD)</f>
        <v>25</v>
      </c>
      <c r="DZ109" s="42" t="n">
        <f aca="false">ROUNDUP(YEARFRAC(In_COD,DZ$4),0)*(DZ$4&gt;In_COD)</f>
        <v>25</v>
      </c>
      <c r="EA109" s="42" t="n">
        <f aca="false">ROUNDUP(YEARFRAC(In_COD,EA$4),0)*(EA$4&gt;In_COD)</f>
        <v>26</v>
      </c>
      <c r="EB109" s="42" t="n">
        <f aca="false">ROUNDUP(YEARFRAC(In_COD,EB$4),0)*(EB$4&gt;In_COD)</f>
        <v>26</v>
      </c>
      <c r="EC109" s="42" t="n">
        <f aca="false">ROUNDUP(YEARFRAC(In_COD,EC$4),0)*(EC$4&gt;In_COD)</f>
        <v>26</v>
      </c>
      <c r="ED109" s="42" t="n">
        <f aca="false">ROUNDUP(YEARFRAC(In_COD,ED$4),0)*(ED$4&gt;In_COD)</f>
        <v>26</v>
      </c>
      <c r="EE109" s="42" t="n">
        <f aca="false">ROUNDUP(YEARFRAC(In_COD,EE$4),0)*(EE$4&gt;In_COD)</f>
        <v>27</v>
      </c>
      <c r="EF109" s="42" t="n">
        <f aca="false">ROUNDUP(YEARFRAC(In_COD,EF$4),0)*(EF$4&gt;In_COD)</f>
        <v>27</v>
      </c>
      <c r="EG109" s="42" t="n">
        <f aca="false">ROUNDUP(YEARFRAC(In_COD,EG$4),0)*(EG$4&gt;In_COD)</f>
        <v>27</v>
      </c>
      <c r="EH109" s="42" t="n">
        <f aca="false">ROUNDUP(YEARFRAC(In_COD,EH$4),0)*(EH$4&gt;In_COD)</f>
        <v>27</v>
      </c>
      <c r="EI109" s="42" t="n">
        <f aca="false">ROUNDUP(YEARFRAC(In_COD,EI$4),0)*(EI$4&gt;In_COD)</f>
        <v>28</v>
      </c>
      <c r="EJ109" s="42" t="n">
        <f aca="false">ROUNDUP(YEARFRAC(In_COD,EJ$4),0)*(EJ$4&gt;In_COD)</f>
        <v>28</v>
      </c>
      <c r="EK109" s="42" t="n">
        <f aca="false">ROUNDUP(YEARFRAC(In_COD,EK$4),0)*(EK$4&gt;In_COD)</f>
        <v>28</v>
      </c>
      <c r="EL109" s="42" t="n">
        <f aca="false">ROUNDUP(YEARFRAC(In_COD,EL$4),0)*(EL$4&gt;In_COD)</f>
        <v>28</v>
      </c>
      <c r="EM109" s="42" t="n">
        <f aca="false">ROUNDUP(YEARFRAC(In_COD,EM$4),0)*(EM$4&gt;In_COD)</f>
        <v>29</v>
      </c>
      <c r="EN109" s="42" t="n">
        <f aca="false">ROUNDUP(YEARFRAC(In_COD,EN$4),0)*(EN$4&gt;In_COD)</f>
        <v>29</v>
      </c>
      <c r="EO109" s="42" t="n">
        <f aca="false">ROUNDUP(YEARFRAC(In_COD,EO$4),0)*(EO$4&gt;In_COD)</f>
        <v>29</v>
      </c>
      <c r="EP109" s="42" t="n">
        <f aca="false">ROUNDUP(YEARFRAC(In_COD,EP$4),0)*(EP$4&gt;In_COD)</f>
        <v>29</v>
      </c>
      <c r="EQ109" s="42" t="n">
        <f aca="false">ROUNDUP(YEARFRAC(In_COD,EQ$4),0)*(EQ$4&gt;In_COD)</f>
        <v>30</v>
      </c>
      <c r="ER109" s="42" t="n">
        <f aca="false">ROUNDUP(YEARFRAC(In_COD,ER$4),0)*(ER$4&gt;In_COD)</f>
        <v>30</v>
      </c>
      <c r="ES109" s="42" t="n">
        <f aca="false">ROUNDUP(YEARFRAC(In_COD,ES$4),0)*(ES$4&gt;In_COD)</f>
        <v>30</v>
      </c>
      <c r="ET109" s="42" t="n">
        <f aca="false">ROUNDUP(YEARFRAC(In_COD,ET$4),0)*(ET$4&gt;In_COD)</f>
        <v>30</v>
      </c>
    </row>
    <row r="110" customFormat="false" ht="15" hidden="false" customHeight="false" outlineLevel="0" collapsed="false">
      <c r="C110" s="0" t="s">
        <v>563</v>
      </c>
      <c r="D110" s="11" t="s">
        <v>482</v>
      </c>
      <c r="J110" s="52" t="n">
        <f aca="false">(1+In_Opex_Esc)^(J$7-YEAR(In_COD))</f>
        <v>0.883854287609517</v>
      </c>
      <c r="K110" s="52" t="n">
        <f aca="false">(1+In_Opex_Esc)^(K$7-YEAR(In_COD))</f>
        <v>0.883854287609517</v>
      </c>
      <c r="L110" s="52" t="n">
        <f aca="false">(1+In_Opex_Esc)^(L$7-YEAR(In_COD))</f>
        <v>0.905950644799755</v>
      </c>
      <c r="M110" s="52" t="n">
        <f aca="false">(1+In_Opex_Esc)^(M$7-YEAR(In_COD))</f>
        <v>0.905950644799755</v>
      </c>
      <c r="N110" s="52" t="n">
        <f aca="false">(1+In_Opex_Esc)^(N$7-YEAR(In_COD))</f>
        <v>0.905950644799755</v>
      </c>
      <c r="O110" s="52" t="n">
        <f aca="false">(1+In_Opex_Esc)^(O$7-YEAR(In_COD))</f>
        <v>0.905950644799755</v>
      </c>
      <c r="P110" s="52" t="n">
        <f aca="false">(1+In_Opex_Esc)^(P$7-YEAR(In_COD))</f>
        <v>0.928599410919749</v>
      </c>
      <c r="Q110" s="52" t="n">
        <f aca="false">(1+In_Opex_Esc)^(Q$7-YEAR(In_COD))</f>
        <v>0.928599410919749</v>
      </c>
      <c r="R110" s="52" t="n">
        <f aca="false">(1+In_Opex_Esc)^(R$7-YEAR(In_COD))</f>
        <v>0.928599410919749</v>
      </c>
      <c r="S110" s="52" t="n">
        <f aca="false">(1+In_Opex_Esc)^(S$7-YEAR(In_COD))</f>
        <v>0.928599410919749</v>
      </c>
      <c r="T110" s="52" t="n">
        <f aca="false">(1+In_Opex_Esc)^(T$7-YEAR(In_COD))</f>
        <v>0.951814396192743</v>
      </c>
      <c r="U110" s="52" t="n">
        <f aca="false">(1+In_Opex_Esc)^(U$7-YEAR(In_COD))</f>
        <v>0.951814396192743</v>
      </c>
      <c r="V110" s="52" t="n">
        <f aca="false">(1+In_Opex_Esc)^(V$7-YEAR(In_COD))</f>
        <v>0.951814396192743</v>
      </c>
      <c r="W110" s="52" t="n">
        <f aca="false">(1+In_Opex_Esc)^(W$7-YEAR(In_COD))</f>
        <v>0.951814396192743</v>
      </c>
      <c r="X110" s="52" t="n">
        <f aca="false">(1+In_Opex_Esc)^(X$7-YEAR(In_COD))</f>
        <v>0.975609756097561</v>
      </c>
      <c r="Y110" s="52" t="n">
        <f aca="false">(1+In_Opex_Esc)^(Y$7-YEAR(In_COD))</f>
        <v>0.975609756097561</v>
      </c>
      <c r="Z110" s="52" t="n">
        <f aca="false">(1+In_Opex_Esc)^(Z$7-YEAR(In_COD))</f>
        <v>0.975609756097561</v>
      </c>
      <c r="AA110" s="52" t="n">
        <f aca="false">(1+In_Opex_Esc)^(AA$7-YEAR(In_COD))</f>
        <v>0.975609756097561</v>
      </c>
      <c r="AB110" s="52" t="n">
        <f aca="false">(1+In_Opex_Esc)^(AB$7-YEAR(In_COD))</f>
        <v>1</v>
      </c>
      <c r="AC110" s="52" t="n">
        <f aca="false">(1+In_Opex_Esc)^(AC$7-YEAR(In_COD))</f>
        <v>1</v>
      </c>
      <c r="AD110" s="52" t="n">
        <f aca="false">(1+In_Opex_Esc)^(AD$7-YEAR(In_COD))</f>
        <v>1</v>
      </c>
      <c r="AE110" s="52" t="n">
        <f aca="false">(1+In_Opex_Esc)^(AE$7-YEAR(In_COD))</f>
        <v>1</v>
      </c>
      <c r="AF110" s="52" t="n">
        <f aca="false">(1+In_Opex_Esc)^(AF$7-YEAR(In_COD))</f>
        <v>1.025</v>
      </c>
      <c r="AG110" s="52" t="n">
        <f aca="false">(1+In_Opex_Esc)^(AG$7-YEAR(In_COD))</f>
        <v>1.025</v>
      </c>
      <c r="AH110" s="52" t="n">
        <f aca="false">(1+In_Opex_Esc)^(AH$7-YEAR(In_COD))</f>
        <v>1.025</v>
      </c>
      <c r="AI110" s="52" t="n">
        <f aca="false">(1+In_Opex_Esc)^(AI$7-YEAR(In_COD))</f>
        <v>1.025</v>
      </c>
      <c r="AJ110" s="52" t="n">
        <f aca="false">(1+In_Opex_Esc)^(AJ$7-YEAR(In_COD))</f>
        <v>1.050625</v>
      </c>
      <c r="AK110" s="52" t="n">
        <f aca="false">(1+In_Opex_Esc)^(AK$7-YEAR(In_COD))</f>
        <v>1.050625</v>
      </c>
      <c r="AL110" s="52" t="n">
        <f aca="false">(1+In_Opex_Esc)^(AL$7-YEAR(In_COD))</f>
        <v>1.050625</v>
      </c>
      <c r="AM110" s="52" t="n">
        <f aca="false">(1+In_Opex_Esc)^(AM$7-YEAR(In_COD))</f>
        <v>1.050625</v>
      </c>
      <c r="AN110" s="52" t="n">
        <f aca="false">(1+In_Opex_Esc)^(AN$7-YEAR(In_COD))</f>
        <v>1.076890625</v>
      </c>
      <c r="AO110" s="52" t="n">
        <f aca="false">(1+In_Opex_Esc)^(AO$7-YEAR(In_COD))</f>
        <v>1.076890625</v>
      </c>
      <c r="AP110" s="52" t="n">
        <f aca="false">(1+In_Opex_Esc)^(AP$7-YEAR(In_COD))</f>
        <v>1.076890625</v>
      </c>
      <c r="AQ110" s="52" t="n">
        <f aca="false">(1+In_Opex_Esc)^(AQ$7-YEAR(In_COD))</f>
        <v>1.076890625</v>
      </c>
      <c r="AR110" s="52" t="n">
        <f aca="false">(1+In_Opex_Esc)^(AR$7-YEAR(In_COD))</f>
        <v>1.103812890625</v>
      </c>
      <c r="AS110" s="52" t="n">
        <f aca="false">(1+In_Opex_Esc)^(AS$7-YEAR(In_COD))</f>
        <v>1.103812890625</v>
      </c>
      <c r="AT110" s="52" t="n">
        <f aca="false">(1+In_Opex_Esc)^(AT$7-YEAR(In_COD))</f>
        <v>1.103812890625</v>
      </c>
      <c r="AU110" s="52" t="n">
        <f aca="false">(1+In_Opex_Esc)^(AU$7-YEAR(In_COD))</f>
        <v>1.103812890625</v>
      </c>
      <c r="AV110" s="52" t="n">
        <f aca="false">(1+In_Opex_Esc)^(AV$7-YEAR(In_COD))</f>
        <v>1.13140821289062</v>
      </c>
      <c r="AW110" s="52" t="n">
        <f aca="false">(1+In_Opex_Esc)^(AW$7-YEAR(In_COD))</f>
        <v>1.13140821289062</v>
      </c>
      <c r="AX110" s="52" t="n">
        <f aca="false">(1+In_Opex_Esc)^(AX$7-YEAR(In_COD))</f>
        <v>1.13140821289062</v>
      </c>
      <c r="AY110" s="52" t="n">
        <f aca="false">(1+In_Opex_Esc)^(AY$7-YEAR(In_COD))</f>
        <v>1.13140821289062</v>
      </c>
      <c r="AZ110" s="52" t="n">
        <f aca="false">(1+In_Opex_Esc)^(AZ$7-YEAR(In_COD))</f>
        <v>1.15969341821289</v>
      </c>
      <c r="BA110" s="52" t="n">
        <f aca="false">(1+In_Opex_Esc)^(BA$7-YEAR(In_COD))</f>
        <v>1.15969341821289</v>
      </c>
      <c r="BB110" s="52" t="n">
        <f aca="false">(1+In_Opex_Esc)^(BB$7-YEAR(In_COD))</f>
        <v>1.15969341821289</v>
      </c>
      <c r="BC110" s="52" t="n">
        <f aca="false">(1+In_Opex_Esc)^(BC$7-YEAR(In_COD))</f>
        <v>1.15969341821289</v>
      </c>
      <c r="BD110" s="52" t="n">
        <f aca="false">(1+In_Opex_Esc)^(BD$7-YEAR(In_COD))</f>
        <v>1.18868575366821</v>
      </c>
      <c r="BE110" s="52" t="n">
        <f aca="false">(1+In_Opex_Esc)^(BE$7-YEAR(In_COD))</f>
        <v>1.18868575366821</v>
      </c>
      <c r="BF110" s="52" t="n">
        <f aca="false">(1+In_Opex_Esc)^(BF$7-YEAR(In_COD))</f>
        <v>1.18868575366821</v>
      </c>
      <c r="BG110" s="52" t="n">
        <f aca="false">(1+In_Opex_Esc)^(BG$7-YEAR(In_COD))</f>
        <v>1.18868575366821</v>
      </c>
      <c r="BH110" s="52" t="n">
        <f aca="false">(1+In_Opex_Esc)^(BH$7-YEAR(In_COD))</f>
        <v>1.21840289750992</v>
      </c>
      <c r="BI110" s="52" t="n">
        <f aca="false">(1+In_Opex_Esc)^(BI$7-YEAR(In_COD))</f>
        <v>1.21840289750992</v>
      </c>
      <c r="BJ110" s="52" t="n">
        <f aca="false">(1+In_Opex_Esc)^(BJ$7-YEAR(In_COD))</f>
        <v>1.21840289750992</v>
      </c>
      <c r="BK110" s="52" t="n">
        <f aca="false">(1+In_Opex_Esc)^(BK$7-YEAR(In_COD))</f>
        <v>1.21840289750992</v>
      </c>
      <c r="BL110" s="52" t="n">
        <f aca="false">(1+In_Opex_Esc)^(BL$7-YEAR(In_COD))</f>
        <v>1.24886296994767</v>
      </c>
      <c r="BM110" s="52" t="n">
        <f aca="false">(1+In_Opex_Esc)^(BM$7-YEAR(In_COD))</f>
        <v>1.24886296994767</v>
      </c>
      <c r="BN110" s="52" t="n">
        <f aca="false">(1+In_Opex_Esc)^(BN$7-YEAR(In_COD))</f>
        <v>1.24886296994767</v>
      </c>
      <c r="BO110" s="52" t="n">
        <f aca="false">(1+In_Opex_Esc)^(BO$7-YEAR(In_COD))</f>
        <v>1.24886296994767</v>
      </c>
      <c r="BP110" s="52" t="n">
        <f aca="false">(1+In_Opex_Esc)^(BP$7-YEAR(In_COD))</f>
        <v>1.28008454419636</v>
      </c>
      <c r="BQ110" s="52" t="n">
        <f aca="false">(1+In_Opex_Esc)^(BQ$7-YEAR(In_COD))</f>
        <v>1.28008454419636</v>
      </c>
      <c r="BR110" s="52" t="n">
        <f aca="false">(1+In_Opex_Esc)^(BR$7-YEAR(In_COD))</f>
        <v>1.28008454419636</v>
      </c>
      <c r="BS110" s="52" t="n">
        <f aca="false">(1+In_Opex_Esc)^(BS$7-YEAR(In_COD))</f>
        <v>1.28008454419636</v>
      </c>
      <c r="BT110" s="52" t="n">
        <f aca="false">(1+In_Opex_Esc)^(BT$7-YEAR(In_COD))</f>
        <v>1.31208665780127</v>
      </c>
      <c r="BU110" s="52" t="n">
        <f aca="false">(1+In_Opex_Esc)^(BU$7-YEAR(In_COD))</f>
        <v>1.31208665780127</v>
      </c>
      <c r="BV110" s="52" t="n">
        <f aca="false">(1+In_Opex_Esc)^(BV$7-YEAR(In_COD))</f>
        <v>1.31208665780127</v>
      </c>
      <c r="BW110" s="52" t="n">
        <f aca="false">(1+In_Opex_Esc)^(BW$7-YEAR(In_COD))</f>
        <v>1.31208665780127</v>
      </c>
      <c r="BX110" s="52" t="n">
        <f aca="false">(1+In_Opex_Esc)^(BX$7-YEAR(In_COD))</f>
        <v>1.3448888242463</v>
      </c>
      <c r="BY110" s="52" t="n">
        <f aca="false">(1+In_Opex_Esc)^(BY$7-YEAR(In_COD))</f>
        <v>1.3448888242463</v>
      </c>
      <c r="BZ110" s="52" t="n">
        <f aca="false">(1+In_Opex_Esc)^(BZ$7-YEAR(In_COD))</f>
        <v>1.3448888242463</v>
      </c>
      <c r="CA110" s="52" t="n">
        <f aca="false">(1+In_Opex_Esc)^(CA$7-YEAR(In_COD))</f>
        <v>1.3448888242463</v>
      </c>
      <c r="CB110" s="52" t="n">
        <f aca="false">(1+In_Opex_Esc)^(CB$7-YEAR(In_COD))</f>
        <v>1.37851104485245</v>
      </c>
      <c r="CC110" s="52" t="n">
        <f aca="false">(1+In_Opex_Esc)^(CC$7-YEAR(In_COD))</f>
        <v>1.37851104485245</v>
      </c>
      <c r="CD110" s="52" t="n">
        <f aca="false">(1+In_Opex_Esc)^(CD$7-YEAR(In_COD))</f>
        <v>1.37851104485245</v>
      </c>
      <c r="CE110" s="52" t="n">
        <f aca="false">(1+In_Opex_Esc)^(CE$7-YEAR(In_COD))</f>
        <v>1.37851104485245</v>
      </c>
      <c r="CF110" s="52" t="n">
        <f aca="false">(1+In_Opex_Esc)^(CF$7-YEAR(In_COD))</f>
        <v>1.41297382097377</v>
      </c>
      <c r="CG110" s="52" t="n">
        <f aca="false">(1+In_Opex_Esc)^(CG$7-YEAR(In_COD))</f>
        <v>1.41297382097377</v>
      </c>
      <c r="CH110" s="52" t="n">
        <f aca="false">(1+In_Opex_Esc)^(CH$7-YEAR(In_COD))</f>
        <v>1.41297382097377</v>
      </c>
      <c r="CI110" s="52" t="n">
        <f aca="false">(1+In_Opex_Esc)^(CI$7-YEAR(In_COD))</f>
        <v>1.41297382097377</v>
      </c>
      <c r="CJ110" s="52" t="n">
        <f aca="false">(1+In_Opex_Esc)^(CJ$7-YEAR(In_COD))</f>
        <v>1.44829816649811</v>
      </c>
      <c r="CK110" s="52" t="n">
        <f aca="false">(1+In_Opex_Esc)^(CK$7-YEAR(In_COD))</f>
        <v>1.44829816649811</v>
      </c>
      <c r="CL110" s="52" t="n">
        <f aca="false">(1+In_Opex_Esc)^(CL$7-YEAR(In_COD))</f>
        <v>1.44829816649811</v>
      </c>
      <c r="CM110" s="52" t="n">
        <f aca="false">(1+In_Opex_Esc)^(CM$7-YEAR(In_COD))</f>
        <v>1.44829816649811</v>
      </c>
      <c r="CN110" s="52" t="n">
        <f aca="false">(1+In_Opex_Esc)^(CN$7-YEAR(In_COD))</f>
        <v>1.48450562066056</v>
      </c>
      <c r="CO110" s="52" t="n">
        <f aca="false">(1+In_Opex_Esc)^(CO$7-YEAR(In_COD))</f>
        <v>1.48450562066056</v>
      </c>
      <c r="CP110" s="52" t="n">
        <f aca="false">(1+In_Opex_Esc)^(CP$7-YEAR(In_COD))</f>
        <v>1.48450562066056</v>
      </c>
      <c r="CQ110" s="52" t="n">
        <f aca="false">(1+In_Opex_Esc)^(CQ$7-YEAR(In_COD))</f>
        <v>1.48450562066056</v>
      </c>
      <c r="CR110" s="52" t="n">
        <f aca="false">(1+In_Opex_Esc)^(CR$7-YEAR(In_COD))</f>
        <v>1.52161826117708</v>
      </c>
      <c r="CS110" s="52" t="n">
        <f aca="false">(1+In_Opex_Esc)^(CS$7-YEAR(In_COD))</f>
        <v>1.52161826117708</v>
      </c>
      <c r="CT110" s="52" t="n">
        <f aca="false">(1+In_Opex_Esc)^(CT$7-YEAR(In_COD))</f>
        <v>1.52161826117708</v>
      </c>
      <c r="CU110" s="52" t="n">
        <f aca="false">(1+In_Opex_Esc)^(CU$7-YEAR(In_COD))</f>
        <v>1.52161826117708</v>
      </c>
      <c r="CV110" s="52" t="n">
        <f aca="false">(1+In_Opex_Esc)^(CV$7-YEAR(In_COD))</f>
        <v>1.5596587177065</v>
      </c>
      <c r="CW110" s="52" t="n">
        <f aca="false">(1+In_Opex_Esc)^(CW$7-YEAR(In_COD))</f>
        <v>1.5596587177065</v>
      </c>
      <c r="CX110" s="52" t="n">
        <f aca="false">(1+In_Opex_Esc)^(CX$7-YEAR(In_COD))</f>
        <v>1.5596587177065</v>
      </c>
      <c r="CY110" s="52" t="n">
        <f aca="false">(1+In_Opex_Esc)^(CY$7-YEAR(In_COD))</f>
        <v>1.5596587177065</v>
      </c>
      <c r="CZ110" s="52" t="n">
        <f aca="false">(1+In_Opex_Esc)^(CZ$7-YEAR(In_COD))</f>
        <v>1.59865018564917</v>
      </c>
      <c r="DA110" s="52" t="n">
        <f aca="false">(1+In_Opex_Esc)^(DA$7-YEAR(In_COD))</f>
        <v>1.59865018564917</v>
      </c>
      <c r="DB110" s="52" t="n">
        <f aca="false">(1+In_Opex_Esc)^(DB$7-YEAR(In_COD))</f>
        <v>1.59865018564917</v>
      </c>
      <c r="DC110" s="52" t="n">
        <f aca="false">(1+In_Opex_Esc)^(DC$7-YEAR(In_COD))</f>
        <v>1.59865018564917</v>
      </c>
      <c r="DD110" s="52" t="n">
        <f aca="false">(1+In_Opex_Esc)^(DD$7-YEAR(In_COD))</f>
        <v>1.63861644029039</v>
      </c>
      <c r="DE110" s="52" t="n">
        <f aca="false">(1+In_Opex_Esc)^(DE$7-YEAR(In_COD))</f>
        <v>1.63861644029039</v>
      </c>
      <c r="DF110" s="52" t="n">
        <f aca="false">(1+In_Opex_Esc)^(DF$7-YEAR(In_COD))</f>
        <v>1.63861644029039</v>
      </c>
      <c r="DG110" s="52" t="n">
        <f aca="false">(1+In_Opex_Esc)^(DG$7-YEAR(In_COD))</f>
        <v>1.63861644029039</v>
      </c>
      <c r="DH110" s="52" t="n">
        <f aca="false">(1+In_Opex_Esc)^(DH$7-YEAR(In_COD))</f>
        <v>1.67958185129765</v>
      </c>
      <c r="DI110" s="52" t="n">
        <f aca="false">(1+In_Opex_Esc)^(DI$7-YEAR(In_COD))</f>
        <v>1.67958185129765</v>
      </c>
      <c r="DJ110" s="52" t="n">
        <f aca="false">(1+In_Opex_Esc)^(DJ$7-YEAR(In_COD))</f>
        <v>1.67958185129765</v>
      </c>
      <c r="DK110" s="52" t="n">
        <f aca="false">(1+In_Opex_Esc)^(DK$7-YEAR(In_COD))</f>
        <v>1.67958185129765</v>
      </c>
      <c r="DL110" s="52" t="n">
        <f aca="false">(1+In_Opex_Esc)^(DL$7-YEAR(In_COD))</f>
        <v>1.7215713975801</v>
      </c>
      <c r="DM110" s="52" t="n">
        <f aca="false">(1+In_Opex_Esc)^(DM$7-YEAR(In_COD))</f>
        <v>1.7215713975801</v>
      </c>
      <c r="DN110" s="52" t="n">
        <f aca="false">(1+In_Opex_Esc)^(DN$7-YEAR(In_COD))</f>
        <v>1.7215713975801</v>
      </c>
      <c r="DO110" s="52" t="n">
        <f aca="false">(1+In_Opex_Esc)^(DO$7-YEAR(In_COD))</f>
        <v>1.7215713975801</v>
      </c>
      <c r="DP110" s="52" t="n">
        <f aca="false">(1+In_Opex_Esc)^(DP$7-YEAR(In_COD))</f>
        <v>1.7646106825196</v>
      </c>
      <c r="DQ110" s="52" t="n">
        <f aca="false">(1+In_Opex_Esc)^(DQ$7-YEAR(In_COD))</f>
        <v>1.7646106825196</v>
      </c>
      <c r="DR110" s="52" t="n">
        <f aca="false">(1+In_Opex_Esc)^(DR$7-YEAR(In_COD))</f>
        <v>1.7646106825196</v>
      </c>
      <c r="DS110" s="52" t="n">
        <f aca="false">(1+In_Opex_Esc)^(DS$7-YEAR(In_COD))</f>
        <v>1.7646106825196</v>
      </c>
      <c r="DT110" s="52" t="n">
        <f aca="false">(1+In_Opex_Esc)^(DT$7-YEAR(In_COD))</f>
        <v>1.80872594958259</v>
      </c>
      <c r="DU110" s="52" t="n">
        <f aca="false">(1+In_Opex_Esc)^(DU$7-YEAR(In_COD))</f>
        <v>1.80872594958259</v>
      </c>
      <c r="DV110" s="52" t="n">
        <f aca="false">(1+In_Opex_Esc)^(DV$7-YEAR(In_COD))</f>
        <v>1.80872594958259</v>
      </c>
      <c r="DW110" s="52" t="n">
        <f aca="false">(1+In_Opex_Esc)^(DW$7-YEAR(In_COD))</f>
        <v>1.80872594958259</v>
      </c>
      <c r="DX110" s="52" t="n">
        <f aca="false">(1+In_Opex_Esc)^(DX$7-YEAR(In_COD))</f>
        <v>1.85394409832215</v>
      </c>
      <c r="DY110" s="52" t="n">
        <f aca="false">(1+In_Opex_Esc)^(DY$7-YEAR(In_COD))</f>
        <v>1.85394409832215</v>
      </c>
      <c r="DZ110" s="52" t="n">
        <f aca="false">(1+In_Opex_Esc)^(DZ$7-YEAR(In_COD))</f>
        <v>1.85394409832215</v>
      </c>
      <c r="EA110" s="52" t="n">
        <f aca="false">(1+In_Opex_Esc)^(EA$7-YEAR(In_COD))</f>
        <v>1.85394409832215</v>
      </c>
      <c r="EB110" s="52" t="n">
        <f aca="false">(1+In_Opex_Esc)^(EB$7-YEAR(In_COD))</f>
        <v>1.90029270078021</v>
      </c>
      <c r="EC110" s="52" t="n">
        <f aca="false">(1+In_Opex_Esc)^(EC$7-YEAR(In_COD))</f>
        <v>1.90029270078021</v>
      </c>
      <c r="ED110" s="52" t="n">
        <f aca="false">(1+In_Opex_Esc)^(ED$7-YEAR(In_COD))</f>
        <v>1.90029270078021</v>
      </c>
      <c r="EE110" s="52" t="n">
        <f aca="false">(1+In_Opex_Esc)^(EE$7-YEAR(In_COD))</f>
        <v>1.90029270078021</v>
      </c>
      <c r="EF110" s="52" t="n">
        <f aca="false">(1+In_Opex_Esc)^(EF$7-YEAR(In_COD))</f>
        <v>1.94780001829971</v>
      </c>
      <c r="EG110" s="52" t="n">
        <f aca="false">(1+In_Opex_Esc)^(EG$7-YEAR(In_COD))</f>
        <v>1.94780001829971</v>
      </c>
      <c r="EH110" s="52" t="n">
        <f aca="false">(1+In_Opex_Esc)^(EH$7-YEAR(In_COD))</f>
        <v>1.94780001829971</v>
      </c>
      <c r="EI110" s="52" t="n">
        <f aca="false">(1+In_Opex_Esc)^(EI$7-YEAR(In_COD))</f>
        <v>1.94780001829971</v>
      </c>
      <c r="EJ110" s="52" t="n">
        <f aca="false">(1+In_Opex_Esc)^(EJ$7-YEAR(In_COD))</f>
        <v>1.9964950187572</v>
      </c>
      <c r="EK110" s="52" t="n">
        <f aca="false">(1+In_Opex_Esc)^(EK$7-YEAR(In_COD))</f>
        <v>1.9964950187572</v>
      </c>
      <c r="EL110" s="52" t="n">
        <f aca="false">(1+In_Opex_Esc)^(EL$7-YEAR(In_COD))</f>
        <v>1.9964950187572</v>
      </c>
      <c r="EM110" s="52" t="n">
        <f aca="false">(1+In_Opex_Esc)^(EM$7-YEAR(In_COD))</f>
        <v>1.9964950187572</v>
      </c>
      <c r="EN110" s="52" t="n">
        <f aca="false">(1+In_Opex_Esc)^(EN$7-YEAR(In_COD))</f>
        <v>2.04640739422613</v>
      </c>
      <c r="EO110" s="52" t="n">
        <f aca="false">(1+In_Opex_Esc)^(EO$7-YEAR(In_COD))</f>
        <v>2.04640739422613</v>
      </c>
      <c r="EP110" s="52" t="n">
        <f aca="false">(1+In_Opex_Esc)^(EP$7-YEAR(In_COD))</f>
        <v>2.04640739422613</v>
      </c>
      <c r="EQ110" s="52" t="n">
        <f aca="false">(1+In_Opex_Esc)^(EQ$7-YEAR(In_COD))</f>
        <v>2.04640739422613</v>
      </c>
      <c r="ER110" s="52" t="n">
        <f aca="false">(1+In_Opex_Esc)^(ER$7-YEAR(In_COD))</f>
        <v>2.09756757908179</v>
      </c>
      <c r="ES110" s="52" t="n">
        <f aca="false">(1+In_Opex_Esc)^(ES$7-YEAR(In_COD))</f>
        <v>2.09756757908179</v>
      </c>
      <c r="ET110" s="52" t="n">
        <f aca="false">(1+In_Opex_Esc)^(ET$7-YEAR(In_COD))</f>
        <v>2.09756757908179</v>
      </c>
    </row>
    <row r="111" customFormat="false" ht="15" hidden="false" customHeight="false" outlineLevel="0" collapsed="false">
      <c r="C111" s="0" t="s">
        <v>564</v>
      </c>
      <c r="D111" s="11" t="s">
        <v>32</v>
      </c>
      <c r="J111" s="28" t="n">
        <f aca="false">In_PPA_Price*(1+In_PPA_Esc)^(J$7-YEAR(In_COD))</f>
        <v>85.6319118846074</v>
      </c>
      <c r="K111" s="28" t="n">
        <f aca="false">In_PPA_Price*(1+In_PPA_Esc)^(K$7-YEAR(In_COD))</f>
        <v>85.6319118846074</v>
      </c>
      <c r="L111" s="28" t="n">
        <f aca="false">In_PPA_Price*(1+In_PPA_Esc)^(L$7-YEAR(In_COD))</f>
        <v>86.4882310034535</v>
      </c>
      <c r="M111" s="28" t="n">
        <f aca="false">In_PPA_Price*(1+In_PPA_Esc)^(M$7-YEAR(In_COD))</f>
        <v>86.4882310034535</v>
      </c>
      <c r="N111" s="28" t="n">
        <f aca="false">In_PPA_Price*(1+In_PPA_Esc)^(N$7-YEAR(In_COD))</f>
        <v>86.4882310034535</v>
      </c>
      <c r="O111" s="28" t="n">
        <f aca="false">In_PPA_Price*(1+In_PPA_Esc)^(O$7-YEAR(In_COD))</f>
        <v>86.4882310034535</v>
      </c>
      <c r="P111" s="28" t="n">
        <f aca="false">In_PPA_Price*(1+In_PPA_Esc)^(P$7-YEAR(In_COD))</f>
        <v>87.353113313488</v>
      </c>
      <c r="Q111" s="28" t="n">
        <f aca="false">In_PPA_Price*(1+In_PPA_Esc)^(Q$7-YEAR(In_COD))</f>
        <v>87.353113313488</v>
      </c>
      <c r="R111" s="28" t="n">
        <f aca="false">In_PPA_Price*(1+In_PPA_Esc)^(R$7-YEAR(In_COD))</f>
        <v>87.353113313488</v>
      </c>
      <c r="S111" s="28" t="n">
        <f aca="false">In_PPA_Price*(1+In_PPA_Esc)^(S$7-YEAR(In_COD))</f>
        <v>87.353113313488</v>
      </c>
      <c r="T111" s="28" t="n">
        <f aca="false">In_PPA_Price*(1+In_PPA_Esc)^(T$7-YEAR(In_COD))</f>
        <v>88.2266444466229</v>
      </c>
      <c r="U111" s="28" t="n">
        <f aca="false">In_PPA_Price*(1+In_PPA_Esc)^(U$7-YEAR(In_COD))</f>
        <v>88.2266444466229</v>
      </c>
      <c r="V111" s="28" t="n">
        <f aca="false">In_PPA_Price*(1+In_PPA_Esc)^(V$7-YEAR(In_COD))</f>
        <v>88.2266444466229</v>
      </c>
      <c r="W111" s="28" t="n">
        <f aca="false">In_PPA_Price*(1+In_PPA_Esc)^(W$7-YEAR(In_COD))</f>
        <v>88.2266444466229</v>
      </c>
      <c r="X111" s="28" t="n">
        <f aca="false">In_PPA_Price*(1+In_PPA_Esc)^(X$7-YEAR(In_COD))</f>
        <v>89.1089108910891</v>
      </c>
      <c r="Y111" s="28" t="n">
        <f aca="false">In_PPA_Price*(1+In_PPA_Esc)^(Y$7-YEAR(In_COD))</f>
        <v>89.1089108910891</v>
      </c>
      <c r="Z111" s="28" t="n">
        <f aca="false">In_PPA_Price*(1+In_PPA_Esc)^(Z$7-YEAR(In_COD))</f>
        <v>89.1089108910891</v>
      </c>
      <c r="AA111" s="28" t="n">
        <f aca="false">In_PPA_Price*(1+In_PPA_Esc)^(AA$7-YEAR(In_COD))</f>
        <v>89.1089108910891</v>
      </c>
      <c r="AB111" s="28" t="n">
        <f aca="false">In_PPA_Price*(1+In_PPA_Esc)^(AB$7-YEAR(In_COD))</f>
        <v>90</v>
      </c>
      <c r="AC111" s="28" t="n">
        <f aca="false">In_PPA_Price*(1+In_PPA_Esc)^(AC$7-YEAR(In_COD))</f>
        <v>90</v>
      </c>
      <c r="AD111" s="28" t="n">
        <f aca="false">In_PPA_Price*(1+In_PPA_Esc)^(AD$7-YEAR(In_COD))</f>
        <v>90</v>
      </c>
      <c r="AE111" s="28" t="n">
        <f aca="false">In_PPA_Price*(1+In_PPA_Esc)^(AE$7-YEAR(In_COD))</f>
        <v>90</v>
      </c>
      <c r="AF111" s="28" t="n">
        <f aca="false">In_PPA_Price*(1+In_PPA_Esc)^(AF$7-YEAR(In_COD))</f>
        <v>90.9</v>
      </c>
      <c r="AG111" s="28" t="n">
        <f aca="false">In_PPA_Price*(1+In_PPA_Esc)^(AG$7-YEAR(In_COD))</f>
        <v>90.9</v>
      </c>
      <c r="AH111" s="28" t="n">
        <f aca="false">In_PPA_Price*(1+In_PPA_Esc)^(AH$7-YEAR(In_COD))</f>
        <v>90.9</v>
      </c>
      <c r="AI111" s="28" t="n">
        <f aca="false">In_PPA_Price*(1+In_PPA_Esc)^(AI$7-YEAR(In_COD))</f>
        <v>90.9</v>
      </c>
      <c r="AJ111" s="28" t="n">
        <f aca="false">In_PPA_Price*(1+In_PPA_Esc)^(AJ$7-YEAR(In_COD))</f>
        <v>91.809</v>
      </c>
      <c r="AK111" s="28" t="n">
        <f aca="false">In_PPA_Price*(1+In_PPA_Esc)^(AK$7-YEAR(In_COD))</f>
        <v>91.809</v>
      </c>
      <c r="AL111" s="28" t="n">
        <f aca="false">In_PPA_Price*(1+In_PPA_Esc)^(AL$7-YEAR(In_COD))</f>
        <v>91.809</v>
      </c>
      <c r="AM111" s="28" t="n">
        <f aca="false">In_PPA_Price*(1+In_PPA_Esc)^(AM$7-YEAR(In_COD))</f>
        <v>91.809</v>
      </c>
      <c r="AN111" s="28" t="n">
        <f aca="false">In_PPA_Price*(1+In_PPA_Esc)^(AN$7-YEAR(In_COD))</f>
        <v>92.72709</v>
      </c>
      <c r="AO111" s="28" t="n">
        <f aca="false">In_PPA_Price*(1+In_PPA_Esc)^(AO$7-YEAR(In_COD))</f>
        <v>92.72709</v>
      </c>
      <c r="AP111" s="28" t="n">
        <f aca="false">In_PPA_Price*(1+In_PPA_Esc)^(AP$7-YEAR(In_COD))</f>
        <v>92.72709</v>
      </c>
      <c r="AQ111" s="28" t="n">
        <f aca="false">In_PPA_Price*(1+In_PPA_Esc)^(AQ$7-YEAR(In_COD))</f>
        <v>92.72709</v>
      </c>
      <c r="AR111" s="28" t="n">
        <f aca="false">In_PPA_Price*(1+In_PPA_Esc)^(AR$7-YEAR(In_COD))</f>
        <v>93.6543609</v>
      </c>
      <c r="AS111" s="28" t="n">
        <f aca="false">In_PPA_Price*(1+In_PPA_Esc)^(AS$7-YEAR(In_COD))</f>
        <v>93.6543609</v>
      </c>
      <c r="AT111" s="28" t="n">
        <f aca="false">In_PPA_Price*(1+In_PPA_Esc)^(AT$7-YEAR(In_COD))</f>
        <v>93.6543609</v>
      </c>
      <c r="AU111" s="28" t="n">
        <f aca="false">In_PPA_Price*(1+In_PPA_Esc)^(AU$7-YEAR(In_COD))</f>
        <v>93.6543609</v>
      </c>
      <c r="AV111" s="28" t="n">
        <f aca="false">In_PPA_Price*(1+In_PPA_Esc)^(AV$7-YEAR(In_COD))</f>
        <v>94.590904509</v>
      </c>
      <c r="AW111" s="28" t="n">
        <f aca="false">In_PPA_Price*(1+In_PPA_Esc)^(AW$7-YEAR(In_COD))</f>
        <v>94.590904509</v>
      </c>
      <c r="AX111" s="28" t="n">
        <f aca="false">In_PPA_Price*(1+In_PPA_Esc)^(AX$7-YEAR(In_COD))</f>
        <v>94.590904509</v>
      </c>
      <c r="AY111" s="28" t="n">
        <f aca="false">In_PPA_Price*(1+In_PPA_Esc)^(AY$7-YEAR(In_COD))</f>
        <v>94.590904509</v>
      </c>
      <c r="AZ111" s="28" t="n">
        <f aca="false">In_PPA_Price*(1+In_PPA_Esc)^(AZ$7-YEAR(In_COD))</f>
        <v>95.53681355409</v>
      </c>
      <c r="BA111" s="28" t="n">
        <f aca="false">In_PPA_Price*(1+In_PPA_Esc)^(BA$7-YEAR(In_COD))</f>
        <v>95.53681355409</v>
      </c>
      <c r="BB111" s="28" t="n">
        <f aca="false">In_PPA_Price*(1+In_PPA_Esc)^(BB$7-YEAR(In_COD))</f>
        <v>95.53681355409</v>
      </c>
      <c r="BC111" s="28" t="n">
        <f aca="false">In_PPA_Price*(1+In_PPA_Esc)^(BC$7-YEAR(In_COD))</f>
        <v>95.53681355409</v>
      </c>
      <c r="BD111" s="28" t="n">
        <f aca="false">In_PPA_Price*(1+In_PPA_Esc)^(BD$7-YEAR(In_COD))</f>
        <v>96.4921816896309</v>
      </c>
      <c r="BE111" s="28" t="n">
        <f aca="false">In_PPA_Price*(1+In_PPA_Esc)^(BE$7-YEAR(In_COD))</f>
        <v>96.4921816896309</v>
      </c>
      <c r="BF111" s="28" t="n">
        <f aca="false">In_PPA_Price*(1+In_PPA_Esc)^(BF$7-YEAR(In_COD))</f>
        <v>96.4921816896309</v>
      </c>
      <c r="BG111" s="28" t="n">
        <f aca="false">In_PPA_Price*(1+In_PPA_Esc)^(BG$7-YEAR(In_COD))</f>
        <v>96.4921816896309</v>
      </c>
      <c r="BH111" s="28" t="n">
        <f aca="false">In_PPA_Price*(1+In_PPA_Esc)^(BH$7-YEAR(In_COD))</f>
        <v>97.4571035065272</v>
      </c>
      <c r="BI111" s="28" t="n">
        <f aca="false">In_PPA_Price*(1+In_PPA_Esc)^(BI$7-YEAR(In_COD))</f>
        <v>97.4571035065272</v>
      </c>
      <c r="BJ111" s="28" t="n">
        <f aca="false">In_PPA_Price*(1+In_PPA_Esc)^(BJ$7-YEAR(In_COD))</f>
        <v>97.4571035065272</v>
      </c>
      <c r="BK111" s="28" t="n">
        <f aca="false">In_PPA_Price*(1+In_PPA_Esc)^(BK$7-YEAR(In_COD))</f>
        <v>97.4571035065272</v>
      </c>
      <c r="BL111" s="28" t="n">
        <f aca="false">In_PPA_Price*(1+In_PPA_Esc)^(BL$7-YEAR(In_COD))</f>
        <v>98.4316745415925</v>
      </c>
      <c r="BM111" s="28" t="n">
        <f aca="false">In_PPA_Price*(1+In_PPA_Esc)^(BM$7-YEAR(In_COD))</f>
        <v>98.4316745415925</v>
      </c>
      <c r="BN111" s="28" t="n">
        <f aca="false">In_PPA_Price*(1+In_PPA_Esc)^(BN$7-YEAR(In_COD))</f>
        <v>98.4316745415925</v>
      </c>
      <c r="BO111" s="28" t="n">
        <f aca="false">In_PPA_Price*(1+In_PPA_Esc)^(BO$7-YEAR(In_COD))</f>
        <v>98.4316745415925</v>
      </c>
      <c r="BP111" s="28" t="n">
        <f aca="false">In_PPA_Price*(1+In_PPA_Esc)^(BP$7-YEAR(In_COD))</f>
        <v>99.4159912870084</v>
      </c>
      <c r="BQ111" s="28" t="n">
        <f aca="false">In_PPA_Price*(1+In_PPA_Esc)^(BQ$7-YEAR(In_COD))</f>
        <v>99.4159912870084</v>
      </c>
      <c r="BR111" s="28" t="n">
        <f aca="false">In_PPA_Price*(1+In_PPA_Esc)^(BR$7-YEAR(In_COD))</f>
        <v>99.4159912870084</v>
      </c>
      <c r="BS111" s="28" t="n">
        <f aca="false">In_PPA_Price*(1+In_PPA_Esc)^(BS$7-YEAR(In_COD))</f>
        <v>99.4159912870084</v>
      </c>
      <c r="BT111" s="28" t="n">
        <f aca="false">In_PPA_Price*(1+In_PPA_Esc)^(BT$7-YEAR(In_COD))</f>
        <v>100.410151199878</v>
      </c>
      <c r="BU111" s="28" t="n">
        <f aca="false">In_PPA_Price*(1+In_PPA_Esc)^(BU$7-YEAR(In_COD))</f>
        <v>100.410151199878</v>
      </c>
      <c r="BV111" s="28" t="n">
        <f aca="false">In_PPA_Price*(1+In_PPA_Esc)^(BV$7-YEAR(In_COD))</f>
        <v>100.410151199878</v>
      </c>
      <c r="BW111" s="28" t="n">
        <f aca="false">In_PPA_Price*(1+In_PPA_Esc)^(BW$7-YEAR(In_COD))</f>
        <v>100.410151199878</v>
      </c>
      <c r="BX111" s="28" t="n">
        <f aca="false">In_PPA_Price*(1+In_PPA_Esc)^(BX$7-YEAR(In_COD))</f>
        <v>101.414252711877</v>
      </c>
      <c r="BY111" s="28" t="n">
        <f aca="false">In_PPA_Price*(1+In_PPA_Esc)^(BY$7-YEAR(In_COD))</f>
        <v>101.414252711877</v>
      </c>
      <c r="BZ111" s="28" t="n">
        <f aca="false">In_PPA_Price*(1+In_PPA_Esc)^(BZ$7-YEAR(In_COD))</f>
        <v>101.414252711877</v>
      </c>
      <c r="CA111" s="28" t="n">
        <f aca="false">In_PPA_Price*(1+In_PPA_Esc)^(CA$7-YEAR(In_COD))</f>
        <v>101.414252711877</v>
      </c>
      <c r="CB111" s="28" t="n">
        <f aca="false">In_PPA_Price*(1+In_PPA_Esc)^(CB$7-YEAR(In_COD))</f>
        <v>102.428395238996</v>
      </c>
      <c r="CC111" s="28" t="n">
        <f aca="false">In_PPA_Price*(1+In_PPA_Esc)^(CC$7-YEAR(In_COD))</f>
        <v>102.428395238996</v>
      </c>
      <c r="CD111" s="28" t="n">
        <f aca="false">In_PPA_Price*(1+In_PPA_Esc)^(CD$7-YEAR(In_COD))</f>
        <v>102.428395238996</v>
      </c>
      <c r="CE111" s="28" t="n">
        <f aca="false">In_PPA_Price*(1+In_PPA_Esc)^(CE$7-YEAR(In_COD))</f>
        <v>102.428395238996</v>
      </c>
      <c r="CF111" s="28" t="n">
        <f aca="false">In_PPA_Price*(1+In_PPA_Esc)^(CF$7-YEAR(In_COD))</f>
        <v>103.452679191386</v>
      </c>
      <c r="CG111" s="28" t="n">
        <f aca="false">In_PPA_Price*(1+In_PPA_Esc)^(CG$7-YEAR(In_COD))</f>
        <v>103.452679191386</v>
      </c>
      <c r="CH111" s="28" t="n">
        <f aca="false">In_PPA_Price*(1+In_PPA_Esc)^(CH$7-YEAR(In_COD))</f>
        <v>103.452679191386</v>
      </c>
      <c r="CI111" s="28" t="n">
        <f aca="false">In_PPA_Price*(1+In_PPA_Esc)^(CI$7-YEAR(In_COD))</f>
        <v>103.452679191386</v>
      </c>
      <c r="CJ111" s="28" t="n">
        <f aca="false">In_PPA_Price*(1+In_PPA_Esc)^(CJ$7-YEAR(In_COD))</f>
        <v>104.4872059833</v>
      </c>
      <c r="CK111" s="28" t="n">
        <f aca="false">In_PPA_Price*(1+In_PPA_Esc)^(CK$7-YEAR(In_COD))</f>
        <v>104.4872059833</v>
      </c>
      <c r="CL111" s="28" t="n">
        <f aca="false">In_PPA_Price*(1+In_PPA_Esc)^(CL$7-YEAR(In_COD))</f>
        <v>104.4872059833</v>
      </c>
      <c r="CM111" s="28" t="n">
        <f aca="false">In_PPA_Price*(1+In_PPA_Esc)^(CM$7-YEAR(In_COD))</f>
        <v>104.4872059833</v>
      </c>
      <c r="CN111" s="28" t="n">
        <f aca="false">In_PPA_Price*(1+In_PPA_Esc)^(CN$7-YEAR(In_COD))</f>
        <v>105.532078043133</v>
      </c>
      <c r="CO111" s="28" t="n">
        <f aca="false">In_PPA_Price*(1+In_PPA_Esc)^(CO$7-YEAR(In_COD))</f>
        <v>105.532078043133</v>
      </c>
      <c r="CP111" s="28" t="n">
        <f aca="false">In_PPA_Price*(1+In_PPA_Esc)^(CP$7-YEAR(In_COD))</f>
        <v>105.532078043133</v>
      </c>
      <c r="CQ111" s="28" t="n">
        <f aca="false">In_PPA_Price*(1+In_PPA_Esc)^(CQ$7-YEAR(In_COD))</f>
        <v>105.532078043133</v>
      </c>
      <c r="CR111" s="28" t="n">
        <f aca="false">In_PPA_Price*(1+In_PPA_Esc)^(CR$7-YEAR(In_COD))</f>
        <v>106.587398823564</v>
      </c>
      <c r="CS111" s="28" t="n">
        <f aca="false">In_PPA_Price*(1+In_PPA_Esc)^(CS$7-YEAR(In_COD))</f>
        <v>106.587398823564</v>
      </c>
      <c r="CT111" s="28" t="n">
        <f aca="false">In_PPA_Price*(1+In_PPA_Esc)^(CT$7-YEAR(In_COD))</f>
        <v>106.587398823564</v>
      </c>
      <c r="CU111" s="28" t="n">
        <f aca="false">In_PPA_Price*(1+In_PPA_Esc)^(CU$7-YEAR(In_COD))</f>
        <v>106.587398823564</v>
      </c>
      <c r="CV111" s="28" t="n">
        <f aca="false">In_PPA_Price*(1+In_PPA_Esc)^(CV$7-YEAR(In_COD))</f>
        <v>107.6532728118</v>
      </c>
      <c r="CW111" s="28" t="n">
        <f aca="false">In_PPA_Price*(1+In_PPA_Esc)^(CW$7-YEAR(In_COD))</f>
        <v>107.6532728118</v>
      </c>
      <c r="CX111" s="28" t="n">
        <f aca="false">In_PPA_Price*(1+In_PPA_Esc)^(CX$7-YEAR(In_COD))</f>
        <v>107.6532728118</v>
      </c>
      <c r="CY111" s="28" t="n">
        <f aca="false">In_PPA_Price*(1+In_PPA_Esc)^(CY$7-YEAR(In_COD))</f>
        <v>107.6532728118</v>
      </c>
      <c r="CZ111" s="28" t="n">
        <f aca="false">In_PPA_Price*(1+In_PPA_Esc)^(CZ$7-YEAR(In_COD))</f>
        <v>108.729805539918</v>
      </c>
      <c r="DA111" s="28" t="n">
        <f aca="false">In_PPA_Price*(1+In_PPA_Esc)^(DA$7-YEAR(In_COD))</f>
        <v>108.729805539918</v>
      </c>
      <c r="DB111" s="28" t="n">
        <f aca="false">In_PPA_Price*(1+In_PPA_Esc)^(DB$7-YEAR(In_COD))</f>
        <v>108.729805539918</v>
      </c>
      <c r="DC111" s="28" t="n">
        <f aca="false">In_PPA_Price*(1+In_PPA_Esc)^(DC$7-YEAR(In_COD))</f>
        <v>108.729805539918</v>
      </c>
      <c r="DD111" s="28" t="n">
        <f aca="false">In_PPA_Price*(1+In_PPA_Esc)^(DD$7-YEAR(In_COD))</f>
        <v>109.817103595317</v>
      </c>
      <c r="DE111" s="28" t="n">
        <f aca="false">In_PPA_Price*(1+In_PPA_Esc)^(DE$7-YEAR(In_COD))</f>
        <v>109.817103595317</v>
      </c>
      <c r="DF111" s="28" t="n">
        <f aca="false">In_PPA_Price*(1+In_PPA_Esc)^(DF$7-YEAR(In_COD))</f>
        <v>109.817103595317</v>
      </c>
      <c r="DG111" s="28" t="n">
        <f aca="false">In_PPA_Price*(1+In_PPA_Esc)^(DG$7-YEAR(In_COD))</f>
        <v>109.817103595317</v>
      </c>
      <c r="DH111" s="28" t="n">
        <f aca="false">In_PPA_Price*(1+In_PPA_Esc)^(DH$7-YEAR(In_COD))</f>
        <v>110.91527463127</v>
      </c>
      <c r="DI111" s="28" t="n">
        <f aca="false">In_PPA_Price*(1+In_PPA_Esc)^(DI$7-YEAR(In_COD))</f>
        <v>110.91527463127</v>
      </c>
      <c r="DJ111" s="28" t="n">
        <f aca="false">In_PPA_Price*(1+In_PPA_Esc)^(DJ$7-YEAR(In_COD))</f>
        <v>110.91527463127</v>
      </c>
      <c r="DK111" s="28" t="n">
        <f aca="false">In_PPA_Price*(1+In_PPA_Esc)^(DK$7-YEAR(In_COD))</f>
        <v>110.91527463127</v>
      </c>
      <c r="DL111" s="28" t="n">
        <f aca="false">In_PPA_Price*(1+In_PPA_Esc)^(DL$7-YEAR(In_COD))</f>
        <v>112.024427377583</v>
      </c>
      <c r="DM111" s="28" t="n">
        <f aca="false">In_PPA_Price*(1+In_PPA_Esc)^(DM$7-YEAR(In_COD))</f>
        <v>112.024427377583</v>
      </c>
      <c r="DN111" s="28" t="n">
        <f aca="false">In_PPA_Price*(1+In_PPA_Esc)^(DN$7-YEAR(In_COD))</f>
        <v>112.024427377583</v>
      </c>
      <c r="DO111" s="28" t="n">
        <f aca="false">In_PPA_Price*(1+In_PPA_Esc)^(DO$7-YEAR(In_COD))</f>
        <v>112.024427377583</v>
      </c>
      <c r="DP111" s="28" t="n">
        <f aca="false">In_PPA_Price*(1+In_PPA_Esc)^(DP$7-YEAR(In_COD))</f>
        <v>113.144671651359</v>
      </c>
      <c r="DQ111" s="28" t="n">
        <f aca="false">In_PPA_Price*(1+In_PPA_Esc)^(DQ$7-YEAR(In_COD))</f>
        <v>113.144671651359</v>
      </c>
      <c r="DR111" s="28" t="n">
        <f aca="false">In_PPA_Price*(1+In_PPA_Esc)^(DR$7-YEAR(In_COD))</f>
        <v>113.144671651359</v>
      </c>
      <c r="DS111" s="28" t="n">
        <f aca="false">In_PPA_Price*(1+In_PPA_Esc)^(DS$7-YEAR(In_COD))</f>
        <v>113.144671651359</v>
      </c>
      <c r="DT111" s="28" t="n">
        <f aca="false">In_PPA_Price*(1+In_PPA_Esc)^(DT$7-YEAR(In_COD))</f>
        <v>114.276118367872</v>
      </c>
      <c r="DU111" s="28" t="n">
        <f aca="false">In_PPA_Price*(1+In_PPA_Esc)^(DU$7-YEAR(In_COD))</f>
        <v>114.276118367872</v>
      </c>
      <c r="DV111" s="28" t="n">
        <f aca="false">In_PPA_Price*(1+In_PPA_Esc)^(DV$7-YEAR(In_COD))</f>
        <v>114.276118367872</v>
      </c>
      <c r="DW111" s="28" t="n">
        <f aca="false">In_PPA_Price*(1+In_PPA_Esc)^(DW$7-YEAR(In_COD))</f>
        <v>114.276118367872</v>
      </c>
      <c r="DX111" s="28" t="n">
        <f aca="false">In_PPA_Price*(1+In_PPA_Esc)^(DX$7-YEAR(In_COD))</f>
        <v>115.418879551551</v>
      </c>
      <c r="DY111" s="28" t="n">
        <f aca="false">In_PPA_Price*(1+In_PPA_Esc)^(DY$7-YEAR(In_COD))</f>
        <v>115.418879551551</v>
      </c>
      <c r="DZ111" s="28" t="n">
        <f aca="false">In_PPA_Price*(1+In_PPA_Esc)^(DZ$7-YEAR(In_COD))</f>
        <v>115.418879551551</v>
      </c>
      <c r="EA111" s="28" t="n">
        <f aca="false">In_PPA_Price*(1+In_PPA_Esc)^(EA$7-YEAR(In_COD))</f>
        <v>115.418879551551</v>
      </c>
      <c r="EB111" s="28" t="n">
        <f aca="false">In_PPA_Price*(1+In_PPA_Esc)^(EB$7-YEAR(In_COD))</f>
        <v>116.573068347067</v>
      </c>
      <c r="EC111" s="28" t="n">
        <f aca="false">In_PPA_Price*(1+In_PPA_Esc)^(EC$7-YEAR(In_COD))</f>
        <v>116.573068347067</v>
      </c>
      <c r="ED111" s="28" t="n">
        <f aca="false">In_PPA_Price*(1+In_PPA_Esc)^(ED$7-YEAR(In_COD))</f>
        <v>116.573068347067</v>
      </c>
      <c r="EE111" s="28" t="n">
        <f aca="false">In_PPA_Price*(1+In_PPA_Esc)^(EE$7-YEAR(In_COD))</f>
        <v>116.573068347067</v>
      </c>
      <c r="EF111" s="28" t="n">
        <f aca="false">In_PPA_Price*(1+In_PPA_Esc)^(EF$7-YEAR(In_COD))</f>
        <v>117.738799030537</v>
      </c>
      <c r="EG111" s="28" t="n">
        <f aca="false">In_PPA_Price*(1+In_PPA_Esc)^(EG$7-YEAR(In_COD))</f>
        <v>117.738799030537</v>
      </c>
      <c r="EH111" s="28" t="n">
        <f aca="false">In_PPA_Price*(1+In_PPA_Esc)^(EH$7-YEAR(In_COD))</f>
        <v>117.738799030537</v>
      </c>
      <c r="EI111" s="28" t="n">
        <f aca="false">In_PPA_Price*(1+In_PPA_Esc)^(EI$7-YEAR(In_COD))</f>
        <v>117.738799030537</v>
      </c>
      <c r="EJ111" s="28" t="n">
        <f aca="false">In_PPA_Price*(1+In_PPA_Esc)^(EJ$7-YEAR(In_COD))</f>
        <v>118.916187020843</v>
      </c>
      <c r="EK111" s="28" t="n">
        <f aca="false">In_PPA_Price*(1+In_PPA_Esc)^(EK$7-YEAR(In_COD))</f>
        <v>118.916187020843</v>
      </c>
      <c r="EL111" s="28" t="n">
        <f aca="false">In_PPA_Price*(1+In_PPA_Esc)^(EL$7-YEAR(In_COD))</f>
        <v>118.916187020843</v>
      </c>
      <c r="EM111" s="28" t="n">
        <f aca="false">In_PPA_Price*(1+In_PPA_Esc)^(EM$7-YEAR(In_COD))</f>
        <v>118.916187020843</v>
      </c>
      <c r="EN111" s="28" t="n">
        <f aca="false">In_PPA_Price*(1+In_PPA_Esc)^(EN$7-YEAR(In_COD))</f>
        <v>120.105348891051</v>
      </c>
      <c r="EO111" s="28" t="n">
        <f aca="false">In_PPA_Price*(1+In_PPA_Esc)^(EO$7-YEAR(In_COD))</f>
        <v>120.105348891051</v>
      </c>
      <c r="EP111" s="28" t="n">
        <f aca="false">In_PPA_Price*(1+In_PPA_Esc)^(EP$7-YEAR(In_COD))</f>
        <v>120.105348891051</v>
      </c>
      <c r="EQ111" s="28" t="n">
        <f aca="false">In_PPA_Price*(1+In_PPA_Esc)^(EQ$7-YEAR(In_COD))</f>
        <v>120.105348891051</v>
      </c>
      <c r="ER111" s="28" t="n">
        <f aca="false">In_PPA_Price*(1+In_PPA_Esc)^(ER$7-YEAR(In_COD))</f>
        <v>121.306402379962</v>
      </c>
      <c r="ES111" s="28" t="n">
        <f aca="false">In_PPA_Price*(1+In_PPA_Esc)^(ES$7-YEAR(In_COD))</f>
        <v>121.306402379962</v>
      </c>
      <c r="ET111" s="28" t="n">
        <f aca="false">In_PPA_Price*(1+In_PPA_Esc)^(ET$7-YEAR(In_COD))</f>
        <v>121.306402379962</v>
      </c>
    </row>
    <row r="112" customFormat="false" ht="15" hidden="false" customHeight="false" outlineLevel="0" collapsed="false">
      <c r="C112" s="0" t="s">
        <v>565</v>
      </c>
      <c r="D112" s="11" t="s">
        <v>499</v>
      </c>
      <c r="I112" s="33" t="n">
        <f aca="false">SUM(J112:ET112)</f>
        <v>6931492.24461103</v>
      </c>
      <c r="J112" s="33" t="n">
        <f aca="false">$F24*In_P50_Hours*(1-In_Curtailment)*(1-$E27)*(1-In_Degradation)^(J109-1)*J15*J$6</f>
        <v>0</v>
      </c>
      <c r="K112" s="33" t="n">
        <f aca="false">$F24*In_P50_Hours*(1-In_Curtailment)*(1-$E27)*(1-In_Degradation)^(K109-1)*K15*K$6</f>
        <v>0</v>
      </c>
      <c r="L112" s="33" t="n">
        <f aca="false">$F24*In_P50_Hours*(1-In_Curtailment)*(1-$E27)*(1-In_Degradation)^(L109-1)*L15*L$6</f>
        <v>0</v>
      </c>
      <c r="M112" s="33" t="n">
        <f aca="false">$F24*In_P50_Hours*(1-In_Curtailment)*(1-$E27)*(1-In_Degradation)^(M109-1)*M15*M$6</f>
        <v>0</v>
      </c>
      <c r="N112" s="33" t="n">
        <f aca="false">$F24*In_P50_Hours*(1-In_Curtailment)*(1-$E27)*(1-In_Degradation)^(N109-1)*N15*N$6</f>
        <v>0</v>
      </c>
      <c r="O112" s="33" t="n">
        <f aca="false">$F24*In_P50_Hours*(1-In_Curtailment)*(1-$E27)*(1-In_Degradation)^(O109-1)*O15*O$6</f>
        <v>0</v>
      </c>
      <c r="P112" s="33" t="n">
        <f aca="false">$F24*In_P50_Hours*(1-In_Curtailment)*(1-$E27)*(1-In_Degradation)^(P109-1)*P15*P$6</f>
        <v>0</v>
      </c>
      <c r="Q112" s="33" t="n">
        <f aca="false">$F24*In_P50_Hours*(1-In_Curtailment)*(1-$E27)*(1-In_Degradation)^(Q109-1)*Q15*Q$6</f>
        <v>0</v>
      </c>
      <c r="R112" s="33" t="n">
        <f aca="false">$F24*In_P50_Hours*(1-In_Curtailment)*(1-$E27)*(1-In_Degradation)^(R109-1)*R15*R$6</f>
        <v>0</v>
      </c>
      <c r="S112" s="33" t="n">
        <f aca="false">$F24*In_P50_Hours*(1-In_Curtailment)*(1-$E27)*(1-In_Degradation)^(S109-1)*S15*S$6</f>
        <v>0</v>
      </c>
      <c r="T112" s="33" t="n">
        <f aca="false">$F24*In_P50_Hours*(1-In_Curtailment)*(1-$E27)*(1-In_Degradation)^(T109-1)*T15*T$6</f>
        <v>0</v>
      </c>
      <c r="U112" s="33" t="n">
        <f aca="false">$F24*In_P50_Hours*(1-In_Curtailment)*(1-$E27)*(1-In_Degradation)^(U109-1)*U15*U$6</f>
        <v>0</v>
      </c>
      <c r="V112" s="33" t="n">
        <f aca="false">$F24*In_P50_Hours*(1-In_Curtailment)*(1-$E27)*(1-In_Degradation)^(V109-1)*V15*V$6</f>
        <v>0</v>
      </c>
      <c r="W112" s="33" t="n">
        <f aca="false">$F24*In_P50_Hours*(1-In_Curtailment)*(1-$E27)*(1-In_Degradation)^(W109-1)*W15*W$6</f>
        <v>0</v>
      </c>
      <c r="X112" s="33" t="n">
        <f aca="false">$F24*In_P50_Hours*(1-In_Curtailment)*(1-$E27)*(1-In_Degradation)^(X109-1)*X15*X$6</f>
        <v>0</v>
      </c>
      <c r="Y112" s="33" t="n">
        <f aca="false">$F24*In_P50_Hours*(1-In_Curtailment)*(1-$E27)*(1-In_Degradation)^(Y109-1)*Y15*Y$6</f>
        <v>0</v>
      </c>
      <c r="Z112" s="33" t="n">
        <f aca="false">$F24*In_P50_Hours*(1-In_Curtailment)*(1-$E27)*(1-In_Degradation)^(Z109-1)*Z15*Z$6</f>
        <v>0</v>
      </c>
      <c r="AA112" s="33" t="n">
        <f aca="false">$F24*In_P50_Hours*(1-In_Curtailment)*(1-$E27)*(1-In_Degradation)^(AA109-1)*AA15*AA$6</f>
        <v>0</v>
      </c>
      <c r="AB112" s="33" t="n">
        <f aca="false">$F24*In_P50_Hours*(1-In_Curtailment)*(1-$E27)*(1-In_Degradation)^(AB109-1)*AB15*AB$6</f>
        <v>0</v>
      </c>
      <c r="AC112" s="33" t="n">
        <f aca="false">$F24*In_P50_Hours*(1-In_Curtailment)*(1-$E27)*(1-In_Degradation)^(AC109-1)*AC15*AC$6</f>
        <v>0</v>
      </c>
      <c r="AD112" s="33" t="n">
        <f aca="false">$F24*In_P50_Hours*(1-In_Curtailment)*(1-$E27)*(1-In_Degradation)^(AD109-1)*AD15*AD$6</f>
        <v>0</v>
      </c>
      <c r="AE112" s="33" t="n">
        <f aca="false">$F24*In_P50_Hours*(1-In_Curtailment)*(1-$E27)*(1-In_Degradation)^(AE109-1)*AE15*AE$6</f>
        <v>60765.3698630137</v>
      </c>
      <c r="AF112" s="33" t="n">
        <f aca="false">$F24*In_P50_Hours*(1-In_Curtailment)*(1-$E27)*(1-In_Degradation)^(AF109-1)*AF15*AF$6</f>
        <v>60104.8767123288</v>
      </c>
      <c r="AG112" s="33" t="n">
        <f aca="false">$F24*In_P50_Hours*(1-In_Curtailment)*(1-$E27)*(1-In_Degradation)^(AG109-1)*AG15*AG$6</f>
        <v>60104.8767123288</v>
      </c>
      <c r="AH112" s="33" t="n">
        <f aca="false">$F24*In_P50_Hours*(1-In_Curtailment)*(1-$E27)*(1-In_Degradation)^(AH109-1)*AH15*AH$6</f>
        <v>60765.3698630137</v>
      </c>
      <c r="AI112" s="33" t="n">
        <f aca="false">$F24*In_P50_Hours*(1-In_Curtailment)*(1-$E27)*(1-In_Degradation)^(AI109-1)*AI15*AI$6</f>
        <v>60583.0737534247</v>
      </c>
      <c r="AJ112" s="33" t="n">
        <f aca="false">$F24*In_P50_Hours*(1-In_Curtailment)*(1-$E27)*(1-In_Degradation)^(AJ109-1)*AJ15*AJ$6</f>
        <v>59266.0504109589</v>
      </c>
      <c r="AK112" s="33" t="n">
        <f aca="false">$F24*In_P50_Hours*(1-In_Curtailment)*(1-$E27)*(1-In_Degradation)^(AK109-1)*AK15*AK$6</f>
        <v>59924.5620821918</v>
      </c>
      <c r="AL112" s="33" t="n">
        <f aca="false">$F24*In_P50_Hours*(1-In_Curtailment)*(1-$E27)*(1-In_Degradation)^(AL109-1)*AL15*AL$6</f>
        <v>60583.0737534247</v>
      </c>
      <c r="AM112" s="33" t="n">
        <f aca="false">$F24*In_P50_Hours*(1-In_Curtailment)*(1-$E27)*(1-In_Degradation)^(AM109-1)*AM15*AM$6</f>
        <v>60401.3245321644</v>
      </c>
      <c r="AN112" s="33" t="n">
        <f aca="false">$F24*In_P50_Hours*(1-In_Curtailment)*(1-$E27)*(1-In_Degradation)^(AN109-1)*AN15*AN$6</f>
        <v>59088.252259726</v>
      </c>
      <c r="AO112" s="33" t="n">
        <f aca="false">$F24*In_P50_Hours*(1-In_Curtailment)*(1-$E27)*(1-In_Degradation)^(AO109-1)*AO15*AO$6</f>
        <v>59744.7883959452</v>
      </c>
      <c r="AP112" s="33" t="n">
        <f aca="false">$F24*In_P50_Hours*(1-In_Curtailment)*(1-$E27)*(1-In_Degradation)^(AP109-1)*AP15*AP$6</f>
        <v>60401.3245321644</v>
      </c>
      <c r="AQ112" s="33" t="n">
        <f aca="false">$F24*In_P50_Hours*(1-In_Curtailment)*(1-$E27)*(1-In_Degradation)^(AQ109-1)*AQ15*AQ$6</f>
        <v>60220.1205585679</v>
      </c>
      <c r="AR112" s="33" t="n">
        <f aca="false">$F24*In_P50_Hours*(1-In_Curtailment)*(1-$E27)*(1-In_Degradation)^(AR109-1)*AR15*AR$6</f>
        <v>58910.9875029468</v>
      </c>
      <c r="AS112" s="33" t="n">
        <f aca="false">$F24*In_P50_Hours*(1-In_Curtailment)*(1-$E27)*(1-In_Degradation)^(AS109-1)*AS15*AS$6</f>
        <v>59565.5540307574</v>
      </c>
      <c r="AT112" s="33" t="n">
        <f aca="false">$F24*In_P50_Hours*(1-In_Curtailment)*(1-$E27)*(1-In_Degradation)^(AT109-1)*AT15*AT$6</f>
        <v>60220.1205585679</v>
      </c>
      <c r="AU112" s="33" t="n">
        <f aca="false">$F24*In_P50_Hours*(1-In_Curtailment)*(1-$E27)*(1-In_Degradation)^(AU109-1)*AU15*AU$6</f>
        <v>60039.4601968922</v>
      </c>
      <c r="AV112" s="33" t="n">
        <f aca="false">$F24*In_P50_Hours*(1-In_Curtailment)*(1-$E27)*(1-In_Degradation)^(AV109-1)*AV15*AV$6</f>
        <v>59386.8573686651</v>
      </c>
      <c r="AW112" s="33" t="n">
        <f aca="false">$F24*In_P50_Hours*(1-In_Curtailment)*(1-$E27)*(1-In_Degradation)^(AW109-1)*AW15*AW$6</f>
        <v>59386.8573686651</v>
      </c>
      <c r="AX112" s="33" t="n">
        <f aca="false">$F24*In_P50_Hours*(1-In_Curtailment)*(1-$E27)*(1-In_Degradation)^(AX109-1)*AX15*AX$6</f>
        <v>60039.4601968922</v>
      </c>
      <c r="AY112" s="33" t="n">
        <f aca="false">$F24*In_P50_Hours*(1-In_Curtailment)*(1-$E27)*(1-In_Degradation)^(AY109-1)*AY15*AY$6</f>
        <v>59859.3418163015</v>
      </c>
      <c r="AZ112" s="33" t="n">
        <f aca="false">$F24*In_P50_Hours*(1-In_Curtailment)*(1-$E27)*(1-In_Degradation)^(AZ109-1)*AZ15*AZ$6</f>
        <v>58558.0517768167</v>
      </c>
      <c r="BA112" s="33" t="n">
        <f aca="false">$F24*In_P50_Hours*(1-In_Curtailment)*(1-$E27)*(1-In_Degradation)^(BA109-1)*BA15*BA$6</f>
        <v>59208.6967965591</v>
      </c>
      <c r="BB112" s="33" t="n">
        <f aca="false">$F24*In_P50_Hours*(1-In_Curtailment)*(1-$E27)*(1-In_Degradation)^(BB109-1)*BB15*BB$6</f>
        <v>59859.3418163015</v>
      </c>
      <c r="BC112" s="33" t="n">
        <f aca="false">$F24*In_P50_Hours*(1-In_Curtailment)*(1-$E27)*(1-In_Degradation)^(BC109-1)*BC15*BC$6</f>
        <v>59679.7637908526</v>
      </c>
      <c r="BD112" s="33" t="n">
        <f aca="false">$F24*In_P50_Hours*(1-In_Curtailment)*(1-$E27)*(1-In_Degradation)^(BD109-1)*BD15*BD$6</f>
        <v>58382.3776214862</v>
      </c>
      <c r="BE112" s="33" t="n">
        <f aca="false">$F24*In_P50_Hours*(1-In_Curtailment)*(1-$E27)*(1-In_Degradation)^(BE109-1)*BE15*BE$6</f>
        <v>59031.0707061694</v>
      </c>
      <c r="BF112" s="33" t="n">
        <f aca="false">$F24*In_P50_Hours*(1-In_Curtailment)*(1-$E27)*(1-In_Degradation)^(BF109-1)*BF15*BF$6</f>
        <v>59679.7637908526</v>
      </c>
      <c r="BG112" s="33" t="n">
        <f aca="false">$F24*In_P50_Hours*(1-In_Curtailment)*(1-$E27)*(1-In_Degradation)^(BG109-1)*BG15*BG$6</f>
        <v>59500.7244994801</v>
      </c>
      <c r="BH112" s="33" t="n">
        <f aca="false">$F24*In_P50_Hours*(1-In_Curtailment)*(1-$E27)*(1-In_Degradation)^(BH109-1)*BH15*BH$6</f>
        <v>58207.2304886218</v>
      </c>
      <c r="BI112" s="33" t="n">
        <f aca="false">$F24*In_P50_Hours*(1-In_Curtailment)*(1-$E27)*(1-In_Degradation)^(BI109-1)*BI15*BI$6</f>
        <v>58853.9774940509</v>
      </c>
      <c r="BJ112" s="33" t="n">
        <f aca="false">$F24*In_P50_Hours*(1-In_Curtailment)*(1-$E27)*(1-In_Degradation)^(BJ109-1)*BJ15*BJ$6</f>
        <v>59500.7244994801</v>
      </c>
      <c r="BK112" s="33" t="n">
        <f aca="false">$F24*In_P50_Hours*(1-In_Curtailment)*(1-$E27)*(1-In_Degradation)^(BK109-1)*BK15*BK$6</f>
        <v>59322.2223259816</v>
      </c>
      <c r="BL112" s="33" t="n">
        <f aca="false">$F24*In_P50_Hours*(1-In_Curtailment)*(1-$E27)*(1-In_Degradation)^(BL109-1)*BL15*BL$6</f>
        <v>58677.4155615688</v>
      </c>
      <c r="BM112" s="33" t="n">
        <f aca="false">$F24*In_P50_Hours*(1-In_Curtailment)*(1-$E27)*(1-In_Degradation)^(BM109-1)*BM15*BM$6</f>
        <v>58677.4155615688</v>
      </c>
      <c r="BN112" s="33" t="n">
        <f aca="false">$F24*In_P50_Hours*(1-In_Curtailment)*(1-$E27)*(1-In_Degradation)^(BN109-1)*BN15*BN$6</f>
        <v>59322.2223259816</v>
      </c>
      <c r="BO112" s="33" t="n">
        <f aca="false">$F24*In_P50_Hours*(1-In_Curtailment)*(1-$E27)*(1-In_Degradation)^(BO109-1)*BO15*BO$6</f>
        <v>59144.2556590037</v>
      </c>
      <c r="BP112" s="33" t="n">
        <f aca="false">$F24*In_P50_Hours*(1-In_Curtailment)*(1-$E27)*(1-In_Degradation)^(BP109-1)*BP15*BP$6</f>
        <v>57858.5109707644</v>
      </c>
      <c r="BQ112" s="33" t="n">
        <f aca="false">$F24*In_P50_Hours*(1-In_Curtailment)*(1-$E27)*(1-In_Degradation)^(BQ109-1)*BQ15*BQ$6</f>
        <v>58501.3833148841</v>
      </c>
      <c r="BR112" s="33" t="n">
        <f aca="false">$F24*In_P50_Hours*(1-In_Curtailment)*(1-$E27)*(1-In_Degradation)^(BR109-1)*BR15*BR$6</f>
        <v>59144.2556590037</v>
      </c>
      <c r="BS112" s="33" t="n">
        <f aca="false">$F24*In_P50_Hours*(1-In_Curtailment)*(1-$E27)*(1-In_Degradation)^(BS109-1)*BS15*BS$6</f>
        <v>58966.8228920267</v>
      </c>
      <c r="BT112" s="33" t="n">
        <f aca="false">$F24*In_P50_Hours*(1-In_Curtailment)*(1-$E27)*(1-In_Degradation)^(BT109-1)*BT15*BT$6</f>
        <v>57684.9354378522</v>
      </c>
      <c r="BU112" s="33" t="n">
        <f aca="false">$F24*In_P50_Hours*(1-In_Curtailment)*(1-$E27)*(1-In_Degradation)^(BU109-1)*BU15*BU$6</f>
        <v>58325.8791649394</v>
      </c>
      <c r="BV112" s="33" t="n">
        <f aca="false">$F24*In_P50_Hours*(1-In_Curtailment)*(1-$E27)*(1-In_Degradation)^(BV109-1)*BV15*BV$6</f>
        <v>58966.8228920267</v>
      </c>
      <c r="BW112" s="33" t="n">
        <f aca="false">$F24*In_P50_Hours*(1-In_Curtailment)*(1-$E27)*(1-In_Degradation)^(BW109-1)*BW15*BW$6</f>
        <v>58789.9224233506</v>
      </c>
      <c r="BX112" s="33" t="n">
        <f aca="false">$F24*In_P50_Hours*(1-In_Curtailment)*(1-$E27)*(1-In_Degradation)^(BX109-1)*BX15*BX$6</f>
        <v>57511.8806315386</v>
      </c>
      <c r="BY112" s="33" t="n">
        <f aca="false">$F24*In_P50_Hours*(1-In_Curtailment)*(1-$E27)*(1-In_Degradation)^(BY109-1)*BY15*BY$6</f>
        <v>58150.9015274446</v>
      </c>
      <c r="BZ112" s="33" t="n">
        <f aca="false">$F24*In_P50_Hours*(1-In_Curtailment)*(1-$E27)*(1-In_Degradation)^(BZ109-1)*BZ15*BZ$6</f>
        <v>58789.9224233506</v>
      </c>
      <c r="CA112" s="33" t="n">
        <f aca="false">$F24*In_P50_Hours*(1-In_Curtailment)*(1-$E27)*(1-In_Degradation)^(CA109-1)*CA15*CA$6</f>
        <v>58613.5526560805</v>
      </c>
      <c r="CB112" s="33" t="n">
        <f aca="false">$F24*In_P50_Hours*(1-In_Curtailment)*(1-$E27)*(1-In_Degradation)^(CB109-1)*CB15*CB$6</f>
        <v>57976.4488228623</v>
      </c>
      <c r="CC112" s="33" t="n">
        <f aca="false">$F24*In_P50_Hours*(1-In_Curtailment)*(1-$E27)*(1-In_Degradation)^(CC109-1)*CC15*CC$6</f>
        <v>57976.4488228623</v>
      </c>
      <c r="CD112" s="33" t="n">
        <f aca="false">$F24*In_P50_Hours*(1-In_Curtailment)*(1-$E27)*(1-In_Degradation)^(CD109-1)*CD15*CD$6</f>
        <v>58613.5526560805</v>
      </c>
      <c r="CE112" s="33" t="n">
        <f aca="false">$F24*In_P50_Hours*(1-In_Curtailment)*(1-$E27)*(1-In_Degradation)^(CE109-1)*CE15*CE$6</f>
        <v>58437.7119981123</v>
      </c>
      <c r="CF112" s="33" t="n">
        <f aca="false">$F24*In_P50_Hours*(1-In_Curtailment)*(1-$E27)*(1-In_Degradation)^(CF109-1)*CF15*CF$6</f>
        <v>57167.326954675</v>
      </c>
      <c r="CG112" s="33" t="n">
        <f aca="false">$F24*In_P50_Hours*(1-In_Curtailment)*(1-$E27)*(1-In_Degradation)^(CG109-1)*CG15*CG$6</f>
        <v>57802.5194763937</v>
      </c>
      <c r="CH112" s="33" t="n">
        <f aca="false">$F24*In_P50_Hours*(1-In_Curtailment)*(1-$E27)*(1-In_Degradation)^(CH109-1)*CH15*CH$6</f>
        <v>58437.7119981123</v>
      </c>
      <c r="CI112" s="33" t="n">
        <f aca="false">$F24*In_P50_Hours*(1-In_Curtailment)*(1-$E27)*(1-In_Degradation)^(CI109-1)*CI15*CI$6</f>
        <v>58262.398862118</v>
      </c>
      <c r="CJ112" s="33" t="n">
        <f aca="false">$F24*In_P50_Hours*(1-In_Curtailment)*(1-$E27)*(1-In_Degradation)^(CJ109-1)*CJ15*CJ$6</f>
        <v>56995.824973811</v>
      </c>
      <c r="CK112" s="33" t="n">
        <f aca="false">$F24*In_P50_Hours*(1-In_Curtailment)*(1-$E27)*(1-In_Degradation)^(CK109-1)*CK15*CK$6</f>
        <v>57629.1119179645</v>
      </c>
      <c r="CL112" s="33" t="n">
        <f aca="false">$F24*In_P50_Hours*(1-In_Curtailment)*(1-$E27)*(1-In_Degradation)^(CL109-1)*CL15*CL$6</f>
        <v>58262.398862118</v>
      </c>
      <c r="CM112" s="33" t="n">
        <f aca="false">$F24*In_P50_Hours*(1-In_Curtailment)*(1-$E27)*(1-In_Degradation)^(CM109-1)*CM15*CM$6</f>
        <v>58087.6116655316</v>
      </c>
      <c r="CN112" s="33" t="n">
        <f aca="false">$F24*In_P50_Hours*(1-In_Curtailment)*(1-$E27)*(1-In_Degradation)^(CN109-1)*CN15*CN$6</f>
        <v>56824.8374988896</v>
      </c>
      <c r="CO112" s="33" t="n">
        <f aca="false">$F24*In_P50_Hours*(1-In_Curtailment)*(1-$E27)*(1-In_Degradation)^(CO109-1)*CO15*CO$6</f>
        <v>57456.2245822106</v>
      </c>
      <c r="CP112" s="33" t="n">
        <f aca="false">$F24*In_P50_Hours*(1-In_Curtailment)*(1-$E27)*(1-In_Degradation)^(CP109-1)*CP15*CP$6</f>
        <v>58087.6116655316</v>
      </c>
      <c r="CQ112" s="33" t="n">
        <f aca="false">$F24*In_P50_Hours*(1-In_Curtailment)*(1-$E27)*(1-In_Degradation)^(CQ109-1)*CQ15*CQ$6</f>
        <v>57913.348830535</v>
      </c>
      <c r="CR112" s="33" t="n">
        <f aca="false">$F24*In_P50_Hours*(1-In_Curtailment)*(1-$E27)*(1-In_Degradation)^(CR109-1)*CR15*CR$6</f>
        <v>57283.855908464</v>
      </c>
      <c r="CS112" s="33" t="n">
        <f aca="false">$F24*In_P50_Hours*(1-In_Curtailment)*(1-$E27)*(1-In_Degradation)^(CS109-1)*CS15*CS$6</f>
        <v>57283.855908464</v>
      </c>
      <c r="CT112" s="33" t="n">
        <f aca="false">$F24*In_P50_Hours*(1-In_Curtailment)*(1-$E27)*(1-In_Degradation)^(CT109-1)*CT15*CT$6</f>
        <v>57913.348830535</v>
      </c>
      <c r="CU112" s="33" t="n">
        <f aca="false">$F24*In_P50_Hours*(1-In_Curtailment)*(1-$E27)*(1-In_Degradation)^(CU109-1)*CU15*CU$6</f>
        <v>57739.6087840434</v>
      </c>
      <c r="CV112" s="33" t="n">
        <f aca="false">$F24*In_P50_Hours*(1-In_Curtailment)*(1-$E27)*(1-In_Degradation)^(CV109-1)*CV15*CV$6</f>
        <v>56484.3998974337</v>
      </c>
      <c r="CW112" s="33" t="n">
        <f aca="false">$F24*In_P50_Hours*(1-In_Curtailment)*(1-$E27)*(1-In_Degradation)^(CW109-1)*CW15*CW$6</f>
        <v>57112.0043407386</v>
      </c>
      <c r="CX112" s="33" t="n">
        <f aca="false">$F24*In_P50_Hours*(1-In_Curtailment)*(1-$E27)*(1-In_Degradation)^(CX109-1)*CX15*CX$6</f>
        <v>57739.6087840434</v>
      </c>
      <c r="CY112" s="33" t="n">
        <f aca="false">$F24*In_P50_Hours*(1-In_Curtailment)*(1-$E27)*(1-In_Degradation)^(CY109-1)*CY15*CY$6</f>
        <v>57566.3899576913</v>
      </c>
      <c r="CZ112" s="33" t="n">
        <f aca="false">$F24*In_P50_Hours*(1-In_Curtailment)*(1-$E27)*(1-In_Degradation)^(CZ109-1)*CZ15*CZ$6</f>
        <v>56314.9466977414</v>
      </c>
      <c r="DA112" s="33" t="n">
        <f aca="false">$F24*In_P50_Hours*(1-In_Curtailment)*(1-$E27)*(1-In_Degradation)^(DA109-1)*DA15*DA$6</f>
        <v>56940.6683277164</v>
      </c>
      <c r="DB112" s="33" t="n">
        <f aca="false">$F24*In_P50_Hours*(1-In_Curtailment)*(1-$E27)*(1-In_Degradation)^(DB109-1)*DB15*DB$6</f>
        <v>57566.3899576913</v>
      </c>
      <c r="DC112" s="33" t="n">
        <f aca="false">$F24*In_P50_Hours*(1-In_Curtailment)*(1-$E27)*(1-In_Degradation)^(DC109-1)*DC15*DC$6</f>
        <v>57393.6907878182</v>
      </c>
      <c r="DD112" s="33" t="n">
        <f aca="false">$F24*In_P50_Hours*(1-In_Curtailment)*(1-$E27)*(1-In_Degradation)^(DD109-1)*DD15*DD$6</f>
        <v>56146.0018576482</v>
      </c>
      <c r="DE112" s="33" t="n">
        <f aca="false">$F24*In_P50_Hours*(1-In_Curtailment)*(1-$E27)*(1-In_Degradation)^(DE109-1)*DE15*DE$6</f>
        <v>56769.8463227332</v>
      </c>
      <c r="DF112" s="33" t="n">
        <f aca="false">$F24*In_P50_Hours*(1-In_Curtailment)*(1-$E27)*(1-In_Degradation)^(DF109-1)*DF15*DF$6</f>
        <v>57393.6907878182</v>
      </c>
      <c r="DG112" s="33" t="n">
        <f aca="false">$F24*In_P50_Hours*(1-In_Curtailment)*(1-$E27)*(1-In_Degradation)^(DG109-1)*DG15*DG$6</f>
        <v>57221.5097154547</v>
      </c>
      <c r="DH112" s="33" t="n">
        <f aca="false">$F24*In_P50_Hours*(1-In_Curtailment)*(1-$E27)*(1-In_Degradation)^(DH109-1)*DH15*DH$6</f>
        <v>56599.536783765</v>
      </c>
      <c r="DI112" s="33" t="n">
        <f aca="false">$F24*In_P50_Hours*(1-In_Curtailment)*(1-$E27)*(1-In_Degradation)^(DI109-1)*DI15*DI$6</f>
        <v>56599.536783765</v>
      </c>
      <c r="DJ112" s="33" t="n">
        <f aca="false">$F24*In_P50_Hours*(1-In_Curtailment)*(1-$E27)*(1-In_Degradation)^(DJ109-1)*DJ15*DJ$6</f>
        <v>57221.5097154547</v>
      </c>
      <c r="DK112" s="33" t="n">
        <f aca="false">$F24*In_P50_Hours*(1-In_Curtailment)*(1-$E27)*(1-In_Degradation)^(DK109-1)*DK15*DK$6</f>
        <v>57049.8451863084</v>
      </c>
      <c r="DL112" s="33" t="n">
        <f aca="false">$F24*In_P50_Hours*(1-In_Curtailment)*(1-$E27)*(1-In_Degradation)^(DL109-1)*DL15*DL$6</f>
        <v>55809.6311605191</v>
      </c>
      <c r="DM112" s="33" t="n">
        <f aca="false">$F24*In_P50_Hours*(1-In_Curtailment)*(1-$E27)*(1-In_Degradation)^(DM109-1)*DM15*DM$6</f>
        <v>56429.7381734137</v>
      </c>
      <c r="DN112" s="33" t="n">
        <f aca="false">$F24*In_P50_Hours*(1-In_Curtailment)*(1-$E27)*(1-In_Degradation)^(DN109-1)*DN15*DN$6</f>
        <v>57049.8451863084</v>
      </c>
      <c r="DO112" s="33" t="n">
        <f aca="false">$F24*In_P50_Hours*(1-In_Curtailment)*(1-$E27)*(1-In_Degradation)^(DO109-1)*DO15*DO$6</f>
        <v>56878.6956507494</v>
      </c>
      <c r="DP112" s="33" t="n">
        <f aca="false">$F24*In_P50_Hours*(1-In_Curtailment)*(1-$E27)*(1-In_Degradation)^(DP109-1)*DP15*DP$6</f>
        <v>55642.2022670375</v>
      </c>
      <c r="DQ112" s="33" t="n">
        <f aca="false">$F24*In_P50_Hours*(1-In_Curtailment)*(1-$E27)*(1-In_Degradation)^(DQ109-1)*DQ15*DQ$6</f>
        <v>56260.4489588935</v>
      </c>
      <c r="DR112" s="33" t="n">
        <f aca="false">$F24*In_P50_Hours*(1-In_Curtailment)*(1-$E27)*(1-In_Degradation)^(DR109-1)*DR15*DR$6</f>
        <v>56878.6956507494</v>
      </c>
      <c r="DS112" s="33" t="n">
        <f aca="false">$F24*In_P50_Hours*(1-In_Curtailment)*(1-$E27)*(1-In_Degradation)^(DS109-1)*DS15*DS$6</f>
        <v>56708.0595637972</v>
      </c>
      <c r="DT112" s="33" t="n">
        <f aca="false">$F24*In_P50_Hours*(1-In_Curtailment)*(1-$E27)*(1-In_Degradation)^(DT109-1)*DT15*DT$6</f>
        <v>55475.2756602364</v>
      </c>
      <c r="DU112" s="33" t="n">
        <f aca="false">$F24*In_P50_Hours*(1-In_Curtailment)*(1-$E27)*(1-In_Degradation)^(DU109-1)*DU15*DU$6</f>
        <v>56091.6676120168</v>
      </c>
      <c r="DV112" s="33" t="n">
        <f aca="false">$F24*In_P50_Hours*(1-In_Curtailment)*(1-$E27)*(1-In_Degradation)^(DV109-1)*DV15*DV$6</f>
        <v>56708.0595637972</v>
      </c>
      <c r="DW112" s="33" t="n">
        <f aca="false">$F24*In_P50_Hours*(1-In_Curtailment)*(1-$E27)*(1-In_Degradation)^(DW109-1)*DW15*DW$6</f>
        <v>56537.9353851058</v>
      </c>
      <c r="DX112" s="33" t="n">
        <f aca="false">$F24*In_P50_Hours*(1-In_Curtailment)*(1-$E27)*(1-In_Degradation)^(DX109-1)*DX15*DX$6</f>
        <v>55923.3926091807</v>
      </c>
      <c r="DY112" s="33" t="n">
        <f aca="false">$F24*In_P50_Hours*(1-In_Curtailment)*(1-$E27)*(1-In_Degradation)^(DY109-1)*DY15*DY$6</f>
        <v>55923.3926091807</v>
      </c>
      <c r="DZ112" s="33" t="n">
        <f aca="false">$F24*In_P50_Hours*(1-In_Curtailment)*(1-$E27)*(1-In_Degradation)^(DZ109-1)*DZ15*DZ$6</f>
        <v>56537.9353851058</v>
      </c>
      <c r="EA112" s="33" t="n">
        <f aca="false">$F24*In_P50_Hours*(1-In_Curtailment)*(1-$E27)*(1-In_Degradation)^(EA109-1)*EA15*EA$6</f>
        <v>56368.3215789505</v>
      </c>
      <c r="EB112" s="33" t="n">
        <f aca="false">$F24*In_P50_Hours*(1-In_Curtailment)*(1-$E27)*(1-In_Degradation)^(EB109-1)*EB15*EB$6</f>
        <v>55142.9232837559</v>
      </c>
      <c r="EC112" s="33" t="n">
        <f aca="false">$F24*In_P50_Hours*(1-In_Curtailment)*(1-$E27)*(1-In_Degradation)^(EC109-1)*EC15*EC$6</f>
        <v>55755.6224313532</v>
      </c>
      <c r="ED112" s="33" t="n">
        <f aca="false">$F24*In_P50_Hours*(1-In_Curtailment)*(1-$E27)*(1-In_Degradation)^(ED109-1)*ED15*ED$6</f>
        <v>56368.3215789505</v>
      </c>
      <c r="EE112" s="33" t="n">
        <f aca="false">$F24*In_P50_Hours*(1-In_Curtailment)*(1-$E27)*(1-In_Degradation)^(EE109-1)*EE15*EE$6</f>
        <v>56199.2166142136</v>
      </c>
      <c r="EF112" s="33" t="n">
        <f aca="false">$F24*In_P50_Hours*(1-In_Curtailment)*(1-$E27)*(1-In_Degradation)^(EF109-1)*EF15*EF$6</f>
        <v>54977.4945139046</v>
      </c>
      <c r="EG112" s="33" t="n">
        <f aca="false">$F24*In_P50_Hours*(1-In_Curtailment)*(1-$E27)*(1-In_Degradation)^(EG109-1)*EG15*EG$6</f>
        <v>55588.3555640591</v>
      </c>
      <c r="EH112" s="33" t="n">
        <f aca="false">$F24*In_P50_Hours*(1-In_Curtailment)*(1-$E27)*(1-In_Degradation)^(EH109-1)*EH15*EH$6</f>
        <v>56199.2166142136</v>
      </c>
      <c r="EI112" s="33" t="n">
        <f aca="false">$F24*In_P50_Hours*(1-In_Curtailment)*(1-$E27)*(1-In_Degradation)^(EI109-1)*EI15*EI$6</f>
        <v>56030.618964371</v>
      </c>
      <c r="EJ112" s="33" t="n">
        <f aca="false">$F24*In_P50_Hours*(1-In_Curtailment)*(1-$E27)*(1-In_Degradation)^(EJ109-1)*EJ15*EJ$6</f>
        <v>54812.5620303629</v>
      </c>
      <c r="EK112" s="33" t="n">
        <f aca="false">$F24*In_P50_Hours*(1-In_Curtailment)*(1-$E27)*(1-In_Degradation)^(EK109-1)*EK15*EK$6</f>
        <v>55421.590497367</v>
      </c>
      <c r="EL112" s="33" t="n">
        <f aca="false">$F24*In_P50_Hours*(1-In_Curtailment)*(1-$E27)*(1-In_Degradation)^(EL109-1)*EL15*EL$6</f>
        <v>56030.618964371</v>
      </c>
      <c r="EM112" s="33" t="n">
        <f aca="false">$F24*In_P50_Hours*(1-In_Curtailment)*(1-$E27)*(1-In_Degradation)^(EM109-1)*EM15*EM$6</f>
        <v>55862.5271074779</v>
      </c>
      <c r="EN112" s="33" t="n">
        <f aca="false">$F24*In_P50_Hours*(1-In_Curtailment)*(1-$E27)*(1-In_Degradation)^(EN109-1)*EN15*EN$6</f>
        <v>55255.3257258749</v>
      </c>
      <c r="EO112" s="33" t="n">
        <f aca="false">$F24*In_P50_Hours*(1-In_Curtailment)*(1-$E27)*(1-In_Degradation)^(EO109-1)*EO15*EO$6</f>
        <v>55255.3257258749</v>
      </c>
      <c r="EP112" s="33" t="n">
        <f aca="false">$F24*In_P50_Hours*(1-In_Curtailment)*(1-$E27)*(1-In_Degradation)^(EP109-1)*EP15*EP$6</f>
        <v>55862.5271074779</v>
      </c>
      <c r="EQ112" s="33" t="n">
        <f aca="false">$F24*In_P50_Hours*(1-In_Curtailment)*(1-$E27)*(1-In_Degradation)^(EQ109-1)*EQ15*EQ$6</f>
        <v>55694.9395261554</v>
      </c>
      <c r="ER112" s="33" t="n">
        <f aca="false">$F24*In_P50_Hours*(1-In_Curtailment)*(1-$E27)*(1-In_Degradation)^(ER109-1)*ER15*ER$6</f>
        <v>54484.179971239</v>
      </c>
      <c r="ES112" s="33" t="n">
        <f aca="false">$F24*In_P50_Hours*(1-In_Curtailment)*(1-$E27)*(1-In_Degradation)^(ES109-1)*ES15*ES$6</f>
        <v>55089.5597486972</v>
      </c>
      <c r="ET112" s="33" t="n">
        <f aca="false">$F24*In_P50_Hours*(1-In_Curtailment)*(1-$E27)*(1-In_Degradation)^(ET109-1)*ET15*ET$6</f>
        <v>55694.9395261554</v>
      </c>
    </row>
    <row r="113" customFormat="false" ht="15" hidden="false" customHeight="false" outlineLevel="0" collapsed="false">
      <c r="C113" s="0" t="s">
        <v>566</v>
      </c>
      <c r="D113" s="11" t="s">
        <v>253</v>
      </c>
      <c r="I113" s="33" t="n">
        <f aca="false">SUM(J113:ET113)</f>
        <v>727113.739439716</v>
      </c>
      <c r="J113" s="33" t="n">
        <f aca="false">J112*J111/Thousand</f>
        <v>0</v>
      </c>
      <c r="K113" s="33" t="n">
        <f aca="false">K112*K111/Thousand</f>
        <v>0</v>
      </c>
      <c r="L113" s="33" t="n">
        <f aca="false">L112*L111/Thousand</f>
        <v>0</v>
      </c>
      <c r="M113" s="33" t="n">
        <f aca="false">M112*M111/Thousand</f>
        <v>0</v>
      </c>
      <c r="N113" s="33" t="n">
        <f aca="false">N112*N111/Thousand</f>
        <v>0</v>
      </c>
      <c r="O113" s="33" t="n">
        <f aca="false">O112*O111/Thousand</f>
        <v>0</v>
      </c>
      <c r="P113" s="33" t="n">
        <f aca="false">P112*P111/Thousand</f>
        <v>0</v>
      </c>
      <c r="Q113" s="33" t="n">
        <f aca="false">Q112*Q111/Thousand</f>
        <v>0</v>
      </c>
      <c r="R113" s="33" t="n">
        <f aca="false">R112*R111/Thousand</f>
        <v>0</v>
      </c>
      <c r="S113" s="33" t="n">
        <f aca="false">S112*S111/Thousand</f>
        <v>0</v>
      </c>
      <c r="T113" s="33" t="n">
        <f aca="false">T112*T111/Thousand</f>
        <v>0</v>
      </c>
      <c r="U113" s="33" t="n">
        <f aca="false">U112*U111/Thousand</f>
        <v>0</v>
      </c>
      <c r="V113" s="33" t="n">
        <f aca="false">V112*V111/Thousand</f>
        <v>0</v>
      </c>
      <c r="W113" s="33" t="n">
        <f aca="false">W112*W111/Thousand</f>
        <v>0</v>
      </c>
      <c r="X113" s="33" t="n">
        <f aca="false">X112*X111/Thousand</f>
        <v>0</v>
      </c>
      <c r="Y113" s="33" t="n">
        <f aca="false">Y112*Y111/Thousand</f>
        <v>0</v>
      </c>
      <c r="Z113" s="33" t="n">
        <f aca="false">Z112*Z111/Thousand</f>
        <v>0</v>
      </c>
      <c r="AA113" s="33" t="n">
        <f aca="false">AA112*AA111/Thousand</f>
        <v>0</v>
      </c>
      <c r="AB113" s="33" t="n">
        <f aca="false">AB112*AB111/Thousand</f>
        <v>0</v>
      </c>
      <c r="AC113" s="33" t="n">
        <f aca="false">AC112*AC111/Thousand</f>
        <v>0</v>
      </c>
      <c r="AD113" s="33" t="n">
        <f aca="false">AD112*AD111/Thousand</f>
        <v>0</v>
      </c>
      <c r="AE113" s="33" t="n">
        <f aca="false">AE112*AE111/Thousand</f>
        <v>5468.88328767123</v>
      </c>
      <c r="AF113" s="33" t="n">
        <f aca="false">AF112*AF111/Thousand</f>
        <v>5463.53329315069</v>
      </c>
      <c r="AG113" s="33" t="n">
        <f aca="false">AG112*AG111/Thousand</f>
        <v>5463.53329315069</v>
      </c>
      <c r="AH113" s="33" t="n">
        <f aca="false">AH112*AH111/Thousand</f>
        <v>5523.57212054795</v>
      </c>
      <c r="AI113" s="33" t="n">
        <f aca="false">AI112*AI111/Thousand</f>
        <v>5507.0014041863</v>
      </c>
      <c r="AJ113" s="33" t="n">
        <f aca="false">AJ112*AJ111/Thousand</f>
        <v>5441.15682217973</v>
      </c>
      <c r="AK113" s="33" t="n">
        <f aca="false">AK112*AK111/Thousand</f>
        <v>5501.61412020395</v>
      </c>
      <c r="AL113" s="33" t="n">
        <f aca="false">AL112*AL111/Thousand</f>
        <v>5562.07141822817</v>
      </c>
      <c r="AM113" s="33" t="n">
        <f aca="false">AM112*AM111/Thousand</f>
        <v>5545.38520397348</v>
      </c>
      <c r="AN113" s="33" t="n">
        <f aca="false">AN112*AN111/Thousand</f>
        <v>5479.08168523032</v>
      </c>
      <c r="AO113" s="33" t="n">
        <f aca="false">AO112*AO111/Thousand</f>
        <v>5539.96037062177</v>
      </c>
      <c r="AP113" s="33" t="n">
        <f aca="false">AP112*AP111/Thousand</f>
        <v>5600.83905601322</v>
      </c>
      <c r="AQ113" s="33" t="n">
        <f aca="false">AQ112*AQ111/Thousand</f>
        <v>5584.03653884518</v>
      </c>
      <c r="AR113" s="33" t="n">
        <f aca="false">AR112*AR111/Thousand</f>
        <v>5517.27088457637</v>
      </c>
      <c r="AS113" s="33" t="n">
        <f aca="false">AS112*AS111/Thousand</f>
        <v>5578.573894405</v>
      </c>
      <c r="AT113" s="33" t="n">
        <f aca="false">AT112*AT111/Thousand</f>
        <v>5639.87690423363</v>
      </c>
      <c r="AU113" s="33" t="n">
        <f aca="false">AU112*AU111/Thousand</f>
        <v>5622.95727352093</v>
      </c>
      <c r="AV113" s="33" t="n">
        <f aca="false">AV112*AV111/Thousand</f>
        <v>5617.456554449</v>
      </c>
      <c r="AW113" s="33" t="n">
        <f aca="false">AW112*AW111/Thousand</f>
        <v>5617.456554449</v>
      </c>
      <c r="AX113" s="33" t="n">
        <f aca="false">AX112*AX111/Thousand</f>
        <v>5679.18684625614</v>
      </c>
      <c r="AY113" s="33" t="n">
        <f aca="false">AY112*AY111/Thousand</f>
        <v>5662.14928571737</v>
      </c>
      <c r="AZ113" s="33" t="n">
        <f aca="false">AZ112*AZ111/Thousand</f>
        <v>5594.44967469249</v>
      </c>
      <c r="BA113" s="33" t="n">
        <f aca="false">BA112*BA111/Thousand</f>
        <v>5656.61022663352</v>
      </c>
      <c r="BB113" s="33" t="n">
        <f aca="false">BB112*BB111/Thousand</f>
        <v>5718.77077857454</v>
      </c>
      <c r="BC113" s="33" t="n">
        <f aca="false">BC112*BC111/Thousand</f>
        <v>5701.61446623882</v>
      </c>
      <c r="BD113" s="33" t="n">
        <f aca="false">BD112*BD111/Thousand</f>
        <v>5633.44298892509</v>
      </c>
      <c r="BE113" s="33" t="n">
        <f aca="false">BE112*BE111/Thousand</f>
        <v>5696.03679991315</v>
      </c>
      <c r="BF113" s="33" t="n">
        <f aca="false">BF112*BF111/Thousand</f>
        <v>5758.63061090121</v>
      </c>
      <c r="BG113" s="33" t="n">
        <f aca="false">BG112*BG111/Thousand</f>
        <v>5741.3547190685</v>
      </c>
      <c r="BH113" s="33" t="n">
        <f aca="false">BH112*BH111/Thousand</f>
        <v>5672.7080865579</v>
      </c>
      <c r="BI113" s="33" t="n">
        <f aca="false">BI112*BI111/Thousand</f>
        <v>5735.73817640854</v>
      </c>
      <c r="BJ113" s="33" t="n">
        <f aca="false">BJ112*BJ111/Thousand</f>
        <v>5798.76826625919</v>
      </c>
      <c r="BK113" s="33" t="n">
        <f aca="false">BK112*BK111/Thousand</f>
        <v>5781.37196146041</v>
      </c>
      <c r="BL113" s="33" t="n">
        <f aca="false">BL112*BL111/Thousand</f>
        <v>5775.71627149811</v>
      </c>
      <c r="BM113" s="33" t="n">
        <f aca="false">BM112*BM111/Thousand</f>
        <v>5775.71627149811</v>
      </c>
      <c r="BN113" s="33" t="n">
        <f aca="false">BN112*BN111/Thousand</f>
        <v>5839.18568107501</v>
      </c>
      <c r="BO113" s="33" t="n">
        <f aca="false">BO112*BO111/Thousand</f>
        <v>5821.66812403179</v>
      </c>
      <c r="BP113" s="33" t="n">
        <f aca="false">BP112*BP111/Thousand</f>
        <v>5752.0612225488</v>
      </c>
      <c r="BQ113" s="33" t="n">
        <f aca="false">BQ112*BQ111/Thousand</f>
        <v>5815.97301391045</v>
      </c>
      <c r="BR113" s="33" t="n">
        <f aca="false">BR112*BR111/Thousand</f>
        <v>5879.88480527211</v>
      </c>
      <c r="BS113" s="33" t="n">
        <f aca="false">BS112*BS111/Thousand</f>
        <v>5862.24515085629</v>
      </c>
      <c r="BT113" s="33" t="n">
        <f aca="false">BT112*BT111/Thousand</f>
        <v>5792.15308926996</v>
      </c>
      <c r="BU113" s="33" t="n">
        <f aca="false">BU112*BU111/Thousand</f>
        <v>5856.51034581741</v>
      </c>
      <c r="BV113" s="33" t="n">
        <f aca="false">BV112*BV111/Thousand</f>
        <v>5920.86760236485</v>
      </c>
      <c r="BW113" s="33" t="n">
        <f aca="false">BW112*BW111/Thousand</f>
        <v>5903.10499955776</v>
      </c>
      <c r="BX113" s="33" t="n">
        <f aca="false">BX112*BX111/Thousand</f>
        <v>5832.52439630218</v>
      </c>
      <c r="BY113" s="33" t="n">
        <f aca="false">BY112*BY111/Thousand</f>
        <v>5897.33022292776</v>
      </c>
      <c r="BZ113" s="33" t="n">
        <f aca="false">BZ112*BZ111/Thousand</f>
        <v>5962.13604955334</v>
      </c>
      <c r="CA113" s="33" t="n">
        <f aca="false">CA112*CA111/Thousand</f>
        <v>5944.24964140468</v>
      </c>
      <c r="CB113" s="33" t="n">
        <f aca="false">CB112*CB111/Thousand</f>
        <v>5938.43461458156</v>
      </c>
      <c r="CC113" s="33" t="n">
        <f aca="false">CC112*CC111/Thousand</f>
        <v>5938.43461458156</v>
      </c>
      <c r="CD113" s="33" t="n">
        <f aca="false">CD112*CD111/Thousand</f>
        <v>6003.69213781872</v>
      </c>
      <c r="CE113" s="33" t="n">
        <f aca="false">CE112*CE111/Thousand</f>
        <v>5985.68106140527</v>
      </c>
      <c r="CF113" s="33" t="n">
        <f aca="false">CF112*CF111/Thousand</f>
        <v>5914.11313567107</v>
      </c>
      <c r="CG113" s="33" t="n">
        <f aca="false">CG112*CG111/Thousand</f>
        <v>5979.8255038452</v>
      </c>
      <c r="CH113" s="33" t="n">
        <f aca="false">CH112*CH111/Thousand</f>
        <v>6045.53787201932</v>
      </c>
      <c r="CI113" s="33" t="n">
        <f aca="false">CI112*CI111/Thousand</f>
        <v>6027.40125840326</v>
      </c>
      <c r="CJ113" s="33" t="n">
        <f aca="false">CJ112*CJ111/Thousand</f>
        <v>5955.3345042267</v>
      </c>
      <c r="CK113" s="33" t="n">
        <f aca="false">CK112*CK111/Thousand</f>
        <v>6021.504887607</v>
      </c>
      <c r="CL113" s="33" t="n">
        <f aca="false">CL112*CL111/Thousand</f>
        <v>6087.67527098729</v>
      </c>
      <c r="CM113" s="33" t="n">
        <f aca="false">CM112*CM111/Thousand</f>
        <v>6069.41224517433</v>
      </c>
      <c r="CN113" s="33" t="n">
        <f aca="false">CN112*CN111/Thousand</f>
        <v>5996.84318572116</v>
      </c>
      <c r="CO113" s="33" t="n">
        <f aca="false">CO112*CO111/Thousand</f>
        <v>6063.47477667362</v>
      </c>
      <c r="CP113" s="33" t="n">
        <f aca="false">CP112*CP111/Thousand</f>
        <v>6130.10636762608</v>
      </c>
      <c r="CQ113" s="33" t="n">
        <f aca="false">CQ112*CQ111/Thousand</f>
        <v>6111.7160485232</v>
      </c>
      <c r="CR113" s="33" t="n">
        <f aca="false">CR112*CR111/Thousand</f>
        <v>6105.73719586703</v>
      </c>
      <c r="CS113" s="33" t="n">
        <f aca="false">CS112*CS111/Thousand</f>
        <v>6105.73719586703</v>
      </c>
      <c r="CT113" s="33" t="n">
        <f aca="false">CT112*CT111/Thousand</f>
        <v>6172.83320900843</v>
      </c>
      <c r="CU113" s="33" t="n">
        <f aca="false">CU112*CU111/Thousand</f>
        <v>6154.3147093814</v>
      </c>
      <c r="CV113" s="33" t="n">
        <f aca="false">CV112*CV111/Thousand</f>
        <v>6080.73051176923</v>
      </c>
      <c r="CW113" s="33" t="n">
        <f aca="false">CW112*CW111/Thousand</f>
        <v>6148.29418412223</v>
      </c>
      <c r="CX113" s="33" t="n">
        <f aca="false">CX112*CX111/Thousand</f>
        <v>6215.85785647522</v>
      </c>
      <c r="CY113" s="33" t="n">
        <f aca="false">CY112*CY111/Thousand</f>
        <v>6197.21028290579</v>
      </c>
      <c r="CZ113" s="33" t="n">
        <f aca="false">CZ112*CZ111/Thousand</f>
        <v>6123.11320343627</v>
      </c>
      <c r="DA113" s="33" t="n">
        <f aca="false">DA112*DA111/Thousand</f>
        <v>6191.14779458556</v>
      </c>
      <c r="DB113" s="33" t="n">
        <f aca="false">DB112*DB111/Thousand</f>
        <v>6259.18238573485</v>
      </c>
      <c r="DC113" s="33" t="n">
        <f aca="false">DC112*DC111/Thousand</f>
        <v>6240.40483857765</v>
      </c>
      <c r="DD113" s="33" t="n">
        <f aca="false">DD112*DD111/Thousand</f>
        <v>6165.79130246422</v>
      </c>
      <c r="DE113" s="33" t="n">
        <f aca="false">DE112*DE111/Thousand</f>
        <v>6234.30009471382</v>
      </c>
      <c r="DF113" s="33" t="n">
        <f aca="false">DF112*DF111/Thousand</f>
        <v>6302.80888696342</v>
      </c>
      <c r="DG113" s="33" t="n">
        <f aca="false">DG112*DG111/Thousand</f>
        <v>6283.90046030253</v>
      </c>
      <c r="DH113" s="33" t="n">
        <f aca="false">DH112*DH111/Thousand</f>
        <v>6277.75316637398</v>
      </c>
      <c r="DI113" s="33" t="n">
        <f aca="false">DI112*DI111/Thousand</f>
        <v>6277.75316637398</v>
      </c>
      <c r="DJ113" s="33" t="n">
        <f aca="false">DJ112*DJ111/Thousand</f>
        <v>6346.73946490556</v>
      </c>
      <c r="DK113" s="33" t="n">
        <f aca="false">DK112*DK111/Thousand</f>
        <v>6327.69924651084</v>
      </c>
      <c r="DL113" s="33" t="n">
        <f aca="false">DL112*DL111/Thousand</f>
        <v>6252.04197291125</v>
      </c>
      <c r="DM113" s="33" t="n">
        <f aca="false">DM112*DM111/Thousand</f>
        <v>6321.5091059436</v>
      </c>
      <c r="DN113" s="33" t="n">
        <f aca="false">DN112*DN111/Thousand</f>
        <v>6390.97623897595</v>
      </c>
      <c r="DO113" s="33" t="n">
        <f aca="false">DO112*DO111/Thousand</f>
        <v>6371.80331025902</v>
      </c>
      <c r="DP113" s="33" t="n">
        <f aca="false">DP112*DP111/Thousand</f>
        <v>6295.61870546244</v>
      </c>
      <c r="DQ113" s="33" t="n">
        <f aca="false">DQ112*DQ111/Thousand</f>
        <v>6365.57002441203</v>
      </c>
      <c r="DR113" s="33" t="n">
        <f aca="false">DR112*DR111/Thousand</f>
        <v>6435.52134336161</v>
      </c>
      <c r="DS113" s="33" t="n">
        <f aca="false">DS112*DS111/Thousand</f>
        <v>6416.21477933153</v>
      </c>
      <c r="DT113" s="33" t="n">
        <f aca="false">DT112*DT111/Thousand</f>
        <v>6339.49916783952</v>
      </c>
      <c r="DU113" s="33" t="n">
        <f aca="false">DU112*DU111/Thousand</f>
        <v>6409.93804748218</v>
      </c>
      <c r="DV113" s="33" t="n">
        <f aca="false">DV112*DV111/Thousand</f>
        <v>6480.37692712484</v>
      </c>
      <c r="DW113" s="33" t="n">
        <f aca="false">DW112*DW111/Thousand</f>
        <v>6460.93579634347</v>
      </c>
      <c r="DX113" s="33" t="n">
        <f aca="false">DX112*DX111/Thousand</f>
        <v>6454.61531567313</v>
      </c>
      <c r="DY113" s="33" t="n">
        <f aca="false">DY112*DY111/Thousand</f>
        <v>6454.61531567313</v>
      </c>
      <c r="DZ113" s="33" t="n">
        <f aca="false">DZ112*DZ111/Thousand</f>
        <v>6525.5451543069</v>
      </c>
      <c r="EA113" s="33" t="n">
        <f aca="false">EA112*EA111/Thousand</f>
        <v>6505.96851884398</v>
      </c>
      <c r="EB113" s="33" t="n">
        <f aca="false">EB112*EB111/Thousand</f>
        <v>6428.17976481433</v>
      </c>
      <c r="EC113" s="33" t="n">
        <f aca="false">EC112*EC111/Thousand</f>
        <v>6499.60398442337</v>
      </c>
      <c r="ED113" s="33" t="n">
        <f aca="false">ED112*ED111/Thousand</f>
        <v>6571.02820403242</v>
      </c>
      <c r="EE113" s="33" t="n">
        <f aca="false">EE112*EE111/Thousand</f>
        <v>6551.31511942033</v>
      </c>
      <c r="EF113" s="33" t="n">
        <f aca="false">EF112*EF111/Thousand</f>
        <v>6472.98417777508</v>
      </c>
      <c r="EG113" s="33" t="n">
        <f aca="false">EG112*EG111/Thousand</f>
        <v>6544.90622419481</v>
      </c>
      <c r="EH113" s="33" t="n">
        <f aca="false">EH112*EH111/Thousand</f>
        <v>6616.82827061453</v>
      </c>
      <c r="EI113" s="33" t="n">
        <f aca="false">EI112*EI111/Thousand</f>
        <v>6596.97778580269</v>
      </c>
      <c r="EJ113" s="33" t="n">
        <f aca="false">EJ112*EJ111/Thousand</f>
        <v>6518.10087749417</v>
      </c>
      <c r="EK113" s="33" t="n">
        <f aca="false">EK112*EK111/Thousand</f>
        <v>6590.52422057744</v>
      </c>
      <c r="EL113" s="33" t="n">
        <f aca="false">EL112*EL111/Thousand</f>
        <v>6662.94756366071</v>
      </c>
      <c r="EM113" s="33" t="n">
        <f aca="false">EM112*EM111/Thousand</f>
        <v>6642.95872096973</v>
      </c>
      <c r="EN113" s="33" t="n">
        <f aca="false">EN112*EN111/Thousand</f>
        <v>6636.46017439487</v>
      </c>
      <c r="EO113" s="33" t="n">
        <f aca="false">EO112*EO111/Thousand</f>
        <v>6636.46017439487</v>
      </c>
      <c r="EP113" s="33" t="n">
        <f aca="false">EP112*EP111/Thousand</f>
        <v>6709.38830817943</v>
      </c>
      <c r="EQ113" s="33" t="n">
        <f aca="false">EQ112*EQ111/Thousand</f>
        <v>6689.26014325489</v>
      </c>
      <c r="ER113" s="33" t="n">
        <f aca="false">ER112*ER111/Thousand</f>
        <v>6609.27985893336</v>
      </c>
      <c r="ES113" s="33" t="n">
        <f aca="false">ES112*ES111/Thousand</f>
        <v>6682.7163018104</v>
      </c>
      <c r="ET113" s="33" t="n">
        <f aca="false">ET112*ET111/Thousand</f>
        <v>6756.15274468744</v>
      </c>
    </row>
    <row r="114" customFormat="false" ht="15" hidden="false" customHeight="false" outlineLevel="0" collapsed="false">
      <c r="C114" s="0" t="s">
        <v>567</v>
      </c>
      <c r="D114" s="11" t="s">
        <v>253</v>
      </c>
      <c r="I114" s="33" t="n">
        <f aca="false">SUM(J114:ET114)</f>
        <v>-51382.5373327149</v>
      </c>
      <c r="J114" s="33" t="n">
        <f aca="false">-In_Var_Opex*J112*J110/Thousand</f>
        <v>-0</v>
      </c>
      <c r="K114" s="33" t="n">
        <f aca="false">-In_Var_Opex*K112*K110/Thousand</f>
        <v>-0</v>
      </c>
      <c r="L114" s="33" t="n">
        <f aca="false">-In_Var_Opex*L112*L110/Thousand</f>
        <v>-0</v>
      </c>
      <c r="M114" s="33" t="n">
        <f aca="false">-In_Var_Opex*M112*M110/Thousand</f>
        <v>-0</v>
      </c>
      <c r="N114" s="33" t="n">
        <f aca="false">-In_Var_Opex*N112*N110/Thousand</f>
        <v>-0</v>
      </c>
      <c r="O114" s="33" t="n">
        <f aca="false">-In_Var_Opex*O112*O110/Thousand</f>
        <v>-0</v>
      </c>
      <c r="P114" s="33" t="n">
        <f aca="false">-In_Var_Opex*P112*P110/Thousand</f>
        <v>-0</v>
      </c>
      <c r="Q114" s="33" t="n">
        <f aca="false">-In_Var_Opex*Q112*Q110/Thousand</f>
        <v>-0</v>
      </c>
      <c r="R114" s="33" t="n">
        <f aca="false">-In_Var_Opex*R112*R110/Thousand</f>
        <v>-0</v>
      </c>
      <c r="S114" s="33" t="n">
        <f aca="false">-In_Var_Opex*S112*S110/Thousand</f>
        <v>-0</v>
      </c>
      <c r="T114" s="33" t="n">
        <f aca="false">-In_Var_Opex*T112*T110/Thousand</f>
        <v>-0</v>
      </c>
      <c r="U114" s="33" t="n">
        <f aca="false">-In_Var_Opex*U112*U110/Thousand</f>
        <v>-0</v>
      </c>
      <c r="V114" s="33" t="n">
        <f aca="false">-In_Var_Opex*V112*V110/Thousand</f>
        <v>-0</v>
      </c>
      <c r="W114" s="33" t="n">
        <f aca="false">-In_Var_Opex*W112*W110/Thousand</f>
        <v>-0</v>
      </c>
      <c r="X114" s="33" t="n">
        <f aca="false">-In_Var_Opex*X112*X110/Thousand</f>
        <v>-0</v>
      </c>
      <c r="Y114" s="33" t="n">
        <f aca="false">-In_Var_Opex*Y112*Y110/Thousand</f>
        <v>-0</v>
      </c>
      <c r="Z114" s="33" t="n">
        <f aca="false">-In_Var_Opex*Z112*Z110/Thousand</f>
        <v>-0</v>
      </c>
      <c r="AA114" s="33" t="n">
        <f aca="false">-In_Var_Opex*AA112*AA110/Thousand</f>
        <v>-0</v>
      </c>
      <c r="AB114" s="33" t="n">
        <f aca="false">-In_Var_Opex*AB112*AB110/Thousand</f>
        <v>-0</v>
      </c>
      <c r="AC114" s="33" t="n">
        <f aca="false">-In_Var_Opex*AC112*AC110/Thousand</f>
        <v>-0</v>
      </c>
      <c r="AD114" s="33" t="n">
        <f aca="false">-In_Var_Opex*AD112*AD110/Thousand</f>
        <v>-0</v>
      </c>
      <c r="AE114" s="33" t="n">
        <f aca="false">-In_Var_Opex*AE112*AE110/Thousand</f>
        <v>-303.826849315069</v>
      </c>
      <c r="AF114" s="33" t="n">
        <f aca="false">-In_Var_Opex*AF112*AF110/Thousand</f>
        <v>-308.037493150685</v>
      </c>
      <c r="AG114" s="33" t="n">
        <f aca="false">-In_Var_Opex*AG112*AG110/Thousand</f>
        <v>-308.037493150685</v>
      </c>
      <c r="AH114" s="33" t="n">
        <f aca="false">-In_Var_Opex*AH112*AH110/Thousand</f>
        <v>-311.422520547945</v>
      </c>
      <c r="AI114" s="33" t="n">
        <f aca="false">-In_Var_Opex*AI112*AI110/Thousand</f>
        <v>-310.488252986301</v>
      </c>
      <c r="AJ114" s="33" t="n">
        <f aca="false">-In_Var_Opex*AJ112*AJ110/Thousand</f>
        <v>-311.331971065068</v>
      </c>
      <c r="AK114" s="33" t="n">
        <f aca="false">-In_Var_Opex*AK112*AK110/Thousand</f>
        <v>-314.791215188014</v>
      </c>
      <c r="AL114" s="33" t="n">
        <f aca="false">-In_Var_Opex*AL112*AL110/Thousand</f>
        <v>-318.250459310959</v>
      </c>
      <c r="AM114" s="33" t="n">
        <f aca="false">-In_Var_Opex*AM112*AM110/Thousand</f>
        <v>-317.295707933026</v>
      </c>
      <c r="AN114" s="33" t="n">
        <f aca="false">-In_Var_Opex*AN112*AN110/Thousand</f>
        <v>-318.15792453067</v>
      </c>
      <c r="AO114" s="33" t="n">
        <f aca="false">-In_Var_Opex*AO112*AO110/Thousand</f>
        <v>-321.693012581011</v>
      </c>
      <c r="AP114" s="33" t="n">
        <f aca="false">-In_Var_Opex*AP112*AP110/Thousand</f>
        <v>-325.228100631352</v>
      </c>
      <c r="AQ114" s="33" t="n">
        <f aca="false">-In_Var_Opex*AQ112*AQ110/Thousand</f>
        <v>-324.252416329458</v>
      </c>
      <c r="AR114" s="33" t="n">
        <f aca="false">-In_Var_Opex*AR112*AR110/Thousand</f>
        <v>-325.133537026005</v>
      </c>
      <c r="AS114" s="33" t="n">
        <f aca="false">-In_Var_Opex*AS112*AS110/Thousand</f>
        <v>-328.746131881849</v>
      </c>
      <c r="AT114" s="33" t="n">
        <f aca="false">-In_Var_Opex*AT112*AT110/Thousand</f>
        <v>-332.358726737694</v>
      </c>
      <c r="AU114" s="33" t="n">
        <f aca="false">-In_Var_Opex*AU112*AU110/Thousand</f>
        <v>-331.361650557481</v>
      </c>
      <c r="AV114" s="33" t="n">
        <f aca="false">-In_Var_Opex*AV112*AV110/Thousand</f>
        <v>-335.953890823359</v>
      </c>
      <c r="AW114" s="33" t="n">
        <f aca="false">-In_Var_Opex*AW112*AW110/Thousand</f>
        <v>-335.953890823359</v>
      </c>
      <c r="AX114" s="33" t="n">
        <f aca="false">-In_Var_Opex*AX112*AX110/Thousand</f>
        <v>-339.645691821418</v>
      </c>
      <c r="AY114" s="33" t="n">
        <f aca="false">-In_Var_Opex*AY112*AY110/Thousand</f>
        <v>-338.626754745954</v>
      </c>
      <c r="AZ114" s="33" t="n">
        <f aca="false">-In_Var_Opex*AZ112*AZ110/Thousand</f>
        <v>-339.54693614472</v>
      </c>
      <c r="BA114" s="33" t="n">
        <f aca="false">-In_Var_Opex*BA112*BA110/Thousand</f>
        <v>-343.319679879661</v>
      </c>
      <c r="BB114" s="33" t="n">
        <f aca="false">-In_Var_Opex*BB112*BB110/Thousand</f>
        <v>-347.092423614602</v>
      </c>
      <c r="BC114" s="33" t="n">
        <f aca="false">-In_Var_Opex*BC112*BC110/Thousand</f>
        <v>-346.051146343759</v>
      </c>
      <c r="BD114" s="33" t="n">
        <f aca="false">-In_Var_Opex*BD112*BD110/Thousand</f>
        <v>-346.991502719693</v>
      </c>
      <c r="BE114" s="33" t="n">
        <f aca="false">-In_Var_Opex*BE112*BE110/Thousand</f>
        <v>-350.846963861023</v>
      </c>
      <c r="BF114" s="33" t="n">
        <f aca="false">-In_Var_Opex*BF112*BF110/Thousand</f>
        <v>-354.702425002353</v>
      </c>
      <c r="BG114" s="33" t="n">
        <f aca="false">-In_Var_Opex*BG112*BG110/Thousand</f>
        <v>-353.638317727346</v>
      </c>
      <c r="BH114" s="33" t="n">
        <f aca="false">-In_Var_Opex*BH112*BH110/Thousand</f>
        <v>-354.599291416822</v>
      </c>
      <c r="BI114" s="33" t="n">
        <f aca="false">-In_Var_Opex*BI112*BI110/Thousand</f>
        <v>-358.539283543675</v>
      </c>
      <c r="BJ114" s="33" t="n">
        <f aca="false">-In_Var_Opex*BJ112*BJ110/Thousand</f>
        <v>-362.479275670529</v>
      </c>
      <c r="BK114" s="33" t="n">
        <f aca="false">-In_Var_Opex*BK112*BK110/Thousand</f>
        <v>-361.391837843517</v>
      </c>
      <c r="BL114" s="33" t="n">
        <f aca="false">-In_Var_Opex*BL112*BL110/Thousand</f>
        <v>-366.400257335371</v>
      </c>
      <c r="BM114" s="33" t="n">
        <f aca="false">-In_Var_Opex*BM112*BM110/Thousand</f>
        <v>-366.400257335371</v>
      </c>
      <c r="BN114" s="33" t="n">
        <f aca="false">-In_Var_Opex*BN112*BN110/Thousand</f>
        <v>-370.426633789605</v>
      </c>
      <c r="BO114" s="33" t="n">
        <f aca="false">-In_Var_Opex*BO112*BO110/Thousand</f>
        <v>-369.315353888237</v>
      </c>
      <c r="BP114" s="33" t="n">
        <f aca="false">-In_Var_Opex*BP112*BP110/Thousand</f>
        <v>-370.318928219455</v>
      </c>
      <c r="BQ114" s="33" t="n">
        <f aca="false">-In_Var_Opex*BQ112*BQ110/Thousand</f>
        <v>-374.433582977449</v>
      </c>
      <c r="BR114" s="33" t="n">
        <f aca="false">-In_Var_Opex*BR112*BR110/Thousand</f>
        <v>-378.548237735442</v>
      </c>
      <c r="BS114" s="33" t="n">
        <f aca="false">-In_Var_Opex*BS112*BS110/Thousand</f>
        <v>-377.412593022236</v>
      </c>
      <c r="BT114" s="33" t="n">
        <f aca="false">-In_Var_Opex*BT112*BT110/Thousand</f>
        <v>-378.438170720666</v>
      </c>
      <c r="BU114" s="33" t="n">
        <f aca="false">-In_Var_Opex*BU112*BU110/Thousand</f>
        <v>-382.643039284229</v>
      </c>
      <c r="BV114" s="33" t="n">
        <f aca="false">-In_Var_Opex*BV112*BV110/Thousand</f>
        <v>-386.847907847792</v>
      </c>
      <c r="BW114" s="33" t="n">
        <f aca="false">-In_Var_Opex*BW112*BW110/Thousand</f>
        <v>-385.687364124249</v>
      </c>
      <c r="BX114" s="33" t="n">
        <f aca="false">-In_Var_Opex*BX112*BX110/Thousand</f>
        <v>-386.735427613717</v>
      </c>
      <c r="BY114" s="33" t="n">
        <f aca="false">-In_Var_Opex*BY112*BY110/Thousand</f>
        <v>-391.032487920536</v>
      </c>
      <c r="BZ114" s="33" t="n">
        <f aca="false">-In_Var_Opex*BZ112*BZ110/Thousand</f>
        <v>-395.329548227355</v>
      </c>
      <c r="CA114" s="33" t="n">
        <f aca="false">-In_Var_Opex*CA112*CA110/Thousand</f>
        <v>-394.143559582673</v>
      </c>
      <c r="CB114" s="33" t="n">
        <f aca="false">-In_Var_Opex*CB112*CB110/Thousand</f>
        <v>-399.605875218193</v>
      </c>
      <c r="CC114" s="33" t="n">
        <f aca="false">-In_Var_Opex*CC112*CC110/Thousand</f>
        <v>-399.605875218193</v>
      </c>
      <c r="CD114" s="33" t="n">
        <f aca="false">-In_Var_Opex*CD112*CD110/Thousand</f>
        <v>-403.99714857224</v>
      </c>
      <c r="CE114" s="33" t="n">
        <f aca="false">-In_Var_Opex*CE112*CE110/Thousand</f>
        <v>-402.785157126523</v>
      </c>
      <c r="CF114" s="33" t="n">
        <f aca="false">-In_Var_Opex*CF112*CF110/Thousand</f>
        <v>-403.879682010019</v>
      </c>
      <c r="CG114" s="33" t="n">
        <f aca="false">-In_Var_Opex*CG112*CG110/Thousand</f>
        <v>-408.367234032352</v>
      </c>
      <c r="CH114" s="33" t="n">
        <f aca="false">-In_Var_Opex*CH112*CH110/Thousand</f>
        <v>-412.854786054686</v>
      </c>
      <c r="CI114" s="33" t="n">
        <f aca="false">-In_Var_Opex*CI112*CI110/Thousand</f>
        <v>-411.616221696522</v>
      </c>
      <c r="CJ114" s="33" t="n">
        <f aca="false">-In_Var_Opex*CJ112*CJ110/Thousand</f>
        <v>-412.734744038088</v>
      </c>
      <c r="CK114" s="33" t="n">
        <f aca="false">-In_Var_Opex*CK112*CK110/Thousand</f>
        <v>-417.320685638512</v>
      </c>
      <c r="CL114" s="33" t="n">
        <f aca="false">-In_Var_Opex*CL112*CL110/Thousand</f>
        <v>-421.906627238935</v>
      </c>
      <c r="CM114" s="33" t="n">
        <f aca="false">-In_Var_Opex*CM112*CM110/Thousand</f>
        <v>-420.640907357218</v>
      </c>
      <c r="CN114" s="33" t="n">
        <f aca="false">-In_Var_Opex*CN112*CN110/Thousand</f>
        <v>-421.783953301123</v>
      </c>
      <c r="CO114" s="33" t="n">
        <f aca="false">-In_Var_Opex*CO112*CO110/Thousand</f>
        <v>-426.470441671136</v>
      </c>
      <c r="CP114" s="33" t="n">
        <f aca="false">-In_Var_Opex*CP112*CP110/Thousand</f>
        <v>-431.156930041149</v>
      </c>
      <c r="CQ114" s="33" t="n">
        <f aca="false">-In_Var_Opex*CQ112*CQ110/Thousand</f>
        <v>-429.863459251025</v>
      </c>
      <c r="CR114" s="33" t="n">
        <f aca="false">-In_Var_Opex*CR112*CR110/Thousand</f>
        <v>-435.820806104776</v>
      </c>
      <c r="CS114" s="33" t="n">
        <f aca="false">-In_Var_Opex*CS112*CS110/Thousand</f>
        <v>-435.820806104776</v>
      </c>
      <c r="CT114" s="33" t="n">
        <f aca="false">-In_Var_Opex*CT112*CT110/Thousand</f>
        <v>-440.610045732301</v>
      </c>
      <c r="CU114" s="33" t="n">
        <f aca="false">-In_Var_Opex*CU112*CU110/Thousand</f>
        <v>-439.288215595104</v>
      </c>
      <c r="CV114" s="33" t="n">
        <f aca="false">-In_Var_Opex*CV112*CV110/Thousand</f>
        <v>-440.481933572264</v>
      </c>
      <c r="CW114" s="33" t="n">
        <f aca="false">-In_Var_Opex*CW112*CW110/Thousand</f>
        <v>-445.376177278623</v>
      </c>
      <c r="CX114" s="33" t="n">
        <f aca="false">-In_Var_Opex*CX112*CX110/Thousand</f>
        <v>-450.270420984981</v>
      </c>
      <c r="CY114" s="33" t="n">
        <f aca="false">-In_Var_Opex*CY112*CY110/Thousand</f>
        <v>-448.919609722026</v>
      </c>
      <c r="CZ114" s="33" t="n">
        <f aca="false">-In_Var_Opex*CZ112*CZ110/Thousand</f>
        <v>-450.139499965836</v>
      </c>
      <c r="DA114" s="33" t="n">
        <f aca="false">-In_Var_Opex*DA112*DA110/Thousand</f>
        <v>-455.141049965457</v>
      </c>
      <c r="DB114" s="33" t="n">
        <f aca="false">-In_Var_Opex*DB112*DB110/Thousand</f>
        <v>-460.142599965077</v>
      </c>
      <c r="DC114" s="33" t="n">
        <f aca="false">-In_Var_Opex*DC112*DC110/Thousand</f>
        <v>-458.762172165182</v>
      </c>
      <c r="DD114" s="33" t="n">
        <f aca="false">-In_Var_Opex*DD112*DD110/Thousand</f>
        <v>-460.008808502587</v>
      </c>
      <c r="DE114" s="33" t="n">
        <f aca="false">-In_Var_Opex*DE112*DE110/Thousand</f>
        <v>-465.120017485949</v>
      </c>
      <c r="DF114" s="33" t="n">
        <f aca="false">-In_Var_Opex*DF112*DF110/Thousand</f>
        <v>-470.231226469311</v>
      </c>
      <c r="DG114" s="33" t="n">
        <f aca="false">-In_Var_Opex*DG112*DG110/Thousand</f>
        <v>-468.820532789903</v>
      </c>
      <c r="DH114" s="33" t="n">
        <f aca="false">-In_Var_Opex*DH112*DH110/Thousand</f>
        <v>-475.317773869328</v>
      </c>
      <c r="DI114" s="33" t="n">
        <f aca="false">-In_Var_Opex*DI112*DI110/Thousand</f>
        <v>-475.317773869328</v>
      </c>
      <c r="DJ114" s="33" t="n">
        <f aca="false">-In_Var_Opex*DJ112*DJ110/Thousand</f>
        <v>-480.541046109651</v>
      </c>
      <c r="DK114" s="33" t="n">
        <f aca="false">-In_Var_Opex*DK112*DK110/Thousand</f>
        <v>-479.099422971322</v>
      </c>
      <c r="DL114" s="33" t="n">
        <f aca="false">-In_Var_Opex*DL112*DL110/Thousand</f>
        <v>-480.401323577222</v>
      </c>
      <c r="DM114" s="33" t="n">
        <f aca="false">-In_Var_Opex*DM112*DM110/Thousand</f>
        <v>-485.739116061413</v>
      </c>
      <c r="DN114" s="33" t="n">
        <f aca="false">-In_Var_Opex*DN112*DN110/Thousand</f>
        <v>-491.076908545605</v>
      </c>
      <c r="DO114" s="33" t="n">
        <f aca="false">-In_Var_Opex*DO112*DO110/Thousand</f>
        <v>-489.603677819968</v>
      </c>
      <c r="DP114" s="33" t="n">
        <f aca="false">-In_Var_Opex*DP112*DP110/Thousand</f>
        <v>-490.934122596653</v>
      </c>
      <c r="DQ114" s="33" t="n">
        <f aca="false">-In_Var_Opex*DQ112*DQ110/Thousand</f>
        <v>-496.38894618106</v>
      </c>
      <c r="DR114" s="33" t="n">
        <f aca="false">-In_Var_Opex*DR112*DR110/Thousand</f>
        <v>-501.843769765467</v>
      </c>
      <c r="DS114" s="33" t="n">
        <f aca="false">-In_Var_Opex*DS112*DS110/Thousand</f>
        <v>-500.338238456171</v>
      </c>
      <c r="DT114" s="33" t="n">
        <f aca="false">-In_Var_Opex*DT112*DT110/Thousand</f>
        <v>-501.697853234584</v>
      </c>
      <c r="DU114" s="33" t="n">
        <f aca="false">-In_Var_Opex*DU112*DU110/Thousand</f>
        <v>-507.27227382608</v>
      </c>
      <c r="DV114" s="33" t="n">
        <f aca="false">-In_Var_Opex*DV112*DV110/Thousand</f>
        <v>-512.846694417575</v>
      </c>
      <c r="DW114" s="33" t="n">
        <f aca="false">-In_Var_Opex*DW112*DW110/Thousand</f>
        <v>-511.308154334322</v>
      </c>
      <c r="DX114" s="33" t="n">
        <f aca="false">-In_Var_Opex*DX112*DX110/Thousand</f>
        <v>-518.394218429716</v>
      </c>
      <c r="DY114" s="33" t="n">
        <f aca="false">-In_Var_Opex*DY112*DY110/Thousand</f>
        <v>-518.394218429716</v>
      </c>
      <c r="DZ114" s="33" t="n">
        <f aca="false">-In_Var_Opex*DZ112*DZ110/Thousand</f>
        <v>-524.09085819268</v>
      </c>
      <c r="EA114" s="33" t="n">
        <f aca="false">-In_Var_Opex*EA112*EA110/Thousand</f>
        <v>-522.518585618102</v>
      </c>
      <c r="EB114" s="33" t="n">
        <f aca="false">-In_Var_Opex*EB112*EB110/Thousand</f>
        <v>-523.938473079021</v>
      </c>
      <c r="EC114" s="33" t="n">
        <f aca="false">-In_Var_Opex*EC112*EC110/Thousand</f>
        <v>-529.760011668788</v>
      </c>
      <c r="ED114" s="33" t="n">
        <f aca="false">-In_Var_Opex*ED112*ED110/Thousand</f>
        <v>-535.581550258555</v>
      </c>
      <c r="EE114" s="33" t="n">
        <f aca="false">-In_Var_Opex*EE112*EE110/Thousand</f>
        <v>-533.974805607779</v>
      </c>
      <c r="EF114" s="33" t="n">
        <f aca="false">-In_Var_Opex*EF112*EF110/Thousand</f>
        <v>-535.425824101278</v>
      </c>
      <c r="EG114" s="33" t="n">
        <f aca="false">-In_Var_Opex*EG112*EG110/Thousand</f>
        <v>-541.374999924626</v>
      </c>
      <c r="EH114" s="33" t="n">
        <f aca="false">-In_Var_Opex*EH112*EH110/Thousand</f>
        <v>-547.324175747974</v>
      </c>
      <c r="EI114" s="33" t="n">
        <f aca="false">-In_Var_Opex*EI112*EI110/Thousand</f>
        <v>-545.68220322073</v>
      </c>
      <c r="EJ114" s="33" t="n">
        <f aca="false">-In_Var_Opex*EJ112*EJ110/Thousand</f>
        <v>-547.165035294699</v>
      </c>
      <c r="EK114" s="33" t="n">
        <f aca="false">-In_Var_Opex*EK112*EK110/Thousand</f>
        <v>-553.244646797973</v>
      </c>
      <c r="EL114" s="33" t="n">
        <f aca="false">-In_Var_Opex*EL112*EL110/Thousand</f>
        <v>-559.324258301248</v>
      </c>
      <c r="EM114" s="33" t="n">
        <f aca="false">-In_Var_Opex*EM112*EM110/Thousand</f>
        <v>-557.646285526344</v>
      </c>
      <c r="EN114" s="33" t="n">
        <f aca="false">-In_Var_Opex*EN112*EN110/Thousand</f>
        <v>-565.374535679019</v>
      </c>
      <c r="EO114" s="33" t="n">
        <f aca="false">-In_Var_Opex*EO112*EO110/Thousand</f>
        <v>-565.374535679019</v>
      </c>
      <c r="EP114" s="33" t="n">
        <f aca="false">-In_Var_Opex*EP112*EP110/Thousand</f>
        <v>-571.587442664503</v>
      </c>
      <c r="EQ114" s="33" t="n">
        <f aca="false">-In_Var_Opex*EQ112*EQ110/Thousand</f>
        <v>-569.872680336509</v>
      </c>
      <c r="ER114" s="33" t="n">
        <f aca="false">-In_Var_Opex*ER112*ER110/Thousand</f>
        <v>-571.421247402641</v>
      </c>
      <c r="ES114" s="33" t="n">
        <f aca="false">-In_Var_Opex*ES112*ES110/Thousand</f>
        <v>-577.770372373781</v>
      </c>
      <c r="ET114" s="33" t="n">
        <f aca="false">-In_Var_Opex*ET112*ET110/Thousand</f>
        <v>-584.119497344922</v>
      </c>
    </row>
    <row r="115" customFormat="false" ht="15" hidden="false" customHeight="false" outlineLevel="0" collapsed="false">
      <c r="C115" s="0" t="s">
        <v>568</v>
      </c>
      <c r="D115" s="11" t="s">
        <v>253</v>
      </c>
      <c r="I115" s="33" t="n">
        <f aca="false">SUM(J115:ET115)</f>
        <v>-105177.037405926</v>
      </c>
      <c r="J115" s="33" t="n">
        <f aca="false">-(In_Fixed_Opex*$F24+In_Admin)*J110*J15*J$6</f>
        <v>-0</v>
      </c>
      <c r="K115" s="33" t="n">
        <f aca="false">-(In_Fixed_Opex*$F24+In_Admin)*K110*K15*K$6</f>
        <v>-0</v>
      </c>
      <c r="L115" s="33" t="n">
        <f aca="false">-(In_Fixed_Opex*$F24+In_Admin)*L110*L15*L$6</f>
        <v>-0</v>
      </c>
      <c r="M115" s="33" t="n">
        <f aca="false">-(In_Fixed_Opex*$F24+In_Admin)*M110*M15*M$6</f>
        <v>-0</v>
      </c>
      <c r="N115" s="33" t="n">
        <f aca="false">-(In_Fixed_Opex*$F24+In_Admin)*N110*N15*N$6</f>
        <v>-0</v>
      </c>
      <c r="O115" s="33" t="n">
        <f aca="false">-(In_Fixed_Opex*$F24+In_Admin)*O110*O15*O$6</f>
        <v>-0</v>
      </c>
      <c r="P115" s="33" t="n">
        <f aca="false">-(In_Fixed_Opex*$F24+In_Admin)*P110*P15*P$6</f>
        <v>-0</v>
      </c>
      <c r="Q115" s="33" t="n">
        <f aca="false">-(In_Fixed_Opex*$F24+In_Admin)*Q110*Q15*Q$6</f>
        <v>-0</v>
      </c>
      <c r="R115" s="33" t="n">
        <f aca="false">-(In_Fixed_Opex*$F24+In_Admin)*R110*R15*R$6</f>
        <v>-0</v>
      </c>
      <c r="S115" s="33" t="n">
        <f aca="false">-(In_Fixed_Opex*$F24+In_Admin)*S110*S15*S$6</f>
        <v>-0</v>
      </c>
      <c r="T115" s="33" t="n">
        <f aca="false">-(In_Fixed_Opex*$F24+In_Admin)*T110*T15*T$6</f>
        <v>-0</v>
      </c>
      <c r="U115" s="33" t="n">
        <f aca="false">-(In_Fixed_Opex*$F24+In_Admin)*U110*U15*U$6</f>
        <v>-0</v>
      </c>
      <c r="V115" s="33" t="n">
        <f aca="false">-(In_Fixed_Opex*$F24+In_Admin)*V110*V15*V$6</f>
        <v>-0</v>
      </c>
      <c r="W115" s="33" t="n">
        <f aca="false">-(In_Fixed_Opex*$F24+In_Admin)*W110*W15*W$6</f>
        <v>-0</v>
      </c>
      <c r="X115" s="33" t="n">
        <f aca="false">-(In_Fixed_Opex*$F24+In_Admin)*X110*X15*X$6</f>
        <v>-0</v>
      </c>
      <c r="Y115" s="33" t="n">
        <f aca="false">-(In_Fixed_Opex*$F24+In_Admin)*Y110*Y15*Y$6</f>
        <v>-0</v>
      </c>
      <c r="Z115" s="33" t="n">
        <f aca="false">-(In_Fixed_Opex*$F24+In_Admin)*Z110*Z15*Z$6</f>
        <v>-0</v>
      </c>
      <c r="AA115" s="33" t="n">
        <f aca="false">-(In_Fixed_Opex*$F24+In_Admin)*AA110*AA15*AA$6</f>
        <v>-0</v>
      </c>
      <c r="AB115" s="33" t="n">
        <f aca="false">-(In_Fixed_Opex*$F24+In_Admin)*AB110*AB15*AB$6</f>
        <v>-0</v>
      </c>
      <c r="AC115" s="33" t="n">
        <f aca="false">-(In_Fixed_Opex*$F24+In_Admin)*AC110*AC15*AC$6</f>
        <v>-0</v>
      </c>
      <c r="AD115" s="33" t="n">
        <f aca="false">-(In_Fixed_Opex*$F24+In_Admin)*AD110*AD15*AD$6</f>
        <v>-0</v>
      </c>
      <c r="AE115" s="33" t="n">
        <f aca="false">-(In_Fixed_Opex*$F24+In_Admin)*AE110*AE15*AE$6</f>
        <v>-592.328767123288</v>
      </c>
      <c r="AF115" s="33" t="n">
        <f aca="false">-(In_Fixed_Opex*$F24+In_Admin)*AF110*AF15*AF$6</f>
        <v>-600.537671232877</v>
      </c>
      <c r="AG115" s="33" t="n">
        <f aca="false">-(In_Fixed_Opex*$F24+In_Admin)*AG110*AG15*AG$6</f>
        <v>-600.537671232877</v>
      </c>
      <c r="AH115" s="33" t="n">
        <f aca="false">-(In_Fixed_Opex*$F24+In_Admin)*AH110*AH15*AH$6</f>
        <v>-607.13698630137</v>
      </c>
      <c r="AI115" s="33" t="n">
        <f aca="false">-(In_Fixed_Opex*$F24+In_Admin)*AI110*AI15*AI$6</f>
        <v>-607.13698630137</v>
      </c>
      <c r="AJ115" s="33" t="n">
        <f aca="false">-(In_Fixed_Opex*$F24+In_Admin)*AJ110*AJ15*AJ$6</f>
        <v>-608.786815068493</v>
      </c>
      <c r="AK115" s="33" t="n">
        <f aca="false">-(In_Fixed_Opex*$F24+In_Admin)*AK110*AK15*AK$6</f>
        <v>-615.551113013699</v>
      </c>
      <c r="AL115" s="33" t="n">
        <f aca="false">-(In_Fixed_Opex*$F24+In_Admin)*AL110*AL15*AL$6</f>
        <v>-622.315410958904</v>
      </c>
      <c r="AM115" s="33" t="n">
        <f aca="false">-(In_Fixed_Opex*$F24+In_Admin)*AM110*AM15*AM$6</f>
        <v>-622.315410958904</v>
      </c>
      <c r="AN115" s="33" t="n">
        <f aca="false">-(In_Fixed_Opex*$F24+In_Admin)*AN110*AN15*AN$6</f>
        <v>-624.006485445205</v>
      </c>
      <c r="AO115" s="33" t="n">
        <f aca="false">-(In_Fixed_Opex*$F24+In_Admin)*AO110*AO15*AO$6</f>
        <v>-630.939890839041</v>
      </c>
      <c r="AP115" s="33" t="n">
        <f aca="false">-(In_Fixed_Opex*$F24+In_Admin)*AP110*AP15*AP$6</f>
        <v>-637.873296232877</v>
      </c>
      <c r="AQ115" s="33" t="n">
        <f aca="false">-(In_Fixed_Opex*$F24+In_Admin)*AQ110*AQ15*AQ$6</f>
        <v>-637.873296232877</v>
      </c>
      <c r="AR115" s="33" t="n">
        <f aca="false">-(In_Fixed_Opex*$F24+In_Admin)*AR110*AR15*AR$6</f>
        <v>-639.606647581335</v>
      </c>
      <c r="AS115" s="33" t="n">
        <f aca="false">-(In_Fixed_Opex*$F24+In_Admin)*AS110*AS15*AS$6</f>
        <v>-646.713388110017</v>
      </c>
      <c r="AT115" s="33" t="n">
        <f aca="false">-(In_Fixed_Opex*$F24+In_Admin)*AT110*AT15*AT$6</f>
        <v>-653.820128638698</v>
      </c>
      <c r="AU115" s="33" t="n">
        <f aca="false">-(In_Fixed_Opex*$F24+In_Admin)*AU110*AU15*AU$6</f>
        <v>-653.820128638698</v>
      </c>
      <c r="AV115" s="33" t="n">
        <f aca="false">-(In_Fixed_Opex*$F24+In_Admin)*AV110*AV15*AV$6</f>
        <v>-662.881222812767</v>
      </c>
      <c r="AW115" s="33" t="n">
        <f aca="false">-(In_Fixed_Opex*$F24+In_Admin)*AW110*AW15*AW$6</f>
        <v>-662.881222812767</v>
      </c>
      <c r="AX115" s="33" t="n">
        <f aca="false">-(In_Fixed_Opex*$F24+In_Admin)*AX110*AX15*AX$6</f>
        <v>-670.165631854666</v>
      </c>
      <c r="AY115" s="33" t="n">
        <f aca="false">-(In_Fixed_Opex*$F24+In_Admin)*AY110*AY15*AY$6</f>
        <v>-670.165631854666</v>
      </c>
      <c r="AZ115" s="33" t="n">
        <f aca="false">-(In_Fixed_Opex*$F24+In_Admin)*AZ110*AZ15*AZ$6</f>
        <v>-671.98673411514</v>
      </c>
      <c r="BA115" s="33" t="n">
        <f aca="false">-(In_Fixed_Opex*$F24+In_Admin)*BA110*BA15*BA$6</f>
        <v>-679.453253383086</v>
      </c>
      <c r="BB115" s="33" t="n">
        <f aca="false">-(In_Fixed_Opex*$F24+In_Admin)*BB110*BB15*BB$6</f>
        <v>-686.919772651032</v>
      </c>
      <c r="BC115" s="33" t="n">
        <f aca="false">-(In_Fixed_Opex*$F24+In_Admin)*BC110*BC15*BC$6</f>
        <v>-686.919772651032</v>
      </c>
      <c r="BD115" s="33" t="n">
        <f aca="false">-(In_Fixed_Opex*$F24+In_Admin)*BD110*BD15*BD$6</f>
        <v>-688.786402468019</v>
      </c>
      <c r="BE115" s="33" t="n">
        <f aca="false">-(In_Fixed_Opex*$F24+In_Admin)*BE110*BE15*BE$6</f>
        <v>-696.439584717664</v>
      </c>
      <c r="BF115" s="33" t="n">
        <f aca="false">-(In_Fixed_Opex*$F24+In_Admin)*BF110*BF15*BF$6</f>
        <v>-704.092766967308</v>
      </c>
      <c r="BG115" s="33" t="n">
        <f aca="false">-(In_Fixed_Opex*$F24+In_Admin)*BG110*BG15*BG$6</f>
        <v>-704.092766967308</v>
      </c>
      <c r="BH115" s="33" t="n">
        <f aca="false">-(In_Fixed_Opex*$F24+In_Admin)*BH110*BH15*BH$6</f>
        <v>-706.006062529719</v>
      </c>
      <c r="BI115" s="33" t="n">
        <f aca="false">-(In_Fixed_Opex*$F24+In_Admin)*BI110*BI15*BI$6</f>
        <v>-713.850574335605</v>
      </c>
      <c r="BJ115" s="33" t="n">
        <f aca="false">-(In_Fixed_Opex*$F24+In_Admin)*BJ110*BJ15*BJ$6</f>
        <v>-721.695086141491</v>
      </c>
      <c r="BK115" s="33" t="n">
        <f aca="false">-(In_Fixed_Opex*$F24+In_Admin)*BK110*BK15*BK$6</f>
        <v>-721.695086141491</v>
      </c>
      <c r="BL115" s="33" t="n">
        <f aca="false">-(In_Fixed_Opex*$F24+In_Admin)*BL110*BL15*BL$6</f>
        <v>-731.696838693995</v>
      </c>
      <c r="BM115" s="33" t="n">
        <f aca="false">-(In_Fixed_Opex*$F24+In_Admin)*BM110*BM15*BM$6</f>
        <v>-731.696838693995</v>
      </c>
      <c r="BN115" s="33" t="n">
        <f aca="false">-(In_Fixed_Opex*$F24+In_Admin)*BN110*BN15*BN$6</f>
        <v>-739.737463295028</v>
      </c>
      <c r="BO115" s="33" t="n">
        <f aca="false">-(In_Fixed_Opex*$F24+In_Admin)*BO110*BO15*BO$6</f>
        <v>-739.737463295028</v>
      </c>
      <c r="BP115" s="33" t="n">
        <f aca="false">-(In_Fixed_Opex*$F24+In_Admin)*BP110*BP15*BP$6</f>
        <v>-741.747619445286</v>
      </c>
      <c r="BQ115" s="33" t="n">
        <f aca="false">-(In_Fixed_Opex*$F24+In_Admin)*BQ110*BQ15*BQ$6</f>
        <v>-749.989259661345</v>
      </c>
      <c r="BR115" s="33" t="n">
        <f aca="false">-(In_Fixed_Opex*$F24+In_Admin)*BR110*BR15*BR$6</f>
        <v>-758.230899877404</v>
      </c>
      <c r="BS115" s="33" t="n">
        <f aca="false">-(In_Fixed_Opex*$F24+In_Admin)*BS110*BS15*BS$6</f>
        <v>-758.230899877404</v>
      </c>
      <c r="BT115" s="33" t="n">
        <f aca="false">-(In_Fixed_Opex*$F24+In_Admin)*BT110*BT15*BT$6</f>
        <v>-760.291309931418</v>
      </c>
      <c r="BU115" s="33" t="n">
        <f aca="false">-(In_Fixed_Opex*$F24+In_Admin)*BU110*BU15*BU$6</f>
        <v>-768.738991152879</v>
      </c>
      <c r="BV115" s="33" t="n">
        <f aca="false">-(In_Fixed_Opex*$F24+In_Admin)*BV110*BV15*BV$6</f>
        <v>-777.186672374339</v>
      </c>
      <c r="BW115" s="33" t="n">
        <f aca="false">-(In_Fixed_Opex*$F24+In_Admin)*BW110*BW15*BW$6</f>
        <v>-777.186672374339</v>
      </c>
      <c r="BX115" s="33" t="n">
        <f aca="false">-(In_Fixed_Opex*$F24+In_Admin)*BX110*BX15*BX$6</f>
        <v>-779.298592679704</v>
      </c>
      <c r="BY115" s="33" t="n">
        <f aca="false">-(In_Fixed_Opex*$F24+In_Admin)*BY110*BY15*BY$6</f>
        <v>-787.9574659317</v>
      </c>
      <c r="BZ115" s="33" t="n">
        <f aca="false">-(In_Fixed_Opex*$F24+In_Admin)*BZ110*BZ15*BZ$6</f>
        <v>-796.616339183697</v>
      </c>
      <c r="CA115" s="33" t="n">
        <f aca="false">-(In_Fixed_Opex*$F24+In_Admin)*CA110*CA15*CA$6</f>
        <v>-796.616339183697</v>
      </c>
      <c r="CB115" s="33" t="n">
        <f aca="false">-(In_Fixed_Opex*$F24+In_Admin)*CB110*CB15*CB$6</f>
        <v>-807.656402579993</v>
      </c>
      <c r="CC115" s="33" t="n">
        <f aca="false">-(In_Fixed_Opex*$F24+In_Admin)*CC110*CC15*CC$6</f>
        <v>-807.656402579993</v>
      </c>
      <c r="CD115" s="33" t="n">
        <f aca="false">-(In_Fixed_Opex*$F24+In_Admin)*CD110*CD15*CD$6</f>
        <v>-816.53174766329</v>
      </c>
      <c r="CE115" s="33" t="n">
        <f aca="false">-(In_Fixed_Opex*$F24+In_Admin)*CE110*CE15*CE$6</f>
        <v>-816.53174766329</v>
      </c>
      <c r="CF115" s="33" t="n">
        <f aca="false">-(In_Fixed_Opex*$F24+In_Admin)*CF110*CF15*CF$6</f>
        <v>-818.750583934114</v>
      </c>
      <c r="CG115" s="33" t="n">
        <f aca="false">-(In_Fixed_Opex*$F24+In_Admin)*CG110*CG15*CG$6</f>
        <v>-827.847812644493</v>
      </c>
      <c r="CH115" s="33" t="n">
        <f aca="false">-(In_Fixed_Opex*$F24+In_Admin)*CH110*CH15*CH$6</f>
        <v>-836.945041354872</v>
      </c>
      <c r="CI115" s="33" t="n">
        <f aca="false">-(In_Fixed_Opex*$F24+In_Admin)*CI110*CI15*CI$6</f>
        <v>-836.945041354872</v>
      </c>
      <c r="CJ115" s="33" t="n">
        <f aca="false">-(In_Fixed_Opex*$F24+In_Admin)*CJ110*CJ15*CJ$6</f>
        <v>-839.219348532466</v>
      </c>
      <c r="CK115" s="33" t="n">
        <f aca="false">-(In_Fixed_Opex*$F24+In_Admin)*CK110*CK15*CK$6</f>
        <v>-848.544007960605</v>
      </c>
      <c r="CL115" s="33" t="n">
        <f aca="false">-(In_Fixed_Opex*$F24+In_Admin)*CL110*CL15*CL$6</f>
        <v>-857.868667388743</v>
      </c>
      <c r="CM115" s="33" t="n">
        <f aca="false">-(In_Fixed_Opex*$F24+In_Admin)*CM110*CM15*CM$6</f>
        <v>-857.868667388743</v>
      </c>
      <c r="CN115" s="33" t="n">
        <f aca="false">-(In_Fixed_Opex*$F24+In_Admin)*CN110*CN15*CN$6</f>
        <v>-860.199832245778</v>
      </c>
      <c r="CO115" s="33" t="n">
        <f aca="false">-(In_Fixed_Opex*$F24+In_Admin)*CO110*CO15*CO$6</f>
        <v>-869.75760815962</v>
      </c>
      <c r="CP115" s="33" t="n">
        <f aca="false">-(In_Fixed_Opex*$F24+In_Admin)*CP110*CP15*CP$6</f>
        <v>-879.315384073462</v>
      </c>
      <c r="CQ115" s="33" t="n">
        <f aca="false">-(In_Fixed_Opex*$F24+In_Admin)*CQ110*CQ15*CQ$6</f>
        <v>-879.315384073462</v>
      </c>
      <c r="CR115" s="33" t="n">
        <f aca="false">-(In_Fixed_Opex*$F24+In_Admin)*CR110*CR15*CR$6</f>
        <v>-891.50154836361</v>
      </c>
      <c r="CS115" s="33" t="n">
        <f aca="false">-(In_Fixed_Opex*$F24+In_Admin)*CS110*CS15*CS$6</f>
        <v>-891.50154836361</v>
      </c>
      <c r="CT115" s="33" t="n">
        <f aca="false">-(In_Fixed_Opex*$F24+In_Admin)*CT110*CT15*CT$6</f>
        <v>-901.298268675298</v>
      </c>
      <c r="CU115" s="33" t="n">
        <f aca="false">-(In_Fixed_Opex*$F24+In_Admin)*CU110*CU15*CU$6</f>
        <v>-901.298268675298</v>
      </c>
      <c r="CV115" s="33" t="n">
        <f aca="false">-(In_Fixed_Opex*$F24+In_Admin)*CV110*CV15*CV$6</f>
        <v>-903.74744875322</v>
      </c>
      <c r="CW115" s="33" t="n">
        <f aca="false">-(In_Fixed_Opex*$F24+In_Admin)*CW110*CW15*CW$6</f>
        <v>-913.789087072701</v>
      </c>
      <c r="CX115" s="33" t="n">
        <f aca="false">-(In_Fixed_Opex*$F24+In_Admin)*CX110*CX15*CX$6</f>
        <v>-923.830725392181</v>
      </c>
      <c r="CY115" s="33" t="n">
        <f aca="false">-(In_Fixed_Opex*$F24+In_Admin)*CY110*CY15*CY$6</f>
        <v>-923.830725392181</v>
      </c>
      <c r="CZ115" s="33" t="n">
        <f aca="false">-(In_Fixed_Opex*$F24+In_Admin)*CZ110*CZ15*CZ$6</f>
        <v>-926.341134972051</v>
      </c>
      <c r="DA115" s="33" t="n">
        <f aca="false">-(In_Fixed_Opex*$F24+In_Admin)*DA110*DA15*DA$6</f>
        <v>-936.633814249518</v>
      </c>
      <c r="DB115" s="33" t="n">
        <f aca="false">-(In_Fixed_Opex*$F24+In_Admin)*DB110*DB15*DB$6</f>
        <v>-946.926493526985</v>
      </c>
      <c r="DC115" s="33" t="n">
        <f aca="false">-(In_Fixed_Opex*$F24+In_Admin)*DC110*DC15*DC$6</f>
        <v>-946.926493526985</v>
      </c>
      <c r="DD115" s="33" t="n">
        <f aca="false">-(In_Fixed_Opex*$F24+In_Admin)*DD110*DD15*DD$6</f>
        <v>-949.499663346352</v>
      </c>
      <c r="DE115" s="33" t="n">
        <f aca="false">-(In_Fixed_Opex*$F24+In_Admin)*DE110*DE15*DE$6</f>
        <v>-960.049659605756</v>
      </c>
      <c r="DF115" s="33" t="n">
        <f aca="false">-(In_Fixed_Opex*$F24+In_Admin)*DF110*DF15*DF$6</f>
        <v>-970.59965586516</v>
      </c>
      <c r="DG115" s="33" t="n">
        <f aca="false">-(In_Fixed_Opex*$F24+In_Admin)*DG110*DG15*DG$6</f>
        <v>-970.59965586516</v>
      </c>
      <c r="DH115" s="33" t="n">
        <f aca="false">-(In_Fixed_Opex*$F24+In_Admin)*DH110*DH15*DH$6</f>
        <v>-984.0509010959</v>
      </c>
      <c r="DI115" s="33" t="n">
        <f aca="false">-(In_Fixed_Opex*$F24+In_Admin)*DI110*DI15*DI$6</f>
        <v>-984.0509010959</v>
      </c>
      <c r="DJ115" s="33" t="n">
        <f aca="false">-(In_Fixed_Opex*$F24+In_Admin)*DJ110*DJ15*DJ$6</f>
        <v>-994.864647261789</v>
      </c>
      <c r="DK115" s="33" t="n">
        <f aca="false">-(In_Fixed_Opex*$F24+In_Admin)*DK110*DK15*DK$6</f>
        <v>-994.864647261789</v>
      </c>
      <c r="DL115" s="33" t="n">
        <f aca="false">-(In_Fixed_Opex*$F24+In_Admin)*DL110*DL15*DL$6</f>
        <v>-997.568083803261</v>
      </c>
      <c r="DM115" s="33" t="n">
        <f aca="false">-(In_Fixed_Opex*$F24+In_Admin)*DM110*DM15*DM$6</f>
        <v>-1008.6521736233</v>
      </c>
      <c r="DN115" s="33" t="n">
        <f aca="false">-(In_Fixed_Opex*$F24+In_Admin)*DN110*DN15*DN$6</f>
        <v>-1019.73626344333</v>
      </c>
      <c r="DO115" s="33" t="n">
        <f aca="false">-(In_Fixed_Opex*$F24+In_Admin)*DO110*DO15*DO$6</f>
        <v>-1019.73626344333</v>
      </c>
      <c r="DP115" s="33" t="n">
        <f aca="false">-(In_Fixed_Opex*$F24+In_Admin)*DP110*DP15*DP$6</f>
        <v>-1022.50728589834</v>
      </c>
      <c r="DQ115" s="33" t="n">
        <f aca="false">-(In_Fixed_Opex*$F24+In_Admin)*DQ110*DQ15*DQ$6</f>
        <v>-1033.86847796388</v>
      </c>
      <c r="DR115" s="33" t="n">
        <f aca="false">-(In_Fixed_Opex*$F24+In_Admin)*DR110*DR15*DR$6</f>
        <v>-1045.22967002942</v>
      </c>
      <c r="DS115" s="33" t="n">
        <f aca="false">-(In_Fixed_Opex*$F24+In_Admin)*DS110*DS15*DS$6</f>
        <v>-1045.22967002942</v>
      </c>
      <c r="DT115" s="33" t="n">
        <f aca="false">-(In_Fixed_Opex*$F24+In_Admin)*DT110*DT15*DT$6</f>
        <v>-1048.0699680458</v>
      </c>
      <c r="DU115" s="33" t="n">
        <f aca="false">-(In_Fixed_Opex*$F24+In_Admin)*DU110*DU15*DU$6</f>
        <v>-1059.71518991298</v>
      </c>
      <c r="DV115" s="33" t="n">
        <f aca="false">-(In_Fixed_Opex*$F24+In_Admin)*DV110*DV15*DV$6</f>
        <v>-1071.36041178015</v>
      </c>
      <c r="DW115" s="33" t="n">
        <f aca="false">-(In_Fixed_Opex*$F24+In_Admin)*DW110*DW15*DW$6</f>
        <v>-1071.36041178015</v>
      </c>
      <c r="DX115" s="33" t="n">
        <f aca="false">-(In_Fixed_Opex*$F24+In_Admin)*DX110*DX15*DX$6</f>
        <v>-1086.2080696608</v>
      </c>
      <c r="DY115" s="33" t="n">
        <f aca="false">-(In_Fixed_Opex*$F24+In_Admin)*DY110*DY15*DY$6</f>
        <v>-1086.2080696608</v>
      </c>
      <c r="DZ115" s="33" t="n">
        <f aca="false">-(In_Fixed_Opex*$F24+In_Admin)*DZ110*DZ15*DZ$6</f>
        <v>-1098.14442207466</v>
      </c>
      <c r="EA115" s="33" t="n">
        <f aca="false">-(In_Fixed_Opex*$F24+In_Admin)*EA110*EA15*EA$6</f>
        <v>-1098.14442207466</v>
      </c>
      <c r="EB115" s="33" t="n">
        <f aca="false">-(In_Fixed_Opex*$F24+In_Admin)*EB110*EB15*EB$6</f>
        <v>-1101.12851017812</v>
      </c>
      <c r="EC115" s="33" t="n">
        <f aca="false">-(In_Fixed_Opex*$F24+In_Admin)*EC110*EC15*EC$6</f>
        <v>-1113.36327140232</v>
      </c>
      <c r="ED115" s="33" t="n">
        <f aca="false">-(In_Fixed_Opex*$F24+In_Admin)*ED110*ED15*ED$6</f>
        <v>-1125.59803262652</v>
      </c>
      <c r="EE115" s="33" t="n">
        <f aca="false">-(In_Fixed_Opex*$F24+In_Admin)*EE110*EE15*EE$6</f>
        <v>-1125.59803262652</v>
      </c>
      <c r="EF115" s="33" t="n">
        <f aca="false">-(In_Fixed_Opex*$F24+In_Admin)*EF110*EF15*EF$6</f>
        <v>-1128.65672293257</v>
      </c>
      <c r="EG115" s="33" t="n">
        <f aca="false">-(In_Fixed_Opex*$F24+In_Admin)*EG110*EG15*EG$6</f>
        <v>-1141.19735318738</v>
      </c>
      <c r="EH115" s="33" t="n">
        <f aca="false">-(In_Fixed_Opex*$F24+In_Admin)*EH110*EH15*EH$6</f>
        <v>-1153.73798344218</v>
      </c>
      <c r="EI115" s="33" t="n">
        <f aca="false">-(In_Fixed_Opex*$F24+In_Admin)*EI110*EI15*EI$6</f>
        <v>-1153.73798344218</v>
      </c>
      <c r="EJ115" s="33" t="n">
        <f aca="false">-(In_Fixed_Opex*$F24+In_Admin)*EJ110*EJ15*EJ$6</f>
        <v>-1156.87314100589</v>
      </c>
      <c r="EK115" s="33" t="n">
        <f aca="false">-(In_Fixed_Opex*$F24+In_Admin)*EK110*EK15*EK$6</f>
        <v>-1169.72728701706</v>
      </c>
      <c r="EL115" s="33" t="n">
        <f aca="false">-(In_Fixed_Opex*$F24+In_Admin)*EL110*EL15*EL$6</f>
        <v>-1182.58143302824</v>
      </c>
      <c r="EM115" s="33" t="n">
        <f aca="false">-(In_Fixed_Opex*$F24+In_Admin)*EM110*EM15*EM$6</f>
        <v>-1182.58143302824</v>
      </c>
      <c r="EN115" s="33" t="n">
        <f aca="false">-(In_Fixed_Opex*$F24+In_Admin)*EN110*EN15*EN$6</f>
        <v>-1198.97046919249</v>
      </c>
      <c r="EO115" s="33" t="n">
        <f aca="false">-(In_Fixed_Opex*$F24+In_Admin)*EO110*EO15*EO$6</f>
        <v>-1198.97046919249</v>
      </c>
      <c r="EP115" s="33" t="n">
        <f aca="false">-(In_Fixed_Opex*$F24+In_Admin)*EP110*EP15*EP$6</f>
        <v>-1212.14596885395</v>
      </c>
      <c r="EQ115" s="33" t="n">
        <f aca="false">-(In_Fixed_Opex*$F24+In_Admin)*EQ110*EQ15*EQ$6</f>
        <v>-1212.14596885395</v>
      </c>
      <c r="ER115" s="33" t="n">
        <f aca="false">-(In_Fixed_Opex*$F24+In_Admin)*ER110*ER15*ER$6</f>
        <v>-1215.43984376931</v>
      </c>
      <c r="ES115" s="33" t="n">
        <f aca="false">-(In_Fixed_Opex*$F24+In_Admin)*ES110*ES15*ES$6</f>
        <v>-1228.9447309223</v>
      </c>
      <c r="ET115" s="33" t="n">
        <f aca="false">-(In_Fixed_Opex*$F24+In_Admin)*ET110*ET15*ET$6</f>
        <v>-1242.44961807529</v>
      </c>
    </row>
    <row r="116" customFormat="false" ht="15" hidden="false" customHeight="false" outlineLevel="0" collapsed="false">
      <c r="C116" s="0" t="s">
        <v>569</v>
      </c>
      <c r="D116" s="11" t="s">
        <v>253</v>
      </c>
      <c r="I116" s="33" t="n">
        <f aca="false">SUM(J116:ET116)</f>
        <v>-14015.8951421437</v>
      </c>
      <c r="J116" s="33" t="n">
        <f aca="false">-In_Lease*$F24*J110*J16*J$6</f>
        <v>-0</v>
      </c>
      <c r="K116" s="33" t="n">
        <f aca="false">-In_Lease*$F24*K110*K16*K$6</f>
        <v>-0</v>
      </c>
      <c r="L116" s="33" t="n">
        <f aca="false">-In_Lease*$F24*L110*L16*L$6</f>
        <v>-0</v>
      </c>
      <c r="M116" s="33" t="n">
        <f aca="false">-In_Lease*$F24*M110*M16*M$6</f>
        <v>-0</v>
      </c>
      <c r="N116" s="33" t="n">
        <f aca="false">-In_Lease*$F24*N110*N16*N$6</f>
        <v>-0</v>
      </c>
      <c r="O116" s="33" t="n">
        <f aca="false">-In_Lease*$F24*O110*O16*O$6</f>
        <v>-0</v>
      </c>
      <c r="P116" s="33" t="n">
        <f aca="false">-In_Lease*$F24*P110*P16*P$6</f>
        <v>-0</v>
      </c>
      <c r="Q116" s="33" t="n">
        <f aca="false">-In_Lease*$F24*Q110*Q16*Q$6</f>
        <v>-0</v>
      </c>
      <c r="R116" s="33" t="n">
        <f aca="false">-In_Lease*$F24*R110*R16*R$6</f>
        <v>-0</v>
      </c>
      <c r="S116" s="33" t="n">
        <f aca="false">-In_Lease*$F24*S110*S16*S$6</f>
        <v>-0</v>
      </c>
      <c r="T116" s="33" t="n">
        <f aca="false">-In_Lease*$F24*T110*T16*T$6</f>
        <v>-0</v>
      </c>
      <c r="U116" s="33" t="n">
        <f aca="false">-In_Lease*$F24*U110*U16*U$6</f>
        <v>-0</v>
      </c>
      <c r="V116" s="33" t="n">
        <f aca="false">-In_Lease*$F24*V110*V16*V$6</f>
        <v>-0</v>
      </c>
      <c r="W116" s="33" t="n">
        <f aca="false">-In_Lease*$F24*W110*W16*W$6</f>
        <v>-71.9728146162183</v>
      </c>
      <c r="X116" s="33" t="n">
        <f aca="false">-In_Lease*$F24*X110*X16*X$6</f>
        <v>-72.1683929168059</v>
      </c>
      <c r="Y116" s="33" t="n">
        <f aca="false">-In_Lease*$F24*Y110*Y16*Y$6</f>
        <v>-72.9702639492148</v>
      </c>
      <c r="Z116" s="33" t="n">
        <f aca="false">-In_Lease*$F24*Z110*Z16*Z$6</f>
        <v>-73.7721349816238</v>
      </c>
      <c r="AA116" s="33" t="n">
        <f aca="false">-In_Lease*$F24*AA110*AA16*AA$6</f>
        <v>-73.7721349816238</v>
      </c>
      <c r="AB116" s="33" t="n">
        <f aca="false">-In_Lease*$F24*AB110*AB16*AB$6</f>
        <v>-73.972602739726</v>
      </c>
      <c r="AC116" s="33" t="n">
        <f aca="false">-In_Lease*$F24*AC110*AC16*AC$6</f>
        <v>-74.7945205479452</v>
      </c>
      <c r="AD116" s="33" t="n">
        <f aca="false">-In_Lease*$F24*AD110*AD16*AD$6</f>
        <v>-75.6164383561644</v>
      </c>
      <c r="AE116" s="33" t="n">
        <f aca="false">-In_Lease*$F24*AE110*AE16*AE$6</f>
        <v>-75.6164383561644</v>
      </c>
      <c r="AF116" s="33" t="n">
        <f aca="false">-In_Lease*$F24*AF110*AF16*AF$6</f>
        <v>-76.6643835616438</v>
      </c>
      <c r="AG116" s="33" t="n">
        <f aca="false">-In_Lease*$F24*AG110*AG16*AG$6</f>
        <v>-76.6643835616438</v>
      </c>
      <c r="AH116" s="33" t="n">
        <f aca="false">-In_Lease*$F24*AH110*AH16*AH$6</f>
        <v>-77.5068493150685</v>
      </c>
      <c r="AI116" s="33" t="n">
        <f aca="false">-In_Lease*$F24*AI110*AI16*AI$6</f>
        <v>-77.5068493150685</v>
      </c>
      <c r="AJ116" s="33" t="n">
        <f aca="false">-In_Lease*$F24*AJ110*AJ16*AJ$6</f>
        <v>-77.7174657534247</v>
      </c>
      <c r="AK116" s="33" t="n">
        <f aca="false">-In_Lease*$F24*AK110*AK16*AK$6</f>
        <v>-78.5809931506849</v>
      </c>
      <c r="AL116" s="33" t="n">
        <f aca="false">-In_Lease*$F24*AL110*AL16*AL$6</f>
        <v>-79.4445205479452</v>
      </c>
      <c r="AM116" s="33" t="n">
        <f aca="false">-In_Lease*$F24*AM110*AM16*AM$6</f>
        <v>-79.4445205479452</v>
      </c>
      <c r="AN116" s="33" t="n">
        <f aca="false">-In_Lease*$F24*AN110*AN16*AN$6</f>
        <v>-79.6604023972602</v>
      </c>
      <c r="AO116" s="33" t="n">
        <f aca="false">-In_Lease*$F24*AO110*AO16*AO$6</f>
        <v>-80.545517979452</v>
      </c>
      <c r="AP116" s="33" t="n">
        <f aca="false">-In_Lease*$F24*AP110*AP16*AP$6</f>
        <v>-81.4306335616438</v>
      </c>
      <c r="AQ116" s="33" t="n">
        <f aca="false">-In_Lease*$F24*AQ110*AQ16*AQ$6</f>
        <v>-81.4306335616438</v>
      </c>
      <c r="AR116" s="33" t="n">
        <f aca="false">-In_Lease*$F24*AR110*AR16*AR$6</f>
        <v>-81.6519124571917</v>
      </c>
      <c r="AS116" s="33" t="n">
        <f aca="false">-In_Lease*$F24*AS110*AS16*AS$6</f>
        <v>-82.5591559289383</v>
      </c>
      <c r="AT116" s="33" t="n">
        <f aca="false">-In_Lease*$F24*AT110*AT16*AT$6</f>
        <v>-83.4663994006849</v>
      </c>
      <c r="AU116" s="33" t="n">
        <f aca="false">-In_Lease*$F24*AU110*AU16*AU$6</f>
        <v>-83.4663994006849</v>
      </c>
      <c r="AV116" s="33" t="n">
        <f aca="false">-In_Lease*$F24*AV110*AV16*AV$6</f>
        <v>-84.6231348271618</v>
      </c>
      <c r="AW116" s="33" t="n">
        <f aca="false">-In_Lease*$F24*AW110*AW16*AW$6</f>
        <v>-84.6231348271618</v>
      </c>
      <c r="AX116" s="33" t="n">
        <f aca="false">-In_Lease*$F24*AX110*AX16*AX$6</f>
        <v>-85.553059385702</v>
      </c>
      <c r="AY116" s="33" t="n">
        <f aca="false">-In_Lease*$F24*AY110*AY16*AY$6</f>
        <v>-85.553059385702</v>
      </c>
      <c r="AZ116" s="33" t="n">
        <f aca="false">-In_Lease*$F24*AZ110*AZ16*AZ$6</f>
        <v>-85.7855405253371</v>
      </c>
      <c r="BA116" s="33" t="n">
        <f aca="false">-In_Lease*$F24*BA110*BA16*BA$6</f>
        <v>-86.7387131978408</v>
      </c>
      <c r="BB116" s="33" t="n">
        <f aca="false">-In_Lease*$F24*BB110*BB16*BB$6</f>
        <v>-87.6918858703446</v>
      </c>
      <c r="BC116" s="33" t="n">
        <f aca="false">-In_Lease*$F24*BC110*BC16*BC$6</f>
        <v>-87.6918858703446</v>
      </c>
      <c r="BD116" s="33" t="n">
        <f aca="false">-In_Lease*$F24*BD110*BD16*BD$6</f>
        <v>-87.9301790384705</v>
      </c>
      <c r="BE116" s="33" t="n">
        <f aca="false">-In_Lease*$F24*BE110*BE16*BE$6</f>
        <v>-88.9071810277869</v>
      </c>
      <c r="BF116" s="33" t="n">
        <f aca="false">-In_Lease*$F24*BF110*BF16*BF$6</f>
        <v>-89.8841830171032</v>
      </c>
      <c r="BG116" s="33" t="n">
        <f aca="false">-In_Lease*$F24*BG110*BG16*BG$6</f>
        <v>-89.8841830171032</v>
      </c>
      <c r="BH116" s="33" t="n">
        <f aca="false">-In_Lease*$F24*BH110*BH16*BH$6</f>
        <v>-90.1284335144322</v>
      </c>
      <c r="BI116" s="33" t="n">
        <f aca="false">-In_Lease*$F24*BI110*BI16*BI$6</f>
        <v>-91.1298605534815</v>
      </c>
      <c r="BJ116" s="33" t="n">
        <f aca="false">-In_Lease*$F24*BJ110*BJ16*BJ$6</f>
        <v>-92.1312875925307</v>
      </c>
      <c r="BK116" s="33" t="n">
        <f aca="false">-In_Lease*$F24*BK110*BK16*BK$6</f>
        <v>-92.1312875925307</v>
      </c>
      <c r="BL116" s="33" t="n">
        <f aca="false">-In_Lease*$F24*BL110*BL16*BL$6</f>
        <v>-93.4081070673185</v>
      </c>
      <c r="BM116" s="33" t="n">
        <f aca="false">-In_Lease*$F24*BM110*BM16*BM$6</f>
        <v>-93.4081070673185</v>
      </c>
      <c r="BN116" s="33" t="n">
        <f aca="false">-In_Lease*$F24*BN110*BN16*BN$6</f>
        <v>-94.434569782344</v>
      </c>
      <c r="BO116" s="33" t="n">
        <f aca="false">-In_Lease*$F24*BO110*BO16*BO$6</f>
        <v>-94.434569782344</v>
      </c>
      <c r="BP116" s="33" t="n">
        <f aca="false">-In_Lease*$F24*BP110*BP16*BP$6</f>
        <v>-94.6911854611004</v>
      </c>
      <c r="BQ116" s="33" t="n">
        <f aca="false">-In_Lease*$F24*BQ110*BQ16*BQ$6</f>
        <v>-95.7433097440015</v>
      </c>
      <c r="BR116" s="33" t="n">
        <f aca="false">-In_Lease*$F24*BR110*BR16*BR$6</f>
        <v>-96.7954340269026</v>
      </c>
      <c r="BS116" s="33" t="n">
        <f aca="false">-In_Lease*$F24*BS110*BS16*BS$6</f>
        <v>-96.7954340269026</v>
      </c>
      <c r="BT116" s="33" t="n">
        <f aca="false">-In_Lease*$F24*BT110*BT16*BT$6</f>
        <v>-97.0584650976279</v>
      </c>
      <c r="BU116" s="33" t="n">
        <f aca="false">-In_Lease*$F24*BU110*BU16*BU$6</f>
        <v>-98.1368924876015</v>
      </c>
      <c r="BV116" s="33" t="n">
        <f aca="false">-In_Lease*$F24*BV110*BV16*BV$6</f>
        <v>-99.2153198775752</v>
      </c>
      <c r="BW116" s="33" t="n">
        <f aca="false">-In_Lease*$F24*BW110*BW16*BW$6</f>
        <v>-99.2153198775752</v>
      </c>
      <c r="BX116" s="33" t="n">
        <f aca="false">-In_Lease*$F24*BX110*BX16*BX$6</f>
        <v>-99.4849267250686</v>
      </c>
      <c r="BY116" s="33" t="n">
        <f aca="false">-In_Lease*$F24*BY110*BY16*BY$6</f>
        <v>-100.590314799792</v>
      </c>
      <c r="BZ116" s="33" t="n">
        <f aca="false">-In_Lease*$F24*BZ110*BZ16*BZ$6</f>
        <v>-101.695702874515</v>
      </c>
      <c r="CA116" s="33" t="n">
        <f aca="false">-In_Lease*$F24*CA110*CA16*CA$6</f>
        <v>-101.695702874515</v>
      </c>
      <c r="CB116" s="33" t="n">
        <f aca="false">-In_Lease*$F24*CB110*CB16*CB$6</f>
        <v>-103.105072669786</v>
      </c>
      <c r="CC116" s="33" t="n">
        <f aca="false">-In_Lease*$F24*CC110*CC16*CC$6</f>
        <v>-103.105072669786</v>
      </c>
      <c r="CD116" s="33" t="n">
        <f aca="false">-In_Lease*$F24*CD110*CD16*CD$6</f>
        <v>-104.238095446377</v>
      </c>
      <c r="CE116" s="33" t="n">
        <f aca="false">-In_Lease*$F24*CE110*CE16*CE$6</f>
        <v>-104.238095446377</v>
      </c>
      <c r="CF116" s="33" t="n">
        <f aca="false">-In_Lease*$F24*CF110*CF16*CF$6</f>
        <v>-104.521351140525</v>
      </c>
      <c r="CG116" s="33" t="n">
        <f aca="false">-In_Lease*$F24*CG110*CG16*CG$6</f>
        <v>-105.682699486531</v>
      </c>
      <c r="CH116" s="33" t="n">
        <f aca="false">-In_Lease*$F24*CH110*CH16*CH$6</f>
        <v>-106.844047832537</v>
      </c>
      <c r="CI116" s="33" t="n">
        <f aca="false">-In_Lease*$F24*CI110*CI16*CI$6</f>
        <v>-106.844047832537</v>
      </c>
      <c r="CJ116" s="33" t="n">
        <f aca="false">-In_Lease*$F24*CJ110*CJ16*CJ$6</f>
        <v>-107.134384919038</v>
      </c>
      <c r="CK116" s="33" t="n">
        <f aca="false">-In_Lease*$F24*CK110*CK16*CK$6</f>
        <v>-108.324766973694</v>
      </c>
      <c r="CL116" s="33" t="n">
        <f aca="false">-In_Lease*$F24*CL110*CL16*CL$6</f>
        <v>-109.51514902835</v>
      </c>
      <c r="CM116" s="33" t="n">
        <f aca="false">-In_Lease*$F24*CM110*CM16*CM$6</f>
        <v>-109.51514902835</v>
      </c>
      <c r="CN116" s="33" t="n">
        <f aca="false">-In_Lease*$F24*CN110*CN16*CN$6</f>
        <v>-109.812744542014</v>
      </c>
      <c r="CO116" s="33" t="n">
        <f aca="false">-In_Lease*$F24*CO110*CO16*CO$6</f>
        <v>-111.032886148037</v>
      </c>
      <c r="CP116" s="33" t="n">
        <f aca="false">-In_Lease*$F24*CP110*CP16*CP$6</f>
        <v>-112.253027754059</v>
      </c>
      <c r="CQ116" s="33" t="n">
        <f aca="false">-In_Lease*$F24*CQ110*CQ16*CQ$6</f>
        <v>-112.253027754059</v>
      </c>
      <c r="CR116" s="33" t="n">
        <f aca="false">-In_Lease*$F24*CR110*CR16*CR$6</f>
        <v>-113.808708301737</v>
      </c>
      <c r="CS116" s="33" t="n">
        <f aca="false">-In_Lease*$F24*CS110*CS16*CS$6</f>
        <v>-113.808708301737</v>
      </c>
      <c r="CT116" s="33" t="n">
        <f aca="false">-In_Lease*$F24*CT110*CT16*CT$6</f>
        <v>-115.05935344791</v>
      </c>
      <c r="CU116" s="33" t="n">
        <f aca="false">-In_Lease*$F24*CU110*CU16*CU$6</f>
        <v>-115.05935344791</v>
      </c>
      <c r="CV116" s="33" t="n">
        <f aca="false">-In_Lease*$F24*CV110*CV16*CV$6</f>
        <v>-115.372014734454</v>
      </c>
      <c r="CW116" s="33" t="n">
        <f aca="false">-In_Lease*$F24*CW110*CW16*CW$6</f>
        <v>-116.653926009281</v>
      </c>
      <c r="CX116" s="33" t="n">
        <f aca="false">-In_Lease*$F24*CX110*CX16*CX$6</f>
        <v>-117.935837284108</v>
      </c>
      <c r="CY116" s="33" t="n">
        <f aca="false">-In_Lease*$F24*CY110*CY16*CY$6</f>
        <v>-117.935837284108</v>
      </c>
      <c r="CZ116" s="33" t="n">
        <f aca="false">-In_Lease*$F24*CZ110*CZ16*CZ$6</f>
        <v>-118.256315102815</v>
      </c>
      <c r="DA116" s="33" t="n">
        <f aca="false">-In_Lease*$F24*DA110*DA16*DA$6</f>
        <v>-119.570274159513</v>
      </c>
      <c r="DB116" s="33" t="n">
        <f aca="false">-In_Lease*$F24*DB110*DB16*DB$6</f>
        <v>-120.884233216211</v>
      </c>
      <c r="DC116" s="33" t="n">
        <f aca="false">-In_Lease*$F24*DC110*DC16*DC$6</f>
        <v>-120.884233216211</v>
      </c>
      <c r="DD116" s="33" t="n">
        <f aca="false">-In_Lease*$F24*DD110*DD16*DD$6</f>
        <v>-121.212722980385</v>
      </c>
      <c r="DE116" s="33" t="n">
        <f aca="false">-In_Lease*$F24*DE110*DE16*DE$6</f>
        <v>-122.559531013501</v>
      </c>
      <c r="DF116" s="33" t="n">
        <f aca="false">-In_Lease*$F24*DF110*DF16*DF$6</f>
        <v>-123.906339046616</v>
      </c>
      <c r="DG116" s="33" t="n">
        <f aca="false">-In_Lease*$F24*DG110*DG16*DG$6</f>
        <v>-123.906339046616</v>
      </c>
      <c r="DH116" s="33" t="n">
        <f aca="false">-In_Lease*$F24*DH110*DH16*DH$6</f>
        <v>-125.623519288838</v>
      </c>
      <c r="DI116" s="33" t="n">
        <f aca="false">-In_Lease*$F24*DI110*DI16*DI$6</f>
        <v>-125.623519288838</v>
      </c>
      <c r="DJ116" s="33" t="n">
        <f aca="false">-In_Lease*$F24*DJ110*DJ16*DJ$6</f>
        <v>-127.003997522782</v>
      </c>
      <c r="DK116" s="33" t="n">
        <f aca="false">-In_Lease*$F24*DK110*DK16*DK$6</f>
        <v>-127.003997522782</v>
      </c>
      <c r="DL116" s="33" t="n">
        <f aca="false">-In_Lease*$F24*DL110*DL16*DL$6</f>
        <v>-127.349117081267</v>
      </c>
      <c r="DM116" s="33" t="n">
        <f aca="false">-In_Lease*$F24*DM110*DM16*DM$6</f>
        <v>-128.764107271059</v>
      </c>
      <c r="DN116" s="33" t="n">
        <f aca="false">-In_Lease*$F24*DN110*DN16*DN$6</f>
        <v>-130.179097460851</v>
      </c>
      <c r="DO116" s="33" t="n">
        <f aca="false">-In_Lease*$F24*DO110*DO16*DO$6</f>
        <v>-130.179097460851</v>
      </c>
      <c r="DP116" s="33" t="n">
        <f aca="false">-In_Lease*$F24*DP110*DP16*DP$6</f>
        <v>-130.532845008299</v>
      </c>
      <c r="DQ116" s="33" t="n">
        <f aca="false">-In_Lease*$F24*DQ110*DQ16*DQ$6</f>
        <v>-131.983209952836</v>
      </c>
      <c r="DR116" s="33" t="n">
        <f aca="false">-In_Lease*$F24*DR110*DR16*DR$6</f>
        <v>-133.433574897372</v>
      </c>
      <c r="DS116" s="33" t="n">
        <f aca="false">-In_Lease*$F24*DS110*DS16*DS$6</f>
        <v>-133.433574897372</v>
      </c>
      <c r="DT116" s="33" t="n">
        <f aca="false">-In_Lease*$F24*DT110*DT16*DT$6</f>
        <v>-133.796166133506</v>
      </c>
      <c r="DU116" s="33" t="n">
        <f aca="false">-In_Lease*$F24*DU110*DU16*DU$6</f>
        <v>-135.282790201657</v>
      </c>
      <c r="DV116" s="33" t="n">
        <f aca="false">-In_Lease*$F24*DV110*DV16*DV$6</f>
        <v>-136.769414269807</v>
      </c>
      <c r="DW116" s="33" t="n">
        <f aca="false">-In_Lease*$F24*DW110*DW16*DW$6</f>
        <v>-136.769414269807</v>
      </c>
      <c r="DX116" s="33" t="n">
        <f aca="false">-In_Lease*$F24*DX110*DX16*DX$6</f>
        <v>-138.664859956698</v>
      </c>
      <c r="DY116" s="33" t="n">
        <f aca="false">-In_Lease*$F24*DY110*DY16*DY$6</f>
        <v>-138.664859956698</v>
      </c>
      <c r="DZ116" s="33" t="n">
        <f aca="false">-In_Lease*$F24*DZ110*DZ16*DZ$6</f>
        <v>-140.188649626552</v>
      </c>
      <c r="EA116" s="33" t="n">
        <f aca="false">-In_Lease*$F24*EA110*EA16*EA$6</f>
        <v>-140.188649626552</v>
      </c>
      <c r="EB116" s="33" t="n">
        <f aca="false">-In_Lease*$F24*EB110*EB16*EB$6</f>
        <v>-140.569597044015</v>
      </c>
      <c r="EC116" s="33" t="n">
        <f aca="false">-In_Lease*$F24*EC110*EC16*EC$6</f>
        <v>-142.131481455615</v>
      </c>
      <c r="ED116" s="33" t="n">
        <f aca="false">-In_Lease*$F24*ED110*ED16*ED$6</f>
        <v>-143.693365867216</v>
      </c>
      <c r="EE116" s="33" t="n">
        <f aca="false">-In_Lease*$F24*EE110*EE16*EE$6</f>
        <v>-143.693365867216</v>
      </c>
      <c r="EF116" s="33" t="n">
        <f aca="false">-In_Lease*$F24*EF110*EF16*EF$6</f>
        <v>-144.083836970116</v>
      </c>
      <c r="EG116" s="33" t="n">
        <f aca="false">-In_Lease*$F24*EG110*EG16*EG$6</f>
        <v>-145.684768492006</v>
      </c>
      <c r="EH116" s="33" t="n">
        <f aca="false">-In_Lease*$F24*EH110*EH16*EH$6</f>
        <v>-147.285700013896</v>
      </c>
      <c r="EI116" s="33" t="n">
        <f aca="false">-In_Lease*$F24*EI110*EI16*EI$6</f>
        <v>-147.285700013896</v>
      </c>
      <c r="EJ116" s="33" t="n">
        <f aca="false">-In_Lease*$F24*EJ110*EJ16*EJ$6</f>
        <v>-147.685932894368</v>
      </c>
      <c r="EK116" s="33" t="n">
        <f aca="false">-In_Lease*$F24*EK110*EK16*EK$6</f>
        <v>-149.326887704306</v>
      </c>
      <c r="EL116" s="33" t="n">
        <f aca="false">-In_Lease*$F24*EL110*EL16*EL$6</f>
        <v>-150.967842514243</v>
      </c>
      <c r="EM116" s="33" t="n">
        <f aca="false">-In_Lease*$F24*EM110*EM16*EM$6</f>
        <v>-150.967842514243</v>
      </c>
      <c r="EN116" s="33" t="n">
        <f aca="false">-In_Lease*$F24*EN110*EN16*EN$6</f>
        <v>-153.060059896914</v>
      </c>
      <c r="EO116" s="33" t="n">
        <f aca="false">-In_Lease*$F24*EO110*EO16*EO$6</f>
        <v>-153.060059896914</v>
      </c>
      <c r="EP116" s="33" t="n">
        <f aca="false">-In_Lease*$F24*EP110*EP16*EP$6</f>
        <v>-154.742038577099</v>
      </c>
      <c r="EQ116" s="33" t="n">
        <f aca="false">-In_Lease*$F24*EQ110*EQ16*EQ$6</f>
        <v>-154.742038577099</v>
      </c>
      <c r="ER116" s="33" t="n">
        <f aca="false">-In_Lease*$F24*ER110*ER16*ER$6</f>
        <v>-155.162533247146</v>
      </c>
      <c r="ES116" s="33" t="n">
        <f aca="false">-In_Lease*$F24*ES110*ES16*ES$6</f>
        <v>-156.886561394336</v>
      </c>
      <c r="ET116" s="33" t="n">
        <f aca="false">-In_Lease*$F24*ET110*ET16*ET$6</f>
        <v>-158.610589541527</v>
      </c>
    </row>
    <row r="117" customFormat="false" ht="15" hidden="false" customHeight="false" outlineLevel="0" collapsed="false">
      <c r="C117" s="0" t="s">
        <v>570</v>
      </c>
      <c r="D117" s="11" t="s">
        <v>253</v>
      </c>
      <c r="I117" s="33" t="n">
        <f aca="false">SUM(J117:ET117)</f>
        <v>-15269.388528234</v>
      </c>
      <c r="J117" s="33" t="n">
        <f aca="false">-J113*(In_MEKH+In_HIPA)</f>
        <v>-0</v>
      </c>
      <c r="K117" s="33" t="n">
        <f aca="false">-K113*(In_MEKH+In_HIPA)</f>
        <v>-0</v>
      </c>
      <c r="L117" s="33" t="n">
        <f aca="false">-L113*(In_MEKH+In_HIPA)</f>
        <v>-0</v>
      </c>
      <c r="M117" s="33" t="n">
        <f aca="false">-M113*(In_MEKH+In_HIPA)</f>
        <v>-0</v>
      </c>
      <c r="N117" s="33" t="n">
        <f aca="false">-N113*(In_MEKH+In_HIPA)</f>
        <v>-0</v>
      </c>
      <c r="O117" s="33" t="n">
        <f aca="false">-O113*(In_MEKH+In_HIPA)</f>
        <v>-0</v>
      </c>
      <c r="P117" s="33" t="n">
        <f aca="false">-P113*(In_MEKH+In_HIPA)</f>
        <v>-0</v>
      </c>
      <c r="Q117" s="33" t="n">
        <f aca="false">-Q113*(In_MEKH+In_HIPA)</f>
        <v>-0</v>
      </c>
      <c r="R117" s="33" t="n">
        <f aca="false">-R113*(In_MEKH+In_HIPA)</f>
        <v>-0</v>
      </c>
      <c r="S117" s="33" t="n">
        <f aca="false">-S113*(In_MEKH+In_HIPA)</f>
        <v>-0</v>
      </c>
      <c r="T117" s="33" t="n">
        <f aca="false">-T113*(In_MEKH+In_HIPA)</f>
        <v>-0</v>
      </c>
      <c r="U117" s="33" t="n">
        <f aca="false">-U113*(In_MEKH+In_HIPA)</f>
        <v>-0</v>
      </c>
      <c r="V117" s="33" t="n">
        <f aca="false">-V113*(In_MEKH+In_HIPA)</f>
        <v>-0</v>
      </c>
      <c r="W117" s="33" t="n">
        <f aca="false">-W113*(In_MEKH+In_HIPA)</f>
        <v>-0</v>
      </c>
      <c r="X117" s="33" t="n">
        <f aca="false">-X113*(In_MEKH+In_HIPA)</f>
        <v>-0</v>
      </c>
      <c r="Y117" s="33" t="n">
        <f aca="false">-Y113*(In_MEKH+In_HIPA)</f>
        <v>-0</v>
      </c>
      <c r="Z117" s="33" t="n">
        <f aca="false">-Z113*(In_MEKH+In_HIPA)</f>
        <v>-0</v>
      </c>
      <c r="AA117" s="33" t="n">
        <f aca="false">-AA113*(In_MEKH+In_HIPA)</f>
        <v>-0</v>
      </c>
      <c r="AB117" s="33" t="n">
        <f aca="false">-AB113*(In_MEKH+In_HIPA)</f>
        <v>-0</v>
      </c>
      <c r="AC117" s="33" t="n">
        <f aca="false">-AC113*(In_MEKH+In_HIPA)</f>
        <v>-0</v>
      </c>
      <c r="AD117" s="33" t="n">
        <f aca="false">-AD113*(In_MEKH+In_HIPA)</f>
        <v>-0</v>
      </c>
      <c r="AE117" s="33" t="n">
        <f aca="false">-AE113*(In_MEKH+In_HIPA)</f>
        <v>-114.846549041096</v>
      </c>
      <c r="AF117" s="33" t="n">
        <f aca="false">-AF113*(In_MEKH+In_HIPA)</f>
        <v>-114.734199156164</v>
      </c>
      <c r="AG117" s="33" t="n">
        <f aca="false">-AG113*(In_MEKH+In_HIPA)</f>
        <v>-114.734199156164</v>
      </c>
      <c r="AH117" s="33" t="n">
        <f aca="false">-AH113*(In_MEKH+In_HIPA)</f>
        <v>-115.995014531507</v>
      </c>
      <c r="AI117" s="33" t="n">
        <f aca="false">-AI113*(In_MEKH+In_HIPA)</f>
        <v>-115.647029487912</v>
      </c>
      <c r="AJ117" s="33" t="n">
        <f aca="false">-AJ113*(In_MEKH+In_HIPA)</f>
        <v>-114.264293265774</v>
      </c>
      <c r="AK117" s="33" t="n">
        <f aca="false">-AK113*(In_MEKH+In_HIPA)</f>
        <v>-115.533896524283</v>
      </c>
      <c r="AL117" s="33" t="n">
        <f aca="false">-AL113*(In_MEKH+In_HIPA)</f>
        <v>-116.803499782791</v>
      </c>
      <c r="AM117" s="33" t="n">
        <f aca="false">-AM113*(In_MEKH+In_HIPA)</f>
        <v>-116.453089283443</v>
      </c>
      <c r="AN117" s="33" t="n">
        <f aca="false">-AN113*(In_MEKH+In_HIPA)</f>
        <v>-115.060715389837</v>
      </c>
      <c r="AO117" s="33" t="n">
        <f aca="false">-AO113*(In_MEKH+In_HIPA)</f>
        <v>-116.339167783057</v>
      </c>
      <c r="AP117" s="33" t="n">
        <f aca="false">-AP113*(In_MEKH+In_HIPA)</f>
        <v>-117.617620176278</v>
      </c>
      <c r="AQ117" s="33" t="n">
        <f aca="false">-AQ113*(In_MEKH+In_HIPA)</f>
        <v>-117.264767315749</v>
      </c>
      <c r="AR117" s="33" t="n">
        <f aca="false">-AR113*(In_MEKH+In_HIPA)</f>
        <v>-115.862688576104</v>
      </c>
      <c r="AS117" s="33" t="n">
        <f aca="false">-AS113*(In_MEKH+In_HIPA)</f>
        <v>-117.150051782505</v>
      </c>
      <c r="AT117" s="33" t="n">
        <f aca="false">-AT113*(In_MEKH+In_HIPA)</f>
        <v>-118.437414988906</v>
      </c>
      <c r="AU117" s="33" t="n">
        <f aca="false">-AU113*(In_MEKH+In_HIPA)</f>
        <v>-118.082102743939</v>
      </c>
      <c r="AV117" s="33" t="n">
        <f aca="false">-AV113*(In_MEKH+In_HIPA)</f>
        <v>-117.966587643429</v>
      </c>
      <c r="AW117" s="33" t="n">
        <f aca="false">-AW113*(In_MEKH+In_HIPA)</f>
        <v>-117.966587643429</v>
      </c>
      <c r="AX117" s="33" t="n">
        <f aca="false">-AX113*(In_MEKH+In_HIPA)</f>
        <v>-119.262923771379</v>
      </c>
      <c r="AY117" s="33" t="n">
        <f aca="false">-AY113*(In_MEKH+In_HIPA)</f>
        <v>-118.905135000065</v>
      </c>
      <c r="AZ117" s="33" t="n">
        <f aca="false">-AZ113*(In_MEKH+In_HIPA)</f>
        <v>-117.483443168542</v>
      </c>
      <c r="BA117" s="33" t="n">
        <f aca="false">-BA113*(In_MEKH+In_HIPA)</f>
        <v>-118.788814759304</v>
      </c>
      <c r="BB117" s="33" t="n">
        <f aca="false">-BB113*(In_MEKH+In_HIPA)</f>
        <v>-120.094186350065</v>
      </c>
      <c r="BC117" s="33" t="n">
        <f aca="false">-BC113*(In_MEKH+In_HIPA)</f>
        <v>-119.733903791015</v>
      </c>
      <c r="BD117" s="33" t="n">
        <f aca="false">-BD113*(In_MEKH+In_HIPA)</f>
        <v>-118.302302767427</v>
      </c>
      <c r="BE117" s="33" t="n">
        <f aca="false">-BE113*(In_MEKH+In_HIPA)</f>
        <v>-119.616772798176</v>
      </c>
      <c r="BF117" s="33" t="n">
        <f aca="false">-BF113*(In_MEKH+In_HIPA)</f>
        <v>-120.931242828925</v>
      </c>
      <c r="BG117" s="33" t="n">
        <f aca="false">-BG113*(In_MEKH+In_HIPA)</f>
        <v>-120.568449100439</v>
      </c>
      <c r="BH117" s="33" t="n">
        <f aca="false">-BH113*(In_MEKH+In_HIPA)</f>
        <v>-119.126869817716</v>
      </c>
      <c r="BI117" s="33" t="n">
        <f aca="false">-BI113*(In_MEKH+In_HIPA)</f>
        <v>-120.450501704579</v>
      </c>
      <c r="BJ117" s="33" t="n">
        <f aca="false">-BJ113*(In_MEKH+In_HIPA)</f>
        <v>-121.774133591443</v>
      </c>
      <c r="BK117" s="33" t="n">
        <f aca="false">-BK113*(In_MEKH+In_HIPA)</f>
        <v>-121.408811190669</v>
      </c>
      <c r="BL117" s="33" t="n">
        <f aca="false">-BL113*(In_MEKH+In_HIPA)</f>
        <v>-121.29004170146</v>
      </c>
      <c r="BM117" s="33" t="n">
        <f aca="false">-BM113*(In_MEKH+In_HIPA)</f>
        <v>-121.29004170146</v>
      </c>
      <c r="BN117" s="33" t="n">
        <f aca="false">-BN113*(In_MEKH+In_HIPA)</f>
        <v>-122.622899302575</v>
      </c>
      <c r="BO117" s="33" t="n">
        <f aca="false">-BO113*(In_MEKH+In_HIPA)</f>
        <v>-122.255030604668</v>
      </c>
      <c r="BP117" s="33" t="n">
        <f aca="false">-BP113*(In_MEKH+In_HIPA)</f>
        <v>-120.793285673525</v>
      </c>
      <c r="BQ117" s="33" t="n">
        <f aca="false">-BQ113*(In_MEKH+In_HIPA)</f>
        <v>-122.13543329212</v>
      </c>
      <c r="BR117" s="33" t="n">
        <f aca="false">-BR113*(In_MEKH+In_HIPA)</f>
        <v>-123.477580910714</v>
      </c>
      <c r="BS117" s="33" t="n">
        <f aca="false">-BS113*(In_MEKH+In_HIPA)</f>
        <v>-123.107148167982</v>
      </c>
      <c r="BT117" s="33" t="n">
        <f aca="false">-BT113*(In_MEKH+In_HIPA)</f>
        <v>-121.635214874669</v>
      </c>
      <c r="BU117" s="33" t="n">
        <f aca="false">-BU113*(In_MEKH+In_HIPA)</f>
        <v>-122.986717262166</v>
      </c>
      <c r="BV117" s="33" t="n">
        <f aca="false">-BV113*(In_MEKH+In_HIPA)</f>
        <v>-124.338219649662</v>
      </c>
      <c r="BW117" s="33" t="n">
        <f aca="false">-BW113*(In_MEKH+In_HIPA)</f>
        <v>-123.965204990713</v>
      </c>
      <c r="BX117" s="33" t="n">
        <f aca="false">-BX113*(In_MEKH+In_HIPA)</f>
        <v>-122.483012322346</v>
      </c>
      <c r="BY117" s="33" t="n">
        <f aca="false">-BY113*(In_MEKH+In_HIPA)</f>
        <v>-123.843934681483</v>
      </c>
      <c r="BZ117" s="33" t="n">
        <f aca="false">-BZ113*(In_MEKH+In_HIPA)</f>
        <v>-125.20485704062</v>
      </c>
      <c r="CA117" s="33" t="n">
        <f aca="false">-CA113*(In_MEKH+In_HIPA)</f>
        <v>-124.829242469498</v>
      </c>
      <c r="CB117" s="33" t="n">
        <f aca="false">-CB113*(In_MEKH+In_HIPA)</f>
        <v>-124.707126906213</v>
      </c>
      <c r="CC117" s="33" t="n">
        <f aca="false">-CC113*(In_MEKH+In_HIPA)</f>
        <v>-124.707126906213</v>
      </c>
      <c r="CD117" s="33" t="n">
        <f aca="false">-CD113*(In_MEKH+In_HIPA)</f>
        <v>-126.077534894193</v>
      </c>
      <c r="CE117" s="33" t="n">
        <f aca="false">-CE113*(In_MEKH+In_HIPA)</f>
        <v>-125.699302289511</v>
      </c>
      <c r="CF117" s="33" t="n">
        <f aca="false">-CF113*(In_MEKH+In_HIPA)</f>
        <v>-124.196375849093</v>
      </c>
      <c r="CG117" s="33" t="n">
        <f aca="false">-CG113*(In_MEKH+In_HIPA)</f>
        <v>-125.576335580749</v>
      </c>
      <c r="CH117" s="33" t="n">
        <f aca="false">-CH113*(In_MEKH+In_HIPA)</f>
        <v>-126.956295312406</v>
      </c>
      <c r="CI117" s="33" t="n">
        <f aca="false">-CI113*(In_MEKH+In_HIPA)</f>
        <v>-126.575426426469</v>
      </c>
      <c r="CJ117" s="33" t="n">
        <f aca="false">-CJ113*(In_MEKH+In_HIPA)</f>
        <v>-125.062024588761</v>
      </c>
      <c r="CK117" s="33" t="n">
        <f aca="false">-CK113*(In_MEKH+In_HIPA)</f>
        <v>-126.451602639747</v>
      </c>
      <c r="CL117" s="33" t="n">
        <f aca="false">-CL113*(In_MEKH+In_HIPA)</f>
        <v>-127.841180690733</v>
      </c>
      <c r="CM117" s="33" t="n">
        <f aca="false">-CM113*(In_MEKH+In_HIPA)</f>
        <v>-127.457657148661</v>
      </c>
      <c r="CN117" s="33" t="n">
        <f aca="false">-CN113*(In_MEKH+In_HIPA)</f>
        <v>-125.933706900144</v>
      </c>
      <c r="CO117" s="33" t="n">
        <f aca="false">-CO113*(In_MEKH+In_HIPA)</f>
        <v>-127.332970310146</v>
      </c>
      <c r="CP117" s="33" t="n">
        <f aca="false">-CP113*(In_MEKH+In_HIPA)</f>
        <v>-128.732233720148</v>
      </c>
      <c r="CQ117" s="33" t="n">
        <f aca="false">-CQ113*(In_MEKH+In_HIPA)</f>
        <v>-128.346037018987</v>
      </c>
      <c r="CR117" s="33" t="n">
        <f aca="false">-CR113*(In_MEKH+In_HIPA)</f>
        <v>-128.220481113208</v>
      </c>
      <c r="CS117" s="33" t="n">
        <f aca="false">-CS113*(In_MEKH+In_HIPA)</f>
        <v>-128.220481113208</v>
      </c>
      <c r="CT117" s="33" t="n">
        <f aca="false">-CT113*(In_MEKH+In_HIPA)</f>
        <v>-129.629497389177</v>
      </c>
      <c r="CU117" s="33" t="n">
        <f aca="false">-CU113*(In_MEKH+In_HIPA)</f>
        <v>-129.240608897009</v>
      </c>
      <c r="CV117" s="33" t="n">
        <f aca="false">-CV113*(In_MEKH+In_HIPA)</f>
        <v>-127.695340747154</v>
      </c>
      <c r="CW117" s="33" t="n">
        <f aca="false">-CW113*(In_MEKH+In_HIPA)</f>
        <v>-129.114177866567</v>
      </c>
      <c r="CX117" s="33" t="n">
        <f aca="false">-CX113*(In_MEKH+In_HIPA)</f>
        <v>-130.53301498598</v>
      </c>
      <c r="CY117" s="33" t="n">
        <f aca="false">-CY113*(In_MEKH+In_HIPA)</f>
        <v>-130.141415941022</v>
      </c>
      <c r="CZ117" s="33" t="n">
        <f aca="false">-CZ113*(In_MEKH+In_HIPA)</f>
        <v>-128.585377272162</v>
      </c>
      <c r="DA117" s="33" t="n">
        <f aca="false">-DA113*(In_MEKH+In_HIPA)</f>
        <v>-130.014103686297</v>
      </c>
      <c r="DB117" s="33" t="n">
        <f aca="false">-DB113*(In_MEKH+In_HIPA)</f>
        <v>-131.442830100432</v>
      </c>
      <c r="DC117" s="33" t="n">
        <f aca="false">-DC113*(In_MEKH+In_HIPA)</f>
        <v>-131.048501610131</v>
      </c>
      <c r="DD117" s="33" t="n">
        <f aca="false">-DD113*(In_MEKH+In_HIPA)</f>
        <v>-129.481617351749</v>
      </c>
      <c r="DE117" s="33" t="n">
        <f aca="false">-DE113*(In_MEKH+In_HIPA)</f>
        <v>-130.92030198899</v>
      </c>
      <c r="DF117" s="33" t="n">
        <f aca="false">-DF113*(In_MEKH+In_HIPA)</f>
        <v>-132.358986626232</v>
      </c>
      <c r="DG117" s="33" t="n">
        <f aca="false">-DG113*(In_MEKH+In_HIPA)</f>
        <v>-131.961909666353</v>
      </c>
      <c r="DH117" s="33" t="n">
        <f aca="false">-DH113*(In_MEKH+In_HIPA)</f>
        <v>-131.832816493854</v>
      </c>
      <c r="DI117" s="33" t="n">
        <f aca="false">-DI113*(In_MEKH+In_HIPA)</f>
        <v>-131.832816493854</v>
      </c>
      <c r="DJ117" s="33" t="n">
        <f aca="false">-DJ113*(In_MEKH+In_HIPA)</f>
        <v>-133.281528763017</v>
      </c>
      <c r="DK117" s="33" t="n">
        <f aca="false">-DK113*(In_MEKH+In_HIPA)</f>
        <v>-132.881684176728</v>
      </c>
      <c r="DL117" s="33" t="n">
        <f aca="false">-DL113*(In_MEKH+In_HIPA)</f>
        <v>-131.292881431136</v>
      </c>
      <c r="DM117" s="33" t="n">
        <f aca="false">-DM113*(In_MEKH+In_HIPA)</f>
        <v>-132.751691224816</v>
      </c>
      <c r="DN117" s="33" t="n">
        <f aca="false">-DN113*(In_MEKH+In_HIPA)</f>
        <v>-134.210501018495</v>
      </c>
      <c r="DO117" s="33" t="n">
        <f aca="false">-DO113*(In_MEKH+In_HIPA)</f>
        <v>-133.807869515439</v>
      </c>
      <c r="DP117" s="33" t="n">
        <f aca="false">-DP113*(In_MEKH+In_HIPA)</f>
        <v>-132.207992814711</v>
      </c>
      <c r="DQ117" s="33" t="n">
        <f aca="false">-DQ113*(In_MEKH+In_HIPA)</f>
        <v>-133.676970512653</v>
      </c>
      <c r="DR117" s="33" t="n">
        <f aca="false">-DR113*(In_MEKH+In_HIPA)</f>
        <v>-135.145948210594</v>
      </c>
      <c r="DS117" s="33" t="n">
        <f aca="false">-DS113*(In_MEKH+In_HIPA)</f>
        <v>-134.740510365962</v>
      </c>
      <c r="DT117" s="33" t="n">
        <f aca="false">-DT113*(In_MEKH+In_HIPA)</f>
        <v>-133.12948252463</v>
      </c>
      <c r="DU117" s="33" t="n">
        <f aca="false">-DU113*(In_MEKH+In_HIPA)</f>
        <v>-134.608698997126</v>
      </c>
      <c r="DV117" s="33" t="n">
        <f aca="false">-DV113*(In_MEKH+In_HIPA)</f>
        <v>-136.087915469622</v>
      </c>
      <c r="DW117" s="33" t="n">
        <f aca="false">-DW113*(In_MEKH+In_HIPA)</f>
        <v>-135.679651723213</v>
      </c>
      <c r="DX117" s="33" t="n">
        <f aca="false">-DX113*(In_MEKH+In_HIPA)</f>
        <v>-135.546921629136</v>
      </c>
      <c r="DY117" s="33" t="n">
        <f aca="false">-DY113*(In_MEKH+In_HIPA)</f>
        <v>-135.546921629136</v>
      </c>
      <c r="DZ117" s="33" t="n">
        <f aca="false">-DZ113*(In_MEKH+In_HIPA)</f>
        <v>-137.036448240445</v>
      </c>
      <c r="EA117" s="33" t="n">
        <f aca="false">-EA113*(In_MEKH+In_HIPA)</f>
        <v>-136.625338895724</v>
      </c>
      <c r="EB117" s="33" t="n">
        <f aca="false">-EB113*(In_MEKH+In_HIPA)</f>
        <v>-134.991775061101</v>
      </c>
      <c r="EC117" s="33" t="n">
        <f aca="false">-EC113*(In_MEKH+In_HIPA)</f>
        <v>-136.491683672891</v>
      </c>
      <c r="ED117" s="33" t="n">
        <f aca="false">-ED113*(In_MEKH+In_HIPA)</f>
        <v>-137.991592284681</v>
      </c>
      <c r="EE117" s="33" t="n">
        <f aca="false">-EE113*(In_MEKH+In_HIPA)</f>
        <v>-137.577617507827</v>
      </c>
      <c r="EF117" s="33" t="n">
        <f aca="false">-EF113*(In_MEKH+In_HIPA)</f>
        <v>-135.932667733277</v>
      </c>
      <c r="EG117" s="33" t="n">
        <f aca="false">-EG113*(In_MEKH+In_HIPA)</f>
        <v>-137.443030708091</v>
      </c>
      <c r="EH117" s="33" t="n">
        <f aca="false">-EH113*(In_MEKH+In_HIPA)</f>
        <v>-138.953393682905</v>
      </c>
      <c r="EI117" s="33" t="n">
        <f aca="false">-EI113*(In_MEKH+In_HIPA)</f>
        <v>-138.536533501856</v>
      </c>
      <c r="EJ117" s="33" t="n">
        <f aca="false">-EJ113*(In_MEKH+In_HIPA)</f>
        <v>-136.880118427378</v>
      </c>
      <c r="EK117" s="33" t="n">
        <f aca="false">-EK113*(In_MEKH+In_HIPA)</f>
        <v>-138.401008632126</v>
      </c>
      <c r="EL117" s="33" t="n">
        <f aca="false">-EL113*(In_MEKH+In_HIPA)</f>
        <v>-139.921898836875</v>
      </c>
      <c r="EM117" s="33" t="n">
        <f aca="false">-EM113*(In_MEKH+In_HIPA)</f>
        <v>-139.502133140364</v>
      </c>
      <c r="EN117" s="33" t="n">
        <f aca="false">-EN113*(In_MEKH+In_HIPA)</f>
        <v>-139.365663662292</v>
      </c>
      <c r="EO117" s="33" t="n">
        <f aca="false">-EO113*(In_MEKH+In_HIPA)</f>
        <v>-139.365663662292</v>
      </c>
      <c r="EP117" s="33" t="n">
        <f aca="false">-EP113*(In_MEKH+In_HIPA)</f>
        <v>-140.897154471768</v>
      </c>
      <c r="EQ117" s="33" t="n">
        <f aca="false">-EQ113*(In_MEKH+In_HIPA)</f>
        <v>-140.474463008353</v>
      </c>
      <c r="ER117" s="33" t="n">
        <f aca="false">-ER113*(In_MEKH+In_HIPA)</f>
        <v>-138.794877037601</v>
      </c>
      <c r="ES117" s="33" t="n">
        <f aca="false">-ES113*(In_MEKH+In_HIPA)</f>
        <v>-140.337042338018</v>
      </c>
      <c r="ET117" s="33" t="n">
        <f aca="false">-ET113*(In_MEKH+In_HIPA)</f>
        <v>-141.879207638436</v>
      </c>
    </row>
    <row r="118" customFormat="false" ht="15" hidden="false" customHeight="false" outlineLevel="0" collapsed="false">
      <c r="C118" s="0" t="s">
        <v>390</v>
      </c>
      <c r="D118" s="11" t="s">
        <v>253</v>
      </c>
      <c r="I118" s="33" t="n">
        <f aca="false">SUM(J118:ET118)</f>
        <v>-8565.12918101122</v>
      </c>
      <c r="J118" s="33" t="n">
        <f aca="false">In_Opex_Contingency*(J114+J115+J116-J113*In_MEKH)</f>
        <v>-0</v>
      </c>
      <c r="K118" s="33" t="n">
        <f aca="false">In_Opex_Contingency*(K114+K115+K116-K113*In_MEKH)</f>
        <v>-0</v>
      </c>
      <c r="L118" s="33" t="n">
        <f aca="false">In_Opex_Contingency*(L114+L115+L116-L113*In_MEKH)</f>
        <v>-0</v>
      </c>
      <c r="M118" s="33" t="n">
        <f aca="false">In_Opex_Contingency*(M114+M115+M116-M113*In_MEKH)</f>
        <v>-0</v>
      </c>
      <c r="N118" s="33" t="n">
        <f aca="false">In_Opex_Contingency*(N114+N115+N116-N113*In_MEKH)</f>
        <v>-0</v>
      </c>
      <c r="O118" s="33" t="n">
        <f aca="false">In_Opex_Contingency*(O114+O115+O116-O113*In_MEKH)</f>
        <v>-0</v>
      </c>
      <c r="P118" s="33" t="n">
        <f aca="false">In_Opex_Contingency*(P114+P115+P116-P113*In_MEKH)</f>
        <v>-0</v>
      </c>
      <c r="Q118" s="33" t="n">
        <f aca="false">In_Opex_Contingency*(Q114+Q115+Q116-Q113*In_MEKH)</f>
        <v>-0</v>
      </c>
      <c r="R118" s="33" t="n">
        <f aca="false">In_Opex_Contingency*(R114+R115+R116-R113*In_MEKH)</f>
        <v>-0</v>
      </c>
      <c r="S118" s="33" t="n">
        <f aca="false">In_Opex_Contingency*(S114+S115+S116-S113*In_MEKH)</f>
        <v>-0</v>
      </c>
      <c r="T118" s="33" t="n">
        <f aca="false">In_Opex_Contingency*(T114+T115+T116-T113*In_MEKH)</f>
        <v>-0</v>
      </c>
      <c r="U118" s="33" t="n">
        <f aca="false">In_Opex_Contingency*(U114+U115+U116-U113*In_MEKH)</f>
        <v>-0</v>
      </c>
      <c r="V118" s="33" t="n">
        <f aca="false">In_Opex_Contingency*(V114+V115+V116-V113*In_MEKH)</f>
        <v>-0</v>
      </c>
      <c r="W118" s="33" t="n">
        <f aca="false">In_Opex_Contingency*(W114+W115+W116-W113*In_MEKH)</f>
        <v>-3.59864073081092</v>
      </c>
      <c r="X118" s="33" t="n">
        <f aca="false">In_Opex_Contingency*(X114+X115+X116-X113*In_MEKH)</f>
        <v>-3.60841964584029</v>
      </c>
      <c r="Y118" s="33" t="n">
        <f aca="false">In_Opex_Contingency*(Y114+Y115+Y116-Y113*In_MEKH)</f>
        <v>-3.64851319746074</v>
      </c>
      <c r="Z118" s="33" t="n">
        <f aca="false">In_Opex_Contingency*(Z114+Z115+Z116-Z113*In_MEKH)</f>
        <v>-3.68860674908119</v>
      </c>
      <c r="AA118" s="33" t="n">
        <f aca="false">In_Opex_Contingency*(AA114+AA115+AA116-AA113*In_MEKH)</f>
        <v>-3.68860674908119</v>
      </c>
      <c r="AB118" s="33" t="n">
        <f aca="false">In_Opex_Contingency*(AB114+AB115+AB116-AB113*In_MEKH)</f>
        <v>-3.6986301369863</v>
      </c>
      <c r="AC118" s="33" t="n">
        <f aca="false">In_Opex_Contingency*(AC114+AC115+AC116-AC113*In_MEKH)</f>
        <v>-3.73972602739726</v>
      </c>
      <c r="AD118" s="33" t="n">
        <f aca="false">In_Opex_Contingency*(AD114+AD115+AD116-AD113*In_MEKH)</f>
        <v>-3.78082191780822</v>
      </c>
      <c r="AE118" s="33" t="n">
        <f aca="false">In_Opex_Contingency*(AE114+AE115+AE116-AE113*In_MEKH)</f>
        <v>-48.8620469041096</v>
      </c>
      <c r="AF118" s="33" t="n">
        <f aca="false">In_Opex_Contingency*(AF114+AF115+AF116-AF113*In_MEKH)</f>
        <v>-49.5351540619178</v>
      </c>
      <c r="AG118" s="33" t="n">
        <f aca="false">In_Opex_Contingency*(AG114+AG115+AG116-AG113*In_MEKH)</f>
        <v>-49.5351540619178</v>
      </c>
      <c r="AH118" s="33" t="n">
        <f aca="false">In_Opex_Contingency*(AH114+AH115+AH116-AH113*In_MEKH)</f>
        <v>-50.0794964142466</v>
      </c>
      <c r="AI118" s="33" t="n">
        <f aca="false">In_Opex_Contingency*(AI114+AI115+AI116-AI113*In_MEKH)</f>
        <v>-50.0319545003463</v>
      </c>
      <c r="AJ118" s="33" t="n">
        <f aca="false">In_Opex_Contingency*(AJ114+AJ115+AJ116-AJ113*In_MEKH)</f>
        <v>-50.1638704354583</v>
      </c>
      <c r="AK118" s="33" t="n">
        <f aca="false">In_Opex_Contingency*(AK114+AK115+AK116-AK113*In_MEKH)</f>
        <v>-50.7212467736301</v>
      </c>
      <c r="AL118" s="33" t="n">
        <f aca="false">In_Opex_Contingency*(AL114+AL115+AL116-AL113*In_MEKH)</f>
        <v>-51.2786231118018</v>
      </c>
      <c r="AM118" s="33" t="n">
        <f aca="false">In_Opex_Contingency*(AM114+AM115+AM116-AM113*In_MEKH)</f>
        <v>-51.2300512321924</v>
      </c>
      <c r="AN118" s="33" t="n">
        <f aca="false">In_Opex_Contingency*(AN114+AN115+AN116-AN113*In_MEKH)</f>
        <v>-51.3651947029183</v>
      </c>
      <c r="AO118" s="33" t="n">
        <f aca="false">In_Opex_Contingency*(AO114+AO115+AO116-AO113*In_MEKH)</f>
        <v>-51.9359190885063</v>
      </c>
      <c r="AP118" s="33" t="n">
        <f aca="false">In_Opex_Contingency*(AP114+AP115+AP116-AP113*In_MEKH)</f>
        <v>-52.5066434740943</v>
      </c>
      <c r="AQ118" s="33" t="n">
        <f aca="false">In_Opex_Contingency*(AQ114+AQ115+AQ116-AQ113*In_MEKH)</f>
        <v>-52.4570191331412</v>
      </c>
      <c r="AR118" s="33" t="n">
        <f aca="false">In_Opex_Contingency*(AR114+AR115+AR116-AR113*In_MEKH)</f>
        <v>-52.5954683974554</v>
      </c>
      <c r="AS118" s="33" t="n">
        <f aca="false">In_Opex_Contingency*(AS114+AS115+AS116-AS113*In_MEKH)</f>
        <v>-53.1798624907605</v>
      </c>
      <c r="AT118" s="33" t="n">
        <f aca="false">In_Opex_Contingency*(AT114+AT115+AT116-AT113*In_MEKH)</f>
        <v>-53.7642565840656</v>
      </c>
      <c r="AU118" s="33" t="n">
        <f aca="false">In_Opex_Contingency*(AU114+AU115+AU116-AU113*In_MEKH)</f>
        <v>-53.7135567935193</v>
      </c>
      <c r="AV118" s="33" t="n">
        <f aca="false">In_Opex_Contingency*(AV114+AV115+AV116-AV113*In_MEKH)</f>
        <v>-54.4537852508869</v>
      </c>
      <c r="AW118" s="33" t="n">
        <f aca="false">In_Opex_Contingency*(AW114+AW115+AW116-AW113*In_MEKH)</f>
        <v>-54.4537852508869</v>
      </c>
      <c r="AX118" s="33" t="n">
        <f aca="false">In_Opex_Contingency*(AX114+AX115+AX116-AX113*In_MEKH)</f>
        <v>-55.0521784954021</v>
      </c>
      <c r="AY118" s="33" t="n">
        <f aca="false">In_Opex_Contingency*(AY114+AY115+AY116-AY113*In_MEKH)</f>
        <v>-55.0003797636019</v>
      </c>
      <c r="AZ118" s="33" t="n">
        <f aca="false">In_Opex_Contingency*(AZ114+AZ115+AZ116-AZ113*In_MEKH)</f>
        <v>-55.1456830229945</v>
      </c>
      <c r="BA118" s="33" t="n">
        <f aca="false">In_Opex_Contingency*(BA114+BA115+BA116-BA113*In_MEKH)</f>
        <v>-55.7584128343611</v>
      </c>
      <c r="BB118" s="33" t="n">
        <f aca="false">In_Opex_Contingency*(BB114+BB115+BB116-BB113*In_MEKH)</f>
        <v>-56.3711426457277</v>
      </c>
      <c r="BC118" s="33" t="n">
        <f aca="false">In_Opex_Contingency*(BC114+BC115+BC116-BC113*In_MEKH)</f>
        <v>-56.3182209665687</v>
      </c>
      <c r="BD118" s="33" t="n">
        <f aca="false">In_Opex_Contingency*(BD114+BD115+BD116-BD113*In_MEKH)</f>
        <v>-56.4670763607554</v>
      </c>
      <c r="BE118" s="33" t="n">
        <f aca="false">In_Opex_Contingency*(BE114+BE115+BE116-BE113*In_MEKH)</f>
        <v>-57.0944883203193</v>
      </c>
      <c r="BF118" s="33" t="n">
        <f aca="false">In_Opex_Contingency*(BF114+BF115+BF116-BF113*In_MEKH)</f>
        <v>-57.7219002798833</v>
      </c>
      <c r="BG118" s="33" t="n">
        <f aca="false">In_Opex_Contingency*(BG114+BG115+BG116-BG113*In_MEKH)</f>
        <v>-57.6678311215413</v>
      </c>
      <c r="BH118" s="33" t="n">
        <f aca="false">In_Opex_Contingency*(BH114+BH115+BH116-BH113*In_MEKH)</f>
        <v>-57.8203247773766</v>
      </c>
      <c r="BI118" s="33" t="n">
        <f aca="false">In_Opex_Contingency*(BI114+BI115+BI116-BI113*In_MEKH)</f>
        <v>-58.4627728304585</v>
      </c>
      <c r="BJ118" s="33" t="n">
        <f aca="false">In_Opex_Contingency*(BJ114+BJ115+BJ116-BJ113*In_MEKH)</f>
        <v>-59.1052208835405</v>
      </c>
      <c r="BK118" s="33" t="n">
        <f aca="false">In_Opex_Contingency*(BK114+BK115+BK116-BK113*In_MEKH)</f>
        <v>-59.04997917695</v>
      </c>
      <c r="BL118" s="33" t="n">
        <f aca="false">In_Opex_Contingency*(BL114+BL115+BL116-BL113*In_MEKH)</f>
        <v>-59.8640459684091</v>
      </c>
      <c r="BM118" s="33" t="n">
        <f aca="false">In_Opex_Contingency*(BM114+BM115+BM116-BM113*In_MEKH)</f>
        <v>-59.8640459684091</v>
      </c>
      <c r="BN118" s="33" t="n">
        <f aca="false">In_Opex_Contingency*(BN114+BN115+BN116-BN113*In_MEKH)</f>
        <v>-60.5218926274026</v>
      </c>
      <c r="BO118" s="33" t="n">
        <f aca="false">In_Opex_Contingency*(BO114+BO115+BO116-BO113*In_MEKH)</f>
        <v>-60.465452754482</v>
      </c>
      <c r="BP118" s="33" t="n">
        <f aca="false">In_Opex_Contingency*(BP114+BP115+BP116-BP113*In_MEKH)</f>
        <v>-60.6254897174195</v>
      </c>
      <c r="BQ118" s="33" t="n">
        <f aca="false">In_Opex_Contingency*(BQ114+BQ115+BQ116-BQ113*In_MEKH)</f>
        <v>-61.2991062698353</v>
      </c>
      <c r="BR118" s="33" t="n">
        <f aca="false">In_Opex_Contingency*(BR114+BR115+BR116-BR113*In_MEKH)</f>
        <v>-61.972722822251</v>
      </c>
      <c r="BS118" s="33" t="n">
        <f aca="false">In_Opex_Contingency*(BS114+BS115+BS116-BS113*In_MEKH)</f>
        <v>-61.9150586038699</v>
      </c>
      <c r="BT118" s="33" t="n">
        <f aca="false">In_Opex_Contingency*(BT114+BT115+BT116-BT113*In_MEKH)</f>
        <v>-62.0790049419491</v>
      </c>
      <c r="BU118" s="33" t="n">
        <f aca="false">In_Opex_Contingency*(BU114+BU115+BU116-BU113*In_MEKH)</f>
        <v>-62.7687716635263</v>
      </c>
      <c r="BV118" s="33" t="n">
        <f aca="false">In_Opex_Contingency*(BV114+BV115+BV116-BV113*In_MEKH)</f>
        <v>-63.4585383851035</v>
      </c>
      <c r="BW118" s="33" t="n">
        <f aca="false">In_Opex_Contingency*(BW114+BW115+BW116-BW113*In_MEKH)</f>
        <v>-63.399623068786</v>
      </c>
      <c r="BX118" s="33" t="n">
        <f aca="false">In_Opex_Contingency*(BX114+BX115+BX116-BX113*In_MEKH)</f>
        <v>-63.5675735707396</v>
      </c>
      <c r="BY118" s="33" t="n">
        <f aca="false">In_Opex_Contingency*(BY114+BY115+BY116-BY113*In_MEKH)</f>
        <v>-64.2738799437478</v>
      </c>
      <c r="BZ118" s="33" t="n">
        <f aca="false">In_Opex_Contingency*(BZ114+BZ115+BZ116-BZ113*In_MEKH)</f>
        <v>-64.980186316756</v>
      </c>
      <c r="CA118" s="33" t="n">
        <f aca="false">In_Opex_Contingency*(CA114+CA115+CA116-CA113*In_MEKH)</f>
        <v>-64.9199925641145</v>
      </c>
      <c r="CB118" s="33" t="n">
        <f aca="false">In_Opex_Contingency*(CB114+CB115+CB116-CB113*In_MEKH)</f>
        <v>-65.8152892541277</v>
      </c>
      <c r="CC118" s="33" t="n">
        <f aca="false">In_Opex_Contingency*(CC114+CC115+CC116-CC113*In_MEKH)</f>
        <v>-65.8152892541277</v>
      </c>
      <c r="CD118" s="33" t="n">
        <f aca="false">In_Opex_Contingency*(CD114+CD115+CD116-CD113*In_MEKH)</f>
        <v>-66.5385341909863</v>
      </c>
      <c r="CE118" s="33" t="n">
        <f aca="false">In_Opex_Contingency*(CE114+CE115+CE116-CE113*In_MEKH)</f>
        <v>-66.4770340648798</v>
      </c>
      <c r="CF118" s="33" t="n">
        <f aca="false">In_Opex_Contingency*(CF114+CF115+CF116-CF113*In_MEKH)</f>
        <v>-66.6532865110164</v>
      </c>
      <c r="CG118" s="33" t="n">
        <f aca="false">In_Opex_Contingency*(CG114+CG115+CG116-CG113*In_MEKH)</f>
        <v>-67.3938785833611</v>
      </c>
      <c r="CH118" s="33" t="n">
        <f aca="false">In_Opex_Contingency*(CH114+CH115+CH116-CH113*In_MEKH)</f>
        <v>-68.1344706557057</v>
      </c>
      <c r="CI118" s="33" t="n">
        <f aca="false">In_Opex_Contingency*(CI114+CI115+CI116-CI113*In_MEKH)</f>
        <v>-68.0716356071167</v>
      </c>
      <c r="CJ118" s="33" t="n">
        <f aca="false">In_Opex_Contingency*(CJ114+CJ115+CJ116-CJ113*In_MEKH)</f>
        <v>-68.252190599691</v>
      </c>
      <c r="CK118" s="33" t="n">
        <f aca="false">In_Opex_Contingency*(CK114+CK115+CK116-CK113*In_MEKH)</f>
        <v>-69.0105482730209</v>
      </c>
      <c r="CL118" s="33" t="n">
        <f aca="false">In_Opex_Contingency*(CL114+CL115+CL116-CL113*In_MEKH)</f>
        <v>-69.7689059463508</v>
      </c>
      <c r="CM118" s="33" t="n">
        <f aca="false">In_Opex_Contingency*(CM114+CM115+CM116-CM113*In_MEKH)</f>
        <v>-69.7047068009743</v>
      </c>
      <c r="CN118" s="33" t="n">
        <f aca="false">In_Opex_Contingency*(CN114+CN115+CN116-CN113*In_MEKH)</f>
        <v>-69.8896686637318</v>
      </c>
      <c r="CO118" s="33" t="n">
        <f aca="false">In_Opex_Contingency*(CO114+CO115+CO116-CO113*In_MEKH)</f>
        <v>-70.6662205377733</v>
      </c>
      <c r="CP118" s="33" t="n">
        <f aca="false">In_Opex_Contingency*(CP114+CP115+CP116-CP113*In_MEKH)</f>
        <v>-71.4427724118148</v>
      </c>
      <c r="CQ118" s="33" t="n">
        <f aca="false">In_Opex_Contingency*(CQ114+CQ115+CQ116-CQ113*In_MEKH)</f>
        <v>-71.3771793563535</v>
      </c>
      <c r="CR118" s="33" t="n">
        <f aca="false">In_Opex_Contingency*(CR114+CR115+CR116-CR113*In_MEKH)</f>
        <v>-72.3618399982995</v>
      </c>
      <c r="CS118" s="33" t="n">
        <f aca="false">In_Opex_Contingency*(CS114+CS115+CS116-CS113*In_MEKH)</f>
        <v>-72.3618399982995</v>
      </c>
      <c r="CT118" s="33" t="n">
        <f aca="false">In_Opex_Contingency*(CT114+CT115+CT116-CT113*In_MEKH)</f>
        <v>-73.1570250532259</v>
      </c>
      <c r="CU118" s="33" t="n">
        <f aca="false">In_Opex_Contingency*(CU114+CU115+CU116-CU113*In_MEKH)</f>
        <v>-73.0900076213847</v>
      </c>
      <c r="CV118" s="33" t="n">
        <f aca="false">In_Opex_Contingency*(CV114+CV115+CV116-CV113*In_MEKH)</f>
        <v>-73.2841063785854</v>
      </c>
      <c r="CW118" s="33" t="n">
        <f aca="false">In_Opex_Contingency*(CW114+CW115+CW116-CW113*In_MEKH)</f>
        <v>-74.0983742272363</v>
      </c>
      <c r="CX118" s="33" t="n">
        <f aca="false">In_Opex_Contingency*(CX114+CX115+CX116-CX113*In_MEKH)</f>
        <v>-74.9126420758873</v>
      </c>
      <c r="CY118" s="33" t="n">
        <f aca="false">In_Opex_Contingency*(CY114+CY115+CY116-CY113*In_MEKH)</f>
        <v>-74.8441691340611</v>
      </c>
      <c r="CZ118" s="33" t="n">
        <f aca="false">In_Opex_Contingency*(CZ114+CZ115+CZ116-CZ113*In_MEKH)</f>
        <v>-75.0430031622069</v>
      </c>
      <c r="DA118" s="33" t="n">
        <f aca="false">In_Opex_Contingency*(DA114+DA115+DA116-DA113*In_MEKH)</f>
        <v>-75.8768143084537</v>
      </c>
      <c r="DB118" s="33" t="n">
        <f aca="false">In_Opex_Contingency*(DB114+DB115+DB116-DB113*In_MEKH)</f>
        <v>-76.7106254547004</v>
      </c>
      <c r="DC118" s="33" t="n">
        <f aca="false">In_Opex_Contingency*(DC114+DC115+DC116-DC113*In_MEKH)</f>
        <v>-76.6406651873478</v>
      </c>
      <c r="DD118" s="33" t="n">
        <f aca="false">In_Opex_Contingency*(DD114+DD115+DD116-DD113*In_MEKH)</f>
        <v>-76.8443493065894</v>
      </c>
      <c r="DE118" s="33" t="n">
        <f aca="false">In_Opex_Contingency*(DE114+DE115+DE116-DE113*In_MEKH)</f>
        <v>-77.698175409996</v>
      </c>
      <c r="DF118" s="33" t="n">
        <f aca="false">In_Opex_Contingency*(DF114+DF115+DF116-DF113*In_MEKH)</f>
        <v>-78.5520015134025</v>
      </c>
      <c r="DG118" s="33" t="n">
        <f aca="false">In_Opex_Contingency*(DG114+DG115+DG116-DG113*In_MEKH)</f>
        <v>-78.4805214080991</v>
      </c>
      <c r="DH118" s="33" t="n">
        <f aca="false">In_Opex_Contingency*(DH114+DH115+DH116-DH113*In_MEKH)</f>
        <v>-79.563497371022</v>
      </c>
      <c r="DI118" s="33" t="n">
        <f aca="false">In_Opex_Contingency*(DI114+DI115+DI116-DI113*In_MEKH)</f>
        <v>-79.563497371022</v>
      </c>
      <c r="DJ118" s="33" t="n">
        <f aca="false">In_Opex_Contingency*(DJ114+DJ115+DJ116-DJ113*In_MEKH)</f>
        <v>-80.4378215179563</v>
      </c>
      <c r="DK118" s="33" t="n">
        <f aca="false">In_Opex_Contingency*(DK114+DK115+DK116-DK113*In_MEKH)</f>
        <v>-80.3647883501201</v>
      </c>
      <c r="DL118" s="33" t="n">
        <f aca="false">In_Opex_Contingency*(DL114+DL115+DL116-DL113*In_MEKH)</f>
        <v>-80.5785283217331</v>
      </c>
      <c r="DM118" s="33" t="n">
        <f aca="false">In_Opex_Contingency*(DM114+DM115+DM116-DM113*In_MEKH)</f>
        <v>-81.4738453030857</v>
      </c>
      <c r="DN118" s="33" t="n">
        <f aca="false">In_Opex_Contingency*(DN114+DN115+DN116-DN113*In_MEKH)</f>
        <v>-82.3691622844383</v>
      </c>
      <c r="DO118" s="33" t="n">
        <f aca="false">In_Opex_Contingency*(DO114+DO115+DO116-DO113*In_MEKH)</f>
        <v>-82.2945421017206</v>
      </c>
      <c r="DP118" s="33" t="n">
        <f aca="false">In_Opex_Contingency*(DP114+DP115+DP116-DP113*In_MEKH)</f>
        <v>-82.5134936104378</v>
      </c>
      <c r="DQ118" s="33" t="n">
        <f aca="false">In_Opex_Contingency*(DQ114+DQ115+DQ116-DQ113*In_MEKH)</f>
        <v>-83.4303102061093</v>
      </c>
      <c r="DR118" s="33" t="n">
        <f aca="false">In_Opex_Contingency*(DR114+DR115+DR116-DR113*In_MEKH)</f>
        <v>-84.3471268017809</v>
      </c>
      <c r="DS118" s="33" t="n">
        <f aca="false">In_Opex_Contingency*(DS114+DS115+DS116-DS113*In_MEKH)</f>
        <v>-84.2708849081146</v>
      </c>
      <c r="DT118" s="33" t="n">
        <f aca="false">In_Opex_Contingency*(DT114+DT115+DT116-DT113*In_MEKH)</f>
        <v>-84.4951743290865</v>
      </c>
      <c r="DU118" s="33" t="n">
        <f aca="false">In_Opex_Contingency*(DU114+DU115+DU116-DU113*In_MEKH)</f>
        <v>-85.4340095994097</v>
      </c>
      <c r="DV118" s="33" t="n">
        <f aca="false">In_Opex_Contingency*(DV114+DV115+DV116-DV113*In_MEKH)</f>
        <v>-86.3728448697329</v>
      </c>
      <c r="DW118" s="33" t="n">
        <f aca="false">In_Opex_Contingency*(DW114+DW115+DW116-DW113*In_MEKH)</f>
        <v>-86.2949458090312</v>
      </c>
      <c r="DX118" s="33" t="n">
        <f aca="false">In_Opex_Contingency*(DX114+DX115+DX116-DX113*In_MEKH)</f>
        <v>-87.4860881681444</v>
      </c>
      <c r="DY118" s="33" t="n">
        <f aca="false">In_Opex_Contingency*(DY114+DY115+DY116-DY113*In_MEKH)</f>
        <v>-87.4860881681444</v>
      </c>
      <c r="DZ118" s="33" t="n">
        <f aca="false">In_Opex_Contingency*(DZ114+DZ115+DZ116-DZ113*In_MEKH)</f>
        <v>-88.4474737524097</v>
      </c>
      <c r="EA118" s="33" t="n">
        <f aca="false">In_Opex_Contingency*(EA114+EA115+EA116-EA113*In_MEKH)</f>
        <v>-88.3678812919077</v>
      </c>
      <c r="EB118" s="33" t="n">
        <f aca="false">In_Opex_Contingency*(EB114+EB115+EB116-EB113*In_MEKH)</f>
        <v>-88.6032380032985</v>
      </c>
      <c r="EC118" s="33" t="n">
        <f aca="false">In_Opex_Contingency*(EC114+EC115+EC116-EC113*In_MEKH)</f>
        <v>-89.5877184255573</v>
      </c>
      <c r="ED118" s="33" t="n">
        <f aca="false">In_Opex_Contingency*(ED114+ED115+ED116-ED113*In_MEKH)</f>
        <v>-90.5721988478162</v>
      </c>
      <c r="EE118" s="33" t="n">
        <f aca="false">In_Opex_Contingency*(EE114+EE115+EE116-EE113*In_MEKH)</f>
        <v>-90.4908759610468</v>
      </c>
      <c r="EF118" s="33" t="n">
        <f aca="false">In_Opex_Contingency*(EF114+EF115+EF116-EF113*In_MEKH)</f>
        <v>-90.731968409087</v>
      </c>
      <c r="EG118" s="33" t="n">
        <f aca="false">In_Opex_Contingency*(EG114+EG115+EG116-EG113*In_MEKH)</f>
        <v>-91.7401013914103</v>
      </c>
      <c r="EH118" s="33" t="n">
        <f aca="false">In_Opex_Contingency*(EH114+EH115+EH116-EH113*In_MEKH)</f>
        <v>-92.7482343737334</v>
      </c>
      <c r="EI118" s="33" t="n">
        <f aca="false">In_Opex_Contingency*(EI114+EI115+EI116-EI113*In_MEKH)</f>
        <v>-92.6651432231306</v>
      </c>
      <c r="EJ118" s="33" t="n">
        <f aca="false">In_Opex_Contingency*(EJ114+EJ115+EJ116-EJ113*In_MEKH)</f>
        <v>-92.9121105036224</v>
      </c>
      <c r="EK118" s="33" t="n">
        <f aca="false">In_Opex_Contingency*(EK114+EK115+EK116-EK113*In_MEKH)</f>
        <v>-93.944467286996</v>
      </c>
      <c r="EL118" s="33" t="n">
        <f aca="false">In_Opex_Contingency*(EL114+EL115+EL116-EL113*In_MEKH)</f>
        <v>-94.9768240703696</v>
      </c>
      <c r="EM118" s="33" t="n">
        <f aca="false">In_Opex_Contingency*(EM114+EM115+EM116-EM113*In_MEKH)</f>
        <v>-94.8919259894898</v>
      </c>
      <c r="EN118" s="33" t="n">
        <f aca="false">In_Opex_Contingency*(EN114+EN115+EN116-EN113*In_MEKH)</f>
        <v>-96.2020762471408</v>
      </c>
      <c r="EO118" s="33" t="n">
        <f aca="false">In_Opex_Contingency*(EO114+EO115+EO116-EO113*In_MEKH)</f>
        <v>-96.2020762471408</v>
      </c>
      <c r="EP118" s="33" t="n">
        <f aca="false">In_Opex_Contingency*(EP114+EP115+EP116-EP113*In_MEKH)</f>
        <v>-97.2592419201863</v>
      </c>
      <c r="EQ118" s="33" t="n">
        <f aca="false">In_Opex_Contingency*(EQ114+EQ115+EQ116-EQ113*In_MEKH)</f>
        <v>-97.1724973955404</v>
      </c>
      <c r="ER118" s="33" t="n">
        <f aca="false">In_Opex_Contingency*(ER114+ER115+ER116-ER113*In_MEKH)</f>
        <v>-97.4316452139015</v>
      </c>
      <c r="ES118" s="33" t="n">
        <f aca="false">In_Opex_Contingency*(ES114+ES115+ES116-ES113*In_MEKH)</f>
        <v>-98.5142190496114</v>
      </c>
      <c r="ET118" s="33" t="n">
        <f aca="false">In_Opex_Contingency*(ET114+ET115+ET116-ET113*In_MEKH)</f>
        <v>-99.5967928853215</v>
      </c>
    </row>
    <row r="119" customFormat="false" ht="15" hidden="false" customHeight="false" outlineLevel="0" collapsed="false">
      <c r="C119" s="0" t="s">
        <v>31</v>
      </c>
      <c r="D119" s="11" t="s">
        <v>253</v>
      </c>
      <c r="I119" s="33" t="n">
        <f aca="false">SUM(J119:ET119)</f>
        <v>-20794.4767338331</v>
      </c>
      <c r="J119" s="33" t="n">
        <f aca="false">-$E31*In_Delivered*J112/Thousand</f>
        <v>-0</v>
      </c>
      <c r="K119" s="33" t="n">
        <f aca="false">-$E31*In_Delivered*K112/Thousand</f>
        <v>-0</v>
      </c>
      <c r="L119" s="33" t="n">
        <f aca="false">-$E31*In_Delivered*L112/Thousand</f>
        <v>-0</v>
      </c>
      <c r="M119" s="33" t="n">
        <f aca="false">-$E31*In_Delivered*M112/Thousand</f>
        <v>-0</v>
      </c>
      <c r="N119" s="33" t="n">
        <f aca="false">-$E31*In_Delivered*N112/Thousand</f>
        <v>-0</v>
      </c>
      <c r="O119" s="33" t="n">
        <f aca="false">-$E31*In_Delivered*O112/Thousand</f>
        <v>-0</v>
      </c>
      <c r="P119" s="33" t="n">
        <f aca="false">-$E31*In_Delivered*P112/Thousand</f>
        <v>-0</v>
      </c>
      <c r="Q119" s="33" t="n">
        <f aca="false">-$E31*In_Delivered*Q112/Thousand</f>
        <v>-0</v>
      </c>
      <c r="R119" s="33" t="n">
        <f aca="false">-$E31*In_Delivered*R112/Thousand</f>
        <v>-0</v>
      </c>
      <c r="S119" s="33" t="n">
        <f aca="false">-$E31*In_Delivered*S112/Thousand</f>
        <v>-0</v>
      </c>
      <c r="T119" s="33" t="n">
        <f aca="false">-$E31*In_Delivered*T112/Thousand</f>
        <v>-0</v>
      </c>
      <c r="U119" s="33" t="n">
        <f aca="false">-$E31*In_Delivered*U112/Thousand</f>
        <v>-0</v>
      </c>
      <c r="V119" s="33" t="n">
        <f aca="false">-$E31*In_Delivered*V112/Thousand</f>
        <v>-0</v>
      </c>
      <c r="W119" s="33" t="n">
        <f aca="false">-$E31*In_Delivered*W112/Thousand</f>
        <v>-0</v>
      </c>
      <c r="X119" s="33" t="n">
        <f aca="false">-$E31*In_Delivered*X112/Thousand</f>
        <v>-0</v>
      </c>
      <c r="Y119" s="33" t="n">
        <f aca="false">-$E31*In_Delivered*Y112/Thousand</f>
        <v>-0</v>
      </c>
      <c r="Z119" s="33" t="n">
        <f aca="false">-$E31*In_Delivered*Z112/Thousand</f>
        <v>-0</v>
      </c>
      <c r="AA119" s="33" t="n">
        <f aca="false">-$E31*In_Delivered*AA112/Thousand</f>
        <v>-0</v>
      </c>
      <c r="AB119" s="33" t="n">
        <f aca="false">-$E31*In_Delivered*AB112/Thousand</f>
        <v>-0</v>
      </c>
      <c r="AC119" s="33" t="n">
        <f aca="false">-$E31*In_Delivered*AC112/Thousand</f>
        <v>-0</v>
      </c>
      <c r="AD119" s="33" t="n">
        <f aca="false">-$E31*In_Delivered*AD112/Thousand</f>
        <v>-0</v>
      </c>
      <c r="AE119" s="33" t="n">
        <f aca="false">-$E31*In_Delivered*AE112/Thousand</f>
        <v>-182.296109589041</v>
      </c>
      <c r="AF119" s="33" t="n">
        <f aca="false">-$E31*In_Delivered*AF112/Thousand</f>
        <v>-180.314630136986</v>
      </c>
      <c r="AG119" s="33" t="n">
        <f aca="false">-$E31*In_Delivered*AG112/Thousand</f>
        <v>-180.314630136986</v>
      </c>
      <c r="AH119" s="33" t="n">
        <f aca="false">-$E31*In_Delivered*AH112/Thousand</f>
        <v>-182.296109589041</v>
      </c>
      <c r="AI119" s="33" t="n">
        <f aca="false">-$E31*In_Delivered*AI112/Thousand</f>
        <v>-181.749221260274</v>
      </c>
      <c r="AJ119" s="33" t="n">
        <f aca="false">-$E31*In_Delivered*AJ112/Thousand</f>
        <v>-177.798151232877</v>
      </c>
      <c r="AK119" s="33" t="n">
        <f aca="false">-$E31*In_Delivered*AK112/Thousand</f>
        <v>-179.773686246575</v>
      </c>
      <c r="AL119" s="33" t="n">
        <f aca="false">-$E31*In_Delivered*AL112/Thousand</f>
        <v>-181.749221260274</v>
      </c>
      <c r="AM119" s="33" t="n">
        <f aca="false">-$E31*In_Delivered*AM112/Thousand</f>
        <v>-181.203973596493</v>
      </c>
      <c r="AN119" s="33" t="n">
        <f aca="false">-$E31*In_Delivered*AN112/Thousand</f>
        <v>-177.264756779178</v>
      </c>
      <c r="AO119" s="33" t="n">
        <f aca="false">-$E31*In_Delivered*AO112/Thousand</f>
        <v>-179.234365187836</v>
      </c>
      <c r="AP119" s="33" t="n">
        <f aca="false">-$E31*In_Delivered*AP112/Thousand</f>
        <v>-181.203973596493</v>
      </c>
      <c r="AQ119" s="33" t="n">
        <f aca="false">-$E31*In_Delivered*AQ112/Thousand</f>
        <v>-180.660361675704</v>
      </c>
      <c r="AR119" s="33" t="n">
        <f aca="false">-$E31*In_Delivered*AR112/Thousand</f>
        <v>-176.732962508841</v>
      </c>
      <c r="AS119" s="33" t="n">
        <f aca="false">-$E31*In_Delivered*AS112/Thousand</f>
        <v>-178.696662092272</v>
      </c>
      <c r="AT119" s="33" t="n">
        <f aca="false">-$E31*In_Delivered*AT112/Thousand</f>
        <v>-180.660361675704</v>
      </c>
      <c r="AU119" s="33" t="n">
        <f aca="false">-$E31*In_Delivered*AU112/Thousand</f>
        <v>-180.118380590677</v>
      </c>
      <c r="AV119" s="33" t="n">
        <f aca="false">-$E31*In_Delivered*AV112/Thousand</f>
        <v>-178.160572105995</v>
      </c>
      <c r="AW119" s="33" t="n">
        <f aca="false">-$E31*In_Delivered*AW112/Thousand</f>
        <v>-178.160572105995</v>
      </c>
      <c r="AX119" s="33" t="n">
        <f aca="false">-$E31*In_Delivered*AX112/Thousand</f>
        <v>-180.118380590677</v>
      </c>
      <c r="AY119" s="33" t="n">
        <f aca="false">-$E31*In_Delivered*AY112/Thousand</f>
        <v>-179.578025448905</v>
      </c>
      <c r="AZ119" s="33" t="n">
        <f aca="false">-$E31*In_Delivered*AZ112/Thousand</f>
        <v>-175.67415533045</v>
      </c>
      <c r="BA119" s="33" t="n">
        <f aca="false">-$E31*In_Delivered*BA112/Thousand</f>
        <v>-177.626090389677</v>
      </c>
      <c r="BB119" s="33" t="n">
        <f aca="false">-$E31*In_Delivered*BB112/Thousand</f>
        <v>-179.578025448905</v>
      </c>
      <c r="BC119" s="33" t="n">
        <f aca="false">-$E31*In_Delivered*BC112/Thousand</f>
        <v>-179.039291372558</v>
      </c>
      <c r="BD119" s="33" t="n">
        <f aca="false">-$E31*In_Delivered*BD112/Thousand</f>
        <v>-175.147132864459</v>
      </c>
      <c r="BE119" s="33" t="n">
        <f aca="false">-$E31*In_Delivered*BE112/Thousand</f>
        <v>-177.093212118508</v>
      </c>
      <c r="BF119" s="33" t="n">
        <f aca="false">-$E31*In_Delivered*BF112/Thousand</f>
        <v>-179.039291372558</v>
      </c>
      <c r="BG119" s="33" t="n">
        <f aca="false">-$E31*In_Delivered*BG112/Thousand</f>
        <v>-178.50217349844</v>
      </c>
      <c r="BH119" s="33" t="n">
        <f aca="false">-$E31*In_Delivered*BH112/Thousand</f>
        <v>-174.621691465865</v>
      </c>
      <c r="BI119" s="33" t="n">
        <f aca="false">-$E31*In_Delivered*BI112/Thousand</f>
        <v>-176.561932482153</v>
      </c>
      <c r="BJ119" s="33" t="n">
        <f aca="false">-$E31*In_Delivered*BJ112/Thousand</f>
        <v>-178.50217349844</v>
      </c>
      <c r="BK119" s="33" t="n">
        <f aca="false">-$E31*In_Delivered*BK112/Thousand</f>
        <v>-177.966666977945</v>
      </c>
      <c r="BL119" s="33" t="n">
        <f aca="false">-$E31*In_Delivered*BL112/Thousand</f>
        <v>-176.032246684706</v>
      </c>
      <c r="BM119" s="33" t="n">
        <f aca="false">-$E31*In_Delivered*BM112/Thousand</f>
        <v>-176.032246684706</v>
      </c>
      <c r="BN119" s="33" t="n">
        <f aca="false">-$E31*In_Delivered*BN112/Thousand</f>
        <v>-177.966666977945</v>
      </c>
      <c r="BO119" s="33" t="n">
        <f aca="false">-$E31*In_Delivered*BO112/Thousand</f>
        <v>-177.432766977011</v>
      </c>
      <c r="BP119" s="33" t="n">
        <f aca="false">-$E31*In_Delivered*BP112/Thousand</f>
        <v>-173.575532912293</v>
      </c>
      <c r="BQ119" s="33" t="n">
        <f aca="false">-$E31*In_Delivered*BQ112/Thousand</f>
        <v>-175.504149944652</v>
      </c>
      <c r="BR119" s="33" t="n">
        <f aca="false">-$E31*In_Delivered*BR112/Thousand</f>
        <v>-177.432766977011</v>
      </c>
      <c r="BS119" s="33" t="n">
        <f aca="false">-$E31*In_Delivered*BS112/Thousand</f>
        <v>-176.90046867608</v>
      </c>
      <c r="BT119" s="33" t="n">
        <f aca="false">-$E31*In_Delivered*BT112/Thousand</f>
        <v>-173.054806313556</v>
      </c>
      <c r="BU119" s="33" t="n">
        <f aca="false">-$E31*In_Delivered*BU112/Thousand</f>
        <v>-174.977637494818</v>
      </c>
      <c r="BV119" s="33" t="n">
        <f aca="false">-$E31*In_Delivered*BV112/Thousand</f>
        <v>-176.90046867608</v>
      </c>
      <c r="BW119" s="33" t="n">
        <f aca="false">-$E31*In_Delivered*BW112/Thousand</f>
        <v>-176.369767270052</v>
      </c>
      <c r="BX119" s="33" t="n">
        <f aca="false">-$E31*In_Delivered*BX112/Thousand</f>
        <v>-172.535641894616</v>
      </c>
      <c r="BY119" s="33" t="n">
        <f aca="false">-$E31*In_Delivered*BY112/Thousand</f>
        <v>-174.452704582334</v>
      </c>
      <c r="BZ119" s="33" t="n">
        <f aca="false">-$E31*In_Delivered*BZ112/Thousand</f>
        <v>-176.369767270052</v>
      </c>
      <c r="CA119" s="33" t="n">
        <f aca="false">-$E31*In_Delivered*CA112/Thousand</f>
        <v>-175.840657968242</v>
      </c>
      <c r="CB119" s="33" t="n">
        <f aca="false">-$E31*In_Delivered*CB112/Thousand</f>
        <v>-173.929346468587</v>
      </c>
      <c r="CC119" s="33" t="n">
        <f aca="false">-$E31*In_Delivered*CC112/Thousand</f>
        <v>-173.929346468587</v>
      </c>
      <c r="CD119" s="33" t="n">
        <f aca="false">-$E31*In_Delivered*CD112/Thousand</f>
        <v>-175.840657968242</v>
      </c>
      <c r="CE119" s="33" t="n">
        <f aca="false">-$E31*In_Delivered*CE112/Thousand</f>
        <v>-175.313135994337</v>
      </c>
      <c r="CF119" s="33" t="n">
        <f aca="false">-$E31*In_Delivered*CF112/Thousand</f>
        <v>-171.501980864025</v>
      </c>
      <c r="CG119" s="33" t="n">
        <f aca="false">-$E31*In_Delivered*CG112/Thousand</f>
        <v>-173.407558429181</v>
      </c>
      <c r="CH119" s="33" t="n">
        <f aca="false">-$E31*In_Delivered*CH112/Thousand</f>
        <v>-175.313135994337</v>
      </c>
      <c r="CI119" s="33" t="n">
        <f aca="false">-$E31*In_Delivered*CI112/Thousand</f>
        <v>-174.787196586354</v>
      </c>
      <c r="CJ119" s="33" t="n">
        <f aca="false">-$E31*In_Delivered*CJ112/Thousand</f>
        <v>-170.987474921433</v>
      </c>
      <c r="CK119" s="33" t="n">
        <f aca="false">-$E31*In_Delivered*CK112/Thousand</f>
        <v>-172.887335753893</v>
      </c>
      <c r="CL119" s="33" t="n">
        <f aca="false">-$E31*In_Delivered*CL112/Thousand</f>
        <v>-174.787196586354</v>
      </c>
      <c r="CM119" s="33" t="n">
        <f aca="false">-$E31*In_Delivered*CM112/Thousand</f>
        <v>-174.262834996595</v>
      </c>
      <c r="CN119" s="33" t="n">
        <f aca="false">-$E31*In_Delivered*CN112/Thousand</f>
        <v>-170.474512496669</v>
      </c>
      <c r="CO119" s="33" t="n">
        <f aca="false">-$E31*In_Delivered*CO112/Thousand</f>
        <v>-172.368673746632</v>
      </c>
      <c r="CP119" s="33" t="n">
        <f aca="false">-$E31*In_Delivered*CP112/Thousand</f>
        <v>-174.262834996595</v>
      </c>
      <c r="CQ119" s="33" t="n">
        <f aca="false">-$E31*In_Delivered*CQ112/Thousand</f>
        <v>-173.740046491605</v>
      </c>
      <c r="CR119" s="33" t="n">
        <f aca="false">-$E31*In_Delivered*CR112/Thousand</f>
        <v>-171.851567725392</v>
      </c>
      <c r="CS119" s="33" t="n">
        <f aca="false">-$E31*In_Delivered*CS112/Thousand</f>
        <v>-171.851567725392</v>
      </c>
      <c r="CT119" s="33" t="n">
        <f aca="false">-$E31*In_Delivered*CT112/Thousand</f>
        <v>-173.740046491605</v>
      </c>
      <c r="CU119" s="33" t="n">
        <f aca="false">-$E31*In_Delivered*CU112/Thousand</f>
        <v>-173.21882635213</v>
      </c>
      <c r="CV119" s="33" t="n">
        <f aca="false">-$E31*In_Delivered*CV112/Thousand</f>
        <v>-169.453199692301</v>
      </c>
      <c r="CW119" s="33" t="n">
        <f aca="false">-$E31*In_Delivered*CW112/Thousand</f>
        <v>-171.336013022216</v>
      </c>
      <c r="CX119" s="33" t="n">
        <f aca="false">-$E31*In_Delivered*CX112/Thousand</f>
        <v>-173.21882635213</v>
      </c>
      <c r="CY119" s="33" t="n">
        <f aca="false">-$E31*In_Delivered*CY112/Thousand</f>
        <v>-172.699169873074</v>
      </c>
      <c r="CZ119" s="33" t="n">
        <f aca="false">-$E31*In_Delivered*CZ112/Thousand</f>
        <v>-168.944840093224</v>
      </c>
      <c r="DA119" s="33" t="n">
        <f aca="false">-$E31*In_Delivered*DA112/Thousand</f>
        <v>-170.822004983149</v>
      </c>
      <c r="DB119" s="33" t="n">
        <f aca="false">-$E31*In_Delivered*DB112/Thousand</f>
        <v>-172.699169873074</v>
      </c>
      <c r="DC119" s="33" t="n">
        <f aca="false">-$E31*In_Delivered*DC112/Thousand</f>
        <v>-172.181072363455</v>
      </c>
      <c r="DD119" s="33" t="n">
        <f aca="false">-$E31*In_Delivered*DD112/Thousand</f>
        <v>-168.438005572945</v>
      </c>
      <c r="DE119" s="33" t="n">
        <f aca="false">-$E31*In_Delivered*DE112/Thousand</f>
        <v>-170.3095389682</v>
      </c>
      <c r="DF119" s="33" t="n">
        <f aca="false">-$E31*In_Delivered*DF112/Thousand</f>
        <v>-172.181072363455</v>
      </c>
      <c r="DG119" s="33" t="n">
        <f aca="false">-$E31*In_Delivered*DG112/Thousand</f>
        <v>-171.664529146364</v>
      </c>
      <c r="DH119" s="33" t="n">
        <f aca="false">-$E31*In_Delivered*DH112/Thousand</f>
        <v>-169.798610351295</v>
      </c>
      <c r="DI119" s="33" t="n">
        <f aca="false">-$E31*In_Delivered*DI112/Thousand</f>
        <v>-169.798610351295</v>
      </c>
      <c r="DJ119" s="33" t="n">
        <f aca="false">-$E31*In_Delivered*DJ112/Thousand</f>
        <v>-171.664529146364</v>
      </c>
      <c r="DK119" s="33" t="n">
        <f aca="false">-$E31*In_Delivered*DK112/Thousand</f>
        <v>-171.149535558925</v>
      </c>
      <c r="DL119" s="33" t="n">
        <f aca="false">-$E31*In_Delivered*DL112/Thousand</f>
        <v>-167.428893481557</v>
      </c>
      <c r="DM119" s="33" t="n">
        <f aca="false">-$E31*In_Delivered*DM112/Thousand</f>
        <v>-169.289214520241</v>
      </c>
      <c r="DN119" s="33" t="n">
        <f aca="false">-$E31*In_Delivered*DN112/Thousand</f>
        <v>-171.149535558925</v>
      </c>
      <c r="DO119" s="33" t="n">
        <f aca="false">-$E31*In_Delivered*DO112/Thousand</f>
        <v>-170.636086952248</v>
      </c>
      <c r="DP119" s="33" t="n">
        <f aca="false">-$E31*In_Delivered*DP112/Thousand</f>
        <v>-166.926606801112</v>
      </c>
      <c r="DQ119" s="33" t="n">
        <f aca="false">-$E31*In_Delivered*DQ112/Thousand</f>
        <v>-168.78134687668</v>
      </c>
      <c r="DR119" s="33" t="n">
        <f aca="false">-$E31*In_Delivered*DR112/Thousand</f>
        <v>-170.636086952248</v>
      </c>
      <c r="DS119" s="33" t="n">
        <f aca="false">-$E31*In_Delivered*DS112/Thousand</f>
        <v>-170.124178691392</v>
      </c>
      <c r="DT119" s="33" t="n">
        <f aca="false">-$E31*In_Delivered*DT112/Thousand</f>
        <v>-166.425826980709</v>
      </c>
      <c r="DU119" s="33" t="n">
        <f aca="false">-$E31*In_Delivered*DU112/Thousand</f>
        <v>-168.27500283605</v>
      </c>
      <c r="DV119" s="33" t="n">
        <f aca="false">-$E31*In_Delivered*DV112/Thousand</f>
        <v>-170.124178691392</v>
      </c>
      <c r="DW119" s="33" t="n">
        <f aca="false">-$E31*In_Delivered*DW112/Thousand</f>
        <v>-169.613806155317</v>
      </c>
      <c r="DX119" s="33" t="n">
        <f aca="false">-$E31*In_Delivered*DX112/Thousand</f>
        <v>-167.770177827542</v>
      </c>
      <c r="DY119" s="33" t="n">
        <f aca="false">-$E31*In_Delivered*DY112/Thousand</f>
        <v>-167.770177827542</v>
      </c>
      <c r="DZ119" s="33" t="n">
        <f aca="false">-$E31*In_Delivered*DZ112/Thousand</f>
        <v>-169.613806155317</v>
      </c>
      <c r="EA119" s="33" t="n">
        <f aca="false">-$E31*In_Delivered*EA112/Thousand</f>
        <v>-169.104964736851</v>
      </c>
      <c r="EB119" s="33" t="n">
        <f aca="false">-$E31*In_Delivered*EB112/Thousand</f>
        <v>-165.428769851268</v>
      </c>
      <c r="EC119" s="33" t="n">
        <f aca="false">-$E31*In_Delivered*EC112/Thousand</f>
        <v>-167.26686729406</v>
      </c>
      <c r="ED119" s="33" t="n">
        <f aca="false">-$E31*In_Delivered*ED112/Thousand</f>
        <v>-169.104964736851</v>
      </c>
      <c r="EE119" s="33" t="n">
        <f aca="false">-$E31*In_Delivered*EE112/Thousand</f>
        <v>-168.597649842641</v>
      </c>
      <c r="EF119" s="33" t="n">
        <f aca="false">-$E31*In_Delivered*EF112/Thousand</f>
        <v>-164.932483541714</v>
      </c>
      <c r="EG119" s="33" t="n">
        <f aca="false">-$E31*In_Delivered*EG112/Thousand</f>
        <v>-166.765066692177</v>
      </c>
      <c r="EH119" s="33" t="n">
        <f aca="false">-$E31*In_Delivered*EH112/Thousand</f>
        <v>-168.597649842641</v>
      </c>
      <c r="EI119" s="33" t="n">
        <f aca="false">-$E31*In_Delivered*EI112/Thousand</f>
        <v>-168.091856893113</v>
      </c>
      <c r="EJ119" s="33" t="n">
        <f aca="false">-$E31*In_Delivered*EJ112/Thousand</f>
        <v>-164.437686091089</v>
      </c>
      <c r="EK119" s="33" t="n">
        <f aca="false">-$E31*In_Delivered*EK112/Thousand</f>
        <v>-166.264771492101</v>
      </c>
      <c r="EL119" s="33" t="n">
        <f aca="false">-$E31*In_Delivered*EL112/Thousand</f>
        <v>-168.091856893113</v>
      </c>
      <c r="EM119" s="33" t="n">
        <f aca="false">-$E31*In_Delivered*EM112/Thousand</f>
        <v>-167.587581322434</v>
      </c>
      <c r="EN119" s="33" t="n">
        <f aca="false">-$E31*In_Delivered*EN112/Thousand</f>
        <v>-165.765977177625</v>
      </c>
      <c r="EO119" s="33" t="n">
        <f aca="false">-$E31*In_Delivered*EO112/Thousand</f>
        <v>-165.765977177625</v>
      </c>
      <c r="EP119" s="33" t="n">
        <f aca="false">-$E31*In_Delivered*EP112/Thousand</f>
        <v>-167.587581322434</v>
      </c>
      <c r="EQ119" s="33" t="n">
        <f aca="false">-$E31*In_Delivered*EQ112/Thousand</f>
        <v>-167.084818578466</v>
      </c>
      <c r="ER119" s="33" t="n">
        <f aca="false">-$E31*In_Delivered*ER112/Thousand</f>
        <v>-163.452539913717</v>
      </c>
      <c r="ES119" s="33" t="n">
        <f aca="false">-$E31*In_Delivered*ES112/Thousand</f>
        <v>-165.268679246092</v>
      </c>
      <c r="ET119" s="33" t="n">
        <f aca="false">-$E31*In_Delivered*ET112/Thousand</f>
        <v>-167.084818578466</v>
      </c>
    </row>
    <row r="120" customFormat="false" ht="15" hidden="false" customHeight="false" outlineLevel="0" collapsed="false">
      <c r="C120" s="30" t="s">
        <v>571</v>
      </c>
      <c r="D120" s="11" t="s">
        <v>253</v>
      </c>
      <c r="I120" s="35" t="n">
        <f aca="false">SUM(J120:ET120)</f>
        <v>511909.275115853</v>
      </c>
      <c r="J120" s="35" t="n">
        <f aca="false">SUM(J113:J119)</f>
        <v>0</v>
      </c>
      <c r="K120" s="35" t="n">
        <f aca="false">SUM(K113:K119)</f>
        <v>0</v>
      </c>
      <c r="L120" s="35" t="n">
        <f aca="false">SUM(L113:L119)</f>
        <v>0</v>
      </c>
      <c r="M120" s="35" t="n">
        <f aca="false">SUM(M113:M119)</f>
        <v>0</v>
      </c>
      <c r="N120" s="35" t="n">
        <f aca="false">SUM(N113:N119)</f>
        <v>0</v>
      </c>
      <c r="O120" s="35" t="n">
        <f aca="false">SUM(O113:O119)</f>
        <v>0</v>
      </c>
      <c r="P120" s="35" t="n">
        <f aca="false">SUM(P113:P119)</f>
        <v>0</v>
      </c>
      <c r="Q120" s="35" t="n">
        <f aca="false">SUM(Q113:Q119)</f>
        <v>0</v>
      </c>
      <c r="R120" s="35" t="n">
        <f aca="false">SUM(R113:R119)</f>
        <v>0</v>
      </c>
      <c r="S120" s="35" t="n">
        <f aca="false">SUM(S113:S119)</f>
        <v>0</v>
      </c>
      <c r="T120" s="35" t="n">
        <f aca="false">SUM(T113:T119)</f>
        <v>0</v>
      </c>
      <c r="U120" s="35" t="n">
        <f aca="false">SUM(U113:U119)</f>
        <v>0</v>
      </c>
      <c r="V120" s="35" t="n">
        <f aca="false">SUM(V113:V119)</f>
        <v>0</v>
      </c>
      <c r="W120" s="35" t="n">
        <f aca="false">SUM(W113:W119)</f>
        <v>-75.5714553470293</v>
      </c>
      <c r="X120" s="35" t="n">
        <f aca="false">SUM(X113:X119)</f>
        <v>-75.7768125626462</v>
      </c>
      <c r="Y120" s="35" t="n">
        <f aca="false">SUM(Y113:Y119)</f>
        <v>-76.6187771466756</v>
      </c>
      <c r="Z120" s="35" t="n">
        <f aca="false">SUM(Z113:Z119)</f>
        <v>-77.460741730705</v>
      </c>
      <c r="AA120" s="35" t="n">
        <f aca="false">SUM(AA113:AA119)</f>
        <v>-77.460741730705</v>
      </c>
      <c r="AB120" s="35" t="n">
        <f aca="false">SUM(AB113:AB119)</f>
        <v>-77.6712328767123</v>
      </c>
      <c r="AC120" s="35" t="n">
        <f aca="false">SUM(AC113:AC119)</f>
        <v>-78.5342465753425</v>
      </c>
      <c r="AD120" s="35" t="n">
        <f aca="false">SUM(AD113:AD119)</f>
        <v>-79.3972602739726</v>
      </c>
      <c r="AE120" s="35" t="n">
        <f aca="false">SUM(AE113:AE119)</f>
        <v>4151.10652734247</v>
      </c>
      <c r="AF120" s="35" t="n">
        <f aca="false">SUM(AF113:AF119)</f>
        <v>4133.70976185041</v>
      </c>
      <c r="AG120" s="35" t="n">
        <f aca="false">SUM(AG113:AG119)</f>
        <v>4133.70976185041</v>
      </c>
      <c r="AH120" s="35" t="n">
        <f aca="false">SUM(AH113:AH119)</f>
        <v>4179.13514384877</v>
      </c>
      <c r="AI120" s="35" t="n">
        <f aca="false">SUM(AI113:AI119)</f>
        <v>4164.44111033503</v>
      </c>
      <c r="AJ120" s="35" t="n">
        <f aca="false">SUM(AJ113:AJ119)</f>
        <v>4101.09425535863</v>
      </c>
      <c r="AK120" s="35" t="n">
        <f aca="false">SUM(AK113:AK119)</f>
        <v>4146.66196930706</v>
      </c>
      <c r="AL120" s="35" t="n">
        <f aca="false">SUM(AL113:AL119)</f>
        <v>4192.22968325549</v>
      </c>
      <c r="AM120" s="35" t="n">
        <f aca="false">SUM(AM113:AM119)</f>
        <v>4177.44245042148</v>
      </c>
      <c r="AN120" s="35" t="n">
        <f aca="false">SUM(AN113:AN119)</f>
        <v>4113.56620598525</v>
      </c>
      <c r="AO120" s="35" t="n">
        <f aca="false">SUM(AO113:AO119)</f>
        <v>4159.27249716287</v>
      </c>
      <c r="AP120" s="35" t="n">
        <f aca="false">SUM(AP113:AP119)</f>
        <v>4204.97878834048</v>
      </c>
      <c r="AQ120" s="35" t="n">
        <f aca="false">SUM(AQ113:AQ119)</f>
        <v>4190.09804459661</v>
      </c>
      <c r="AR120" s="35" t="n">
        <f aca="false">SUM(AR113:AR119)</f>
        <v>4125.68766802944</v>
      </c>
      <c r="AS120" s="35" t="n">
        <f aca="false">SUM(AS113:AS119)</f>
        <v>4171.52864211866</v>
      </c>
      <c r="AT120" s="35" t="n">
        <f aca="false">SUM(AT113:AT119)</f>
        <v>4217.36961620788</v>
      </c>
      <c r="AU120" s="35" t="n">
        <f aca="false">SUM(AU113:AU119)</f>
        <v>4202.39505479593</v>
      </c>
      <c r="AV120" s="35" t="n">
        <f aca="false">SUM(AV113:AV119)</f>
        <v>4183.41736098541</v>
      </c>
      <c r="AW120" s="35" t="n">
        <f aca="false">SUM(AW113:AW119)</f>
        <v>4183.41736098541</v>
      </c>
      <c r="AX120" s="35" t="n">
        <f aca="false">SUM(AX113:AX119)</f>
        <v>4229.38898033689</v>
      </c>
      <c r="AY120" s="35" t="n">
        <f aca="false">SUM(AY113:AY119)</f>
        <v>4214.32029951848</v>
      </c>
      <c r="AZ120" s="35" t="n">
        <f aca="false">SUM(AZ113:AZ119)</f>
        <v>4148.8271823853</v>
      </c>
      <c r="BA120" s="35" t="n">
        <f aca="false">SUM(BA113:BA119)</f>
        <v>4194.92526218958</v>
      </c>
      <c r="BB120" s="35" t="n">
        <f aca="false">SUM(BB113:BB119)</f>
        <v>4241.02334199387</v>
      </c>
      <c r="BC120" s="35" t="n">
        <f aca="false">SUM(BC113:BC119)</f>
        <v>4225.86024524354</v>
      </c>
      <c r="BD120" s="35" t="n">
        <f aca="false">SUM(BD113:BD119)</f>
        <v>4159.81839270627</v>
      </c>
      <c r="BE120" s="35" t="n">
        <f aca="false">SUM(BE113:BE119)</f>
        <v>4206.03859706967</v>
      </c>
      <c r="BF120" s="35" t="n">
        <f aca="false">SUM(BF113:BF119)</f>
        <v>4252.25880143308</v>
      </c>
      <c r="BG120" s="35" t="n">
        <f aca="false">SUM(BG113:BG119)</f>
        <v>4237.00099763633</v>
      </c>
      <c r="BH120" s="35" t="n">
        <f aca="false">SUM(BH113:BH119)</f>
        <v>4170.40541303597</v>
      </c>
      <c r="BI120" s="35" t="n">
        <f aca="false">SUM(BI113:BI119)</f>
        <v>4216.74325095859</v>
      </c>
      <c r="BJ120" s="35" t="n">
        <f aca="false">SUM(BJ113:BJ119)</f>
        <v>4263.08108888121</v>
      </c>
      <c r="BK120" s="35" t="n">
        <f aca="false">SUM(BK113:BK119)</f>
        <v>4247.72829253731</v>
      </c>
      <c r="BL120" s="35" t="n">
        <f aca="false">SUM(BL113:BL119)</f>
        <v>4227.02473404685</v>
      </c>
      <c r="BM120" s="35" t="n">
        <f aca="false">SUM(BM113:BM119)</f>
        <v>4227.02473404685</v>
      </c>
      <c r="BN120" s="35" t="n">
        <f aca="false">SUM(BN113:BN119)</f>
        <v>4273.47555530011</v>
      </c>
      <c r="BO120" s="35" t="n">
        <f aca="false">SUM(BO113:BO119)</f>
        <v>4258.02748673002</v>
      </c>
      <c r="BP120" s="35" t="n">
        <f aca="false">SUM(BP113:BP119)</f>
        <v>4190.30918111972</v>
      </c>
      <c r="BQ120" s="35" t="n">
        <f aca="false">SUM(BQ113:BQ119)</f>
        <v>4236.86817202105</v>
      </c>
      <c r="BR120" s="35" t="n">
        <f aca="false">SUM(BR113:BR119)</f>
        <v>4283.42716292238</v>
      </c>
      <c r="BS120" s="35" t="n">
        <f aca="false">SUM(BS113:BS119)</f>
        <v>4267.88354848182</v>
      </c>
      <c r="BT120" s="35" t="n">
        <f aca="false">SUM(BT113:BT119)</f>
        <v>4199.59611739008</v>
      </c>
      <c r="BU120" s="35" t="n">
        <f aca="false">SUM(BU113:BU119)</f>
        <v>4246.25829647219</v>
      </c>
      <c r="BV120" s="35" t="n">
        <f aca="false">SUM(BV113:BV119)</f>
        <v>4292.9204755543</v>
      </c>
      <c r="BW120" s="35" t="n">
        <f aca="false">SUM(BW113:BW119)</f>
        <v>4277.28104785204</v>
      </c>
      <c r="BX120" s="35" t="n">
        <f aca="false">SUM(BX113:BX119)</f>
        <v>4208.41922149599</v>
      </c>
      <c r="BY120" s="35" t="n">
        <f aca="false">SUM(BY113:BY119)</f>
        <v>4255.17943506817</v>
      </c>
      <c r="BZ120" s="35" t="n">
        <f aca="false">SUM(BZ113:BZ119)</f>
        <v>4301.93964864034</v>
      </c>
      <c r="CA120" s="35" t="n">
        <f aca="false">SUM(CA113:CA119)</f>
        <v>4286.20414676194</v>
      </c>
      <c r="CB120" s="35" t="n">
        <f aca="false">SUM(CB113:CB119)</f>
        <v>4263.61550148466</v>
      </c>
      <c r="CC120" s="35" t="n">
        <f aca="false">SUM(CC113:CC119)</f>
        <v>4263.61550148466</v>
      </c>
      <c r="CD120" s="35" t="n">
        <f aca="false">SUM(CD113:CD119)</f>
        <v>4310.4684190834</v>
      </c>
      <c r="CE120" s="35" t="n">
        <f aca="false">SUM(CE113:CE119)</f>
        <v>4294.63658882035</v>
      </c>
      <c r="CF120" s="35" t="n">
        <f aca="false">SUM(CF113:CF119)</f>
        <v>4224.60987536228</v>
      </c>
      <c r="CG120" s="35" t="n">
        <f aca="false">SUM(CG113:CG119)</f>
        <v>4271.54998508853</v>
      </c>
      <c r="CH120" s="35" t="n">
        <f aca="false">SUM(CH113:CH119)</f>
        <v>4318.49009481478</v>
      </c>
      <c r="CI120" s="35" t="n">
        <f aca="false">SUM(CI113:CI119)</f>
        <v>4302.56168889939</v>
      </c>
      <c r="CJ120" s="35" t="n">
        <f aca="false">SUM(CJ113:CJ119)</f>
        <v>4231.94433662722</v>
      </c>
      <c r="CK120" s="35" t="n">
        <f aca="false">SUM(CK113:CK119)</f>
        <v>4278.96594036753</v>
      </c>
      <c r="CL120" s="35" t="n">
        <f aca="false">SUM(CL113:CL119)</f>
        <v>4325.98754410783</v>
      </c>
      <c r="CM120" s="35" t="n">
        <f aca="false">SUM(CM113:CM119)</f>
        <v>4309.96232245379</v>
      </c>
      <c r="CN120" s="35" t="n">
        <f aca="false">SUM(CN113:CN119)</f>
        <v>4238.7487675717</v>
      </c>
      <c r="CO120" s="35" t="n">
        <f aca="false">SUM(CO113:CO119)</f>
        <v>4285.84597610028</v>
      </c>
      <c r="CP120" s="35" t="n">
        <f aca="false">SUM(CP113:CP119)</f>
        <v>4332.94318462885</v>
      </c>
      <c r="CQ120" s="35" t="n">
        <f aca="false">SUM(CQ113:CQ119)</f>
        <v>4316.82091457771</v>
      </c>
      <c r="CR120" s="35" t="n">
        <f aca="false">SUM(CR113:CR119)</f>
        <v>4292.17224426001</v>
      </c>
      <c r="CS120" s="35" t="n">
        <f aca="false">SUM(CS113:CS119)</f>
        <v>4292.17224426001</v>
      </c>
      <c r="CT120" s="35" t="n">
        <f aca="false">SUM(CT113:CT119)</f>
        <v>4339.33897221891</v>
      </c>
      <c r="CU120" s="35" t="n">
        <f aca="false">SUM(CU113:CU119)</f>
        <v>4323.11942879257</v>
      </c>
      <c r="CV120" s="35" t="n">
        <f aca="false">SUM(CV113:CV119)</f>
        <v>4250.69646789126</v>
      </c>
      <c r="CW120" s="35" t="n">
        <f aca="false">SUM(CW113:CW119)</f>
        <v>4297.9264286456</v>
      </c>
      <c r="CX120" s="35" t="n">
        <f aca="false">SUM(CX113:CX119)</f>
        <v>4345.15638939995</v>
      </c>
      <c r="CY120" s="35" t="n">
        <f aca="false">SUM(CY113:CY119)</f>
        <v>4328.83935555932</v>
      </c>
      <c r="CZ120" s="35" t="n">
        <f aca="false">SUM(CZ113:CZ119)</f>
        <v>4255.80303286797</v>
      </c>
      <c r="DA120" s="35" t="n">
        <f aca="false">SUM(DA113:DA119)</f>
        <v>4303.08973323317</v>
      </c>
      <c r="DB120" s="35" t="n">
        <f aca="false">SUM(DB113:DB119)</f>
        <v>4350.37643359837</v>
      </c>
      <c r="DC120" s="35" t="n">
        <f aca="false">SUM(DC113:DC119)</f>
        <v>4333.96170050834</v>
      </c>
      <c r="DD120" s="35" t="n">
        <f aca="false">SUM(DD113:DD119)</f>
        <v>4260.30613540361</v>
      </c>
      <c r="DE120" s="35" t="n">
        <f aca="false">SUM(DE113:DE119)</f>
        <v>4307.64287024143</v>
      </c>
      <c r="DF120" s="35" t="n">
        <f aca="false">SUM(DF113:DF119)</f>
        <v>4354.97960507925</v>
      </c>
      <c r="DG120" s="35" t="n">
        <f aca="false">SUM(DG113:DG119)</f>
        <v>4338.46697238004</v>
      </c>
      <c r="DH120" s="35" t="n">
        <f aca="false">SUM(DH113:DH119)</f>
        <v>4311.56604790374</v>
      </c>
      <c r="DI120" s="35" t="n">
        <f aca="false">SUM(DI113:DI119)</f>
        <v>4311.56604790374</v>
      </c>
      <c r="DJ120" s="35" t="n">
        <f aca="false">SUM(DJ113:DJ119)</f>
        <v>4358.945894584</v>
      </c>
      <c r="DK120" s="35" t="n">
        <f aca="false">SUM(DK113:DK119)</f>
        <v>4342.33517066918</v>
      </c>
      <c r="DL120" s="35" t="n">
        <f aca="false">SUM(DL113:DL119)</f>
        <v>4267.42314521508</v>
      </c>
      <c r="DM120" s="35" t="n">
        <f aca="false">SUM(DM113:DM119)</f>
        <v>4314.83895793969</v>
      </c>
      <c r="DN120" s="35" t="n">
        <f aca="false">SUM(DN113:DN119)</f>
        <v>4362.2547706643</v>
      </c>
      <c r="DO120" s="35" t="n">
        <f aca="false">SUM(DO113:DO119)</f>
        <v>4345.54577296546</v>
      </c>
      <c r="DP120" s="35" t="n">
        <f aca="false">SUM(DP113:DP119)</f>
        <v>4269.99635873289</v>
      </c>
      <c r="DQ120" s="35" t="n">
        <f aca="false">SUM(DQ113:DQ119)</f>
        <v>4317.44076271881</v>
      </c>
      <c r="DR120" s="35" t="n">
        <f aca="false">SUM(DR113:DR119)</f>
        <v>4364.88516670473</v>
      </c>
      <c r="DS120" s="35" t="n">
        <f aca="false">SUM(DS113:DS119)</f>
        <v>4348.0777219831</v>
      </c>
      <c r="DT120" s="35" t="n">
        <f aca="false">SUM(DT113:DT119)</f>
        <v>4271.8846965912</v>
      </c>
      <c r="DU120" s="35" t="n">
        <f aca="false">SUM(DU113:DU119)</f>
        <v>4319.35008210888</v>
      </c>
      <c r="DV120" s="35" t="n">
        <f aca="false">SUM(DV113:DV119)</f>
        <v>4366.81546762656</v>
      </c>
      <c r="DW120" s="35" t="n">
        <f aca="false">SUM(DW113:DW119)</f>
        <v>4349.90941227163</v>
      </c>
      <c r="DX120" s="35" t="n">
        <f aca="false">SUM(DX113:DX119)</f>
        <v>4320.54498000109</v>
      </c>
      <c r="DY120" s="35" t="n">
        <f aca="false">SUM(DY113:DY119)</f>
        <v>4320.54498000109</v>
      </c>
      <c r="DZ120" s="35" t="n">
        <f aca="false">SUM(DZ113:DZ119)</f>
        <v>4368.02349626484</v>
      </c>
      <c r="EA120" s="35" t="n">
        <f aca="false">SUM(EA113:EA119)</f>
        <v>4351.01867660019</v>
      </c>
      <c r="EB120" s="35" t="n">
        <f aca="false">SUM(EB113:EB119)</f>
        <v>4273.5194015975</v>
      </c>
      <c r="EC120" s="35" t="n">
        <f aca="false">SUM(EC113:EC119)</f>
        <v>4321.00295050414</v>
      </c>
      <c r="ED120" s="35" t="n">
        <f aca="false">SUM(ED113:ED119)</f>
        <v>4368.48649941078</v>
      </c>
      <c r="EE120" s="35" t="n">
        <f aca="false">SUM(EE113:EE119)</f>
        <v>4351.38277200729</v>
      </c>
      <c r="EF120" s="35" t="n">
        <f aca="false">SUM(EF113:EF119)</f>
        <v>4273.22067408704</v>
      </c>
      <c r="EG120" s="35" t="n">
        <f aca="false">SUM(EG113:EG119)</f>
        <v>4320.70090379912</v>
      </c>
      <c r="EH120" s="35" t="n">
        <f aca="false">SUM(EH113:EH119)</f>
        <v>4368.1811335112</v>
      </c>
      <c r="EI120" s="35" t="n">
        <f aca="false">SUM(EI113:EI119)</f>
        <v>4350.97836550777</v>
      </c>
      <c r="EJ120" s="35" t="n">
        <f aca="false">SUM(EJ113:EJ119)</f>
        <v>4272.14685327713</v>
      </c>
      <c r="EK120" s="35" t="n">
        <f aca="false">SUM(EK113:EK119)</f>
        <v>4319.61515164688</v>
      </c>
      <c r="EL120" s="35" t="n">
        <f aca="false">SUM(EL113:EL119)</f>
        <v>4367.08345001662</v>
      </c>
      <c r="EM120" s="35" t="n">
        <f aca="false">SUM(EM113:EM119)</f>
        <v>4349.78151944861</v>
      </c>
      <c r="EN120" s="35" t="n">
        <f aca="false">SUM(EN113:EN119)</f>
        <v>4317.72139253939</v>
      </c>
      <c r="EO120" s="35" t="n">
        <f aca="false">SUM(EO113:EO119)</f>
        <v>4317.72139253939</v>
      </c>
      <c r="EP120" s="35" t="n">
        <f aca="false">SUM(EP113:EP119)</f>
        <v>4365.16888036949</v>
      </c>
      <c r="EQ120" s="35" t="n">
        <f aca="false">SUM(EQ113:EQ119)</f>
        <v>4347.76767650498</v>
      </c>
      <c r="ER120" s="35" t="n">
        <f aca="false">SUM(ER113:ER119)</f>
        <v>4267.57717234905</v>
      </c>
      <c r="ES120" s="35" t="n">
        <f aca="false">SUM(ES113:ES119)</f>
        <v>4314.99469648626</v>
      </c>
      <c r="ET120" s="35" t="n">
        <f aca="false">SUM(ET113:ET119)</f>
        <v>4362.41222062347</v>
      </c>
    </row>
    <row r="122" customFormat="false" ht="15" hidden="false" customHeight="false" outlineLevel="0" collapsed="false">
      <c r="A122" s="9" t="s">
        <v>13</v>
      </c>
      <c r="B122" s="9"/>
      <c r="C122" s="9" t="s">
        <v>572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</row>
    <row r="123" customFormat="false" ht="15" hidden="false" customHeight="false" outlineLevel="0" collapsed="false">
      <c r="C123" s="0" t="s">
        <v>573</v>
      </c>
      <c r="D123" s="11" t="s">
        <v>253</v>
      </c>
      <c r="E123" s="33" t="n">
        <f aca="false">$I100-($I95+$I53+$I96+$I50)</f>
        <v>163950.691310322</v>
      </c>
      <c r="I123" s="33" t="n">
        <f aca="false">SUM(J123:ET123)</f>
        <v>-163950.691310322</v>
      </c>
      <c r="J123" s="33" t="n">
        <f aca="false">-$E123*J18</f>
        <v>-0</v>
      </c>
      <c r="K123" s="33" t="n">
        <f aca="false">-$E123*K18</f>
        <v>-0</v>
      </c>
      <c r="L123" s="33" t="n">
        <f aca="false">-$E123*L18</f>
        <v>-0</v>
      </c>
      <c r="M123" s="33" t="n">
        <f aca="false">-$E123*M18</f>
        <v>-0</v>
      </c>
      <c r="N123" s="33" t="n">
        <f aca="false">-$E123*N18</f>
        <v>-0</v>
      </c>
      <c r="O123" s="33" t="n">
        <f aca="false">-$E123*O18</f>
        <v>-0</v>
      </c>
      <c r="P123" s="33" t="n">
        <f aca="false">-$E123*P18</f>
        <v>-0</v>
      </c>
      <c r="Q123" s="33" t="n">
        <f aca="false">-$E123*Q18</f>
        <v>-0</v>
      </c>
      <c r="R123" s="33" t="n">
        <f aca="false">-$E123*R18</f>
        <v>-0</v>
      </c>
      <c r="S123" s="33" t="n">
        <f aca="false">-$E123*S18</f>
        <v>-0</v>
      </c>
      <c r="T123" s="33" t="n">
        <f aca="false">-$E123*T18</f>
        <v>-0</v>
      </c>
      <c r="U123" s="33" t="n">
        <f aca="false">-$E123*U18</f>
        <v>-0</v>
      </c>
      <c r="V123" s="33" t="n">
        <f aca="false">-$E123*V18</f>
        <v>-0</v>
      </c>
      <c r="W123" s="33" t="n">
        <f aca="false">-$E123*W18</f>
        <v>-0</v>
      </c>
      <c r="X123" s="33" t="n">
        <f aca="false">-$E123*X18</f>
        <v>-0</v>
      </c>
      <c r="Y123" s="33" t="n">
        <f aca="false">-$E123*Y18</f>
        <v>-0</v>
      </c>
      <c r="Z123" s="33" t="n">
        <f aca="false">-$E123*Z18</f>
        <v>-0</v>
      </c>
      <c r="AA123" s="33" t="n">
        <f aca="false">-$E123*AA18</f>
        <v>-0</v>
      </c>
      <c r="AB123" s="33" t="n">
        <f aca="false">-$E123*AB18</f>
        <v>-0</v>
      </c>
      <c r="AC123" s="33" t="n">
        <f aca="false">-$E123*AC18</f>
        <v>-0</v>
      </c>
      <c r="AD123" s="33" t="n">
        <f aca="false">-$E123*AD18</f>
        <v>-0</v>
      </c>
      <c r="AE123" s="33" t="n">
        <f aca="false">-$E123*AE18</f>
        <v>-2064.81363457216</v>
      </c>
      <c r="AF123" s="33" t="n">
        <f aca="false">-$E123*AF18</f>
        <v>-2042.37000810942</v>
      </c>
      <c r="AG123" s="33" t="n">
        <f aca="false">-$E123*AG18</f>
        <v>-2042.37000810942</v>
      </c>
      <c r="AH123" s="33" t="n">
        <f aca="false">-$E123*AH18</f>
        <v>-2064.81363457216</v>
      </c>
      <c r="AI123" s="33" t="n">
        <f aca="false">-$E123*AI18</f>
        <v>-2064.81363457216</v>
      </c>
      <c r="AJ123" s="33" t="n">
        <f aca="false">-$E123*AJ18</f>
        <v>-2019.92638164668</v>
      </c>
      <c r="AK123" s="33" t="n">
        <f aca="false">-$E123*AK18</f>
        <v>-2042.37000810942</v>
      </c>
      <c r="AL123" s="33" t="n">
        <f aca="false">-$E123*AL18</f>
        <v>-2064.81363457216</v>
      </c>
      <c r="AM123" s="33" t="n">
        <f aca="false">-$E123*AM18</f>
        <v>-2064.81363457216</v>
      </c>
      <c r="AN123" s="33" t="n">
        <f aca="false">-$E123*AN18</f>
        <v>-2019.92638164668</v>
      </c>
      <c r="AO123" s="33" t="n">
        <f aca="false">-$E123*AO18</f>
        <v>-2042.37000810942</v>
      </c>
      <c r="AP123" s="33" t="n">
        <f aca="false">-$E123*AP18</f>
        <v>-2064.81363457216</v>
      </c>
      <c r="AQ123" s="33" t="n">
        <f aca="false">-$E123*AQ18</f>
        <v>-2064.81363457216</v>
      </c>
      <c r="AR123" s="33" t="n">
        <f aca="false">-$E123*AR18</f>
        <v>-2019.92638164668</v>
      </c>
      <c r="AS123" s="33" t="n">
        <f aca="false">-$E123*AS18</f>
        <v>-2042.37000810942</v>
      </c>
      <c r="AT123" s="33" t="n">
        <f aca="false">-$E123*AT18</f>
        <v>-2064.81363457216</v>
      </c>
      <c r="AU123" s="33" t="n">
        <f aca="false">-$E123*AU18</f>
        <v>-2064.81363457216</v>
      </c>
      <c r="AV123" s="33" t="n">
        <f aca="false">-$E123*AV18</f>
        <v>-2042.37000810942</v>
      </c>
      <c r="AW123" s="33" t="n">
        <f aca="false">-$E123*AW18</f>
        <v>-2042.37000810942</v>
      </c>
      <c r="AX123" s="33" t="n">
        <f aca="false">-$E123*AX18</f>
        <v>-2064.81363457216</v>
      </c>
      <c r="AY123" s="33" t="n">
        <f aca="false">-$E123*AY18</f>
        <v>-2064.81363457216</v>
      </c>
      <c r="AZ123" s="33" t="n">
        <f aca="false">-$E123*AZ18</f>
        <v>-2019.92638164668</v>
      </c>
      <c r="BA123" s="33" t="n">
        <f aca="false">-$E123*BA18</f>
        <v>-2042.37000810942</v>
      </c>
      <c r="BB123" s="33" t="n">
        <f aca="false">-$E123*BB18</f>
        <v>-2064.81363457216</v>
      </c>
      <c r="BC123" s="33" t="n">
        <f aca="false">-$E123*BC18</f>
        <v>-2064.81363457216</v>
      </c>
      <c r="BD123" s="33" t="n">
        <f aca="false">-$E123*BD18</f>
        <v>-2019.92638164668</v>
      </c>
      <c r="BE123" s="33" t="n">
        <f aca="false">-$E123*BE18</f>
        <v>-2042.37000810942</v>
      </c>
      <c r="BF123" s="33" t="n">
        <f aca="false">-$E123*BF18</f>
        <v>-2064.81363457216</v>
      </c>
      <c r="BG123" s="33" t="n">
        <f aca="false">-$E123*BG18</f>
        <v>-2064.81363457216</v>
      </c>
      <c r="BH123" s="33" t="n">
        <f aca="false">-$E123*BH18</f>
        <v>-2019.92638164668</v>
      </c>
      <c r="BI123" s="33" t="n">
        <f aca="false">-$E123*BI18</f>
        <v>-2042.37000810942</v>
      </c>
      <c r="BJ123" s="33" t="n">
        <f aca="false">-$E123*BJ18</f>
        <v>-2064.81363457216</v>
      </c>
      <c r="BK123" s="33" t="n">
        <f aca="false">-$E123*BK18</f>
        <v>-2064.81363457216</v>
      </c>
      <c r="BL123" s="33" t="n">
        <f aca="false">-$E123*BL18</f>
        <v>-2042.37000810942</v>
      </c>
      <c r="BM123" s="33" t="n">
        <f aca="false">-$E123*BM18</f>
        <v>-2042.37000810942</v>
      </c>
      <c r="BN123" s="33" t="n">
        <f aca="false">-$E123*BN18</f>
        <v>-2064.81363457216</v>
      </c>
      <c r="BO123" s="33" t="n">
        <f aca="false">-$E123*BO18</f>
        <v>-2064.81363457216</v>
      </c>
      <c r="BP123" s="33" t="n">
        <f aca="false">-$E123*BP18</f>
        <v>-2019.92638164668</v>
      </c>
      <c r="BQ123" s="33" t="n">
        <f aca="false">-$E123*BQ18</f>
        <v>-2042.37000810942</v>
      </c>
      <c r="BR123" s="33" t="n">
        <f aca="false">-$E123*BR18</f>
        <v>-2064.81363457216</v>
      </c>
      <c r="BS123" s="33" t="n">
        <f aca="false">-$E123*BS18</f>
        <v>-2064.81363457216</v>
      </c>
      <c r="BT123" s="33" t="n">
        <f aca="false">-$E123*BT18</f>
        <v>-2019.92638164668</v>
      </c>
      <c r="BU123" s="33" t="n">
        <f aca="false">-$E123*BU18</f>
        <v>-2042.37000810942</v>
      </c>
      <c r="BV123" s="33" t="n">
        <f aca="false">-$E123*BV18</f>
        <v>-2064.81363457216</v>
      </c>
      <c r="BW123" s="33" t="n">
        <f aca="false">-$E123*BW18</f>
        <v>-2064.81363457216</v>
      </c>
      <c r="BX123" s="33" t="n">
        <f aca="false">-$E123*BX18</f>
        <v>-2019.92638164668</v>
      </c>
      <c r="BY123" s="33" t="n">
        <f aca="false">-$E123*BY18</f>
        <v>-2042.37000810942</v>
      </c>
      <c r="BZ123" s="33" t="n">
        <f aca="false">-$E123*BZ18</f>
        <v>-2064.81363457216</v>
      </c>
      <c r="CA123" s="33" t="n">
        <f aca="false">-$E123*CA18</f>
        <v>-2064.81363457216</v>
      </c>
      <c r="CB123" s="33" t="n">
        <f aca="false">-$E123*CB18</f>
        <v>-2042.37000810942</v>
      </c>
      <c r="CC123" s="33" t="n">
        <f aca="false">-$E123*CC18</f>
        <v>-2042.37000810942</v>
      </c>
      <c r="CD123" s="33" t="n">
        <f aca="false">-$E123*CD18</f>
        <v>-2064.81363457216</v>
      </c>
      <c r="CE123" s="33" t="n">
        <f aca="false">-$E123*CE18</f>
        <v>-2064.81363457216</v>
      </c>
      <c r="CF123" s="33" t="n">
        <f aca="false">-$E123*CF18</f>
        <v>-2019.92638164668</v>
      </c>
      <c r="CG123" s="33" t="n">
        <f aca="false">-$E123*CG18</f>
        <v>-2042.37000810942</v>
      </c>
      <c r="CH123" s="33" t="n">
        <f aca="false">-$E123*CH18</f>
        <v>-2064.81363457216</v>
      </c>
      <c r="CI123" s="33" t="n">
        <f aca="false">-$E123*CI18</f>
        <v>-2064.81363457216</v>
      </c>
      <c r="CJ123" s="33" t="n">
        <f aca="false">-$E123*CJ18</f>
        <v>-2019.92638164668</v>
      </c>
      <c r="CK123" s="33" t="n">
        <f aca="false">-$E123*CK18</f>
        <v>-2042.37000810942</v>
      </c>
      <c r="CL123" s="33" t="n">
        <f aca="false">-$E123*CL18</f>
        <v>-2064.81363457216</v>
      </c>
      <c r="CM123" s="33" t="n">
        <f aca="false">-$E123*CM18</f>
        <v>-2064.81363457216</v>
      </c>
      <c r="CN123" s="33" t="n">
        <f aca="false">-$E123*CN18</f>
        <v>-2019.92638164668</v>
      </c>
      <c r="CO123" s="33" t="n">
        <f aca="false">-$E123*CO18</f>
        <v>-2042.37000810942</v>
      </c>
      <c r="CP123" s="33" t="n">
        <f aca="false">-$E123*CP18</f>
        <v>-2064.81363457216</v>
      </c>
      <c r="CQ123" s="33" t="n">
        <f aca="false">-$E123*CQ18</f>
        <v>-2064.81363457216</v>
      </c>
      <c r="CR123" s="33" t="n">
        <f aca="false">-$E123*CR18</f>
        <v>-2042.37000810942</v>
      </c>
      <c r="CS123" s="33" t="n">
        <f aca="false">-$E123*CS18</f>
        <v>-2042.37000810942</v>
      </c>
      <c r="CT123" s="33" t="n">
        <f aca="false">-$E123*CT18</f>
        <v>-2064.81363457216</v>
      </c>
      <c r="CU123" s="33" t="n">
        <f aca="false">-$E123*CU18</f>
        <v>-2064.81363457216</v>
      </c>
      <c r="CV123" s="33" t="n">
        <f aca="false">-$E123*CV18</f>
        <v>-2019.92638164668</v>
      </c>
      <c r="CW123" s="33" t="n">
        <f aca="false">-$E123*CW18</f>
        <v>-2042.37000810942</v>
      </c>
      <c r="CX123" s="33" t="n">
        <f aca="false">-$E123*CX18</f>
        <v>-2064.81363457216</v>
      </c>
      <c r="CY123" s="33" t="n">
        <f aca="false">-$E123*CY18</f>
        <v>-2064.81363457216</v>
      </c>
      <c r="CZ123" s="33" t="n">
        <f aca="false">-$E123*CZ18</f>
        <v>-2019.92638164668</v>
      </c>
      <c r="DA123" s="33" t="n">
        <f aca="false">-$E123*DA18</f>
        <v>-2042.37000810942</v>
      </c>
      <c r="DB123" s="33" t="n">
        <f aca="false">-$E123*DB18</f>
        <v>-2064.81363457216</v>
      </c>
      <c r="DC123" s="33" t="n">
        <f aca="false">-$E123*DC18</f>
        <v>-2064.81363457216</v>
      </c>
      <c r="DD123" s="33" t="n">
        <f aca="false">-$E123*DD18</f>
        <v>-2019.92638164668</v>
      </c>
      <c r="DE123" s="33" t="n">
        <f aca="false">-$E123*DE18</f>
        <v>-2042.37000810942</v>
      </c>
      <c r="DF123" s="33" t="n">
        <f aca="false">-$E123*DF18</f>
        <v>-2064.81363457216</v>
      </c>
      <c r="DG123" s="33" t="n">
        <f aca="false">-$E123*DG18</f>
        <v>-0</v>
      </c>
      <c r="DH123" s="33" t="n">
        <f aca="false">-$E123*DH18</f>
        <v>-0</v>
      </c>
      <c r="DI123" s="33" t="n">
        <f aca="false">-$E123*DI18</f>
        <v>-0</v>
      </c>
      <c r="DJ123" s="33" t="n">
        <f aca="false">-$E123*DJ18</f>
        <v>-0</v>
      </c>
      <c r="DK123" s="33" t="n">
        <f aca="false">-$E123*DK18</f>
        <v>-0</v>
      </c>
      <c r="DL123" s="33" t="n">
        <f aca="false">-$E123*DL18</f>
        <v>-0</v>
      </c>
      <c r="DM123" s="33" t="n">
        <f aca="false">-$E123*DM18</f>
        <v>-0</v>
      </c>
      <c r="DN123" s="33" t="n">
        <f aca="false">-$E123*DN18</f>
        <v>-0</v>
      </c>
      <c r="DO123" s="33" t="n">
        <f aca="false">-$E123*DO18</f>
        <v>-0</v>
      </c>
      <c r="DP123" s="33" t="n">
        <f aca="false">-$E123*DP18</f>
        <v>-0</v>
      </c>
      <c r="DQ123" s="33" t="n">
        <f aca="false">-$E123*DQ18</f>
        <v>-0</v>
      </c>
      <c r="DR123" s="33" t="n">
        <f aca="false">-$E123*DR18</f>
        <v>-0</v>
      </c>
      <c r="DS123" s="33" t="n">
        <f aca="false">-$E123*DS18</f>
        <v>-0</v>
      </c>
      <c r="DT123" s="33" t="n">
        <f aca="false">-$E123*DT18</f>
        <v>-0</v>
      </c>
      <c r="DU123" s="33" t="n">
        <f aca="false">-$E123*DU18</f>
        <v>-0</v>
      </c>
      <c r="DV123" s="33" t="n">
        <f aca="false">-$E123*DV18</f>
        <v>-0</v>
      </c>
      <c r="DW123" s="33" t="n">
        <f aca="false">-$E123*DW18</f>
        <v>-0</v>
      </c>
      <c r="DX123" s="33" t="n">
        <f aca="false">-$E123*DX18</f>
        <v>-0</v>
      </c>
      <c r="DY123" s="33" t="n">
        <f aca="false">-$E123*DY18</f>
        <v>-0</v>
      </c>
      <c r="DZ123" s="33" t="n">
        <f aca="false">-$E123*DZ18</f>
        <v>-0</v>
      </c>
      <c r="EA123" s="33" t="n">
        <f aca="false">-$E123*EA18</f>
        <v>-0</v>
      </c>
      <c r="EB123" s="33" t="n">
        <f aca="false">-$E123*EB18</f>
        <v>-0</v>
      </c>
      <c r="EC123" s="33" t="n">
        <f aca="false">-$E123*EC18</f>
        <v>-0</v>
      </c>
      <c r="ED123" s="33" t="n">
        <f aca="false">-$E123*ED18</f>
        <v>-0</v>
      </c>
      <c r="EE123" s="33" t="n">
        <f aca="false">-$E123*EE18</f>
        <v>-0</v>
      </c>
      <c r="EF123" s="33" t="n">
        <f aca="false">-$E123*EF18</f>
        <v>-0</v>
      </c>
      <c r="EG123" s="33" t="n">
        <f aca="false">-$E123*EG18</f>
        <v>-0</v>
      </c>
      <c r="EH123" s="33" t="n">
        <f aca="false">-$E123*EH18</f>
        <v>-0</v>
      </c>
      <c r="EI123" s="33" t="n">
        <f aca="false">-$E123*EI18</f>
        <v>-0</v>
      </c>
      <c r="EJ123" s="33" t="n">
        <f aca="false">-$E123*EJ18</f>
        <v>-0</v>
      </c>
      <c r="EK123" s="33" t="n">
        <f aca="false">-$E123*EK18</f>
        <v>-0</v>
      </c>
      <c r="EL123" s="33" t="n">
        <f aca="false">-$E123*EL18</f>
        <v>-0</v>
      </c>
      <c r="EM123" s="33" t="n">
        <f aca="false">-$E123*EM18</f>
        <v>-0</v>
      </c>
      <c r="EN123" s="33" t="n">
        <f aca="false">-$E123*EN18</f>
        <v>-0</v>
      </c>
      <c r="EO123" s="33" t="n">
        <f aca="false">-$E123*EO18</f>
        <v>-0</v>
      </c>
      <c r="EP123" s="33" t="n">
        <f aca="false">-$E123*EP18</f>
        <v>-0</v>
      </c>
      <c r="EQ123" s="33" t="n">
        <f aca="false">-$E123*EQ18</f>
        <v>-0</v>
      </c>
      <c r="ER123" s="33" t="n">
        <f aca="false">-$E123*ER18</f>
        <v>-0</v>
      </c>
      <c r="ES123" s="33" t="n">
        <f aca="false">-$E123*ES18</f>
        <v>-0</v>
      </c>
      <c r="ET123" s="33" t="n">
        <f aca="false">-$E123*ET18</f>
        <v>-0</v>
      </c>
    </row>
    <row r="124" customFormat="false" ht="15" hidden="false" customHeight="false" outlineLevel="0" collapsed="false">
      <c r="C124" s="0" t="s">
        <v>574</v>
      </c>
      <c r="D124" s="11" t="s">
        <v>253</v>
      </c>
      <c r="I124" s="33" t="n">
        <f aca="false">SUM(J124:ET124)</f>
        <v>314710.729599994</v>
      </c>
      <c r="J124" s="33" t="n">
        <f aca="false">J120+J123+J103+J104+J105+J57</f>
        <v>0</v>
      </c>
      <c r="K124" s="33" t="n">
        <f aca="false">K120+K123+K103+K104+K105+K57</f>
        <v>-178.520547945205</v>
      </c>
      <c r="L124" s="33" t="n">
        <f aca="false">L120+L123+L103+L104+L105+L57</f>
        <v>-588.444520547945</v>
      </c>
      <c r="M124" s="33" t="n">
        <f aca="false">M120+M123+M103+M104+M105+M57</f>
        <v>-43.8356164383562</v>
      </c>
      <c r="N124" s="33" t="n">
        <f aca="false">N120+N123+N103+N104+N105+N57</f>
        <v>-43.8356164383562</v>
      </c>
      <c r="O124" s="33" t="n">
        <f aca="false">O120+O123+O103+O104+O105+O57</f>
        <v>-184.361643835616</v>
      </c>
      <c r="P124" s="33" t="n">
        <f aca="false">P120+P123+P103+P104+P105+P57</f>
        <v>-1290.04179480011</v>
      </c>
      <c r="Q124" s="33" t="n">
        <f aca="false">Q120+Q123+Q103+Q104+Q105+Q57</f>
        <v>-4.60958904109589</v>
      </c>
      <c r="R124" s="33" t="n">
        <f aca="false">R120+R123+R103+R104+R105+R57</f>
        <v>-164.091509980431</v>
      </c>
      <c r="S124" s="33" t="n">
        <f aca="false">S120+S123+S103+S104+S105+S57</f>
        <v>-317.226138697232</v>
      </c>
      <c r="T124" s="33" t="n">
        <f aca="false">T120+T123+T103+T104+T105+T57</f>
        <v>-304.657534246575</v>
      </c>
      <c r="U124" s="33" t="n">
        <f aca="false">U120+U123+U103+U104+U105+U57</f>
        <v>0</v>
      </c>
      <c r="V124" s="33" t="n">
        <f aca="false">V120+V123+V103+V104+V105+V57</f>
        <v>0</v>
      </c>
      <c r="W124" s="33" t="n">
        <f aca="false">W120+W123+W103+W104+W105+W57</f>
        <v>-1955.01413865224</v>
      </c>
      <c r="X124" s="33" t="n">
        <f aca="false">X120+X123+X103+X104+X105+X57</f>
        <v>-260.170263472354</v>
      </c>
      <c r="Y124" s="33" t="n">
        <f aca="false">Y120+Y123+Y103+Y104+Y105+Y57</f>
        <v>-236.760410897378</v>
      </c>
      <c r="Z124" s="33" t="n">
        <f aca="false">Z120+Z123+Z103+Z104+Z105+Z57</f>
        <v>-212.477081856929</v>
      </c>
      <c r="AA124" s="33" t="n">
        <f aca="false">AA120+AA123+AA103+AA104+AA105+AA57</f>
        <v>-185.296549490162</v>
      </c>
      <c r="AB124" s="33" t="n">
        <f aca="false">AB120+AB123+AB103+AB104+AB105+AB57</f>
        <v>-156.573132717387</v>
      </c>
      <c r="AC124" s="33" t="n">
        <f aca="false">AC120+AC123+AC103+AC104+AC105+AC57</f>
        <v>-132.0122009118</v>
      </c>
      <c r="AD124" s="33" t="n">
        <f aca="false">AD120+AD123+AD103+AD104+AD105+AD57</f>
        <v>-106.57779264074</v>
      </c>
      <c r="AE124" s="33" t="n">
        <f aca="false">AE120+AE123+AE103+AE104+AE105+AE57</f>
        <v>844.592147336478</v>
      </c>
      <c r="AF124" s="33" t="n">
        <f aca="false">AF120+AF123+AF103+AF104+AF105+AF57</f>
        <v>873.754592434829</v>
      </c>
      <c r="AG124" s="33" t="n">
        <f aca="false">AG120+AG123+AG103+AG104+AG105+AG57</f>
        <v>898.171621364089</v>
      </c>
      <c r="AH124" s="33" t="n">
        <f aca="false">AH120+AH123+AH103+AH104+AH105+AH57</f>
        <v>945.875618690579</v>
      </c>
      <c r="AI124" s="33" t="n">
        <f aca="false">AI120+AI123+AI103+AI104+AI105+AI57</f>
        <v>956.212854990103</v>
      </c>
      <c r="AJ124" s="33" t="n">
        <f aca="false">AJ120+AJ123+AJ103+AJ104+AJ105+AJ57</f>
        <v>963.097413625111</v>
      </c>
      <c r="AK124" s="33" t="n">
        <f aca="false">AK120+AK123+AK103+AK104+AK105+AK57</f>
        <v>1011.8824638053</v>
      </c>
      <c r="AL124" s="33" t="n">
        <f aca="false">AL120+AL123+AL103+AL104+AL105+AL57</f>
        <v>1060.98827601917</v>
      </c>
      <c r="AM124" s="33" t="n">
        <f aca="false">AM120+AM123+AM103+AM104+AM105+AM57</f>
        <v>1072.50753947244</v>
      </c>
      <c r="AN124" s="33" t="n">
        <f aca="false">AN120+AN123+AN103+AN104+AN105+AN57</f>
        <v>1080.15387545258</v>
      </c>
      <c r="AO124" s="33" t="n">
        <f aca="false">AO120+AO123+AO103+AO104+AO105+AO57</f>
        <v>1130.38480925196</v>
      </c>
      <c r="AP124" s="33" t="n">
        <f aca="false">AP120+AP123+AP103+AP104+AP105+AP57</f>
        <v>1180.9528464149</v>
      </c>
      <c r="AQ124" s="33" t="n">
        <f aca="false">AQ120+AQ123+AQ103+AQ104+AQ105+AQ57</f>
        <v>1193.7187922747</v>
      </c>
      <c r="AR124" s="33" t="n">
        <f aca="false">AR120+AR123+AR103+AR104+AR105+AR57</f>
        <v>1202.18794185673</v>
      </c>
      <c r="AS124" s="33" t="n">
        <f aca="false">AS120+AS123+AS103+AS104+AS105+AS57</f>
        <v>1253.92746612221</v>
      </c>
      <c r="AT124" s="33" t="n">
        <f aca="false">AT120+AT123+AT103+AT104+AT105+AT57</f>
        <v>1306.02126759569</v>
      </c>
      <c r="AU124" s="33" t="n">
        <f aca="false">AU120+AU123+AU103+AU104+AU105+AU57</f>
        <v>1320.10186570383</v>
      </c>
      <c r="AV124" s="33" t="n">
        <f aca="false">AV120+AV123+AV103+AV104+AV105+AV57</f>
        <v>1352.98614737013</v>
      </c>
      <c r="AW124" s="33" t="n">
        <f aca="false">AW120+AW123+AW103+AW104+AW105+AW57</f>
        <v>1382.7722257469</v>
      </c>
      <c r="AX124" s="33" t="n">
        <f aca="false">AX120+AX123+AX103+AX104+AX105+AX57</f>
        <v>1436.45862299212</v>
      </c>
      <c r="AY124" s="33" t="n">
        <f aca="false">AY120+AY123+AY103+AY104+AY105+AY57</f>
        <v>1451.92532658463</v>
      </c>
      <c r="AZ124" s="33" t="n">
        <f aca="false">AZ120+AZ123+AZ103+AZ104+AZ105+AZ57</f>
        <v>1462.236539093</v>
      </c>
      <c r="BA124" s="33" t="n">
        <f aca="false">BA120+BA123+BA103+BA104+BA105+BA57</f>
        <v>1517.19453260956</v>
      </c>
      <c r="BB124" s="33" t="n">
        <f aca="false">BB120+BB123+BB103+BB104+BB105+BB57</f>
        <v>1572.5438203783</v>
      </c>
      <c r="BC124" s="33" t="n">
        <f aca="false">BC120+BC123+BC103+BC104+BC105+BC57</f>
        <v>1589.47174348552</v>
      </c>
      <c r="BD124" s="33" t="n">
        <f aca="false">BD120+BD123+BD103+BD104+BD105+BD57</f>
        <v>1600.8093014795</v>
      </c>
      <c r="BE124" s="33" t="n">
        <f aca="false">BE120+BE123+BE103+BE104+BE105+BE57</f>
        <v>1657.484188956</v>
      </c>
      <c r="BF124" s="33" t="n">
        <f aca="false">BF120+BF123+BF103+BF104+BF105+BF57</f>
        <v>1714.57030530219</v>
      </c>
      <c r="BG124" s="33" t="n">
        <f aca="false">BG120+BG123+BG103+BG104+BG105+BG57</f>
        <v>1733.03840918154</v>
      </c>
      <c r="BH124" s="33" t="n">
        <f aca="false">BH120+BH123+BH103+BH104+BH105+BH57</f>
        <v>1745.47755902872</v>
      </c>
      <c r="BI124" s="33" t="n">
        <f aca="false">BI120+BI123+BI103+BI104+BI105+BI57</f>
        <v>1803.94609552968</v>
      </c>
      <c r="BJ124" s="33" t="n">
        <f aca="false">BJ120+BJ123+BJ103+BJ104+BJ105+BJ57</f>
        <v>1862.84681109366</v>
      </c>
      <c r="BK124" s="33" t="n">
        <f aca="false">BK120+BK123+BK103+BK104+BK105+BK57</f>
        <v>1882.93810015514</v>
      </c>
      <c r="BL124" s="33" t="n">
        <f aca="false">BL120+BL123+BL103+BL104+BL105+BL57</f>
        <v>1920.56530460039</v>
      </c>
      <c r="BM124" s="33" t="n">
        <f aca="false">BM120+BM123+BM103+BM104+BM105+BM57</f>
        <v>1956.90103027926</v>
      </c>
      <c r="BN124" s="33" t="n">
        <f aca="false">BN120+BN123+BN103+BN104+BN105+BN57</f>
        <v>2017.69814731964</v>
      </c>
      <c r="BO124" s="33" t="n">
        <f aca="false">BO120+BO123+BO103+BO104+BO105+BO57</f>
        <v>2039.49987502753</v>
      </c>
      <c r="BP124" s="33" t="n">
        <f aca="false">BP120+BP123+BP103+BP104+BP105+BP57</f>
        <v>2054.38424107417</v>
      </c>
      <c r="BQ124" s="33" t="n">
        <f aca="false">BQ120+BQ123+BQ103+BQ104+BQ105+BQ57</f>
        <v>2116.68646697836</v>
      </c>
      <c r="BR124" s="33" t="n">
        <f aca="false">BR120+BR123+BR103+BR104+BR105+BR57</f>
        <v>2179.46602865087</v>
      </c>
      <c r="BS124" s="33" t="n">
        <f aca="false">BS120+BS123+BS103+BS104+BS105+BS57</f>
        <v>2203.06991390965</v>
      </c>
      <c r="BT124" s="33" t="n">
        <f aca="false">BT120+BT123+BT103+BT104+BT105+BT57</f>
        <v>2179.6697357434</v>
      </c>
      <c r="BU124" s="33" t="n">
        <f aca="false">BU120+BU123+BU103+BU104+BU105+BU57</f>
        <v>2203.88828836277</v>
      </c>
      <c r="BV124" s="33" t="n">
        <f aca="false">BV120+BV123+BV103+BV104+BV105+BV57</f>
        <v>2228.10684098214</v>
      </c>
      <c r="BW124" s="33" t="n">
        <f aca="false">BW120+BW123+BW103+BW104+BW105+BW57</f>
        <v>2212.46741327988</v>
      </c>
      <c r="BX124" s="33" t="n">
        <f aca="false">BX120+BX123+BX103+BX104+BX105+BX57</f>
        <v>2188.49283984931</v>
      </c>
      <c r="BY124" s="33" t="n">
        <f aca="false">BY120+BY123+BY103+BY104+BY105+BY57</f>
        <v>2212.80942695874</v>
      </c>
      <c r="BZ124" s="33" t="n">
        <f aca="false">BZ120+BZ123+BZ103+BZ104+BZ105+BZ57</f>
        <v>2237.12601406818</v>
      </c>
      <c r="CA124" s="33" t="n">
        <f aca="false">CA120+CA123+CA103+CA104+CA105+CA57</f>
        <v>2221.39051218978</v>
      </c>
      <c r="CB124" s="33" t="n">
        <f aca="false">CB120+CB123+CB103+CB104+CB105+CB57</f>
        <v>2221.24549337524</v>
      </c>
      <c r="CC124" s="33" t="n">
        <f aca="false">CC120+CC123+CC103+CC104+CC105+CC57</f>
        <v>2221.24549337524</v>
      </c>
      <c r="CD124" s="33" t="n">
        <f aca="false">CD120+CD123+CD103+CD104+CD105+CD57</f>
        <v>2245.65478451123</v>
      </c>
      <c r="CE124" s="33" t="n">
        <f aca="false">CE120+CE123+CE103+CE104+CE105+CE57</f>
        <v>2229.82295424819</v>
      </c>
      <c r="CF124" s="33" t="n">
        <f aca="false">CF120+CF123+CF103+CF104+CF105+CF57</f>
        <v>2204.6834937156</v>
      </c>
      <c r="CG124" s="33" t="n">
        <f aca="false">CG120+CG123+CG103+CG104+CG105+CG57</f>
        <v>2229.17997697911</v>
      </c>
      <c r="CH124" s="33" t="n">
        <f aca="false">CH120+CH123+CH103+CH104+CH105+CH57</f>
        <v>2253.67646024261</v>
      </c>
      <c r="CI124" s="33" t="n">
        <f aca="false">CI120+CI123+CI103+CI104+CI105+CI57</f>
        <v>2237.74805432723</v>
      </c>
      <c r="CJ124" s="33" t="n">
        <f aca="false">CJ120+CJ123+CJ103+CJ104+CJ105+CJ57</f>
        <v>2212.01795498054</v>
      </c>
      <c r="CK124" s="33" t="n">
        <f aca="false">CK120+CK123+CK103+CK104+CK105+CK57</f>
        <v>2236.5959322581</v>
      </c>
      <c r="CL124" s="33" t="n">
        <f aca="false">CL120+CL123+CL103+CL104+CL105+CL57</f>
        <v>2261.17390953566</v>
      </c>
      <c r="CM124" s="33" t="n">
        <f aca="false">CM120+CM123+CM103+CM104+CM105+CM57</f>
        <v>2245.14868788163</v>
      </c>
      <c r="CN124" s="33" t="n">
        <f aca="false">CN120+CN123+CN103+CN104+CN105+CN57</f>
        <v>2218.82238592502</v>
      </c>
      <c r="CO124" s="33" t="n">
        <f aca="false">CO120+CO123+CO103+CO104+CO105+CO57</f>
        <v>2243.47596799085</v>
      </c>
      <c r="CP124" s="33" t="n">
        <f aca="false">CP120+CP123+CP103+CP104+CP105+CP57</f>
        <v>2268.12955005669</v>
      </c>
      <c r="CQ124" s="33" t="n">
        <f aca="false">CQ120+CQ123+CQ103+CQ104+CQ105+CQ57</f>
        <v>2252.00728000554</v>
      </c>
      <c r="CR124" s="33" t="n">
        <f aca="false">CR120+CR123+CR103+CR104+CR105+CR57</f>
        <v>2249.80223615059</v>
      </c>
      <c r="CS124" s="33" t="n">
        <f aca="false">CS120+CS123+CS103+CS104+CS105+CS57</f>
        <v>2249.80223615059</v>
      </c>
      <c r="CT124" s="33" t="n">
        <f aca="false">CT120+CT123+CT103+CT104+CT105+CT57</f>
        <v>2274.52533764675</v>
      </c>
      <c r="CU124" s="33" t="n">
        <f aca="false">CU120+CU123+CU103+CU104+CU105+CU57</f>
        <v>2258.3057942204</v>
      </c>
      <c r="CV124" s="33" t="n">
        <f aca="false">CV120+CV123+CV103+CV104+CV105+CV57</f>
        <v>2230.77008624457</v>
      </c>
      <c r="CW124" s="33" t="n">
        <f aca="false">CW120+CW123+CW103+CW104+CW105+CW57</f>
        <v>2255.55642053618</v>
      </c>
      <c r="CX124" s="33" t="n">
        <f aca="false">CX120+CX123+CX103+CX104+CX105+CX57</f>
        <v>2280.34275482779</v>
      </c>
      <c r="CY124" s="33" t="n">
        <f aca="false">CY120+CY123+CY103+CY104+CY105+CY57</f>
        <v>2264.02572098716</v>
      </c>
      <c r="CZ124" s="33" t="n">
        <f aca="false">CZ120+CZ123+CZ103+CZ104+CZ105+CZ57</f>
        <v>2235.87665122129</v>
      </c>
      <c r="DA124" s="33" t="n">
        <f aca="false">DA120+DA123+DA103+DA104+DA105+DA57</f>
        <v>2260.71972512375</v>
      </c>
      <c r="DB124" s="33" t="n">
        <f aca="false">DB120+DB123+DB103+DB104+DB105+DB57</f>
        <v>2285.56279902621</v>
      </c>
      <c r="DC124" s="33" t="n">
        <f aca="false">DC120+DC123+DC103+DC104+DC105+DC57</f>
        <v>2269.14806593617</v>
      </c>
      <c r="DD124" s="33" t="n">
        <f aca="false">DD120+DD123+DD103+DD104+DD105+DD57</f>
        <v>2240.37975375693</v>
      </c>
      <c r="DE124" s="33" t="n">
        <f aca="false">DE120+DE123+DE103+DE104+DE105+DE57</f>
        <v>2265.27286213201</v>
      </c>
      <c r="DF124" s="33" t="n">
        <f aca="false">DF120+DF123+DF103+DF104+DF105+DF57</f>
        <v>2290.16597050708</v>
      </c>
      <c r="DG124" s="33" t="n">
        <f aca="false">DG120+DG123+DG103+DG104+DG105+DG57</f>
        <v>4338.46697238004</v>
      </c>
      <c r="DH124" s="33" t="n">
        <f aca="false">DH120+DH123+DH103+DH104+DH105+DH57</f>
        <v>4311.56604790374</v>
      </c>
      <c r="DI124" s="33" t="n">
        <f aca="false">DI120+DI123+DI103+DI104+DI105+DI57</f>
        <v>4311.56604790374</v>
      </c>
      <c r="DJ124" s="33" t="n">
        <f aca="false">DJ120+DJ123+DJ103+DJ104+DJ105+DJ57</f>
        <v>4358.945894584</v>
      </c>
      <c r="DK124" s="33" t="n">
        <f aca="false">DK120+DK123+DK103+DK104+DK105+DK57</f>
        <v>4342.33517066918</v>
      </c>
      <c r="DL124" s="33" t="n">
        <f aca="false">DL120+DL123+DL103+DL104+DL105+DL57</f>
        <v>4267.42314521508</v>
      </c>
      <c r="DM124" s="33" t="n">
        <f aca="false">DM120+DM123+DM103+DM104+DM105+DM57</f>
        <v>4314.83895793969</v>
      </c>
      <c r="DN124" s="33" t="n">
        <f aca="false">DN120+DN123+DN103+DN104+DN105+DN57</f>
        <v>4362.2547706643</v>
      </c>
      <c r="DO124" s="33" t="n">
        <f aca="false">DO120+DO123+DO103+DO104+DO105+DO57</f>
        <v>4345.54577296546</v>
      </c>
      <c r="DP124" s="33" t="n">
        <f aca="false">DP120+DP123+DP103+DP104+DP105+DP57</f>
        <v>4269.99635873289</v>
      </c>
      <c r="DQ124" s="33" t="n">
        <f aca="false">DQ120+DQ123+DQ103+DQ104+DQ105+DQ57</f>
        <v>4317.44076271881</v>
      </c>
      <c r="DR124" s="33" t="n">
        <f aca="false">DR120+DR123+DR103+DR104+DR105+DR57</f>
        <v>4364.88516670473</v>
      </c>
      <c r="DS124" s="33" t="n">
        <f aca="false">DS120+DS123+DS103+DS104+DS105+DS57</f>
        <v>4348.0777219831</v>
      </c>
      <c r="DT124" s="33" t="n">
        <f aca="false">DT120+DT123+DT103+DT104+DT105+DT57</f>
        <v>4271.8846965912</v>
      </c>
      <c r="DU124" s="33" t="n">
        <f aca="false">DU120+DU123+DU103+DU104+DU105+DU57</f>
        <v>4319.35008210888</v>
      </c>
      <c r="DV124" s="33" t="n">
        <f aca="false">DV120+DV123+DV103+DV104+DV105+DV57</f>
        <v>4366.81546762656</v>
      </c>
      <c r="DW124" s="33" t="n">
        <f aca="false">DW120+DW123+DW103+DW104+DW105+DW57</f>
        <v>4349.90941227163</v>
      </c>
      <c r="DX124" s="33" t="n">
        <f aca="false">DX120+DX123+DX103+DX104+DX105+DX57</f>
        <v>4320.54498000109</v>
      </c>
      <c r="DY124" s="33" t="n">
        <f aca="false">DY120+DY123+DY103+DY104+DY105+DY57</f>
        <v>4320.54498000109</v>
      </c>
      <c r="DZ124" s="33" t="n">
        <f aca="false">DZ120+DZ123+DZ103+DZ104+DZ105+DZ57</f>
        <v>4368.02349626484</v>
      </c>
      <c r="EA124" s="33" t="n">
        <f aca="false">EA120+EA123+EA103+EA104+EA105+EA57</f>
        <v>4351.01867660019</v>
      </c>
      <c r="EB124" s="33" t="n">
        <f aca="false">EB120+EB123+EB103+EB104+EB105+EB57</f>
        <v>4273.5194015975</v>
      </c>
      <c r="EC124" s="33" t="n">
        <f aca="false">EC120+EC123+EC103+EC104+EC105+EC57</f>
        <v>4321.00295050414</v>
      </c>
      <c r="ED124" s="33" t="n">
        <f aca="false">ED120+ED123+ED103+ED104+ED105+ED57</f>
        <v>4368.48649941078</v>
      </c>
      <c r="EE124" s="33" t="n">
        <f aca="false">EE120+EE123+EE103+EE104+EE105+EE57</f>
        <v>4351.38277200729</v>
      </c>
      <c r="EF124" s="33" t="n">
        <f aca="false">EF120+EF123+EF103+EF104+EF105+EF57</f>
        <v>4273.22067408704</v>
      </c>
      <c r="EG124" s="33" t="n">
        <f aca="false">EG120+EG123+EG103+EG104+EG105+EG57</f>
        <v>4320.70090379912</v>
      </c>
      <c r="EH124" s="33" t="n">
        <f aca="false">EH120+EH123+EH103+EH104+EH105+EH57</f>
        <v>4368.1811335112</v>
      </c>
      <c r="EI124" s="33" t="n">
        <f aca="false">EI120+EI123+EI103+EI104+EI105+EI57</f>
        <v>4350.97836550777</v>
      </c>
      <c r="EJ124" s="33" t="n">
        <f aca="false">EJ120+EJ123+EJ103+EJ104+EJ105+EJ57</f>
        <v>4272.14685327713</v>
      </c>
      <c r="EK124" s="33" t="n">
        <f aca="false">EK120+EK123+EK103+EK104+EK105+EK57</f>
        <v>4319.61515164688</v>
      </c>
      <c r="EL124" s="33" t="n">
        <f aca="false">EL120+EL123+EL103+EL104+EL105+EL57</f>
        <v>4367.08345001662</v>
      </c>
      <c r="EM124" s="33" t="n">
        <f aca="false">EM120+EM123+EM103+EM104+EM105+EM57</f>
        <v>4349.78151944861</v>
      </c>
      <c r="EN124" s="33" t="n">
        <f aca="false">EN120+EN123+EN103+EN104+EN105+EN57</f>
        <v>4317.72139253939</v>
      </c>
      <c r="EO124" s="33" t="n">
        <f aca="false">EO120+EO123+EO103+EO104+EO105+EO57</f>
        <v>4317.72139253939</v>
      </c>
      <c r="EP124" s="33" t="n">
        <f aca="false">EP120+EP123+EP103+EP104+EP105+EP57</f>
        <v>4365.16888036949</v>
      </c>
      <c r="EQ124" s="33" t="n">
        <f aca="false">EQ120+EQ123+EQ103+EQ104+EQ105+EQ57</f>
        <v>4347.76767650498</v>
      </c>
      <c r="ER124" s="33" t="n">
        <f aca="false">ER120+ER123+ER103+ER104+ER105+ER57</f>
        <v>4267.57717234905</v>
      </c>
      <c r="ES124" s="33" t="n">
        <f aca="false">ES120+ES123+ES103+ES104+ES105+ES57</f>
        <v>4314.99469648626</v>
      </c>
      <c r="ET124" s="33" t="n">
        <f aca="false">ET120+ET123+ET103+ET104+ET105+ET57</f>
        <v>4362.41222062347</v>
      </c>
    </row>
    <row r="125" customFormat="false" ht="15" hidden="false" customHeight="false" outlineLevel="0" collapsed="false">
      <c r="C125" s="0" t="s">
        <v>575</v>
      </c>
      <c r="D125" s="11" t="s">
        <v>253</v>
      </c>
      <c r="J125" s="22" t="n">
        <f aca="false">I128</f>
        <v>0</v>
      </c>
      <c r="K125" s="22" t="n">
        <f aca="false">J128</f>
        <v>0</v>
      </c>
      <c r="L125" s="22" t="n">
        <f aca="false">K128</f>
        <v>178.520547945205</v>
      </c>
      <c r="M125" s="22" t="n">
        <f aca="false">L128</f>
        <v>766.965068493151</v>
      </c>
      <c r="N125" s="22" t="n">
        <f aca="false">M128</f>
        <v>810.800684931507</v>
      </c>
      <c r="O125" s="22" t="n">
        <f aca="false">N128</f>
        <v>854.636301369863</v>
      </c>
      <c r="P125" s="22" t="n">
        <f aca="false">O128</f>
        <v>1038.99794520548</v>
      </c>
      <c r="Q125" s="22" t="n">
        <f aca="false">P128</f>
        <v>2329.03974000559</v>
      </c>
      <c r="R125" s="22" t="n">
        <f aca="false">Q128</f>
        <v>2333.64932904669</v>
      </c>
      <c r="S125" s="22" t="n">
        <f aca="false">R128</f>
        <v>2497.74083902712</v>
      </c>
      <c r="T125" s="22" t="n">
        <f aca="false">S128</f>
        <v>2814.96697772435</v>
      </c>
      <c r="U125" s="22" t="n">
        <f aca="false">T128</f>
        <v>3119.62451197093</v>
      </c>
      <c r="V125" s="22" t="n">
        <f aca="false">U128</f>
        <v>3119.62451197093</v>
      </c>
      <c r="W125" s="22" t="n">
        <f aca="false">V128</f>
        <v>3119.62451197093</v>
      </c>
      <c r="X125" s="22" t="n">
        <f aca="false">W128</f>
        <v>5074.63865062317</v>
      </c>
      <c r="Y125" s="22" t="n">
        <f aca="false">X128</f>
        <v>5334.80891409552</v>
      </c>
      <c r="Z125" s="22" t="n">
        <f aca="false">Y128</f>
        <v>5571.5693249929</v>
      </c>
      <c r="AA125" s="22" t="n">
        <f aca="false">Z128</f>
        <v>5784.04640684983</v>
      </c>
      <c r="AB125" s="22" t="n">
        <f aca="false">AA128</f>
        <v>5969.34295633999</v>
      </c>
      <c r="AC125" s="22" t="n">
        <f aca="false">AB128</f>
        <v>6125.91608905738</v>
      </c>
      <c r="AD125" s="22" t="n">
        <f aca="false">AC128</f>
        <v>6257.92828996918</v>
      </c>
      <c r="AE125" s="22" t="n">
        <f aca="false">AD128</f>
        <v>6364.50608260992</v>
      </c>
      <c r="AF125" s="22" t="n">
        <f aca="false">AE128</f>
        <v>5519.91393527344</v>
      </c>
      <c r="AG125" s="22" t="n">
        <f aca="false">AF128</f>
        <v>4646.15934283861</v>
      </c>
      <c r="AH125" s="22" t="n">
        <f aca="false">AG128</f>
        <v>3747.98772147452</v>
      </c>
      <c r="AI125" s="22" t="n">
        <f aca="false">AH128</f>
        <v>2802.11210278394</v>
      </c>
      <c r="AJ125" s="22" t="n">
        <f aca="false">AI128</f>
        <v>1845.89924779384</v>
      </c>
      <c r="AK125" s="22" t="n">
        <f aca="false">AJ128</f>
        <v>882.801834168731</v>
      </c>
      <c r="AL125" s="22" t="n">
        <f aca="false">AK128</f>
        <v>0</v>
      </c>
      <c r="AM125" s="22" t="n">
        <f aca="false">AL128</f>
        <v>0</v>
      </c>
      <c r="AN125" s="22" t="n">
        <f aca="false">AM128</f>
        <v>0</v>
      </c>
      <c r="AO125" s="22" t="n">
        <f aca="false">AN128</f>
        <v>0</v>
      </c>
      <c r="AP125" s="22" t="n">
        <f aca="false">AO128</f>
        <v>0</v>
      </c>
      <c r="AQ125" s="22" t="n">
        <f aca="false">AP128</f>
        <v>0</v>
      </c>
      <c r="AR125" s="22" t="n">
        <f aca="false">AQ128</f>
        <v>0</v>
      </c>
      <c r="AS125" s="22" t="n">
        <f aca="false">AR128</f>
        <v>0</v>
      </c>
      <c r="AT125" s="22" t="n">
        <f aca="false">AS128</f>
        <v>0</v>
      </c>
      <c r="AU125" s="22" t="n">
        <f aca="false">AT128</f>
        <v>0</v>
      </c>
      <c r="AV125" s="22" t="n">
        <f aca="false">AU128</f>
        <v>0</v>
      </c>
      <c r="AW125" s="22" t="n">
        <f aca="false">AV128</f>
        <v>0</v>
      </c>
      <c r="AX125" s="22" t="n">
        <f aca="false">AW128</f>
        <v>0</v>
      </c>
      <c r="AY125" s="22" t="n">
        <f aca="false">AX128</f>
        <v>0</v>
      </c>
      <c r="AZ125" s="22" t="n">
        <f aca="false">AY128</f>
        <v>0</v>
      </c>
      <c r="BA125" s="22" t="n">
        <f aca="false">AZ128</f>
        <v>0</v>
      </c>
      <c r="BB125" s="22" t="n">
        <f aca="false">BA128</f>
        <v>0</v>
      </c>
      <c r="BC125" s="22" t="n">
        <f aca="false">BB128</f>
        <v>0</v>
      </c>
      <c r="BD125" s="22" t="n">
        <f aca="false">BC128</f>
        <v>0</v>
      </c>
      <c r="BE125" s="22" t="n">
        <f aca="false">BD128</f>
        <v>0</v>
      </c>
      <c r="BF125" s="22" t="n">
        <f aca="false">BE128</f>
        <v>0</v>
      </c>
      <c r="BG125" s="22" t="n">
        <f aca="false">BF128</f>
        <v>0</v>
      </c>
      <c r="BH125" s="22" t="n">
        <f aca="false">BG128</f>
        <v>0</v>
      </c>
      <c r="BI125" s="22" t="n">
        <f aca="false">BH128</f>
        <v>0</v>
      </c>
      <c r="BJ125" s="22" t="n">
        <f aca="false">BI128</f>
        <v>0</v>
      </c>
      <c r="BK125" s="22" t="n">
        <f aca="false">BJ128</f>
        <v>0</v>
      </c>
      <c r="BL125" s="22" t="n">
        <f aca="false">BK128</f>
        <v>0</v>
      </c>
      <c r="BM125" s="22" t="n">
        <f aca="false">BL128</f>
        <v>0</v>
      </c>
      <c r="BN125" s="22" t="n">
        <f aca="false">BM128</f>
        <v>0</v>
      </c>
      <c r="BO125" s="22" t="n">
        <f aca="false">BN128</f>
        <v>0</v>
      </c>
      <c r="BP125" s="22" t="n">
        <f aca="false">BO128</f>
        <v>0</v>
      </c>
      <c r="BQ125" s="22" t="n">
        <f aca="false">BP128</f>
        <v>0</v>
      </c>
      <c r="BR125" s="22" t="n">
        <f aca="false">BQ128</f>
        <v>0</v>
      </c>
      <c r="BS125" s="22" t="n">
        <f aca="false">BR128</f>
        <v>0</v>
      </c>
      <c r="BT125" s="22" t="n">
        <f aca="false">BS128</f>
        <v>0</v>
      </c>
      <c r="BU125" s="22" t="n">
        <f aca="false">BT128</f>
        <v>0</v>
      </c>
      <c r="BV125" s="22" t="n">
        <f aca="false">BU128</f>
        <v>0</v>
      </c>
      <c r="BW125" s="22" t="n">
        <f aca="false">BV128</f>
        <v>0</v>
      </c>
      <c r="BX125" s="22" t="n">
        <f aca="false">BW128</f>
        <v>0</v>
      </c>
      <c r="BY125" s="22" t="n">
        <f aca="false">BX128</f>
        <v>0</v>
      </c>
      <c r="BZ125" s="22" t="n">
        <f aca="false">BY128</f>
        <v>0</v>
      </c>
      <c r="CA125" s="22" t="n">
        <f aca="false">BZ128</f>
        <v>0</v>
      </c>
      <c r="CB125" s="22" t="n">
        <f aca="false">CA128</f>
        <v>0</v>
      </c>
      <c r="CC125" s="22" t="n">
        <f aca="false">CB128</f>
        <v>0</v>
      </c>
      <c r="CD125" s="22" t="n">
        <f aca="false">CC128</f>
        <v>0</v>
      </c>
      <c r="CE125" s="22" t="n">
        <f aca="false">CD128</f>
        <v>0</v>
      </c>
      <c r="CF125" s="22" t="n">
        <f aca="false">CE128</f>
        <v>0</v>
      </c>
      <c r="CG125" s="22" t="n">
        <f aca="false">CF128</f>
        <v>0</v>
      </c>
      <c r="CH125" s="22" t="n">
        <f aca="false">CG128</f>
        <v>0</v>
      </c>
      <c r="CI125" s="22" t="n">
        <f aca="false">CH128</f>
        <v>0</v>
      </c>
      <c r="CJ125" s="22" t="n">
        <f aca="false">CI128</f>
        <v>0</v>
      </c>
      <c r="CK125" s="22" t="n">
        <f aca="false">CJ128</f>
        <v>0</v>
      </c>
      <c r="CL125" s="22" t="n">
        <f aca="false">CK128</f>
        <v>0</v>
      </c>
      <c r="CM125" s="22" t="n">
        <f aca="false">CL128</f>
        <v>0</v>
      </c>
      <c r="CN125" s="22" t="n">
        <f aca="false">CM128</f>
        <v>0</v>
      </c>
      <c r="CO125" s="22" t="n">
        <f aca="false">CN128</f>
        <v>0</v>
      </c>
      <c r="CP125" s="22" t="n">
        <f aca="false">CO128</f>
        <v>0</v>
      </c>
      <c r="CQ125" s="22" t="n">
        <f aca="false">CP128</f>
        <v>0</v>
      </c>
      <c r="CR125" s="22" t="n">
        <f aca="false">CQ128</f>
        <v>0</v>
      </c>
      <c r="CS125" s="22" t="n">
        <f aca="false">CR128</f>
        <v>0</v>
      </c>
      <c r="CT125" s="22" t="n">
        <f aca="false">CS128</f>
        <v>0</v>
      </c>
      <c r="CU125" s="22" t="n">
        <f aca="false">CT128</f>
        <v>0</v>
      </c>
      <c r="CV125" s="22" t="n">
        <f aca="false">CU128</f>
        <v>0</v>
      </c>
      <c r="CW125" s="22" t="n">
        <f aca="false">CV128</f>
        <v>0</v>
      </c>
      <c r="CX125" s="22" t="n">
        <f aca="false">CW128</f>
        <v>0</v>
      </c>
      <c r="CY125" s="22" t="n">
        <f aca="false">CX128</f>
        <v>0</v>
      </c>
      <c r="CZ125" s="22" t="n">
        <f aca="false">CY128</f>
        <v>0</v>
      </c>
      <c r="DA125" s="22" t="n">
        <f aca="false">CZ128</f>
        <v>0</v>
      </c>
      <c r="DB125" s="22" t="n">
        <f aca="false">DA128</f>
        <v>0</v>
      </c>
      <c r="DC125" s="22" t="n">
        <f aca="false">DB128</f>
        <v>0</v>
      </c>
      <c r="DD125" s="22" t="n">
        <f aca="false">DC128</f>
        <v>0</v>
      </c>
      <c r="DE125" s="22" t="n">
        <f aca="false">DD128</f>
        <v>0</v>
      </c>
      <c r="DF125" s="22" t="n">
        <f aca="false">DE128</f>
        <v>0</v>
      </c>
      <c r="DG125" s="22" t="n">
        <f aca="false">DF128</f>
        <v>0</v>
      </c>
      <c r="DH125" s="22" t="n">
        <f aca="false">DG128</f>
        <v>0</v>
      </c>
      <c r="DI125" s="22" t="n">
        <f aca="false">DH128</f>
        <v>0</v>
      </c>
      <c r="DJ125" s="22" t="n">
        <f aca="false">DI128</f>
        <v>0</v>
      </c>
      <c r="DK125" s="22" t="n">
        <f aca="false">DJ128</f>
        <v>0</v>
      </c>
      <c r="DL125" s="22" t="n">
        <f aca="false">DK128</f>
        <v>0</v>
      </c>
      <c r="DM125" s="22" t="n">
        <f aca="false">DL128</f>
        <v>0</v>
      </c>
      <c r="DN125" s="22" t="n">
        <f aca="false">DM128</f>
        <v>0</v>
      </c>
      <c r="DO125" s="22" t="n">
        <f aca="false">DN128</f>
        <v>0</v>
      </c>
      <c r="DP125" s="22" t="n">
        <f aca="false">DO128</f>
        <v>0</v>
      </c>
      <c r="DQ125" s="22" t="n">
        <f aca="false">DP128</f>
        <v>0</v>
      </c>
      <c r="DR125" s="22" t="n">
        <f aca="false">DQ128</f>
        <v>0</v>
      </c>
      <c r="DS125" s="22" t="n">
        <f aca="false">DR128</f>
        <v>0</v>
      </c>
      <c r="DT125" s="22" t="n">
        <f aca="false">DS128</f>
        <v>0</v>
      </c>
      <c r="DU125" s="22" t="n">
        <f aca="false">DT128</f>
        <v>0</v>
      </c>
      <c r="DV125" s="22" t="n">
        <f aca="false">DU128</f>
        <v>0</v>
      </c>
      <c r="DW125" s="22" t="n">
        <f aca="false">DV128</f>
        <v>0</v>
      </c>
      <c r="DX125" s="22" t="n">
        <f aca="false">DW128</f>
        <v>0</v>
      </c>
      <c r="DY125" s="22" t="n">
        <f aca="false">DX128</f>
        <v>0</v>
      </c>
      <c r="DZ125" s="22" t="n">
        <f aca="false">DY128</f>
        <v>0</v>
      </c>
      <c r="EA125" s="22" t="n">
        <f aca="false">DZ128</f>
        <v>0</v>
      </c>
      <c r="EB125" s="22" t="n">
        <f aca="false">EA128</f>
        <v>0</v>
      </c>
      <c r="EC125" s="22" t="n">
        <f aca="false">EB128</f>
        <v>0</v>
      </c>
      <c r="ED125" s="22" t="n">
        <f aca="false">EC128</f>
        <v>0</v>
      </c>
      <c r="EE125" s="22" t="n">
        <f aca="false">ED128</f>
        <v>0</v>
      </c>
      <c r="EF125" s="22" t="n">
        <f aca="false">EE128</f>
        <v>0</v>
      </c>
      <c r="EG125" s="22" t="n">
        <f aca="false">EF128</f>
        <v>0</v>
      </c>
      <c r="EH125" s="22" t="n">
        <f aca="false">EG128</f>
        <v>0</v>
      </c>
      <c r="EI125" s="22" t="n">
        <f aca="false">EH128</f>
        <v>0</v>
      </c>
      <c r="EJ125" s="22" t="n">
        <f aca="false">EI128</f>
        <v>0</v>
      </c>
      <c r="EK125" s="22" t="n">
        <f aca="false">EJ128</f>
        <v>0</v>
      </c>
      <c r="EL125" s="22" t="n">
        <f aca="false">EK128</f>
        <v>0</v>
      </c>
      <c r="EM125" s="22" t="n">
        <f aca="false">EL128</f>
        <v>0</v>
      </c>
      <c r="EN125" s="22" t="n">
        <f aca="false">EM128</f>
        <v>0</v>
      </c>
      <c r="EO125" s="22" t="n">
        <f aca="false">EN128</f>
        <v>0</v>
      </c>
      <c r="EP125" s="22" t="n">
        <f aca="false">EO128</f>
        <v>0</v>
      </c>
      <c r="EQ125" s="22" t="n">
        <f aca="false">EP128</f>
        <v>0</v>
      </c>
      <c r="ER125" s="22" t="n">
        <f aca="false">EQ128</f>
        <v>0</v>
      </c>
      <c r="ES125" s="22" t="n">
        <f aca="false">ER128</f>
        <v>0</v>
      </c>
      <c r="ET125" s="22" t="n">
        <f aca="false">ES128</f>
        <v>0</v>
      </c>
    </row>
    <row r="126" customFormat="false" ht="15" hidden="false" customHeight="false" outlineLevel="0" collapsed="false">
      <c r="C126" s="0" t="s">
        <v>576</v>
      </c>
      <c r="D126" s="11" t="s">
        <v>253</v>
      </c>
      <c r="I126" s="33" t="n">
        <f aca="false">SUM(J126:ET126)</f>
        <v>6364.50608260992</v>
      </c>
      <c r="J126" s="33" t="n">
        <f aca="false">MAX(0,-J124)</f>
        <v>-0</v>
      </c>
      <c r="K126" s="33" t="n">
        <f aca="false">MAX(0,-K124)</f>
        <v>178.520547945205</v>
      </c>
      <c r="L126" s="33" t="n">
        <f aca="false">MAX(0,-L124)</f>
        <v>588.444520547945</v>
      </c>
      <c r="M126" s="33" t="n">
        <f aca="false">MAX(0,-M124)</f>
        <v>43.8356164383562</v>
      </c>
      <c r="N126" s="33" t="n">
        <f aca="false">MAX(0,-N124)</f>
        <v>43.8356164383562</v>
      </c>
      <c r="O126" s="33" t="n">
        <f aca="false">MAX(0,-O124)</f>
        <v>184.361643835616</v>
      </c>
      <c r="P126" s="33" t="n">
        <f aca="false">MAX(0,-P124)</f>
        <v>1290.04179480011</v>
      </c>
      <c r="Q126" s="33" t="n">
        <f aca="false">MAX(0,-Q124)</f>
        <v>4.60958904109589</v>
      </c>
      <c r="R126" s="33" t="n">
        <f aca="false">MAX(0,-R124)</f>
        <v>164.091509980431</v>
      </c>
      <c r="S126" s="33" t="n">
        <f aca="false">MAX(0,-S124)</f>
        <v>317.226138697232</v>
      </c>
      <c r="T126" s="33" t="n">
        <f aca="false">MAX(0,-T124)</f>
        <v>304.657534246575</v>
      </c>
      <c r="U126" s="33" t="n">
        <f aca="false">MAX(0,-U124)</f>
        <v>-0</v>
      </c>
      <c r="V126" s="33" t="n">
        <f aca="false">MAX(0,-V124)</f>
        <v>-0</v>
      </c>
      <c r="W126" s="33" t="n">
        <f aca="false">MAX(0,-W124)</f>
        <v>1955.01413865224</v>
      </c>
      <c r="X126" s="33" t="n">
        <f aca="false">MAX(0,-X124)</f>
        <v>260.170263472354</v>
      </c>
      <c r="Y126" s="33" t="n">
        <f aca="false">MAX(0,-Y124)</f>
        <v>236.760410897378</v>
      </c>
      <c r="Z126" s="33" t="n">
        <f aca="false">MAX(0,-Z124)</f>
        <v>212.477081856929</v>
      </c>
      <c r="AA126" s="33" t="n">
        <f aca="false">MAX(0,-AA124)</f>
        <v>185.296549490162</v>
      </c>
      <c r="AB126" s="33" t="n">
        <f aca="false">MAX(0,-AB124)</f>
        <v>156.573132717387</v>
      </c>
      <c r="AC126" s="33" t="n">
        <f aca="false">MAX(0,-AC124)</f>
        <v>132.0122009118</v>
      </c>
      <c r="AD126" s="33" t="n">
        <f aca="false">MAX(0,-AD124)</f>
        <v>106.57779264074</v>
      </c>
      <c r="AE126" s="33" t="n">
        <f aca="false">MAX(0,-AE124)</f>
        <v>0</v>
      </c>
      <c r="AF126" s="33" t="n">
        <f aca="false">MAX(0,-AF124)</f>
        <v>0</v>
      </c>
      <c r="AG126" s="33" t="n">
        <f aca="false">MAX(0,-AG124)</f>
        <v>0</v>
      </c>
      <c r="AH126" s="33" t="n">
        <f aca="false">MAX(0,-AH124)</f>
        <v>0</v>
      </c>
      <c r="AI126" s="33" t="n">
        <f aca="false">MAX(0,-AI124)</f>
        <v>0</v>
      </c>
      <c r="AJ126" s="33" t="n">
        <f aca="false">MAX(0,-AJ124)</f>
        <v>0</v>
      </c>
      <c r="AK126" s="33" t="n">
        <f aca="false">MAX(0,-AK124)</f>
        <v>0</v>
      </c>
      <c r="AL126" s="33" t="n">
        <f aca="false">MAX(0,-AL124)</f>
        <v>0</v>
      </c>
      <c r="AM126" s="33" t="n">
        <f aca="false">MAX(0,-AM124)</f>
        <v>0</v>
      </c>
      <c r="AN126" s="33" t="n">
        <f aca="false">MAX(0,-AN124)</f>
        <v>0</v>
      </c>
      <c r="AO126" s="33" t="n">
        <f aca="false">MAX(0,-AO124)</f>
        <v>0</v>
      </c>
      <c r="AP126" s="33" t="n">
        <f aca="false">MAX(0,-AP124)</f>
        <v>0</v>
      </c>
      <c r="AQ126" s="33" t="n">
        <f aca="false">MAX(0,-AQ124)</f>
        <v>0</v>
      </c>
      <c r="AR126" s="33" t="n">
        <f aca="false">MAX(0,-AR124)</f>
        <v>0</v>
      </c>
      <c r="AS126" s="33" t="n">
        <f aca="false">MAX(0,-AS124)</f>
        <v>0</v>
      </c>
      <c r="AT126" s="33" t="n">
        <f aca="false">MAX(0,-AT124)</f>
        <v>0</v>
      </c>
      <c r="AU126" s="33" t="n">
        <f aca="false">MAX(0,-AU124)</f>
        <v>0</v>
      </c>
      <c r="AV126" s="33" t="n">
        <f aca="false">MAX(0,-AV124)</f>
        <v>0</v>
      </c>
      <c r="AW126" s="33" t="n">
        <f aca="false">MAX(0,-AW124)</f>
        <v>0</v>
      </c>
      <c r="AX126" s="33" t="n">
        <f aca="false">MAX(0,-AX124)</f>
        <v>0</v>
      </c>
      <c r="AY126" s="33" t="n">
        <f aca="false">MAX(0,-AY124)</f>
        <v>0</v>
      </c>
      <c r="AZ126" s="33" t="n">
        <f aca="false">MAX(0,-AZ124)</f>
        <v>0</v>
      </c>
      <c r="BA126" s="33" t="n">
        <f aca="false">MAX(0,-BA124)</f>
        <v>0</v>
      </c>
      <c r="BB126" s="33" t="n">
        <f aca="false">MAX(0,-BB124)</f>
        <v>0</v>
      </c>
      <c r="BC126" s="33" t="n">
        <f aca="false">MAX(0,-BC124)</f>
        <v>0</v>
      </c>
      <c r="BD126" s="33" t="n">
        <f aca="false">MAX(0,-BD124)</f>
        <v>0</v>
      </c>
      <c r="BE126" s="33" t="n">
        <f aca="false">MAX(0,-BE124)</f>
        <v>0</v>
      </c>
      <c r="BF126" s="33" t="n">
        <f aca="false">MAX(0,-BF124)</f>
        <v>0</v>
      </c>
      <c r="BG126" s="33" t="n">
        <f aca="false">MAX(0,-BG124)</f>
        <v>0</v>
      </c>
      <c r="BH126" s="33" t="n">
        <f aca="false">MAX(0,-BH124)</f>
        <v>0</v>
      </c>
      <c r="BI126" s="33" t="n">
        <f aca="false">MAX(0,-BI124)</f>
        <v>0</v>
      </c>
      <c r="BJ126" s="33" t="n">
        <f aca="false">MAX(0,-BJ124)</f>
        <v>0</v>
      </c>
      <c r="BK126" s="33" t="n">
        <f aca="false">MAX(0,-BK124)</f>
        <v>0</v>
      </c>
      <c r="BL126" s="33" t="n">
        <f aca="false">MAX(0,-BL124)</f>
        <v>0</v>
      </c>
      <c r="BM126" s="33" t="n">
        <f aca="false">MAX(0,-BM124)</f>
        <v>0</v>
      </c>
      <c r="BN126" s="33" t="n">
        <f aca="false">MAX(0,-BN124)</f>
        <v>0</v>
      </c>
      <c r="BO126" s="33" t="n">
        <f aca="false">MAX(0,-BO124)</f>
        <v>0</v>
      </c>
      <c r="BP126" s="33" t="n">
        <f aca="false">MAX(0,-BP124)</f>
        <v>0</v>
      </c>
      <c r="BQ126" s="33" t="n">
        <f aca="false">MAX(0,-BQ124)</f>
        <v>0</v>
      </c>
      <c r="BR126" s="33" t="n">
        <f aca="false">MAX(0,-BR124)</f>
        <v>0</v>
      </c>
      <c r="BS126" s="33" t="n">
        <f aca="false">MAX(0,-BS124)</f>
        <v>0</v>
      </c>
      <c r="BT126" s="33" t="n">
        <f aca="false">MAX(0,-BT124)</f>
        <v>0</v>
      </c>
      <c r="BU126" s="33" t="n">
        <f aca="false">MAX(0,-BU124)</f>
        <v>0</v>
      </c>
      <c r="BV126" s="33" t="n">
        <f aca="false">MAX(0,-BV124)</f>
        <v>0</v>
      </c>
      <c r="BW126" s="33" t="n">
        <f aca="false">MAX(0,-BW124)</f>
        <v>0</v>
      </c>
      <c r="BX126" s="33" t="n">
        <f aca="false">MAX(0,-BX124)</f>
        <v>0</v>
      </c>
      <c r="BY126" s="33" t="n">
        <f aca="false">MAX(0,-BY124)</f>
        <v>0</v>
      </c>
      <c r="BZ126" s="33" t="n">
        <f aca="false">MAX(0,-BZ124)</f>
        <v>0</v>
      </c>
      <c r="CA126" s="33" t="n">
        <f aca="false">MAX(0,-CA124)</f>
        <v>0</v>
      </c>
      <c r="CB126" s="33" t="n">
        <f aca="false">MAX(0,-CB124)</f>
        <v>0</v>
      </c>
      <c r="CC126" s="33" t="n">
        <f aca="false">MAX(0,-CC124)</f>
        <v>0</v>
      </c>
      <c r="CD126" s="33" t="n">
        <f aca="false">MAX(0,-CD124)</f>
        <v>0</v>
      </c>
      <c r="CE126" s="33" t="n">
        <f aca="false">MAX(0,-CE124)</f>
        <v>0</v>
      </c>
      <c r="CF126" s="33" t="n">
        <f aca="false">MAX(0,-CF124)</f>
        <v>0</v>
      </c>
      <c r="CG126" s="33" t="n">
        <f aca="false">MAX(0,-CG124)</f>
        <v>0</v>
      </c>
      <c r="CH126" s="33" t="n">
        <f aca="false">MAX(0,-CH124)</f>
        <v>0</v>
      </c>
      <c r="CI126" s="33" t="n">
        <f aca="false">MAX(0,-CI124)</f>
        <v>0</v>
      </c>
      <c r="CJ126" s="33" t="n">
        <f aca="false">MAX(0,-CJ124)</f>
        <v>0</v>
      </c>
      <c r="CK126" s="33" t="n">
        <f aca="false">MAX(0,-CK124)</f>
        <v>0</v>
      </c>
      <c r="CL126" s="33" t="n">
        <f aca="false">MAX(0,-CL124)</f>
        <v>0</v>
      </c>
      <c r="CM126" s="33" t="n">
        <f aca="false">MAX(0,-CM124)</f>
        <v>0</v>
      </c>
      <c r="CN126" s="33" t="n">
        <f aca="false">MAX(0,-CN124)</f>
        <v>0</v>
      </c>
      <c r="CO126" s="33" t="n">
        <f aca="false">MAX(0,-CO124)</f>
        <v>0</v>
      </c>
      <c r="CP126" s="33" t="n">
        <f aca="false">MAX(0,-CP124)</f>
        <v>0</v>
      </c>
      <c r="CQ126" s="33" t="n">
        <f aca="false">MAX(0,-CQ124)</f>
        <v>0</v>
      </c>
      <c r="CR126" s="33" t="n">
        <f aca="false">MAX(0,-CR124)</f>
        <v>0</v>
      </c>
      <c r="CS126" s="33" t="n">
        <f aca="false">MAX(0,-CS124)</f>
        <v>0</v>
      </c>
      <c r="CT126" s="33" t="n">
        <f aca="false">MAX(0,-CT124)</f>
        <v>0</v>
      </c>
      <c r="CU126" s="33" t="n">
        <f aca="false">MAX(0,-CU124)</f>
        <v>0</v>
      </c>
      <c r="CV126" s="33" t="n">
        <f aca="false">MAX(0,-CV124)</f>
        <v>0</v>
      </c>
      <c r="CW126" s="33" t="n">
        <f aca="false">MAX(0,-CW124)</f>
        <v>0</v>
      </c>
      <c r="CX126" s="33" t="n">
        <f aca="false">MAX(0,-CX124)</f>
        <v>0</v>
      </c>
      <c r="CY126" s="33" t="n">
        <f aca="false">MAX(0,-CY124)</f>
        <v>0</v>
      </c>
      <c r="CZ126" s="33" t="n">
        <f aca="false">MAX(0,-CZ124)</f>
        <v>0</v>
      </c>
      <c r="DA126" s="33" t="n">
        <f aca="false">MAX(0,-DA124)</f>
        <v>0</v>
      </c>
      <c r="DB126" s="33" t="n">
        <f aca="false">MAX(0,-DB124)</f>
        <v>0</v>
      </c>
      <c r="DC126" s="33" t="n">
        <f aca="false">MAX(0,-DC124)</f>
        <v>0</v>
      </c>
      <c r="DD126" s="33" t="n">
        <f aca="false">MAX(0,-DD124)</f>
        <v>0</v>
      </c>
      <c r="DE126" s="33" t="n">
        <f aca="false">MAX(0,-DE124)</f>
        <v>0</v>
      </c>
      <c r="DF126" s="33" t="n">
        <f aca="false">MAX(0,-DF124)</f>
        <v>0</v>
      </c>
      <c r="DG126" s="33" t="n">
        <f aca="false">MAX(0,-DG124)</f>
        <v>0</v>
      </c>
      <c r="DH126" s="33" t="n">
        <f aca="false">MAX(0,-DH124)</f>
        <v>0</v>
      </c>
      <c r="DI126" s="33" t="n">
        <f aca="false">MAX(0,-DI124)</f>
        <v>0</v>
      </c>
      <c r="DJ126" s="33" t="n">
        <f aca="false">MAX(0,-DJ124)</f>
        <v>0</v>
      </c>
      <c r="DK126" s="33" t="n">
        <f aca="false">MAX(0,-DK124)</f>
        <v>0</v>
      </c>
      <c r="DL126" s="33" t="n">
        <f aca="false">MAX(0,-DL124)</f>
        <v>0</v>
      </c>
      <c r="DM126" s="33" t="n">
        <f aca="false">MAX(0,-DM124)</f>
        <v>0</v>
      </c>
      <c r="DN126" s="33" t="n">
        <f aca="false">MAX(0,-DN124)</f>
        <v>0</v>
      </c>
      <c r="DO126" s="33" t="n">
        <f aca="false">MAX(0,-DO124)</f>
        <v>0</v>
      </c>
      <c r="DP126" s="33" t="n">
        <f aca="false">MAX(0,-DP124)</f>
        <v>0</v>
      </c>
      <c r="DQ126" s="33" t="n">
        <f aca="false">MAX(0,-DQ124)</f>
        <v>0</v>
      </c>
      <c r="DR126" s="33" t="n">
        <f aca="false">MAX(0,-DR124)</f>
        <v>0</v>
      </c>
      <c r="DS126" s="33" t="n">
        <f aca="false">MAX(0,-DS124)</f>
        <v>0</v>
      </c>
      <c r="DT126" s="33" t="n">
        <f aca="false">MAX(0,-DT124)</f>
        <v>0</v>
      </c>
      <c r="DU126" s="33" t="n">
        <f aca="false">MAX(0,-DU124)</f>
        <v>0</v>
      </c>
      <c r="DV126" s="33" t="n">
        <f aca="false">MAX(0,-DV124)</f>
        <v>0</v>
      </c>
      <c r="DW126" s="33" t="n">
        <f aca="false">MAX(0,-DW124)</f>
        <v>0</v>
      </c>
      <c r="DX126" s="33" t="n">
        <f aca="false">MAX(0,-DX124)</f>
        <v>0</v>
      </c>
      <c r="DY126" s="33" t="n">
        <f aca="false">MAX(0,-DY124)</f>
        <v>0</v>
      </c>
      <c r="DZ126" s="33" t="n">
        <f aca="false">MAX(0,-DZ124)</f>
        <v>0</v>
      </c>
      <c r="EA126" s="33" t="n">
        <f aca="false">MAX(0,-EA124)</f>
        <v>0</v>
      </c>
      <c r="EB126" s="33" t="n">
        <f aca="false">MAX(0,-EB124)</f>
        <v>0</v>
      </c>
      <c r="EC126" s="33" t="n">
        <f aca="false">MAX(0,-EC124)</f>
        <v>0</v>
      </c>
      <c r="ED126" s="33" t="n">
        <f aca="false">MAX(0,-ED124)</f>
        <v>0</v>
      </c>
      <c r="EE126" s="33" t="n">
        <f aca="false">MAX(0,-EE124)</f>
        <v>0</v>
      </c>
      <c r="EF126" s="33" t="n">
        <f aca="false">MAX(0,-EF124)</f>
        <v>0</v>
      </c>
      <c r="EG126" s="33" t="n">
        <f aca="false">MAX(0,-EG124)</f>
        <v>0</v>
      </c>
      <c r="EH126" s="33" t="n">
        <f aca="false">MAX(0,-EH124)</f>
        <v>0</v>
      </c>
      <c r="EI126" s="33" t="n">
        <f aca="false">MAX(0,-EI124)</f>
        <v>0</v>
      </c>
      <c r="EJ126" s="33" t="n">
        <f aca="false">MAX(0,-EJ124)</f>
        <v>0</v>
      </c>
      <c r="EK126" s="33" t="n">
        <f aca="false">MAX(0,-EK124)</f>
        <v>0</v>
      </c>
      <c r="EL126" s="33" t="n">
        <f aca="false">MAX(0,-EL124)</f>
        <v>0</v>
      </c>
      <c r="EM126" s="33" t="n">
        <f aca="false">MAX(0,-EM124)</f>
        <v>0</v>
      </c>
      <c r="EN126" s="33" t="n">
        <f aca="false">MAX(0,-EN124)</f>
        <v>0</v>
      </c>
      <c r="EO126" s="33" t="n">
        <f aca="false">MAX(0,-EO124)</f>
        <v>0</v>
      </c>
      <c r="EP126" s="33" t="n">
        <f aca="false">MAX(0,-EP124)</f>
        <v>0</v>
      </c>
      <c r="EQ126" s="33" t="n">
        <f aca="false">MAX(0,-EQ124)</f>
        <v>0</v>
      </c>
      <c r="ER126" s="33" t="n">
        <f aca="false">MAX(0,-ER124)</f>
        <v>0</v>
      </c>
      <c r="ES126" s="33" t="n">
        <f aca="false">MAX(0,-ES124)</f>
        <v>0</v>
      </c>
      <c r="ET126" s="33" t="n">
        <f aca="false">MAX(0,-ET124)</f>
        <v>0</v>
      </c>
    </row>
    <row r="127" customFormat="false" ht="15" hidden="false" customHeight="false" outlineLevel="0" collapsed="false">
      <c r="C127" s="0" t="s">
        <v>577</v>
      </c>
      <c r="D127" s="11" t="s">
        <v>253</v>
      </c>
      <c r="I127" s="33" t="n">
        <f aca="false">SUM(J127:ET127)</f>
        <v>-6364.50608260992</v>
      </c>
      <c r="J127" s="33" t="n">
        <f aca="false">-MIN(J125,MAX(0,J124))</f>
        <v>-0</v>
      </c>
      <c r="K127" s="33" t="n">
        <f aca="false">-MIN(K125,MAX(0,K124))</f>
        <v>-0</v>
      </c>
      <c r="L127" s="33" t="n">
        <f aca="false">-MIN(L125,MAX(0,L124))</f>
        <v>-0</v>
      </c>
      <c r="M127" s="33" t="n">
        <f aca="false">-MIN(M125,MAX(0,M124))</f>
        <v>-0</v>
      </c>
      <c r="N127" s="33" t="n">
        <f aca="false">-MIN(N125,MAX(0,N124))</f>
        <v>-0</v>
      </c>
      <c r="O127" s="33" t="n">
        <f aca="false">-MIN(O125,MAX(0,O124))</f>
        <v>-0</v>
      </c>
      <c r="P127" s="33" t="n">
        <f aca="false">-MIN(P125,MAX(0,P124))</f>
        <v>-0</v>
      </c>
      <c r="Q127" s="33" t="n">
        <f aca="false">-MIN(Q125,MAX(0,Q124))</f>
        <v>-0</v>
      </c>
      <c r="R127" s="33" t="n">
        <f aca="false">-MIN(R125,MAX(0,R124))</f>
        <v>-0</v>
      </c>
      <c r="S127" s="33" t="n">
        <f aca="false">-MIN(S125,MAX(0,S124))</f>
        <v>-0</v>
      </c>
      <c r="T127" s="33" t="n">
        <f aca="false">-MIN(T125,MAX(0,T124))</f>
        <v>-0</v>
      </c>
      <c r="U127" s="33" t="n">
        <f aca="false">-MIN(U125,MAX(0,U124))</f>
        <v>-0</v>
      </c>
      <c r="V127" s="33" t="n">
        <f aca="false">-MIN(V125,MAX(0,V124))</f>
        <v>-0</v>
      </c>
      <c r="W127" s="33" t="n">
        <f aca="false">-MIN(W125,MAX(0,W124))</f>
        <v>-0</v>
      </c>
      <c r="X127" s="33" t="n">
        <f aca="false">-MIN(X125,MAX(0,X124))</f>
        <v>-0</v>
      </c>
      <c r="Y127" s="33" t="n">
        <f aca="false">-MIN(Y125,MAX(0,Y124))</f>
        <v>-0</v>
      </c>
      <c r="Z127" s="33" t="n">
        <f aca="false">-MIN(Z125,MAX(0,Z124))</f>
        <v>-0</v>
      </c>
      <c r="AA127" s="33" t="n">
        <f aca="false">-MIN(AA125,MAX(0,AA124))</f>
        <v>-0</v>
      </c>
      <c r="AB127" s="33" t="n">
        <f aca="false">-MIN(AB125,MAX(0,AB124))</f>
        <v>-0</v>
      </c>
      <c r="AC127" s="33" t="n">
        <f aca="false">-MIN(AC125,MAX(0,AC124))</f>
        <v>-0</v>
      </c>
      <c r="AD127" s="33" t="n">
        <f aca="false">-MIN(AD125,MAX(0,AD124))</f>
        <v>-0</v>
      </c>
      <c r="AE127" s="33" t="n">
        <f aca="false">-MIN(AE125,MAX(0,AE124))</f>
        <v>-844.592147336478</v>
      </c>
      <c r="AF127" s="33" t="n">
        <f aca="false">-MIN(AF125,MAX(0,AF124))</f>
        <v>-873.754592434829</v>
      </c>
      <c r="AG127" s="33" t="n">
        <f aca="false">-MIN(AG125,MAX(0,AG124))</f>
        <v>-898.171621364089</v>
      </c>
      <c r="AH127" s="33" t="n">
        <f aca="false">-MIN(AH125,MAX(0,AH124))</f>
        <v>-945.875618690579</v>
      </c>
      <c r="AI127" s="33" t="n">
        <f aca="false">-MIN(AI125,MAX(0,AI124))</f>
        <v>-956.212854990103</v>
      </c>
      <c r="AJ127" s="33" t="n">
        <f aca="false">-MIN(AJ125,MAX(0,AJ124))</f>
        <v>-963.097413625111</v>
      </c>
      <c r="AK127" s="33" t="n">
        <f aca="false">-MIN(AK125,MAX(0,AK124))</f>
        <v>-882.801834168731</v>
      </c>
      <c r="AL127" s="33" t="n">
        <f aca="false">-MIN(AL125,MAX(0,AL124))</f>
        <v>-0</v>
      </c>
      <c r="AM127" s="33" t="n">
        <f aca="false">-MIN(AM125,MAX(0,AM124))</f>
        <v>-0</v>
      </c>
      <c r="AN127" s="33" t="n">
        <f aca="false">-MIN(AN125,MAX(0,AN124))</f>
        <v>-0</v>
      </c>
      <c r="AO127" s="33" t="n">
        <f aca="false">-MIN(AO125,MAX(0,AO124))</f>
        <v>-0</v>
      </c>
      <c r="AP127" s="33" t="n">
        <f aca="false">-MIN(AP125,MAX(0,AP124))</f>
        <v>-0</v>
      </c>
      <c r="AQ127" s="33" t="n">
        <f aca="false">-MIN(AQ125,MAX(0,AQ124))</f>
        <v>-0</v>
      </c>
      <c r="AR127" s="33" t="n">
        <f aca="false">-MIN(AR125,MAX(0,AR124))</f>
        <v>-0</v>
      </c>
      <c r="AS127" s="33" t="n">
        <f aca="false">-MIN(AS125,MAX(0,AS124))</f>
        <v>-0</v>
      </c>
      <c r="AT127" s="33" t="n">
        <f aca="false">-MIN(AT125,MAX(0,AT124))</f>
        <v>-0</v>
      </c>
      <c r="AU127" s="33" t="n">
        <f aca="false">-MIN(AU125,MAX(0,AU124))</f>
        <v>-0</v>
      </c>
      <c r="AV127" s="33" t="n">
        <f aca="false">-MIN(AV125,MAX(0,AV124))</f>
        <v>-0</v>
      </c>
      <c r="AW127" s="33" t="n">
        <f aca="false">-MIN(AW125,MAX(0,AW124))</f>
        <v>-0</v>
      </c>
      <c r="AX127" s="33" t="n">
        <f aca="false">-MIN(AX125,MAX(0,AX124))</f>
        <v>-0</v>
      </c>
      <c r="AY127" s="33" t="n">
        <f aca="false">-MIN(AY125,MAX(0,AY124))</f>
        <v>-0</v>
      </c>
      <c r="AZ127" s="33" t="n">
        <f aca="false">-MIN(AZ125,MAX(0,AZ124))</f>
        <v>-0</v>
      </c>
      <c r="BA127" s="33" t="n">
        <f aca="false">-MIN(BA125,MAX(0,BA124))</f>
        <v>-0</v>
      </c>
      <c r="BB127" s="33" t="n">
        <f aca="false">-MIN(BB125,MAX(0,BB124))</f>
        <v>-0</v>
      </c>
      <c r="BC127" s="33" t="n">
        <f aca="false">-MIN(BC125,MAX(0,BC124))</f>
        <v>-0</v>
      </c>
      <c r="BD127" s="33" t="n">
        <f aca="false">-MIN(BD125,MAX(0,BD124))</f>
        <v>-0</v>
      </c>
      <c r="BE127" s="33" t="n">
        <f aca="false">-MIN(BE125,MAX(0,BE124))</f>
        <v>-0</v>
      </c>
      <c r="BF127" s="33" t="n">
        <f aca="false">-MIN(BF125,MAX(0,BF124))</f>
        <v>-0</v>
      </c>
      <c r="BG127" s="33" t="n">
        <f aca="false">-MIN(BG125,MAX(0,BG124))</f>
        <v>-0</v>
      </c>
      <c r="BH127" s="33" t="n">
        <f aca="false">-MIN(BH125,MAX(0,BH124))</f>
        <v>-0</v>
      </c>
      <c r="BI127" s="33" t="n">
        <f aca="false">-MIN(BI125,MAX(0,BI124))</f>
        <v>-0</v>
      </c>
      <c r="BJ127" s="33" t="n">
        <f aca="false">-MIN(BJ125,MAX(0,BJ124))</f>
        <v>-0</v>
      </c>
      <c r="BK127" s="33" t="n">
        <f aca="false">-MIN(BK125,MAX(0,BK124))</f>
        <v>-0</v>
      </c>
      <c r="BL127" s="33" t="n">
        <f aca="false">-MIN(BL125,MAX(0,BL124))</f>
        <v>-0</v>
      </c>
      <c r="BM127" s="33" t="n">
        <f aca="false">-MIN(BM125,MAX(0,BM124))</f>
        <v>-0</v>
      </c>
      <c r="BN127" s="33" t="n">
        <f aca="false">-MIN(BN125,MAX(0,BN124))</f>
        <v>-0</v>
      </c>
      <c r="BO127" s="33" t="n">
        <f aca="false">-MIN(BO125,MAX(0,BO124))</f>
        <v>-0</v>
      </c>
      <c r="BP127" s="33" t="n">
        <f aca="false">-MIN(BP125,MAX(0,BP124))</f>
        <v>-0</v>
      </c>
      <c r="BQ127" s="33" t="n">
        <f aca="false">-MIN(BQ125,MAX(0,BQ124))</f>
        <v>-0</v>
      </c>
      <c r="BR127" s="33" t="n">
        <f aca="false">-MIN(BR125,MAX(0,BR124))</f>
        <v>-0</v>
      </c>
      <c r="BS127" s="33" t="n">
        <f aca="false">-MIN(BS125,MAX(0,BS124))</f>
        <v>-0</v>
      </c>
      <c r="BT127" s="33" t="n">
        <f aca="false">-MIN(BT125,MAX(0,BT124))</f>
        <v>-0</v>
      </c>
      <c r="BU127" s="33" t="n">
        <f aca="false">-MIN(BU125,MAX(0,BU124))</f>
        <v>-0</v>
      </c>
      <c r="BV127" s="33" t="n">
        <f aca="false">-MIN(BV125,MAX(0,BV124))</f>
        <v>-0</v>
      </c>
      <c r="BW127" s="33" t="n">
        <f aca="false">-MIN(BW125,MAX(0,BW124))</f>
        <v>-0</v>
      </c>
      <c r="BX127" s="33" t="n">
        <f aca="false">-MIN(BX125,MAX(0,BX124))</f>
        <v>-0</v>
      </c>
      <c r="BY127" s="33" t="n">
        <f aca="false">-MIN(BY125,MAX(0,BY124))</f>
        <v>-0</v>
      </c>
      <c r="BZ127" s="33" t="n">
        <f aca="false">-MIN(BZ125,MAX(0,BZ124))</f>
        <v>-0</v>
      </c>
      <c r="CA127" s="33" t="n">
        <f aca="false">-MIN(CA125,MAX(0,CA124))</f>
        <v>-0</v>
      </c>
      <c r="CB127" s="33" t="n">
        <f aca="false">-MIN(CB125,MAX(0,CB124))</f>
        <v>-0</v>
      </c>
      <c r="CC127" s="33" t="n">
        <f aca="false">-MIN(CC125,MAX(0,CC124))</f>
        <v>-0</v>
      </c>
      <c r="CD127" s="33" t="n">
        <f aca="false">-MIN(CD125,MAX(0,CD124))</f>
        <v>-0</v>
      </c>
      <c r="CE127" s="33" t="n">
        <f aca="false">-MIN(CE125,MAX(0,CE124))</f>
        <v>-0</v>
      </c>
      <c r="CF127" s="33" t="n">
        <f aca="false">-MIN(CF125,MAX(0,CF124))</f>
        <v>-0</v>
      </c>
      <c r="CG127" s="33" t="n">
        <f aca="false">-MIN(CG125,MAX(0,CG124))</f>
        <v>-0</v>
      </c>
      <c r="CH127" s="33" t="n">
        <f aca="false">-MIN(CH125,MAX(0,CH124))</f>
        <v>-0</v>
      </c>
      <c r="CI127" s="33" t="n">
        <f aca="false">-MIN(CI125,MAX(0,CI124))</f>
        <v>-0</v>
      </c>
      <c r="CJ127" s="33" t="n">
        <f aca="false">-MIN(CJ125,MAX(0,CJ124))</f>
        <v>-0</v>
      </c>
      <c r="CK127" s="33" t="n">
        <f aca="false">-MIN(CK125,MAX(0,CK124))</f>
        <v>-0</v>
      </c>
      <c r="CL127" s="33" t="n">
        <f aca="false">-MIN(CL125,MAX(0,CL124))</f>
        <v>-0</v>
      </c>
      <c r="CM127" s="33" t="n">
        <f aca="false">-MIN(CM125,MAX(0,CM124))</f>
        <v>-0</v>
      </c>
      <c r="CN127" s="33" t="n">
        <f aca="false">-MIN(CN125,MAX(0,CN124))</f>
        <v>-0</v>
      </c>
      <c r="CO127" s="33" t="n">
        <f aca="false">-MIN(CO125,MAX(0,CO124))</f>
        <v>-0</v>
      </c>
      <c r="CP127" s="33" t="n">
        <f aca="false">-MIN(CP125,MAX(0,CP124))</f>
        <v>-0</v>
      </c>
      <c r="CQ127" s="33" t="n">
        <f aca="false">-MIN(CQ125,MAX(0,CQ124))</f>
        <v>-0</v>
      </c>
      <c r="CR127" s="33" t="n">
        <f aca="false">-MIN(CR125,MAX(0,CR124))</f>
        <v>-0</v>
      </c>
      <c r="CS127" s="33" t="n">
        <f aca="false">-MIN(CS125,MAX(0,CS124))</f>
        <v>-0</v>
      </c>
      <c r="CT127" s="33" t="n">
        <f aca="false">-MIN(CT125,MAX(0,CT124))</f>
        <v>-0</v>
      </c>
      <c r="CU127" s="33" t="n">
        <f aca="false">-MIN(CU125,MAX(0,CU124))</f>
        <v>-0</v>
      </c>
      <c r="CV127" s="33" t="n">
        <f aca="false">-MIN(CV125,MAX(0,CV124))</f>
        <v>-0</v>
      </c>
      <c r="CW127" s="33" t="n">
        <f aca="false">-MIN(CW125,MAX(0,CW124))</f>
        <v>-0</v>
      </c>
      <c r="CX127" s="33" t="n">
        <f aca="false">-MIN(CX125,MAX(0,CX124))</f>
        <v>-0</v>
      </c>
      <c r="CY127" s="33" t="n">
        <f aca="false">-MIN(CY125,MAX(0,CY124))</f>
        <v>-0</v>
      </c>
      <c r="CZ127" s="33" t="n">
        <f aca="false">-MIN(CZ125,MAX(0,CZ124))</f>
        <v>-0</v>
      </c>
      <c r="DA127" s="33" t="n">
        <f aca="false">-MIN(DA125,MAX(0,DA124))</f>
        <v>-0</v>
      </c>
      <c r="DB127" s="33" t="n">
        <f aca="false">-MIN(DB125,MAX(0,DB124))</f>
        <v>-0</v>
      </c>
      <c r="DC127" s="33" t="n">
        <f aca="false">-MIN(DC125,MAX(0,DC124))</f>
        <v>-0</v>
      </c>
      <c r="DD127" s="33" t="n">
        <f aca="false">-MIN(DD125,MAX(0,DD124))</f>
        <v>-0</v>
      </c>
      <c r="DE127" s="33" t="n">
        <f aca="false">-MIN(DE125,MAX(0,DE124))</f>
        <v>-0</v>
      </c>
      <c r="DF127" s="33" t="n">
        <f aca="false">-MIN(DF125,MAX(0,DF124))</f>
        <v>-0</v>
      </c>
      <c r="DG127" s="33" t="n">
        <f aca="false">-MIN(DG125,MAX(0,DG124))</f>
        <v>-0</v>
      </c>
      <c r="DH127" s="33" t="n">
        <f aca="false">-MIN(DH125,MAX(0,DH124))</f>
        <v>-0</v>
      </c>
      <c r="DI127" s="33" t="n">
        <f aca="false">-MIN(DI125,MAX(0,DI124))</f>
        <v>-0</v>
      </c>
      <c r="DJ127" s="33" t="n">
        <f aca="false">-MIN(DJ125,MAX(0,DJ124))</f>
        <v>-0</v>
      </c>
      <c r="DK127" s="33" t="n">
        <f aca="false">-MIN(DK125,MAX(0,DK124))</f>
        <v>-0</v>
      </c>
      <c r="DL127" s="33" t="n">
        <f aca="false">-MIN(DL125,MAX(0,DL124))</f>
        <v>-0</v>
      </c>
      <c r="DM127" s="33" t="n">
        <f aca="false">-MIN(DM125,MAX(0,DM124))</f>
        <v>-0</v>
      </c>
      <c r="DN127" s="33" t="n">
        <f aca="false">-MIN(DN125,MAX(0,DN124))</f>
        <v>-0</v>
      </c>
      <c r="DO127" s="33" t="n">
        <f aca="false">-MIN(DO125,MAX(0,DO124))</f>
        <v>-0</v>
      </c>
      <c r="DP127" s="33" t="n">
        <f aca="false">-MIN(DP125,MAX(0,DP124))</f>
        <v>-0</v>
      </c>
      <c r="DQ127" s="33" t="n">
        <f aca="false">-MIN(DQ125,MAX(0,DQ124))</f>
        <v>-0</v>
      </c>
      <c r="DR127" s="33" t="n">
        <f aca="false">-MIN(DR125,MAX(0,DR124))</f>
        <v>-0</v>
      </c>
      <c r="DS127" s="33" t="n">
        <f aca="false">-MIN(DS125,MAX(0,DS124))</f>
        <v>-0</v>
      </c>
      <c r="DT127" s="33" t="n">
        <f aca="false">-MIN(DT125,MAX(0,DT124))</f>
        <v>-0</v>
      </c>
      <c r="DU127" s="33" t="n">
        <f aca="false">-MIN(DU125,MAX(0,DU124))</f>
        <v>-0</v>
      </c>
      <c r="DV127" s="33" t="n">
        <f aca="false">-MIN(DV125,MAX(0,DV124))</f>
        <v>-0</v>
      </c>
      <c r="DW127" s="33" t="n">
        <f aca="false">-MIN(DW125,MAX(0,DW124))</f>
        <v>-0</v>
      </c>
      <c r="DX127" s="33" t="n">
        <f aca="false">-MIN(DX125,MAX(0,DX124))</f>
        <v>-0</v>
      </c>
      <c r="DY127" s="33" t="n">
        <f aca="false">-MIN(DY125,MAX(0,DY124))</f>
        <v>-0</v>
      </c>
      <c r="DZ127" s="33" t="n">
        <f aca="false">-MIN(DZ125,MAX(0,DZ124))</f>
        <v>-0</v>
      </c>
      <c r="EA127" s="33" t="n">
        <f aca="false">-MIN(EA125,MAX(0,EA124))</f>
        <v>-0</v>
      </c>
      <c r="EB127" s="33" t="n">
        <f aca="false">-MIN(EB125,MAX(0,EB124))</f>
        <v>-0</v>
      </c>
      <c r="EC127" s="33" t="n">
        <f aca="false">-MIN(EC125,MAX(0,EC124))</f>
        <v>-0</v>
      </c>
      <c r="ED127" s="33" t="n">
        <f aca="false">-MIN(ED125,MAX(0,ED124))</f>
        <v>-0</v>
      </c>
      <c r="EE127" s="33" t="n">
        <f aca="false">-MIN(EE125,MAX(0,EE124))</f>
        <v>-0</v>
      </c>
      <c r="EF127" s="33" t="n">
        <f aca="false">-MIN(EF125,MAX(0,EF124))</f>
        <v>-0</v>
      </c>
      <c r="EG127" s="33" t="n">
        <f aca="false">-MIN(EG125,MAX(0,EG124))</f>
        <v>-0</v>
      </c>
      <c r="EH127" s="33" t="n">
        <f aca="false">-MIN(EH125,MAX(0,EH124))</f>
        <v>-0</v>
      </c>
      <c r="EI127" s="33" t="n">
        <f aca="false">-MIN(EI125,MAX(0,EI124))</f>
        <v>-0</v>
      </c>
      <c r="EJ127" s="33" t="n">
        <f aca="false">-MIN(EJ125,MAX(0,EJ124))</f>
        <v>-0</v>
      </c>
      <c r="EK127" s="33" t="n">
        <f aca="false">-MIN(EK125,MAX(0,EK124))</f>
        <v>-0</v>
      </c>
      <c r="EL127" s="33" t="n">
        <f aca="false">-MIN(EL125,MAX(0,EL124))</f>
        <v>-0</v>
      </c>
      <c r="EM127" s="33" t="n">
        <f aca="false">-MIN(EM125,MAX(0,EM124))</f>
        <v>-0</v>
      </c>
      <c r="EN127" s="33" t="n">
        <f aca="false">-MIN(EN125,MAX(0,EN124))</f>
        <v>-0</v>
      </c>
      <c r="EO127" s="33" t="n">
        <f aca="false">-MIN(EO125,MAX(0,EO124))</f>
        <v>-0</v>
      </c>
      <c r="EP127" s="33" t="n">
        <f aca="false">-MIN(EP125,MAX(0,EP124))</f>
        <v>-0</v>
      </c>
      <c r="EQ127" s="33" t="n">
        <f aca="false">-MIN(EQ125,MAX(0,EQ124))</f>
        <v>-0</v>
      </c>
      <c r="ER127" s="33" t="n">
        <f aca="false">-MIN(ER125,MAX(0,ER124))</f>
        <v>-0</v>
      </c>
      <c r="ES127" s="33" t="n">
        <f aca="false">-MIN(ES125,MAX(0,ES124))</f>
        <v>-0</v>
      </c>
      <c r="ET127" s="33" t="n">
        <f aca="false">-MIN(ET125,MAX(0,ET124))</f>
        <v>-0</v>
      </c>
    </row>
    <row r="128" customFormat="false" ht="15" hidden="false" customHeight="false" outlineLevel="0" collapsed="false">
      <c r="C128" s="0" t="s">
        <v>578</v>
      </c>
      <c r="D128" s="11" t="s">
        <v>253</v>
      </c>
      <c r="I128" s="54"/>
      <c r="J128" s="33" t="n">
        <f aca="false">SUM(J125:J127)</f>
        <v>0</v>
      </c>
      <c r="K128" s="33" t="n">
        <f aca="false">SUM(K125:K127)</f>
        <v>178.520547945205</v>
      </c>
      <c r="L128" s="33" t="n">
        <f aca="false">SUM(L125:L127)</f>
        <v>766.965068493151</v>
      </c>
      <c r="M128" s="33" t="n">
        <f aca="false">SUM(M125:M127)</f>
        <v>810.800684931507</v>
      </c>
      <c r="N128" s="33" t="n">
        <f aca="false">SUM(N125:N127)</f>
        <v>854.636301369863</v>
      </c>
      <c r="O128" s="33" t="n">
        <f aca="false">SUM(O125:O127)</f>
        <v>1038.99794520548</v>
      </c>
      <c r="P128" s="33" t="n">
        <f aca="false">SUM(P125:P127)</f>
        <v>2329.03974000559</v>
      </c>
      <c r="Q128" s="33" t="n">
        <f aca="false">SUM(Q125:Q127)</f>
        <v>2333.64932904669</v>
      </c>
      <c r="R128" s="33" t="n">
        <f aca="false">SUM(R125:R127)</f>
        <v>2497.74083902712</v>
      </c>
      <c r="S128" s="33" t="n">
        <f aca="false">SUM(S125:S127)</f>
        <v>2814.96697772435</v>
      </c>
      <c r="T128" s="33" t="n">
        <f aca="false">SUM(T125:T127)</f>
        <v>3119.62451197093</v>
      </c>
      <c r="U128" s="33" t="n">
        <f aca="false">SUM(U125:U127)</f>
        <v>3119.62451197093</v>
      </c>
      <c r="V128" s="33" t="n">
        <f aca="false">SUM(V125:V127)</f>
        <v>3119.62451197093</v>
      </c>
      <c r="W128" s="33" t="n">
        <f aca="false">SUM(W125:W127)</f>
        <v>5074.63865062317</v>
      </c>
      <c r="X128" s="33" t="n">
        <f aca="false">SUM(X125:X127)</f>
        <v>5334.80891409552</v>
      </c>
      <c r="Y128" s="33" t="n">
        <f aca="false">SUM(Y125:Y127)</f>
        <v>5571.5693249929</v>
      </c>
      <c r="Z128" s="33" t="n">
        <f aca="false">SUM(Z125:Z127)</f>
        <v>5784.04640684983</v>
      </c>
      <c r="AA128" s="33" t="n">
        <f aca="false">SUM(AA125:AA127)</f>
        <v>5969.34295633999</v>
      </c>
      <c r="AB128" s="33" t="n">
        <f aca="false">SUM(AB125:AB127)</f>
        <v>6125.91608905738</v>
      </c>
      <c r="AC128" s="33" t="n">
        <f aca="false">SUM(AC125:AC127)</f>
        <v>6257.92828996918</v>
      </c>
      <c r="AD128" s="33" t="n">
        <f aca="false">SUM(AD125:AD127)</f>
        <v>6364.50608260992</v>
      </c>
      <c r="AE128" s="33" t="n">
        <f aca="false">SUM(AE125:AE127)</f>
        <v>5519.91393527344</v>
      </c>
      <c r="AF128" s="33" t="n">
        <f aca="false">SUM(AF125:AF127)</f>
        <v>4646.15934283861</v>
      </c>
      <c r="AG128" s="33" t="n">
        <f aca="false">SUM(AG125:AG127)</f>
        <v>3747.98772147452</v>
      </c>
      <c r="AH128" s="33" t="n">
        <f aca="false">SUM(AH125:AH127)</f>
        <v>2802.11210278394</v>
      </c>
      <c r="AI128" s="33" t="n">
        <f aca="false">SUM(AI125:AI127)</f>
        <v>1845.89924779384</v>
      </c>
      <c r="AJ128" s="33" t="n">
        <f aca="false">SUM(AJ125:AJ127)</f>
        <v>882.801834168731</v>
      </c>
      <c r="AK128" s="33" t="n">
        <f aca="false">SUM(AK125:AK127)</f>
        <v>0</v>
      </c>
      <c r="AL128" s="33" t="n">
        <f aca="false">SUM(AL125:AL127)</f>
        <v>0</v>
      </c>
      <c r="AM128" s="33" t="n">
        <f aca="false">SUM(AM125:AM127)</f>
        <v>0</v>
      </c>
      <c r="AN128" s="33" t="n">
        <f aca="false">SUM(AN125:AN127)</f>
        <v>0</v>
      </c>
      <c r="AO128" s="33" t="n">
        <f aca="false">SUM(AO125:AO127)</f>
        <v>0</v>
      </c>
      <c r="AP128" s="33" t="n">
        <f aca="false">SUM(AP125:AP127)</f>
        <v>0</v>
      </c>
      <c r="AQ128" s="33" t="n">
        <f aca="false">SUM(AQ125:AQ127)</f>
        <v>0</v>
      </c>
      <c r="AR128" s="33" t="n">
        <f aca="false">SUM(AR125:AR127)</f>
        <v>0</v>
      </c>
      <c r="AS128" s="33" t="n">
        <f aca="false">SUM(AS125:AS127)</f>
        <v>0</v>
      </c>
      <c r="AT128" s="33" t="n">
        <f aca="false">SUM(AT125:AT127)</f>
        <v>0</v>
      </c>
      <c r="AU128" s="33" t="n">
        <f aca="false">SUM(AU125:AU127)</f>
        <v>0</v>
      </c>
      <c r="AV128" s="33" t="n">
        <f aca="false">SUM(AV125:AV127)</f>
        <v>0</v>
      </c>
      <c r="AW128" s="33" t="n">
        <f aca="false">SUM(AW125:AW127)</f>
        <v>0</v>
      </c>
      <c r="AX128" s="33" t="n">
        <f aca="false">SUM(AX125:AX127)</f>
        <v>0</v>
      </c>
      <c r="AY128" s="33" t="n">
        <f aca="false">SUM(AY125:AY127)</f>
        <v>0</v>
      </c>
      <c r="AZ128" s="33" t="n">
        <f aca="false">SUM(AZ125:AZ127)</f>
        <v>0</v>
      </c>
      <c r="BA128" s="33" t="n">
        <f aca="false">SUM(BA125:BA127)</f>
        <v>0</v>
      </c>
      <c r="BB128" s="33" t="n">
        <f aca="false">SUM(BB125:BB127)</f>
        <v>0</v>
      </c>
      <c r="BC128" s="33" t="n">
        <f aca="false">SUM(BC125:BC127)</f>
        <v>0</v>
      </c>
      <c r="BD128" s="33" t="n">
        <f aca="false">SUM(BD125:BD127)</f>
        <v>0</v>
      </c>
      <c r="BE128" s="33" t="n">
        <f aca="false">SUM(BE125:BE127)</f>
        <v>0</v>
      </c>
      <c r="BF128" s="33" t="n">
        <f aca="false">SUM(BF125:BF127)</f>
        <v>0</v>
      </c>
      <c r="BG128" s="33" t="n">
        <f aca="false">SUM(BG125:BG127)</f>
        <v>0</v>
      </c>
      <c r="BH128" s="33" t="n">
        <f aca="false">SUM(BH125:BH127)</f>
        <v>0</v>
      </c>
      <c r="BI128" s="33" t="n">
        <f aca="false">SUM(BI125:BI127)</f>
        <v>0</v>
      </c>
      <c r="BJ128" s="33" t="n">
        <f aca="false">SUM(BJ125:BJ127)</f>
        <v>0</v>
      </c>
      <c r="BK128" s="33" t="n">
        <f aca="false">SUM(BK125:BK127)</f>
        <v>0</v>
      </c>
      <c r="BL128" s="33" t="n">
        <f aca="false">SUM(BL125:BL127)</f>
        <v>0</v>
      </c>
      <c r="BM128" s="33" t="n">
        <f aca="false">SUM(BM125:BM127)</f>
        <v>0</v>
      </c>
      <c r="BN128" s="33" t="n">
        <f aca="false">SUM(BN125:BN127)</f>
        <v>0</v>
      </c>
      <c r="BO128" s="33" t="n">
        <f aca="false">SUM(BO125:BO127)</f>
        <v>0</v>
      </c>
      <c r="BP128" s="33" t="n">
        <f aca="false">SUM(BP125:BP127)</f>
        <v>0</v>
      </c>
      <c r="BQ128" s="33" t="n">
        <f aca="false">SUM(BQ125:BQ127)</f>
        <v>0</v>
      </c>
      <c r="BR128" s="33" t="n">
        <f aca="false">SUM(BR125:BR127)</f>
        <v>0</v>
      </c>
      <c r="BS128" s="33" t="n">
        <f aca="false">SUM(BS125:BS127)</f>
        <v>0</v>
      </c>
      <c r="BT128" s="33" t="n">
        <f aca="false">SUM(BT125:BT127)</f>
        <v>0</v>
      </c>
      <c r="BU128" s="33" t="n">
        <f aca="false">SUM(BU125:BU127)</f>
        <v>0</v>
      </c>
      <c r="BV128" s="33" t="n">
        <f aca="false">SUM(BV125:BV127)</f>
        <v>0</v>
      </c>
      <c r="BW128" s="33" t="n">
        <f aca="false">SUM(BW125:BW127)</f>
        <v>0</v>
      </c>
      <c r="BX128" s="33" t="n">
        <f aca="false">SUM(BX125:BX127)</f>
        <v>0</v>
      </c>
      <c r="BY128" s="33" t="n">
        <f aca="false">SUM(BY125:BY127)</f>
        <v>0</v>
      </c>
      <c r="BZ128" s="33" t="n">
        <f aca="false">SUM(BZ125:BZ127)</f>
        <v>0</v>
      </c>
      <c r="CA128" s="33" t="n">
        <f aca="false">SUM(CA125:CA127)</f>
        <v>0</v>
      </c>
      <c r="CB128" s="33" t="n">
        <f aca="false">SUM(CB125:CB127)</f>
        <v>0</v>
      </c>
      <c r="CC128" s="33" t="n">
        <f aca="false">SUM(CC125:CC127)</f>
        <v>0</v>
      </c>
      <c r="CD128" s="33" t="n">
        <f aca="false">SUM(CD125:CD127)</f>
        <v>0</v>
      </c>
      <c r="CE128" s="33" t="n">
        <f aca="false">SUM(CE125:CE127)</f>
        <v>0</v>
      </c>
      <c r="CF128" s="33" t="n">
        <f aca="false">SUM(CF125:CF127)</f>
        <v>0</v>
      </c>
      <c r="CG128" s="33" t="n">
        <f aca="false">SUM(CG125:CG127)</f>
        <v>0</v>
      </c>
      <c r="CH128" s="33" t="n">
        <f aca="false">SUM(CH125:CH127)</f>
        <v>0</v>
      </c>
      <c r="CI128" s="33" t="n">
        <f aca="false">SUM(CI125:CI127)</f>
        <v>0</v>
      </c>
      <c r="CJ128" s="33" t="n">
        <f aca="false">SUM(CJ125:CJ127)</f>
        <v>0</v>
      </c>
      <c r="CK128" s="33" t="n">
        <f aca="false">SUM(CK125:CK127)</f>
        <v>0</v>
      </c>
      <c r="CL128" s="33" t="n">
        <f aca="false">SUM(CL125:CL127)</f>
        <v>0</v>
      </c>
      <c r="CM128" s="33" t="n">
        <f aca="false">SUM(CM125:CM127)</f>
        <v>0</v>
      </c>
      <c r="CN128" s="33" t="n">
        <f aca="false">SUM(CN125:CN127)</f>
        <v>0</v>
      </c>
      <c r="CO128" s="33" t="n">
        <f aca="false">SUM(CO125:CO127)</f>
        <v>0</v>
      </c>
      <c r="CP128" s="33" t="n">
        <f aca="false">SUM(CP125:CP127)</f>
        <v>0</v>
      </c>
      <c r="CQ128" s="33" t="n">
        <f aca="false">SUM(CQ125:CQ127)</f>
        <v>0</v>
      </c>
      <c r="CR128" s="33" t="n">
        <f aca="false">SUM(CR125:CR127)</f>
        <v>0</v>
      </c>
      <c r="CS128" s="33" t="n">
        <f aca="false">SUM(CS125:CS127)</f>
        <v>0</v>
      </c>
      <c r="CT128" s="33" t="n">
        <f aca="false">SUM(CT125:CT127)</f>
        <v>0</v>
      </c>
      <c r="CU128" s="33" t="n">
        <f aca="false">SUM(CU125:CU127)</f>
        <v>0</v>
      </c>
      <c r="CV128" s="33" t="n">
        <f aca="false">SUM(CV125:CV127)</f>
        <v>0</v>
      </c>
      <c r="CW128" s="33" t="n">
        <f aca="false">SUM(CW125:CW127)</f>
        <v>0</v>
      </c>
      <c r="CX128" s="33" t="n">
        <f aca="false">SUM(CX125:CX127)</f>
        <v>0</v>
      </c>
      <c r="CY128" s="33" t="n">
        <f aca="false">SUM(CY125:CY127)</f>
        <v>0</v>
      </c>
      <c r="CZ128" s="33" t="n">
        <f aca="false">SUM(CZ125:CZ127)</f>
        <v>0</v>
      </c>
      <c r="DA128" s="33" t="n">
        <f aca="false">SUM(DA125:DA127)</f>
        <v>0</v>
      </c>
      <c r="DB128" s="33" t="n">
        <f aca="false">SUM(DB125:DB127)</f>
        <v>0</v>
      </c>
      <c r="DC128" s="33" t="n">
        <f aca="false">SUM(DC125:DC127)</f>
        <v>0</v>
      </c>
      <c r="DD128" s="33" t="n">
        <f aca="false">SUM(DD125:DD127)</f>
        <v>0</v>
      </c>
      <c r="DE128" s="33" t="n">
        <f aca="false">SUM(DE125:DE127)</f>
        <v>0</v>
      </c>
      <c r="DF128" s="33" t="n">
        <f aca="false">SUM(DF125:DF127)</f>
        <v>0</v>
      </c>
      <c r="DG128" s="33" t="n">
        <f aca="false">SUM(DG125:DG127)</f>
        <v>0</v>
      </c>
      <c r="DH128" s="33" t="n">
        <f aca="false">SUM(DH125:DH127)</f>
        <v>0</v>
      </c>
      <c r="DI128" s="33" t="n">
        <f aca="false">SUM(DI125:DI127)</f>
        <v>0</v>
      </c>
      <c r="DJ128" s="33" t="n">
        <f aca="false">SUM(DJ125:DJ127)</f>
        <v>0</v>
      </c>
      <c r="DK128" s="33" t="n">
        <f aca="false">SUM(DK125:DK127)</f>
        <v>0</v>
      </c>
      <c r="DL128" s="33" t="n">
        <f aca="false">SUM(DL125:DL127)</f>
        <v>0</v>
      </c>
      <c r="DM128" s="33" t="n">
        <f aca="false">SUM(DM125:DM127)</f>
        <v>0</v>
      </c>
      <c r="DN128" s="33" t="n">
        <f aca="false">SUM(DN125:DN127)</f>
        <v>0</v>
      </c>
      <c r="DO128" s="33" t="n">
        <f aca="false">SUM(DO125:DO127)</f>
        <v>0</v>
      </c>
      <c r="DP128" s="33" t="n">
        <f aca="false">SUM(DP125:DP127)</f>
        <v>0</v>
      </c>
      <c r="DQ128" s="33" t="n">
        <f aca="false">SUM(DQ125:DQ127)</f>
        <v>0</v>
      </c>
      <c r="DR128" s="33" t="n">
        <f aca="false">SUM(DR125:DR127)</f>
        <v>0</v>
      </c>
      <c r="DS128" s="33" t="n">
        <f aca="false">SUM(DS125:DS127)</f>
        <v>0</v>
      </c>
      <c r="DT128" s="33" t="n">
        <f aca="false">SUM(DT125:DT127)</f>
        <v>0</v>
      </c>
      <c r="DU128" s="33" t="n">
        <f aca="false">SUM(DU125:DU127)</f>
        <v>0</v>
      </c>
      <c r="DV128" s="33" t="n">
        <f aca="false">SUM(DV125:DV127)</f>
        <v>0</v>
      </c>
      <c r="DW128" s="33" t="n">
        <f aca="false">SUM(DW125:DW127)</f>
        <v>0</v>
      </c>
      <c r="DX128" s="33" t="n">
        <f aca="false">SUM(DX125:DX127)</f>
        <v>0</v>
      </c>
      <c r="DY128" s="33" t="n">
        <f aca="false">SUM(DY125:DY127)</f>
        <v>0</v>
      </c>
      <c r="DZ128" s="33" t="n">
        <f aca="false">SUM(DZ125:DZ127)</f>
        <v>0</v>
      </c>
      <c r="EA128" s="33" t="n">
        <f aca="false">SUM(EA125:EA127)</f>
        <v>0</v>
      </c>
      <c r="EB128" s="33" t="n">
        <f aca="false">SUM(EB125:EB127)</f>
        <v>0</v>
      </c>
      <c r="EC128" s="33" t="n">
        <f aca="false">SUM(EC125:EC127)</f>
        <v>0</v>
      </c>
      <c r="ED128" s="33" t="n">
        <f aca="false">SUM(ED125:ED127)</f>
        <v>0</v>
      </c>
      <c r="EE128" s="33" t="n">
        <f aca="false">SUM(EE125:EE127)</f>
        <v>0</v>
      </c>
      <c r="EF128" s="33" t="n">
        <f aca="false">SUM(EF125:EF127)</f>
        <v>0</v>
      </c>
      <c r="EG128" s="33" t="n">
        <f aca="false">SUM(EG125:EG127)</f>
        <v>0</v>
      </c>
      <c r="EH128" s="33" t="n">
        <f aca="false">SUM(EH125:EH127)</f>
        <v>0</v>
      </c>
      <c r="EI128" s="33" t="n">
        <f aca="false">SUM(EI125:EI127)</f>
        <v>0</v>
      </c>
      <c r="EJ128" s="33" t="n">
        <f aca="false">SUM(EJ125:EJ127)</f>
        <v>0</v>
      </c>
      <c r="EK128" s="33" t="n">
        <f aca="false">SUM(EK125:EK127)</f>
        <v>0</v>
      </c>
      <c r="EL128" s="33" t="n">
        <f aca="false">SUM(EL125:EL127)</f>
        <v>0</v>
      </c>
      <c r="EM128" s="33" t="n">
        <f aca="false">SUM(EM125:EM127)</f>
        <v>0</v>
      </c>
      <c r="EN128" s="33" t="n">
        <f aca="false">SUM(EN125:EN127)</f>
        <v>0</v>
      </c>
      <c r="EO128" s="33" t="n">
        <f aca="false">SUM(EO125:EO127)</f>
        <v>0</v>
      </c>
      <c r="EP128" s="33" t="n">
        <f aca="false">SUM(EP125:EP127)</f>
        <v>0</v>
      </c>
      <c r="EQ128" s="33" t="n">
        <f aca="false">SUM(EQ125:EQ127)</f>
        <v>0</v>
      </c>
      <c r="ER128" s="33" t="n">
        <f aca="false">SUM(ER125:ER127)</f>
        <v>0</v>
      </c>
      <c r="ES128" s="33" t="n">
        <f aca="false">SUM(ES125:ES127)</f>
        <v>0</v>
      </c>
      <c r="ET128" s="33" t="n">
        <f aca="false">SUM(ET125:ET127)</f>
        <v>0</v>
      </c>
    </row>
    <row r="129" customFormat="false" ht="15" hidden="false" customHeight="false" outlineLevel="0" collapsed="false">
      <c r="C129" s="30" t="s">
        <v>250</v>
      </c>
      <c r="D129" s="11" t="s">
        <v>253</v>
      </c>
      <c r="I129" s="35" t="n">
        <f aca="false">SUM(J129:ET129)</f>
        <v>-28323.9656639994</v>
      </c>
      <c r="J129" s="35" t="n">
        <f aca="false">-In_CIT*(MAX(0,J124)+J127)</f>
        <v>-0</v>
      </c>
      <c r="K129" s="35" t="n">
        <f aca="false">-In_CIT*(MAX(0,K124)+K127)</f>
        <v>-0</v>
      </c>
      <c r="L129" s="35" t="n">
        <f aca="false">-In_CIT*(MAX(0,L124)+L127)</f>
        <v>-0</v>
      </c>
      <c r="M129" s="35" t="n">
        <f aca="false">-In_CIT*(MAX(0,M124)+M127)</f>
        <v>-0</v>
      </c>
      <c r="N129" s="35" t="n">
        <f aca="false">-In_CIT*(MAX(0,N124)+N127)</f>
        <v>-0</v>
      </c>
      <c r="O129" s="35" t="n">
        <f aca="false">-In_CIT*(MAX(0,O124)+O127)</f>
        <v>-0</v>
      </c>
      <c r="P129" s="35" t="n">
        <f aca="false">-In_CIT*(MAX(0,P124)+P127)</f>
        <v>-0</v>
      </c>
      <c r="Q129" s="35" t="n">
        <f aca="false">-In_CIT*(MAX(0,Q124)+Q127)</f>
        <v>-0</v>
      </c>
      <c r="R129" s="35" t="n">
        <f aca="false">-In_CIT*(MAX(0,R124)+R127)</f>
        <v>-0</v>
      </c>
      <c r="S129" s="35" t="n">
        <f aca="false">-In_CIT*(MAX(0,S124)+S127)</f>
        <v>-0</v>
      </c>
      <c r="T129" s="35" t="n">
        <f aca="false">-In_CIT*(MAX(0,T124)+T127)</f>
        <v>-0</v>
      </c>
      <c r="U129" s="35" t="n">
        <f aca="false">-In_CIT*(MAX(0,U124)+U127)</f>
        <v>-0</v>
      </c>
      <c r="V129" s="35" t="n">
        <f aca="false">-In_CIT*(MAX(0,V124)+V127)</f>
        <v>-0</v>
      </c>
      <c r="W129" s="35" t="n">
        <f aca="false">-In_CIT*(MAX(0,W124)+W127)</f>
        <v>-0</v>
      </c>
      <c r="X129" s="35" t="n">
        <f aca="false">-In_CIT*(MAX(0,X124)+X127)</f>
        <v>-0</v>
      </c>
      <c r="Y129" s="35" t="n">
        <f aca="false">-In_CIT*(MAX(0,Y124)+Y127)</f>
        <v>-0</v>
      </c>
      <c r="Z129" s="35" t="n">
        <f aca="false">-In_CIT*(MAX(0,Z124)+Z127)</f>
        <v>-0</v>
      </c>
      <c r="AA129" s="35" t="n">
        <f aca="false">-In_CIT*(MAX(0,AA124)+AA127)</f>
        <v>-0</v>
      </c>
      <c r="AB129" s="35" t="n">
        <f aca="false">-In_CIT*(MAX(0,AB124)+AB127)</f>
        <v>-0</v>
      </c>
      <c r="AC129" s="35" t="n">
        <f aca="false">-In_CIT*(MAX(0,AC124)+AC127)</f>
        <v>-0</v>
      </c>
      <c r="AD129" s="35" t="n">
        <f aca="false">-In_CIT*(MAX(0,AD124)+AD127)</f>
        <v>-0</v>
      </c>
      <c r="AE129" s="35" t="n">
        <f aca="false">-In_CIT*(MAX(0,AE124)+AE127)</f>
        <v>-0</v>
      </c>
      <c r="AF129" s="35" t="n">
        <f aca="false">-In_CIT*(MAX(0,AF124)+AF127)</f>
        <v>-0</v>
      </c>
      <c r="AG129" s="35" t="n">
        <f aca="false">-In_CIT*(MAX(0,AG124)+AG127)</f>
        <v>-0</v>
      </c>
      <c r="AH129" s="35" t="n">
        <f aca="false">-In_CIT*(MAX(0,AH124)+AH127)</f>
        <v>-0</v>
      </c>
      <c r="AI129" s="35" t="n">
        <f aca="false">-In_CIT*(MAX(0,AI124)+AI127)</f>
        <v>-0</v>
      </c>
      <c r="AJ129" s="35" t="n">
        <f aca="false">-In_CIT*(MAX(0,AJ124)+AJ127)</f>
        <v>-0</v>
      </c>
      <c r="AK129" s="35" t="n">
        <f aca="false">-In_CIT*(MAX(0,AK124)+AK127)</f>
        <v>-11.6172566672914</v>
      </c>
      <c r="AL129" s="35" t="n">
        <f aca="false">-In_CIT*(MAX(0,AL124)+AL127)</f>
        <v>-95.4889448417256</v>
      </c>
      <c r="AM129" s="35" t="n">
        <f aca="false">-In_CIT*(MAX(0,AM124)+AM127)</f>
        <v>-96.5256785525198</v>
      </c>
      <c r="AN129" s="35" t="n">
        <f aca="false">-In_CIT*(MAX(0,AN124)+AN127)</f>
        <v>-97.2138487907318</v>
      </c>
      <c r="AO129" s="35" t="n">
        <f aca="false">-In_CIT*(MAX(0,AO124)+AO127)</f>
        <v>-101.734632832676</v>
      </c>
      <c r="AP129" s="35" t="n">
        <f aca="false">-In_CIT*(MAX(0,AP124)+AP127)</f>
        <v>-106.285756177341</v>
      </c>
      <c r="AQ129" s="35" t="n">
        <f aca="false">-In_CIT*(MAX(0,AQ124)+AQ127)</f>
        <v>-107.434691304723</v>
      </c>
      <c r="AR129" s="35" t="n">
        <f aca="false">-In_CIT*(MAX(0,AR124)+AR127)</f>
        <v>-108.196914767106</v>
      </c>
      <c r="AS129" s="35" t="n">
        <f aca="false">-In_CIT*(MAX(0,AS124)+AS127)</f>
        <v>-112.853471950999</v>
      </c>
      <c r="AT129" s="35" t="n">
        <f aca="false">-In_CIT*(MAX(0,AT124)+AT127)</f>
        <v>-117.541914083612</v>
      </c>
      <c r="AU129" s="35" t="n">
        <f aca="false">-In_CIT*(MAX(0,AU124)+AU127)</f>
        <v>-118.809167913345</v>
      </c>
      <c r="AV129" s="35" t="n">
        <f aca="false">-In_CIT*(MAX(0,AV124)+AV127)</f>
        <v>-121.768753263312</v>
      </c>
      <c r="AW129" s="35" t="n">
        <f aca="false">-In_CIT*(MAX(0,AW124)+AW127)</f>
        <v>-124.449500317221</v>
      </c>
      <c r="AX129" s="35" t="n">
        <f aca="false">-In_CIT*(MAX(0,AX124)+AX127)</f>
        <v>-129.281276069291</v>
      </c>
      <c r="AY129" s="35" t="n">
        <f aca="false">-In_CIT*(MAX(0,AY124)+AY127)</f>
        <v>-130.673279392617</v>
      </c>
      <c r="AZ129" s="35" t="n">
        <f aca="false">-In_CIT*(MAX(0,AZ124)+AZ127)</f>
        <v>-131.60128851837</v>
      </c>
      <c r="BA129" s="35" t="n">
        <f aca="false">-In_CIT*(MAX(0,BA124)+BA127)</f>
        <v>-136.54750793486</v>
      </c>
      <c r="BB129" s="35" t="n">
        <f aca="false">-In_CIT*(MAX(0,BB124)+BB127)</f>
        <v>-141.528943834047</v>
      </c>
      <c r="BC129" s="35" t="n">
        <f aca="false">-In_CIT*(MAX(0,BC124)+BC127)</f>
        <v>-143.052456913697</v>
      </c>
      <c r="BD129" s="35" t="n">
        <f aca="false">-In_CIT*(MAX(0,BD124)+BD127)</f>
        <v>-144.072837133155</v>
      </c>
      <c r="BE129" s="35" t="n">
        <f aca="false">-In_CIT*(MAX(0,BE124)+BE127)</f>
        <v>-149.17357700604</v>
      </c>
      <c r="BF129" s="35" t="n">
        <f aca="false">-In_CIT*(MAX(0,BF124)+BF127)</f>
        <v>-154.311327477197</v>
      </c>
      <c r="BG129" s="35" t="n">
        <f aca="false">-In_CIT*(MAX(0,BG124)+BG127)</f>
        <v>-155.973456826339</v>
      </c>
      <c r="BH129" s="35" t="n">
        <f aca="false">-In_CIT*(MAX(0,BH124)+BH127)</f>
        <v>-157.092980312585</v>
      </c>
      <c r="BI129" s="35" t="n">
        <f aca="false">-In_CIT*(MAX(0,BI124)+BI127)</f>
        <v>-162.355148597671</v>
      </c>
      <c r="BJ129" s="35" t="n">
        <f aca="false">-In_CIT*(MAX(0,BJ124)+BJ127)</f>
        <v>-167.656212998429</v>
      </c>
      <c r="BK129" s="35" t="n">
        <f aca="false">-In_CIT*(MAX(0,BK124)+BK127)</f>
        <v>-169.464429013963</v>
      </c>
      <c r="BL129" s="35" t="n">
        <f aca="false">-In_CIT*(MAX(0,BL124)+BL127)</f>
        <v>-172.850877414035</v>
      </c>
      <c r="BM129" s="35" t="n">
        <f aca="false">-In_CIT*(MAX(0,BM124)+BM127)</f>
        <v>-176.121092725134</v>
      </c>
      <c r="BN129" s="35" t="n">
        <f aca="false">-In_CIT*(MAX(0,BN124)+BN127)</f>
        <v>-181.592833258768</v>
      </c>
      <c r="BO129" s="35" t="n">
        <f aca="false">-In_CIT*(MAX(0,BO124)+BO127)</f>
        <v>-183.554988752478</v>
      </c>
      <c r="BP129" s="35" t="n">
        <f aca="false">-In_CIT*(MAX(0,BP124)+BP127)</f>
        <v>-184.894581696676</v>
      </c>
      <c r="BQ129" s="35" t="n">
        <f aca="false">-In_CIT*(MAX(0,BQ124)+BQ127)</f>
        <v>-190.501782028053</v>
      </c>
      <c r="BR129" s="35" t="n">
        <f aca="false">-In_CIT*(MAX(0,BR124)+BR127)</f>
        <v>-196.151942578579</v>
      </c>
      <c r="BS129" s="35" t="n">
        <f aca="false">-In_CIT*(MAX(0,BS124)+BS127)</f>
        <v>-198.276292251869</v>
      </c>
      <c r="BT129" s="35" t="n">
        <f aca="false">-In_CIT*(MAX(0,BT124)+BT127)</f>
        <v>-196.170276216906</v>
      </c>
      <c r="BU129" s="35" t="n">
        <f aca="false">-In_CIT*(MAX(0,BU124)+BU127)</f>
        <v>-198.349945952649</v>
      </c>
      <c r="BV129" s="35" t="n">
        <f aca="false">-In_CIT*(MAX(0,BV124)+BV127)</f>
        <v>-200.529615688392</v>
      </c>
      <c r="BW129" s="35" t="n">
        <f aca="false">-In_CIT*(MAX(0,BW124)+BW127)</f>
        <v>-199.122067195189</v>
      </c>
      <c r="BX129" s="35" t="n">
        <f aca="false">-In_CIT*(MAX(0,BX124)+BX127)</f>
        <v>-196.964355586438</v>
      </c>
      <c r="BY129" s="35" t="n">
        <f aca="false">-In_CIT*(MAX(0,BY124)+BY127)</f>
        <v>-199.152848426287</v>
      </c>
      <c r="BZ129" s="35" t="n">
        <f aca="false">-In_CIT*(MAX(0,BZ124)+BZ127)</f>
        <v>-201.341341266136</v>
      </c>
      <c r="CA129" s="35" t="n">
        <f aca="false">-In_CIT*(MAX(0,CA124)+CA127)</f>
        <v>-199.92514609708</v>
      </c>
      <c r="CB129" s="35" t="n">
        <f aca="false">-In_CIT*(MAX(0,CB124)+CB127)</f>
        <v>-199.912094403772</v>
      </c>
      <c r="CC129" s="35" t="n">
        <f aca="false">-In_CIT*(MAX(0,CC124)+CC127)</f>
        <v>-199.912094403772</v>
      </c>
      <c r="CD129" s="35" t="n">
        <f aca="false">-In_CIT*(MAX(0,CD124)+CD127)</f>
        <v>-202.108930606011</v>
      </c>
      <c r="CE129" s="35" t="n">
        <f aca="false">-In_CIT*(MAX(0,CE124)+CE127)</f>
        <v>-200.684065882337</v>
      </c>
      <c r="CF129" s="35" t="n">
        <f aca="false">-In_CIT*(MAX(0,CF124)+CF127)</f>
        <v>-198.421514434404</v>
      </c>
      <c r="CG129" s="35" t="n">
        <f aca="false">-In_CIT*(MAX(0,CG124)+CG127)</f>
        <v>-200.62619792812</v>
      </c>
      <c r="CH129" s="35" t="n">
        <f aca="false">-In_CIT*(MAX(0,CH124)+CH127)</f>
        <v>-202.830881421835</v>
      </c>
      <c r="CI129" s="35" t="n">
        <f aca="false">-In_CIT*(MAX(0,CI124)+CI127)</f>
        <v>-201.397324889451</v>
      </c>
      <c r="CJ129" s="35" t="n">
        <f aca="false">-In_CIT*(MAX(0,CJ124)+CJ127)</f>
        <v>-199.081615948249</v>
      </c>
      <c r="CK129" s="35" t="n">
        <f aca="false">-In_CIT*(MAX(0,CK124)+CK127)</f>
        <v>-201.293633903229</v>
      </c>
      <c r="CL129" s="35" t="n">
        <f aca="false">-In_CIT*(MAX(0,CL124)+CL127)</f>
        <v>-203.50565185821</v>
      </c>
      <c r="CM129" s="35" t="n">
        <f aca="false">-In_CIT*(MAX(0,CM124)+CM127)</f>
        <v>-202.063381909346</v>
      </c>
      <c r="CN129" s="35" t="n">
        <f aca="false">-In_CIT*(MAX(0,CN124)+CN127)</f>
        <v>-199.694014733252</v>
      </c>
      <c r="CO129" s="35" t="n">
        <f aca="false">-In_CIT*(MAX(0,CO124)+CO127)</f>
        <v>-201.912837119177</v>
      </c>
      <c r="CP129" s="35" t="n">
        <f aca="false">-In_CIT*(MAX(0,CP124)+CP127)</f>
        <v>-204.131659505102</v>
      </c>
      <c r="CQ129" s="35" t="n">
        <f aca="false">-In_CIT*(MAX(0,CQ124)+CQ127)</f>
        <v>-202.680655200499</v>
      </c>
      <c r="CR129" s="35" t="n">
        <f aca="false">-In_CIT*(MAX(0,CR124)+CR127)</f>
        <v>-202.482201253553</v>
      </c>
      <c r="CS129" s="35" t="n">
        <f aca="false">-In_CIT*(MAX(0,CS124)+CS127)</f>
        <v>-202.482201253553</v>
      </c>
      <c r="CT129" s="35" t="n">
        <f aca="false">-In_CIT*(MAX(0,CT124)+CT127)</f>
        <v>-204.707280388207</v>
      </c>
      <c r="CU129" s="35" t="n">
        <f aca="false">-In_CIT*(MAX(0,CU124)+CU127)</f>
        <v>-203.247521479836</v>
      </c>
      <c r="CV129" s="35" t="n">
        <f aca="false">-In_CIT*(MAX(0,CV124)+CV127)</f>
        <v>-200.769307762012</v>
      </c>
      <c r="CW129" s="35" t="n">
        <f aca="false">-In_CIT*(MAX(0,CW124)+CW127)</f>
        <v>-203.000077848256</v>
      </c>
      <c r="CX129" s="35" t="n">
        <f aca="false">-In_CIT*(MAX(0,CX124)+CX127)</f>
        <v>-205.230847934501</v>
      </c>
      <c r="CY129" s="35" t="n">
        <f aca="false">-In_CIT*(MAX(0,CY124)+CY127)</f>
        <v>-203.762314888844</v>
      </c>
      <c r="CZ129" s="35" t="n">
        <f aca="false">-In_CIT*(MAX(0,CZ124)+CZ127)</f>
        <v>-201.228898609916</v>
      </c>
      <c r="DA129" s="35" t="n">
        <f aca="false">-In_CIT*(MAX(0,DA124)+DA127)</f>
        <v>-203.464775261138</v>
      </c>
      <c r="DB129" s="35" t="n">
        <f aca="false">-In_CIT*(MAX(0,DB124)+DB127)</f>
        <v>-205.700651912359</v>
      </c>
      <c r="DC129" s="35" t="n">
        <f aca="false">-In_CIT*(MAX(0,DC124)+DC127)</f>
        <v>-204.223325934256</v>
      </c>
      <c r="DD129" s="35" t="n">
        <f aca="false">-In_CIT*(MAX(0,DD124)+DD127)</f>
        <v>-201.634177838124</v>
      </c>
      <c r="DE129" s="35" t="n">
        <f aca="false">-In_CIT*(MAX(0,DE124)+DE127)</f>
        <v>-203.874557591881</v>
      </c>
      <c r="DF129" s="35" t="n">
        <f aca="false">-In_CIT*(MAX(0,DF124)+DF127)</f>
        <v>-206.114937345638</v>
      </c>
      <c r="DG129" s="35" t="n">
        <f aca="false">-In_CIT*(MAX(0,DG124)+DG127)</f>
        <v>-390.462027514203</v>
      </c>
      <c r="DH129" s="35" t="n">
        <f aca="false">-In_CIT*(MAX(0,DH124)+DH127)</f>
        <v>-388.040944311337</v>
      </c>
      <c r="DI129" s="35" t="n">
        <f aca="false">-In_CIT*(MAX(0,DI124)+DI127)</f>
        <v>-388.040944311337</v>
      </c>
      <c r="DJ129" s="35" t="n">
        <f aca="false">-In_CIT*(MAX(0,DJ124)+DJ127)</f>
        <v>-392.30513051256</v>
      </c>
      <c r="DK129" s="35" t="n">
        <f aca="false">-In_CIT*(MAX(0,DK124)+DK127)</f>
        <v>-390.810165360226</v>
      </c>
      <c r="DL129" s="35" t="n">
        <f aca="false">-In_CIT*(MAX(0,DL124)+DL127)</f>
        <v>-384.068083069357</v>
      </c>
      <c r="DM129" s="35" t="n">
        <f aca="false">-In_CIT*(MAX(0,DM124)+DM127)</f>
        <v>-388.335506214572</v>
      </c>
      <c r="DN129" s="35" t="n">
        <f aca="false">-In_CIT*(MAX(0,DN124)+DN127)</f>
        <v>-392.602929359787</v>
      </c>
      <c r="DO129" s="35" t="n">
        <f aca="false">-In_CIT*(MAX(0,DO124)+DO127)</f>
        <v>-391.099119566891</v>
      </c>
      <c r="DP129" s="35" t="n">
        <f aca="false">-In_CIT*(MAX(0,DP124)+DP127)</f>
        <v>-384.29967228596</v>
      </c>
      <c r="DQ129" s="35" t="n">
        <f aca="false">-In_CIT*(MAX(0,DQ124)+DQ127)</f>
        <v>-388.569668644693</v>
      </c>
      <c r="DR129" s="35" t="n">
        <f aca="false">-In_CIT*(MAX(0,DR124)+DR127)</f>
        <v>-392.839665003426</v>
      </c>
      <c r="DS129" s="35" t="n">
        <f aca="false">-In_CIT*(MAX(0,DS124)+DS127)</f>
        <v>-391.326994978479</v>
      </c>
      <c r="DT129" s="35" t="n">
        <f aca="false">-In_CIT*(MAX(0,DT124)+DT127)</f>
        <v>-384.469622693208</v>
      </c>
      <c r="DU129" s="35" t="n">
        <f aca="false">-In_CIT*(MAX(0,DU124)+DU127)</f>
        <v>-388.741507389799</v>
      </c>
      <c r="DV129" s="35" t="n">
        <f aca="false">-In_CIT*(MAX(0,DV124)+DV127)</f>
        <v>-393.013392086391</v>
      </c>
      <c r="DW129" s="35" t="n">
        <f aca="false">-In_CIT*(MAX(0,DW124)+DW127)</f>
        <v>-391.491847104446</v>
      </c>
      <c r="DX129" s="35" t="n">
        <f aca="false">-In_CIT*(MAX(0,DX124)+DX127)</f>
        <v>-388.849048200098</v>
      </c>
      <c r="DY129" s="35" t="n">
        <f aca="false">-In_CIT*(MAX(0,DY124)+DY127)</f>
        <v>-388.849048200098</v>
      </c>
      <c r="DZ129" s="35" t="n">
        <f aca="false">-In_CIT*(MAX(0,DZ124)+DZ127)</f>
        <v>-393.122114663836</v>
      </c>
      <c r="EA129" s="35" t="n">
        <f aca="false">-In_CIT*(MAX(0,EA124)+EA127)</f>
        <v>-391.591680894017</v>
      </c>
      <c r="EB129" s="35" t="n">
        <f aca="false">-In_CIT*(MAX(0,EB124)+EB127)</f>
        <v>-384.616746143775</v>
      </c>
      <c r="EC129" s="35" t="n">
        <f aca="false">-In_CIT*(MAX(0,EC124)+EC127)</f>
        <v>-388.890265545373</v>
      </c>
      <c r="ED129" s="35" t="n">
        <f aca="false">-In_CIT*(MAX(0,ED124)+ED127)</f>
        <v>-393.16378494697</v>
      </c>
      <c r="EE129" s="35" t="n">
        <f aca="false">-In_CIT*(MAX(0,EE124)+EE127)</f>
        <v>-391.624449480656</v>
      </c>
      <c r="EF129" s="35" t="n">
        <f aca="false">-In_CIT*(MAX(0,EF124)+EF127)</f>
        <v>-384.589860667834</v>
      </c>
      <c r="EG129" s="35" t="n">
        <f aca="false">-In_CIT*(MAX(0,EG124)+EG127)</f>
        <v>-388.86308134192</v>
      </c>
      <c r="EH129" s="35" t="n">
        <f aca="false">-In_CIT*(MAX(0,EH124)+EH127)</f>
        <v>-393.136302016008</v>
      </c>
      <c r="EI129" s="35" t="n">
        <f aca="false">-In_CIT*(MAX(0,EI124)+EI127)</f>
        <v>-391.5880528957</v>
      </c>
      <c r="EJ129" s="35" t="n">
        <f aca="false">-In_CIT*(MAX(0,EJ124)+EJ127)</f>
        <v>-384.493216794942</v>
      </c>
      <c r="EK129" s="35" t="n">
        <f aca="false">-In_CIT*(MAX(0,EK124)+EK127)</f>
        <v>-388.765363648219</v>
      </c>
      <c r="EL129" s="35" t="n">
        <f aca="false">-In_CIT*(MAX(0,EL124)+EL127)</f>
        <v>-393.037510501496</v>
      </c>
      <c r="EM129" s="35" t="n">
        <f aca="false">-In_CIT*(MAX(0,EM124)+EM127)</f>
        <v>-391.480336750375</v>
      </c>
      <c r="EN129" s="35" t="n">
        <f aca="false">-In_CIT*(MAX(0,EN124)+EN127)</f>
        <v>-388.594925328545</v>
      </c>
      <c r="EO129" s="35" t="n">
        <f aca="false">-In_CIT*(MAX(0,EO124)+EO127)</f>
        <v>-388.594925328545</v>
      </c>
      <c r="EP129" s="35" t="n">
        <f aca="false">-In_CIT*(MAX(0,EP124)+EP127)</f>
        <v>-392.865199233254</v>
      </c>
      <c r="EQ129" s="35" t="n">
        <f aca="false">-In_CIT*(MAX(0,EQ124)+EQ127)</f>
        <v>-391.299090885448</v>
      </c>
      <c r="ER129" s="35" t="n">
        <f aca="false">-In_CIT*(MAX(0,ER124)+ER127)</f>
        <v>-384.081945511414</v>
      </c>
      <c r="ES129" s="35" t="n">
        <f aca="false">-In_CIT*(MAX(0,ES124)+ES127)</f>
        <v>-388.349522683763</v>
      </c>
      <c r="ET129" s="35" t="n">
        <f aca="false">-In_CIT*(MAX(0,ET124)+ET127)</f>
        <v>-392.617099856112</v>
      </c>
    </row>
    <row r="131" customFormat="false" ht="15" hidden="false" customHeight="false" outlineLevel="0" collapsed="false">
      <c r="A131" s="9" t="s">
        <v>13</v>
      </c>
      <c r="B131" s="9"/>
      <c r="C131" s="9" t="s">
        <v>487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</row>
    <row r="132" customFormat="false" ht="15" hidden="false" customHeight="false" outlineLevel="0" collapsed="false">
      <c r="C132" s="30" t="s">
        <v>45</v>
      </c>
      <c r="D132" s="11" t="s">
        <v>253</v>
      </c>
      <c r="E132" s="35" t="n">
        <f aca="false">In_RtB_Premium*In_MVA</f>
        <v>15000</v>
      </c>
    </row>
    <row r="133" customFormat="false" ht="15" hidden="false" customHeight="false" outlineLevel="0" collapsed="false">
      <c r="A133" s="55"/>
      <c r="B133" s="55"/>
      <c r="C133" s="55" t="s">
        <v>579</v>
      </c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55"/>
      <c r="BK133" s="55"/>
      <c r="BL133" s="55"/>
      <c r="BM133" s="55"/>
      <c r="BN133" s="55"/>
      <c r="BO133" s="55"/>
      <c r="BP133" s="55"/>
      <c r="BQ133" s="55"/>
      <c r="BR133" s="55"/>
      <c r="BS133" s="55"/>
      <c r="BT133" s="55"/>
      <c r="BU133" s="55"/>
      <c r="BV133" s="55"/>
      <c r="BW133" s="55"/>
      <c r="BX133" s="5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55"/>
      <c r="CO133" s="55"/>
      <c r="CP133" s="55"/>
      <c r="CQ133" s="55"/>
      <c r="CR133" s="55"/>
      <c r="CS133" s="55"/>
      <c r="CT133" s="55"/>
      <c r="CU133" s="55"/>
      <c r="CV133" s="55"/>
      <c r="CW133" s="55"/>
      <c r="CX133" s="55"/>
      <c r="CY133" s="55"/>
      <c r="CZ133" s="55"/>
      <c r="DA133" s="55"/>
      <c r="DB133" s="55"/>
      <c r="DC133" s="55"/>
      <c r="DD133" s="55"/>
      <c r="DE133" s="55"/>
      <c r="DF133" s="55"/>
      <c r="DG133" s="55"/>
      <c r="DH133" s="55"/>
      <c r="DI133" s="55"/>
      <c r="DJ133" s="55"/>
      <c r="DK133" s="55"/>
      <c r="DL133" s="55"/>
      <c r="DM133" s="55"/>
      <c r="DN133" s="55"/>
      <c r="DO133" s="55"/>
      <c r="DP133" s="55"/>
      <c r="DQ133" s="55"/>
      <c r="DR133" s="55"/>
      <c r="DS133" s="55"/>
      <c r="DT133" s="55"/>
      <c r="DU133" s="55"/>
      <c r="DV133" s="55"/>
      <c r="DW133" s="55"/>
      <c r="DX133" s="55"/>
      <c r="DY133" s="55"/>
      <c r="DZ133" s="55"/>
      <c r="EA133" s="55"/>
      <c r="EB133" s="55"/>
      <c r="EC133" s="55"/>
      <c r="ED133" s="55"/>
      <c r="EE133" s="55"/>
      <c r="EF133" s="55"/>
      <c r="EG133" s="55"/>
      <c r="EH133" s="55"/>
      <c r="EI133" s="55"/>
      <c r="EJ133" s="55"/>
      <c r="EK133" s="55"/>
      <c r="EL133" s="55"/>
      <c r="EM133" s="55"/>
      <c r="EN133" s="55"/>
      <c r="EO133" s="55"/>
      <c r="EP133" s="55"/>
      <c r="EQ133" s="55"/>
      <c r="ER133" s="55"/>
      <c r="ES133" s="55"/>
      <c r="ET133" s="55"/>
    </row>
    <row r="134" customFormat="false" ht="15" hidden="false" customHeight="false" outlineLevel="0" collapsed="false">
      <c r="C134" s="0" t="s">
        <v>580</v>
      </c>
      <c r="D134" s="11" t="s">
        <v>253</v>
      </c>
      <c r="E134" s="33" t="n">
        <f aca="false">$E65+$E55</f>
        <v>21842.7086410959</v>
      </c>
      <c r="F134" s="33" t="n">
        <f aca="false">MAX(0,$E132+$E134)</f>
        <v>36842.7086410959</v>
      </c>
    </row>
    <row r="135" customFormat="false" ht="15" hidden="false" customHeight="false" outlineLevel="0" collapsed="false">
      <c r="C135" s="0" t="s">
        <v>581</v>
      </c>
      <c r="D135" s="11" t="s">
        <v>253</v>
      </c>
      <c r="E135" s="22" t="n">
        <f aca="false">In_Sale_Costs</f>
        <v>500</v>
      </c>
      <c r="F135" s="33" t="n">
        <f aca="false">MIN($E135,$F134)</f>
        <v>500</v>
      </c>
    </row>
    <row r="136" customFormat="false" ht="15" hidden="false" customHeight="false" outlineLevel="0" collapsed="false">
      <c r="C136" s="0" t="s">
        <v>582</v>
      </c>
      <c r="D136" s="11" t="s">
        <v>253</v>
      </c>
      <c r="E136" s="33" t="n">
        <f aca="false">$E65</f>
        <v>21412.2641205479</v>
      </c>
      <c r="F136" s="33" t="n">
        <f aca="false">MIN($E136,$F134-SUM($F135:$F135))</f>
        <v>21412.2641205479</v>
      </c>
    </row>
    <row r="137" customFormat="false" ht="15" hidden="false" customHeight="false" outlineLevel="0" collapsed="false">
      <c r="C137" s="0" t="s">
        <v>583</v>
      </c>
      <c r="D137" s="11" t="s">
        <v>253</v>
      </c>
      <c r="E137" s="33" t="n">
        <f aca="false">$E68</f>
        <v>1564.53664418093</v>
      </c>
      <c r="F137" s="33" t="n">
        <f aca="false">MIN($E137,$F134-SUM($F135:$F136))</f>
        <v>1564.53664418093</v>
      </c>
    </row>
    <row r="138" customFormat="false" ht="15" hidden="false" customHeight="false" outlineLevel="0" collapsed="false">
      <c r="C138" s="0" t="s">
        <v>584</v>
      </c>
      <c r="D138" s="11" t="s">
        <v>253</v>
      </c>
      <c r="E138" s="33" t="n">
        <f aca="false">$E55</f>
        <v>430.444520547945</v>
      </c>
      <c r="F138" s="33" t="n">
        <f aca="false">MIN($E138,$F134-SUM($F135:$F137))</f>
        <v>430.444520547945</v>
      </c>
    </row>
    <row r="139" customFormat="false" ht="15" hidden="false" customHeight="false" outlineLevel="0" collapsed="false">
      <c r="C139" s="0" t="s">
        <v>585</v>
      </c>
      <c r="D139" s="11" t="s">
        <v>253</v>
      </c>
      <c r="E139" s="33" t="n">
        <f aca="false">$E79</f>
        <v>3119.62451197093</v>
      </c>
      <c r="F139" s="33" t="n">
        <f aca="false">MIN($E139,$F134-SUM($F135:$F138))</f>
        <v>3119.62451197093</v>
      </c>
    </row>
    <row r="140" customFormat="false" ht="15" hidden="false" customHeight="false" outlineLevel="0" collapsed="false">
      <c r="C140" s="0" t="s">
        <v>586</v>
      </c>
      <c r="D140" s="11" t="s">
        <v>253</v>
      </c>
      <c r="E140" s="33" t="n">
        <f aca="false">$E73</f>
        <v>1120.48016110676</v>
      </c>
      <c r="F140" s="33" t="n">
        <f aca="false">MIN($E140,$F134-SUM($F135:$F139))</f>
        <v>1120.48016110676</v>
      </c>
    </row>
    <row r="141" customFormat="false" ht="15" hidden="false" customHeight="false" outlineLevel="0" collapsed="false">
      <c r="C141" s="0" t="s">
        <v>587</v>
      </c>
      <c r="D141" s="11" t="s">
        <v>253</v>
      </c>
      <c r="E141" s="33" t="n">
        <f aca="false">MIN(In_DSA_Cap,In_DSA_Rate*YEARFRAC(In_Signing_Date,$E12,0))*$E24</f>
        <v>1200.65972222222</v>
      </c>
      <c r="F141" s="33" t="n">
        <f aca="false">MIN($E141,$F134-SUM($F135:$F140))</f>
        <v>1200.65972222222</v>
      </c>
    </row>
    <row r="142" customFormat="false" ht="15" hidden="false" customHeight="false" outlineLevel="0" collapsed="false">
      <c r="C142" s="30" t="s">
        <v>162</v>
      </c>
      <c r="D142" s="11" t="s">
        <v>253</v>
      </c>
      <c r="F142" s="35" t="n">
        <f aca="false">MAX(0,$F134-SUM($E135:$E141))</f>
        <v>7494.69896051916</v>
      </c>
    </row>
    <row r="143" customFormat="false" ht="15" hidden="false" customHeight="false" outlineLevel="0" collapsed="false">
      <c r="C143" s="30" t="s">
        <v>588</v>
      </c>
      <c r="D143" s="11" t="s">
        <v>253</v>
      </c>
      <c r="F143" s="35" t="n">
        <f aca="false">SUM($F136:$F140)+In_FEP_Share*$F142</f>
        <v>32893.6392307179</v>
      </c>
    </row>
    <row r="144" customFormat="false" ht="15" hidden="false" customHeight="false" outlineLevel="0" collapsed="false">
      <c r="C144" s="0" t="s">
        <v>589</v>
      </c>
      <c r="D144" s="11" t="s">
        <v>253</v>
      </c>
      <c r="F144" s="33" t="n">
        <f aca="false">$F141+(1-In_FEP_Share)*$F142</f>
        <v>3449.06941037797</v>
      </c>
    </row>
    <row r="145" customFormat="false" ht="15" hidden="false" customHeight="false" outlineLevel="0" collapsed="false">
      <c r="A145" s="55"/>
      <c r="B145" s="55"/>
      <c r="C145" s="55" t="s">
        <v>590</v>
      </c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55"/>
      <c r="BK145" s="55"/>
      <c r="BL145" s="55"/>
      <c r="BM145" s="55"/>
      <c r="BN145" s="55"/>
      <c r="BO145" s="55"/>
      <c r="BP145" s="55"/>
      <c r="BQ145" s="55"/>
      <c r="BR145" s="55"/>
      <c r="BS145" s="55"/>
      <c r="BT145" s="55"/>
      <c r="BU145" s="55"/>
      <c r="BV145" s="55"/>
      <c r="BW145" s="55"/>
      <c r="BX145" s="5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55"/>
      <c r="CO145" s="55"/>
      <c r="CP145" s="55"/>
      <c r="CQ145" s="55"/>
      <c r="CR145" s="55"/>
      <c r="CS145" s="55"/>
      <c r="CT145" s="55"/>
      <c r="CU145" s="55"/>
      <c r="CV145" s="55"/>
      <c r="CW145" s="55"/>
      <c r="CX145" s="55"/>
      <c r="CY145" s="55"/>
      <c r="CZ145" s="55"/>
      <c r="DA145" s="55"/>
      <c r="DB145" s="55"/>
      <c r="DC145" s="55"/>
      <c r="DD145" s="55"/>
      <c r="DE145" s="55"/>
      <c r="DF145" s="55"/>
      <c r="DG145" s="55"/>
      <c r="DH145" s="55"/>
      <c r="DI145" s="55"/>
      <c r="DJ145" s="55"/>
      <c r="DK145" s="55"/>
      <c r="DL145" s="55"/>
      <c r="DM145" s="55"/>
      <c r="DN145" s="55"/>
      <c r="DO145" s="55"/>
      <c r="DP145" s="55"/>
      <c r="DQ145" s="55"/>
      <c r="DR145" s="55"/>
      <c r="DS145" s="55"/>
      <c r="DT145" s="55"/>
      <c r="DU145" s="55"/>
      <c r="DV145" s="55"/>
      <c r="DW145" s="55"/>
      <c r="DX145" s="55"/>
      <c r="DY145" s="55"/>
      <c r="DZ145" s="55"/>
      <c r="EA145" s="55"/>
      <c r="EB145" s="55"/>
      <c r="EC145" s="55"/>
      <c r="ED145" s="55"/>
      <c r="EE145" s="55"/>
      <c r="EF145" s="55"/>
      <c r="EG145" s="55"/>
      <c r="EH145" s="55"/>
      <c r="EI145" s="55"/>
      <c r="EJ145" s="55"/>
      <c r="EK145" s="55"/>
      <c r="EL145" s="55"/>
      <c r="EM145" s="55"/>
      <c r="EN145" s="55"/>
      <c r="EO145" s="55"/>
      <c r="EP145" s="55"/>
      <c r="EQ145" s="55"/>
      <c r="ER145" s="55"/>
      <c r="ES145" s="55"/>
      <c r="ET145" s="55"/>
    </row>
    <row r="146" customFormat="false" ht="15" hidden="false" customHeight="false" outlineLevel="0" collapsed="false">
      <c r="C146" s="0" t="s">
        <v>591</v>
      </c>
      <c r="D146" s="11" t="s">
        <v>253</v>
      </c>
      <c r="E146" s="33" t="n">
        <f aca="false">$F136+$F138</f>
        <v>21842.7086410959</v>
      </c>
      <c r="F146" s="33" t="n">
        <f aca="false">In_FEP_Share*$F142</f>
        <v>5246.28927236341</v>
      </c>
    </row>
    <row r="147" customFormat="false" ht="15" hidden="false" customHeight="false" outlineLevel="0" collapsed="false">
      <c r="C147" s="0" t="s">
        <v>592</v>
      </c>
      <c r="D147" s="11" t="s">
        <v>253</v>
      </c>
      <c r="E147" s="33" t="n">
        <f aca="false">$E55-$E57-$E47</f>
        <v>-2697.39916950517</v>
      </c>
    </row>
    <row r="148" customFormat="false" ht="15" hidden="false" customHeight="false" outlineLevel="0" collapsed="false">
      <c r="C148" s="30" t="s">
        <v>593</v>
      </c>
      <c r="D148" s="11" t="s">
        <v>253</v>
      </c>
      <c r="E148" s="35" t="n">
        <f aca="false">$F137+$F139+$F140</f>
        <v>5804.64131725861</v>
      </c>
      <c r="F148" s="35" t="n">
        <f aca="false">$E148+$F146+$E147</f>
        <v>8353.53142011685</v>
      </c>
    </row>
    <row r="149" customFormat="false" ht="15" hidden="false" customHeight="false" outlineLevel="0" collapsed="false">
      <c r="C149" s="0" t="s">
        <v>594</v>
      </c>
      <c r="D149" s="11" t="s">
        <v>253</v>
      </c>
      <c r="E149" s="33" t="n">
        <f aca="false">(1-In_FEP_Share)*$F142</f>
        <v>2248.40968815575</v>
      </c>
    </row>
    <row r="150" customFormat="false" ht="15" hidden="false" customHeight="false" outlineLevel="0" collapsed="false">
      <c r="C150" s="0" t="s">
        <v>595</v>
      </c>
      <c r="D150" s="11" t="s">
        <v>27</v>
      </c>
      <c r="E150" s="32" t="n">
        <f aca="false">$F148/$E24</f>
        <v>55.3214001332242</v>
      </c>
      <c r="F150" s="32" t="n">
        <f aca="false">$F144/$E24</f>
        <v>22.8415192740263</v>
      </c>
    </row>
    <row r="151" customFormat="false" ht="15" hidden="false" customHeight="false" outlineLevel="0" collapsed="false">
      <c r="A151" s="55"/>
      <c r="B151" s="55"/>
      <c r="C151" s="55" t="s">
        <v>596</v>
      </c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55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</row>
    <row r="152" customFormat="false" ht="15" hidden="false" customHeight="false" outlineLevel="0" collapsed="false">
      <c r="C152" s="0" t="s">
        <v>597</v>
      </c>
      <c r="D152" s="11" t="s">
        <v>253</v>
      </c>
      <c r="E152" s="33" t="n">
        <f aca="false">-In_CIT*MAX(0,$I152-In_FEP_Share*$F142)</f>
        <v>-128.61785929143</v>
      </c>
      <c r="I152" s="33" t="n">
        <f aca="false">SUM(J152:ET152)</f>
        <v>6675.37659782375</v>
      </c>
      <c r="J152" s="33" t="n">
        <f aca="false">(J60+J53)*(J$4&lt;=$E12)+$F143*J12</f>
        <v>-400</v>
      </c>
      <c r="K152" s="33" t="n">
        <f aca="false">(K60+K53)*(K$4&lt;=$E12)+$F143*K12</f>
        <v>-1437.78053818728</v>
      </c>
      <c r="L152" s="33" t="n">
        <f aca="false">(L60+L53)*(L$4&lt;=$E12)+$F143*L12</f>
        <v>-691.910911990993</v>
      </c>
      <c r="M152" s="33" t="n">
        <f aca="false">(M60+M53)*(M$4&lt;=$E12)+$F143*M12</f>
        <v>-148.451634452993</v>
      </c>
      <c r="N152" s="33" t="n">
        <f aca="false">(N60+N53)*(N$4&lt;=$E12)+$F143*N12</f>
        <v>-149.601261024582</v>
      </c>
      <c r="O152" s="33" t="n">
        <f aca="false">(O60+O53)*(O$4&lt;=$E12)+$F143*O12</f>
        <v>-290.127288421843</v>
      </c>
      <c r="P152" s="33" t="n">
        <f aca="false">(P60+P53)*(P$4&lt;=$E12)+$F143*P12</f>
        <v>-1394.65781281475</v>
      </c>
      <c r="Q152" s="33" t="n">
        <f aca="false">(Q60+Q53)*(Q$4&lt;=$E12)+$F143*Q12</f>
        <v>-109.225607055733</v>
      </c>
      <c r="R152" s="33" t="n">
        <f aca="false">(R60+R53)*(R$4&lt;=$E12)+$F143*R12</f>
        <v>-269.857154566657</v>
      </c>
      <c r="S152" s="33" t="n">
        <f aca="false">(S60+S53)*(S$4&lt;=$E12)+$F143*S12</f>
        <v>-422.991783283459</v>
      </c>
      <c r="T152" s="33" t="n">
        <f aca="false">(T60+T53)*(T$4&lt;=$E12)+$F143*T12</f>
        <v>-20587.5113339088</v>
      </c>
      <c r="U152" s="33" t="n">
        <f aca="false">(U60+U53)*(U$4&lt;=$E12)+$F143*U12</f>
        <v>-104.616018014637</v>
      </c>
      <c r="V152" s="33" t="n">
        <f aca="false">(V60+V53)*(V$4&lt;=$E12)+$F143*V12</f>
        <v>-105.765644586226</v>
      </c>
      <c r="W152" s="33" t="n">
        <f aca="false">(W60+W53)*(W$4&lt;=$E12)+$F143*W12</f>
        <v>32787.8735861317</v>
      </c>
      <c r="X152" s="33" t="n">
        <f aca="false">(X60+X53)*(X$4&lt;=$E12)+$F143*X12</f>
        <v>0</v>
      </c>
      <c r="Y152" s="33" t="n">
        <f aca="false">(Y60+Y53)*(Y$4&lt;=$E12)+$F143*Y12</f>
        <v>0</v>
      </c>
      <c r="Z152" s="33" t="n">
        <f aca="false">(Z60+Z53)*(Z$4&lt;=$E12)+$F143*Z12</f>
        <v>0</v>
      </c>
      <c r="AA152" s="33" t="n">
        <f aca="false">(AA60+AA53)*(AA$4&lt;=$E12)+$F143*AA12</f>
        <v>0</v>
      </c>
      <c r="AB152" s="33" t="n">
        <f aca="false">(AB60+AB53)*(AB$4&lt;=$E12)+$F143*AB12</f>
        <v>0</v>
      </c>
      <c r="AC152" s="33" t="n">
        <f aca="false">(AC60+AC53)*(AC$4&lt;=$E12)+$F143*AC12</f>
        <v>0</v>
      </c>
      <c r="AD152" s="33" t="n">
        <f aca="false">(AD60+AD53)*(AD$4&lt;=$E12)+$F143*AD12</f>
        <v>0</v>
      </c>
      <c r="AE152" s="33" t="n">
        <f aca="false">(AE60+AE53)*(AE$4&lt;=$E12)+$F143*AE12</f>
        <v>0</v>
      </c>
      <c r="AF152" s="33" t="n">
        <f aca="false">(AF60+AF53)*(AF$4&lt;=$E12)+$F143*AF12</f>
        <v>0</v>
      </c>
      <c r="AG152" s="33" t="n">
        <f aca="false">(AG60+AG53)*(AG$4&lt;=$E12)+$F143*AG12</f>
        <v>0</v>
      </c>
      <c r="AH152" s="33" t="n">
        <f aca="false">(AH60+AH53)*(AH$4&lt;=$E12)+$F143*AH12</f>
        <v>0</v>
      </c>
      <c r="AI152" s="33" t="n">
        <f aca="false">(AI60+AI53)*(AI$4&lt;=$E12)+$F143*AI12</f>
        <v>0</v>
      </c>
      <c r="AJ152" s="33" t="n">
        <f aca="false">(AJ60+AJ53)*(AJ$4&lt;=$E12)+$F143*AJ12</f>
        <v>0</v>
      </c>
      <c r="AK152" s="33" t="n">
        <f aca="false">(AK60+AK53)*(AK$4&lt;=$E12)+$F143*AK12</f>
        <v>0</v>
      </c>
      <c r="AL152" s="33" t="n">
        <f aca="false">(AL60+AL53)*(AL$4&lt;=$E12)+$F143*AL12</f>
        <v>0</v>
      </c>
      <c r="AM152" s="33" t="n">
        <f aca="false">(AM60+AM53)*(AM$4&lt;=$E12)+$F143*AM12</f>
        <v>0</v>
      </c>
      <c r="AN152" s="33" t="n">
        <f aca="false">(AN60+AN53)*(AN$4&lt;=$E12)+$F143*AN12</f>
        <v>0</v>
      </c>
      <c r="AO152" s="33" t="n">
        <f aca="false">(AO60+AO53)*(AO$4&lt;=$E12)+$F143*AO12</f>
        <v>0</v>
      </c>
      <c r="AP152" s="33" t="n">
        <f aca="false">(AP60+AP53)*(AP$4&lt;=$E12)+$F143*AP12</f>
        <v>0</v>
      </c>
      <c r="AQ152" s="33" t="n">
        <f aca="false">(AQ60+AQ53)*(AQ$4&lt;=$E12)+$F143*AQ12</f>
        <v>0</v>
      </c>
      <c r="AR152" s="33" t="n">
        <f aca="false">(AR60+AR53)*(AR$4&lt;=$E12)+$F143*AR12</f>
        <v>0</v>
      </c>
      <c r="AS152" s="33" t="n">
        <f aca="false">(AS60+AS53)*(AS$4&lt;=$E12)+$F143*AS12</f>
        <v>0</v>
      </c>
      <c r="AT152" s="33" t="n">
        <f aca="false">(AT60+AT53)*(AT$4&lt;=$E12)+$F143*AT12</f>
        <v>0</v>
      </c>
      <c r="AU152" s="33" t="n">
        <f aca="false">(AU60+AU53)*(AU$4&lt;=$E12)+$F143*AU12</f>
        <v>0</v>
      </c>
      <c r="AV152" s="33" t="n">
        <f aca="false">(AV60+AV53)*(AV$4&lt;=$E12)+$F143*AV12</f>
        <v>0</v>
      </c>
      <c r="AW152" s="33" t="n">
        <f aca="false">(AW60+AW53)*(AW$4&lt;=$E12)+$F143*AW12</f>
        <v>0</v>
      </c>
      <c r="AX152" s="33" t="n">
        <f aca="false">(AX60+AX53)*(AX$4&lt;=$E12)+$F143*AX12</f>
        <v>0</v>
      </c>
      <c r="AY152" s="33" t="n">
        <f aca="false">(AY60+AY53)*(AY$4&lt;=$E12)+$F143*AY12</f>
        <v>0</v>
      </c>
      <c r="AZ152" s="33" t="n">
        <f aca="false">(AZ60+AZ53)*(AZ$4&lt;=$E12)+$F143*AZ12</f>
        <v>0</v>
      </c>
      <c r="BA152" s="33" t="n">
        <f aca="false">(BA60+BA53)*(BA$4&lt;=$E12)+$F143*BA12</f>
        <v>0</v>
      </c>
      <c r="BB152" s="33" t="n">
        <f aca="false">(BB60+BB53)*(BB$4&lt;=$E12)+$F143*BB12</f>
        <v>0</v>
      </c>
      <c r="BC152" s="33" t="n">
        <f aca="false">(BC60+BC53)*(BC$4&lt;=$E12)+$F143*BC12</f>
        <v>0</v>
      </c>
      <c r="BD152" s="33" t="n">
        <f aca="false">(BD60+BD53)*(BD$4&lt;=$E12)+$F143*BD12</f>
        <v>0</v>
      </c>
      <c r="BE152" s="33" t="n">
        <f aca="false">(BE60+BE53)*(BE$4&lt;=$E12)+$F143*BE12</f>
        <v>0</v>
      </c>
      <c r="BF152" s="33" t="n">
        <f aca="false">(BF60+BF53)*(BF$4&lt;=$E12)+$F143*BF12</f>
        <v>0</v>
      </c>
      <c r="BG152" s="33" t="n">
        <f aca="false">(BG60+BG53)*(BG$4&lt;=$E12)+$F143*BG12</f>
        <v>0</v>
      </c>
      <c r="BH152" s="33" t="n">
        <f aca="false">(BH60+BH53)*(BH$4&lt;=$E12)+$F143*BH12</f>
        <v>0</v>
      </c>
      <c r="BI152" s="33" t="n">
        <f aca="false">(BI60+BI53)*(BI$4&lt;=$E12)+$F143*BI12</f>
        <v>0</v>
      </c>
      <c r="BJ152" s="33" t="n">
        <f aca="false">(BJ60+BJ53)*(BJ$4&lt;=$E12)+$F143*BJ12</f>
        <v>0</v>
      </c>
      <c r="BK152" s="33" t="n">
        <f aca="false">(BK60+BK53)*(BK$4&lt;=$E12)+$F143*BK12</f>
        <v>0</v>
      </c>
      <c r="BL152" s="33" t="n">
        <f aca="false">(BL60+BL53)*(BL$4&lt;=$E12)+$F143*BL12</f>
        <v>0</v>
      </c>
      <c r="BM152" s="33" t="n">
        <f aca="false">(BM60+BM53)*(BM$4&lt;=$E12)+$F143*BM12</f>
        <v>0</v>
      </c>
      <c r="BN152" s="33" t="n">
        <f aca="false">(BN60+BN53)*(BN$4&lt;=$E12)+$F143*BN12</f>
        <v>0</v>
      </c>
      <c r="BO152" s="33" t="n">
        <f aca="false">(BO60+BO53)*(BO$4&lt;=$E12)+$F143*BO12</f>
        <v>0</v>
      </c>
      <c r="BP152" s="33" t="n">
        <f aca="false">(BP60+BP53)*(BP$4&lt;=$E12)+$F143*BP12</f>
        <v>0</v>
      </c>
      <c r="BQ152" s="33" t="n">
        <f aca="false">(BQ60+BQ53)*(BQ$4&lt;=$E12)+$F143*BQ12</f>
        <v>0</v>
      </c>
      <c r="BR152" s="33" t="n">
        <f aca="false">(BR60+BR53)*(BR$4&lt;=$E12)+$F143*BR12</f>
        <v>0</v>
      </c>
      <c r="BS152" s="33" t="n">
        <f aca="false">(BS60+BS53)*(BS$4&lt;=$E12)+$F143*BS12</f>
        <v>0</v>
      </c>
      <c r="BT152" s="33" t="n">
        <f aca="false">(BT60+BT53)*(BT$4&lt;=$E12)+$F143*BT12</f>
        <v>0</v>
      </c>
      <c r="BU152" s="33" t="n">
        <f aca="false">(BU60+BU53)*(BU$4&lt;=$E12)+$F143*BU12</f>
        <v>0</v>
      </c>
      <c r="BV152" s="33" t="n">
        <f aca="false">(BV60+BV53)*(BV$4&lt;=$E12)+$F143*BV12</f>
        <v>0</v>
      </c>
      <c r="BW152" s="33" t="n">
        <f aca="false">(BW60+BW53)*(BW$4&lt;=$E12)+$F143*BW12</f>
        <v>0</v>
      </c>
      <c r="BX152" s="33" t="n">
        <f aca="false">(BX60+BX53)*(BX$4&lt;=$E12)+$F143*BX12</f>
        <v>0</v>
      </c>
      <c r="BY152" s="33" t="n">
        <f aca="false">(BY60+BY53)*(BY$4&lt;=$E12)+$F143*BY12</f>
        <v>0</v>
      </c>
      <c r="BZ152" s="33" t="n">
        <f aca="false">(BZ60+BZ53)*(BZ$4&lt;=$E12)+$F143*BZ12</f>
        <v>0</v>
      </c>
      <c r="CA152" s="33" t="n">
        <f aca="false">(CA60+CA53)*(CA$4&lt;=$E12)+$F143*CA12</f>
        <v>0</v>
      </c>
      <c r="CB152" s="33" t="n">
        <f aca="false">(CB60+CB53)*(CB$4&lt;=$E12)+$F143*CB12</f>
        <v>0</v>
      </c>
      <c r="CC152" s="33" t="n">
        <f aca="false">(CC60+CC53)*(CC$4&lt;=$E12)+$F143*CC12</f>
        <v>0</v>
      </c>
      <c r="CD152" s="33" t="n">
        <f aca="false">(CD60+CD53)*(CD$4&lt;=$E12)+$F143*CD12</f>
        <v>0</v>
      </c>
      <c r="CE152" s="33" t="n">
        <f aca="false">(CE60+CE53)*(CE$4&lt;=$E12)+$F143*CE12</f>
        <v>0</v>
      </c>
      <c r="CF152" s="33" t="n">
        <f aca="false">(CF60+CF53)*(CF$4&lt;=$E12)+$F143*CF12</f>
        <v>0</v>
      </c>
      <c r="CG152" s="33" t="n">
        <f aca="false">(CG60+CG53)*(CG$4&lt;=$E12)+$F143*CG12</f>
        <v>0</v>
      </c>
      <c r="CH152" s="33" t="n">
        <f aca="false">(CH60+CH53)*(CH$4&lt;=$E12)+$F143*CH12</f>
        <v>0</v>
      </c>
      <c r="CI152" s="33" t="n">
        <f aca="false">(CI60+CI53)*(CI$4&lt;=$E12)+$F143*CI12</f>
        <v>0</v>
      </c>
      <c r="CJ152" s="33" t="n">
        <f aca="false">(CJ60+CJ53)*(CJ$4&lt;=$E12)+$F143*CJ12</f>
        <v>0</v>
      </c>
      <c r="CK152" s="33" t="n">
        <f aca="false">(CK60+CK53)*(CK$4&lt;=$E12)+$F143*CK12</f>
        <v>0</v>
      </c>
      <c r="CL152" s="33" t="n">
        <f aca="false">(CL60+CL53)*(CL$4&lt;=$E12)+$F143*CL12</f>
        <v>0</v>
      </c>
      <c r="CM152" s="33" t="n">
        <f aca="false">(CM60+CM53)*(CM$4&lt;=$E12)+$F143*CM12</f>
        <v>0</v>
      </c>
      <c r="CN152" s="33" t="n">
        <f aca="false">(CN60+CN53)*(CN$4&lt;=$E12)+$F143*CN12</f>
        <v>0</v>
      </c>
      <c r="CO152" s="33" t="n">
        <f aca="false">(CO60+CO53)*(CO$4&lt;=$E12)+$F143*CO12</f>
        <v>0</v>
      </c>
      <c r="CP152" s="33" t="n">
        <f aca="false">(CP60+CP53)*(CP$4&lt;=$E12)+$F143*CP12</f>
        <v>0</v>
      </c>
      <c r="CQ152" s="33" t="n">
        <f aca="false">(CQ60+CQ53)*(CQ$4&lt;=$E12)+$F143*CQ12</f>
        <v>0</v>
      </c>
      <c r="CR152" s="33" t="n">
        <f aca="false">(CR60+CR53)*(CR$4&lt;=$E12)+$F143*CR12</f>
        <v>0</v>
      </c>
      <c r="CS152" s="33" t="n">
        <f aca="false">(CS60+CS53)*(CS$4&lt;=$E12)+$F143*CS12</f>
        <v>0</v>
      </c>
      <c r="CT152" s="33" t="n">
        <f aca="false">(CT60+CT53)*(CT$4&lt;=$E12)+$F143*CT12</f>
        <v>0</v>
      </c>
      <c r="CU152" s="33" t="n">
        <f aca="false">(CU60+CU53)*(CU$4&lt;=$E12)+$F143*CU12</f>
        <v>0</v>
      </c>
      <c r="CV152" s="33" t="n">
        <f aca="false">(CV60+CV53)*(CV$4&lt;=$E12)+$F143*CV12</f>
        <v>0</v>
      </c>
      <c r="CW152" s="33" t="n">
        <f aca="false">(CW60+CW53)*(CW$4&lt;=$E12)+$F143*CW12</f>
        <v>0</v>
      </c>
      <c r="CX152" s="33" t="n">
        <f aca="false">(CX60+CX53)*(CX$4&lt;=$E12)+$F143*CX12</f>
        <v>0</v>
      </c>
      <c r="CY152" s="33" t="n">
        <f aca="false">(CY60+CY53)*(CY$4&lt;=$E12)+$F143*CY12</f>
        <v>0</v>
      </c>
      <c r="CZ152" s="33" t="n">
        <f aca="false">(CZ60+CZ53)*(CZ$4&lt;=$E12)+$F143*CZ12</f>
        <v>0</v>
      </c>
      <c r="DA152" s="33" t="n">
        <f aca="false">(DA60+DA53)*(DA$4&lt;=$E12)+$F143*DA12</f>
        <v>0</v>
      </c>
      <c r="DB152" s="33" t="n">
        <f aca="false">(DB60+DB53)*(DB$4&lt;=$E12)+$F143*DB12</f>
        <v>0</v>
      </c>
      <c r="DC152" s="33" t="n">
        <f aca="false">(DC60+DC53)*(DC$4&lt;=$E12)+$F143*DC12</f>
        <v>0</v>
      </c>
      <c r="DD152" s="33" t="n">
        <f aca="false">(DD60+DD53)*(DD$4&lt;=$E12)+$F143*DD12</f>
        <v>0</v>
      </c>
      <c r="DE152" s="33" t="n">
        <f aca="false">(DE60+DE53)*(DE$4&lt;=$E12)+$F143*DE12</f>
        <v>0</v>
      </c>
      <c r="DF152" s="33" t="n">
        <f aca="false">(DF60+DF53)*(DF$4&lt;=$E12)+$F143*DF12</f>
        <v>0</v>
      </c>
      <c r="DG152" s="33" t="n">
        <f aca="false">(DG60+DG53)*(DG$4&lt;=$E12)+$F143*DG12</f>
        <v>0</v>
      </c>
      <c r="DH152" s="33" t="n">
        <f aca="false">(DH60+DH53)*(DH$4&lt;=$E12)+$F143*DH12</f>
        <v>0</v>
      </c>
      <c r="DI152" s="33" t="n">
        <f aca="false">(DI60+DI53)*(DI$4&lt;=$E12)+$F143*DI12</f>
        <v>0</v>
      </c>
      <c r="DJ152" s="33" t="n">
        <f aca="false">(DJ60+DJ53)*(DJ$4&lt;=$E12)+$F143*DJ12</f>
        <v>0</v>
      </c>
      <c r="DK152" s="33" t="n">
        <f aca="false">(DK60+DK53)*(DK$4&lt;=$E12)+$F143*DK12</f>
        <v>0</v>
      </c>
      <c r="DL152" s="33" t="n">
        <f aca="false">(DL60+DL53)*(DL$4&lt;=$E12)+$F143*DL12</f>
        <v>0</v>
      </c>
      <c r="DM152" s="33" t="n">
        <f aca="false">(DM60+DM53)*(DM$4&lt;=$E12)+$F143*DM12</f>
        <v>0</v>
      </c>
      <c r="DN152" s="33" t="n">
        <f aca="false">(DN60+DN53)*(DN$4&lt;=$E12)+$F143*DN12</f>
        <v>0</v>
      </c>
      <c r="DO152" s="33" t="n">
        <f aca="false">(DO60+DO53)*(DO$4&lt;=$E12)+$F143*DO12</f>
        <v>0</v>
      </c>
      <c r="DP152" s="33" t="n">
        <f aca="false">(DP60+DP53)*(DP$4&lt;=$E12)+$F143*DP12</f>
        <v>0</v>
      </c>
      <c r="DQ152" s="33" t="n">
        <f aca="false">(DQ60+DQ53)*(DQ$4&lt;=$E12)+$F143*DQ12</f>
        <v>0</v>
      </c>
      <c r="DR152" s="33" t="n">
        <f aca="false">(DR60+DR53)*(DR$4&lt;=$E12)+$F143*DR12</f>
        <v>0</v>
      </c>
      <c r="DS152" s="33" t="n">
        <f aca="false">(DS60+DS53)*(DS$4&lt;=$E12)+$F143*DS12</f>
        <v>0</v>
      </c>
      <c r="DT152" s="33" t="n">
        <f aca="false">(DT60+DT53)*(DT$4&lt;=$E12)+$F143*DT12</f>
        <v>0</v>
      </c>
      <c r="DU152" s="33" t="n">
        <f aca="false">(DU60+DU53)*(DU$4&lt;=$E12)+$F143*DU12</f>
        <v>0</v>
      </c>
      <c r="DV152" s="33" t="n">
        <f aca="false">(DV60+DV53)*(DV$4&lt;=$E12)+$F143*DV12</f>
        <v>0</v>
      </c>
      <c r="DW152" s="33" t="n">
        <f aca="false">(DW60+DW53)*(DW$4&lt;=$E12)+$F143*DW12</f>
        <v>0</v>
      </c>
      <c r="DX152" s="33" t="n">
        <f aca="false">(DX60+DX53)*(DX$4&lt;=$E12)+$F143*DX12</f>
        <v>0</v>
      </c>
      <c r="DY152" s="33" t="n">
        <f aca="false">(DY60+DY53)*(DY$4&lt;=$E12)+$F143*DY12</f>
        <v>0</v>
      </c>
      <c r="DZ152" s="33" t="n">
        <f aca="false">(DZ60+DZ53)*(DZ$4&lt;=$E12)+$F143*DZ12</f>
        <v>0</v>
      </c>
      <c r="EA152" s="33" t="n">
        <f aca="false">(EA60+EA53)*(EA$4&lt;=$E12)+$F143*EA12</f>
        <v>0</v>
      </c>
      <c r="EB152" s="33" t="n">
        <f aca="false">(EB60+EB53)*(EB$4&lt;=$E12)+$F143*EB12</f>
        <v>0</v>
      </c>
      <c r="EC152" s="33" t="n">
        <f aca="false">(EC60+EC53)*(EC$4&lt;=$E12)+$F143*EC12</f>
        <v>0</v>
      </c>
      <c r="ED152" s="33" t="n">
        <f aca="false">(ED60+ED53)*(ED$4&lt;=$E12)+$F143*ED12</f>
        <v>0</v>
      </c>
      <c r="EE152" s="33" t="n">
        <f aca="false">(EE60+EE53)*(EE$4&lt;=$E12)+$F143*EE12</f>
        <v>0</v>
      </c>
      <c r="EF152" s="33" t="n">
        <f aca="false">(EF60+EF53)*(EF$4&lt;=$E12)+$F143*EF12</f>
        <v>0</v>
      </c>
      <c r="EG152" s="33" t="n">
        <f aca="false">(EG60+EG53)*(EG$4&lt;=$E12)+$F143*EG12</f>
        <v>0</v>
      </c>
      <c r="EH152" s="33" t="n">
        <f aca="false">(EH60+EH53)*(EH$4&lt;=$E12)+$F143*EH12</f>
        <v>0</v>
      </c>
      <c r="EI152" s="33" t="n">
        <f aca="false">(EI60+EI53)*(EI$4&lt;=$E12)+$F143*EI12</f>
        <v>0</v>
      </c>
      <c r="EJ152" s="33" t="n">
        <f aca="false">(EJ60+EJ53)*(EJ$4&lt;=$E12)+$F143*EJ12</f>
        <v>0</v>
      </c>
      <c r="EK152" s="33" t="n">
        <f aca="false">(EK60+EK53)*(EK$4&lt;=$E12)+$F143*EK12</f>
        <v>0</v>
      </c>
      <c r="EL152" s="33" t="n">
        <f aca="false">(EL60+EL53)*(EL$4&lt;=$E12)+$F143*EL12</f>
        <v>0</v>
      </c>
      <c r="EM152" s="33" t="n">
        <f aca="false">(EM60+EM53)*(EM$4&lt;=$E12)+$F143*EM12</f>
        <v>0</v>
      </c>
      <c r="EN152" s="33" t="n">
        <f aca="false">(EN60+EN53)*(EN$4&lt;=$E12)+$F143*EN12</f>
        <v>0</v>
      </c>
      <c r="EO152" s="33" t="n">
        <f aca="false">(EO60+EO53)*(EO$4&lt;=$E12)+$F143*EO12</f>
        <v>0</v>
      </c>
      <c r="EP152" s="33" t="n">
        <f aca="false">(EP60+EP53)*(EP$4&lt;=$E12)+$F143*EP12</f>
        <v>0</v>
      </c>
      <c r="EQ152" s="33" t="n">
        <f aca="false">(EQ60+EQ53)*(EQ$4&lt;=$E12)+$F143*EQ12</f>
        <v>0</v>
      </c>
      <c r="ER152" s="33" t="n">
        <f aca="false">(ER60+ER53)*(ER$4&lt;=$E12)+$F143*ER12</f>
        <v>0</v>
      </c>
      <c r="ES152" s="33" t="n">
        <f aca="false">(ES60+ES53)*(ES$4&lt;=$E12)+$F143*ES12</f>
        <v>0</v>
      </c>
      <c r="ET152" s="33" t="n">
        <f aca="false">(ET60+ET53)*(ET$4&lt;=$E12)+$F143*ET12</f>
        <v>0</v>
      </c>
    </row>
    <row r="153" customFormat="false" ht="15" hidden="false" customHeight="false" outlineLevel="0" collapsed="false">
      <c r="C153" s="30" t="s">
        <v>598</v>
      </c>
      <c r="D153" s="11" t="s">
        <v>253</v>
      </c>
      <c r="I153" s="35" t="n">
        <f aca="false">SUM(J153:ET153)</f>
        <v>6546.75873853232</v>
      </c>
      <c r="J153" s="35" t="n">
        <f aca="false">J152+$E152*J12</f>
        <v>-400</v>
      </c>
      <c r="K153" s="35" t="n">
        <f aca="false">K152+$E152*K12</f>
        <v>-1437.78053818728</v>
      </c>
      <c r="L153" s="35" t="n">
        <f aca="false">L152+$E152*L12</f>
        <v>-691.910911990993</v>
      </c>
      <c r="M153" s="35" t="n">
        <f aca="false">M152+$E152*M12</f>
        <v>-148.451634452993</v>
      </c>
      <c r="N153" s="35" t="n">
        <f aca="false">N152+$E152*N12</f>
        <v>-149.601261024582</v>
      </c>
      <c r="O153" s="35" t="n">
        <f aca="false">O152+$E152*O12</f>
        <v>-290.127288421843</v>
      </c>
      <c r="P153" s="35" t="n">
        <f aca="false">P152+$E152*P12</f>
        <v>-1394.65781281475</v>
      </c>
      <c r="Q153" s="35" t="n">
        <f aca="false">Q152+$E152*Q12</f>
        <v>-109.225607055733</v>
      </c>
      <c r="R153" s="35" t="n">
        <f aca="false">R152+$E152*R12</f>
        <v>-269.857154566657</v>
      </c>
      <c r="S153" s="35" t="n">
        <f aca="false">S152+$E152*S12</f>
        <v>-422.991783283459</v>
      </c>
      <c r="T153" s="35" t="n">
        <f aca="false">T152+$E152*T12</f>
        <v>-20587.5113339088</v>
      </c>
      <c r="U153" s="35" t="n">
        <f aca="false">U152+$E152*U12</f>
        <v>-104.616018014637</v>
      </c>
      <c r="V153" s="35" t="n">
        <f aca="false">V152+$E152*V12</f>
        <v>-105.765644586226</v>
      </c>
      <c r="W153" s="35" t="n">
        <f aca="false">W152+$E152*W12</f>
        <v>32659.2557268403</v>
      </c>
      <c r="X153" s="35" t="n">
        <f aca="false">X152+$E152*X12</f>
        <v>0</v>
      </c>
      <c r="Y153" s="35" t="n">
        <f aca="false">Y152+$E152*Y12</f>
        <v>0</v>
      </c>
      <c r="Z153" s="35" t="n">
        <f aca="false">Z152+$E152*Z12</f>
        <v>0</v>
      </c>
      <c r="AA153" s="35" t="n">
        <f aca="false">AA152+$E152*AA12</f>
        <v>0</v>
      </c>
      <c r="AB153" s="35" t="n">
        <f aca="false">AB152+$E152*AB12</f>
        <v>0</v>
      </c>
      <c r="AC153" s="35" t="n">
        <f aca="false">AC152+$E152*AC12</f>
        <v>0</v>
      </c>
      <c r="AD153" s="35" t="n">
        <f aca="false">AD152+$E152*AD12</f>
        <v>0</v>
      </c>
      <c r="AE153" s="35" t="n">
        <f aca="false">AE152+$E152*AE12</f>
        <v>0</v>
      </c>
      <c r="AF153" s="35" t="n">
        <f aca="false">AF152+$E152*AF12</f>
        <v>0</v>
      </c>
      <c r="AG153" s="35" t="n">
        <f aca="false">AG152+$E152*AG12</f>
        <v>0</v>
      </c>
      <c r="AH153" s="35" t="n">
        <f aca="false">AH152+$E152*AH12</f>
        <v>0</v>
      </c>
      <c r="AI153" s="35" t="n">
        <f aca="false">AI152+$E152*AI12</f>
        <v>0</v>
      </c>
      <c r="AJ153" s="35" t="n">
        <f aca="false">AJ152+$E152*AJ12</f>
        <v>0</v>
      </c>
      <c r="AK153" s="35" t="n">
        <f aca="false">AK152+$E152*AK12</f>
        <v>0</v>
      </c>
      <c r="AL153" s="35" t="n">
        <f aca="false">AL152+$E152*AL12</f>
        <v>0</v>
      </c>
      <c r="AM153" s="35" t="n">
        <f aca="false">AM152+$E152*AM12</f>
        <v>0</v>
      </c>
      <c r="AN153" s="35" t="n">
        <f aca="false">AN152+$E152*AN12</f>
        <v>0</v>
      </c>
      <c r="AO153" s="35" t="n">
        <f aca="false">AO152+$E152*AO12</f>
        <v>0</v>
      </c>
      <c r="AP153" s="35" t="n">
        <f aca="false">AP152+$E152*AP12</f>
        <v>0</v>
      </c>
      <c r="AQ153" s="35" t="n">
        <f aca="false">AQ152+$E152*AQ12</f>
        <v>0</v>
      </c>
      <c r="AR153" s="35" t="n">
        <f aca="false">AR152+$E152*AR12</f>
        <v>0</v>
      </c>
      <c r="AS153" s="35" t="n">
        <f aca="false">AS152+$E152*AS12</f>
        <v>0</v>
      </c>
      <c r="AT153" s="35" t="n">
        <f aca="false">AT152+$E152*AT12</f>
        <v>0</v>
      </c>
      <c r="AU153" s="35" t="n">
        <f aca="false">AU152+$E152*AU12</f>
        <v>0</v>
      </c>
      <c r="AV153" s="35" t="n">
        <f aca="false">AV152+$E152*AV12</f>
        <v>0</v>
      </c>
      <c r="AW153" s="35" t="n">
        <f aca="false">AW152+$E152*AW12</f>
        <v>0</v>
      </c>
      <c r="AX153" s="35" t="n">
        <f aca="false">AX152+$E152*AX12</f>
        <v>0</v>
      </c>
      <c r="AY153" s="35" t="n">
        <f aca="false">AY152+$E152*AY12</f>
        <v>0</v>
      </c>
      <c r="AZ153" s="35" t="n">
        <f aca="false">AZ152+$E152*AZ12</f>
        <v>0</v>
      </c>
      <c r="BA153" s="35" t="n">
        <f aca="false">BA152+$E152*BA12</f>
        <v>0</v>
      </c>
      <c r="BB153" s="35" t="n">
        <f aca="false">BB152+$E152*BB12</f>
        <v>0</v>
      </c>
      <c r="BC153" s="35" t="n">
        <f aca="false">BC152+$E152*BC12</f>
        <v>0</v>
      </c>
      <c r="BD153" s="35" t="n">
        <f aca="false">BD152+$E152*BD12</f>
        <v>0</v>
      </c>
      <c r="BE153" s="35" t="n">
        <f aca="false">BE152+$E152*BE12</f>
        <v>0</v>
      </c>
      <c r="BF153" s="35" t="n">
        <f aca="false">BF152+$E152*BF12</f>
        <v>0</v>
      </c>
      <c r="BG153" s="35" t="n">
        <f aca="false">BG152+$E152*BG12</f>
        <v>0</v>
      </c>
      <c r="BH153" s="35" t="n">
        <f aca="false">BH152+$E152*BH12</f>
        <v>0</v>
      </c>
      <c r="BI153" s="35" t="n">
        <f aca="false">BI152+$E152*BI12</f>
        <v>0</v>
      </c>
      <c r="BJ153" s="35" t="n">
        <f aca="false">BJ152+$E152*BJ12</f>
        <v>0</v>
      </c>
      <c r="BK153" s="35" t="n">
        <f aca="false">BK152+$E152*BK12</f>
        <v>0</v>
      </c>
      <c r="BL153" s="35" t="n">
        <f aca="false">BL152+$E152*BL12</f>
        <v>0</v>
      </c>
      <c r="BM153" s="35" t="n">
        <f aca="false">BM152+$E152*BM12</f>
        <v>0</v>
      </c>
      <c r="BN153" s="35" t="n">
        <f aca="false">BN152+$E152*BN12</f>
        <v>0</v>
      </c>
      <c r="BO153" s="35" t="n">
        <f aca="false">BO152+$E152*BO12</f>
        <v>0</v>
      </c>
      <c r="BP153" s="35" t="n">
        <f aca="false">BP152+$E152*BP12</f>
        <v>0</v>
      </c>
      <c r="BQ153" s="35" t="n">
        <f aca="false">BQ152+$E152*BQ12</f>
        <v>0</v>
      </c>
      <c r="BR153" s="35" t="n">
        <f aca="false">BR152+$E152*BR12</f>
        <v>0</v>
      </c>
      <c r="BS153" s="35" t="n">
        <f aca="false">BS152+$E152*BS12</f>
        <v>0</v>
      </c>
      <c r="BT153" s="35" t="n">
        <f aca="false">BT152+$E152*BT12</f>
        <v>0</v>
      </c>
      <c r="BU153" s="35" t="n">
        <f aca="false">BU152+$E152*BU12</f>
        <v>0</v>
      </c>
      <c r="BV153" s="35" t="n">
        <f aca="false">BV152+$E152*BV12</f>
        <v>0</v>
      </c>
      <c r="BW153" s="35" t="n">
        <f aca="false">BW152+$E152*BW12</f>
        <v>0</v>
      </c>
      <c r="BX153" s="35" t="n">
        <f aca="false">BX152+$E152*BX12</f>
        <v>0</v>
      </c>
      <c r="BY153" s="35" t="n">
        <f aca="false">BY152+$E152*BY12</f>
        <v>0</v>
      </c>
      <c r="BZ153" s="35" t="n">
        <f aca="false">BZ152+$E152*BZ12</f>
        <v>0</v>
      </c>
      <c r="CA153" s="35" t="n">
        <f aca="false">CA152+$E152*CA12</f>
        <v>0</v>
      </c>
      <c r="CB153" s="35" t="n">
        <f aca="false">CB152+$E152*CB12</f>
        <v>0</v>
      </c>
      <c r="CC153" s="35" t="n">
        <f aca="false">CC152+$E152*CC12</f>
        <v>0</v>
      </c>
      <c r="CD153" s="35" t="n">
        <f aca="false">CD152+$E152*CD12</f>
        <v>0</v>
      </c>
      <c r="CE153" s="35" t="n">
        <f aca="false">CE152+$E152*CE12</f>
        <v>0</v>
      </c>
      <c r="CF153" s="35" t="n">
        <f aca="false">CF152+$E152*CF12</f>
        <v>0</v>
      </c>
      <c r="CG153" s="35" t="n">
        <f aca="false">CG152+$E152*CG12</f>
        <v>0</v>
      </c>
      <c r="CH153" s="35" t="n">
        <f aca="false">CH152+$E152*CH12</f>
        <v>0</v>
      </c>
      <c r="CI153" s="35" t="n">
        <f aca="false">CI152+$E152*CI12</f>
        <v>0</v>
      </c>
      <c r="CJ153" s="35" t="n">
        <f aca="false">CJ152+$E152*CJ12</f>
        <v>0</v>
      </c>
      <c r="CK153" s="35" t="n">
        <f aca="false">CK152+$E152*CK12</f>
        <v>0</v>
      </c>
      <c r="CL153" s="35" t="n">
        <f aca="false">CL152+$E152*CL12</f>
        <v>0</v>
      </c>
      <c r="CM153" s="35" t="n">
        <f aca="false">CM152+$E152*CM12</f>
        <v>0</v>
      </c>
      <c r="CN153" s="35" t="n">
        <f aca="false">CN152+$E152*CN12</f>
        <v>0</v>
      </c>
      <c r="CO153" s="35" t="n">
        <f aca="false">CO152+$E152*CO12</f>
        <v>0</v>
      </c>
      <c r="CP153" s="35" t="n">
        <f aca="false">CP152+$E152*CP12</f>
        <v>0</v>
      </c>
      <c r="CQ153" s="35" t="n">
        <f aca="false">CQ152+$E152*CQ12</f>
        <v>0</v>
      </c>
      <c r="CR153" s="35" t="n">
        <f aca="false">CR152+$E152*CR12</f>
        <v>0</v>
      </c>
      <c r="CS153" s="35" t="n">
        <f aca="false">CS152+$E152*CS12</f>
        <v>0</v>
      </c>
      <c r="CT153" s="35" t="n">
        <f aca="false">CT152+$E152*CT12</f>
        <v>0</v>
      </c>
      <c r="CU153" s="35" t="n">
        <f aca="false">CU152+$E152*CU12</f>
        <v>0</v>
      </c>
      <c r="CV153" s="35" t="n">
        <f aca="false">CV152+$E152*CV12</f>
        <v>0</v>
      </c>
      <c r="CW153" s="35" t="n">
        <f aca="false">CW152+$E152*CW12</f>
        <v>0</v>
      </c>
      <c r="CX153" s="35" t="n">
        <f aca="false">CX152+$E152*CX12</f>
        <v>0</v>
      </c>
      <c r="CY153" s="35" t="n">
        <f aca="false">CY152+$E152*CY12</f>
        <v>0</v>
      </c>
      <c r="CZ153" s="35" t="n">
        <f aca="false">CZ152+$E152*CZ12</f>
        <v>0</v>
      </c>
      <c r="DA153" s="35" t="n">
        <f aca="false">DA152+$E152*DA12</f>
        <v>0</v>
      </c>
      <c r="DB153" s="35" t="n">
        <f aca="false">DB152+$E152*DB12</f>
        <v>0</v>
      </c>
      <c r="DC153" s="35" t="n">
        <f aca="false">DC152+$E152*DC12</f>
        <v>0</v>
      </c>
      <c r="DD153" s="35" t="n">
        <f aca="false">DD152+$E152*DD12</f>
        <v>0</v>
      </c>
      <c r="DE153" s="35" t="n">
        <f aca="false">DE152+$E152*DE12</f>
        <v>0</v>
      </c>
      <c r="DF153" s="35" t="n">
        <f aca="false">DF152+$E152*DF12</f>
        <v>0</v>
      </c>
      <c r="DG153" s="35" t="n">
        <f aca="false">DG152+$E152*DG12</f>
        <v>0</v>
      </c>
      <c r="DH153" s="35" t="n">
        <f aca="false">DH152+$E152*DH12</f>
        <v>0</v>
      </c>
      <c r="DI153" s="35" t="n">
        <f aca="false">DI152+$E152*DI12</f>
        <v>0</v>
      </c>
      <c r="DJ153" s="35" t="n">
        <f aca="false">DJ152+$E152*DJ12</f>
        <v>0</v>
      </c>
      <c r="DK153" s="35" t="n">
        <f aca="false">DK152+$E152*DK12</f>
        <v>0</v>
      </c>
      <c r="DL153" s="35" t="n">
        <f aca="false">DL152+$E152*DL12</f>
        <v>0</v>
      </c>
      <c r="DM153" s="35" t="n">
        <f aca="false">DM152+$E152*DM12</f>
        <v>0</v>
      </c>
      <c r="DN153" s="35" t="n">
        <f aca="false">DN152+$E152*DN12</f>
        <v>0</v>
      </c>
      <c r="DO153" s="35" t="n">
        <f aca="false">DO152+$E152*DO12</f>
        <v>0</v>
      </c>
      <c r="DP153" s="35" t="n">
        <f aca="false">DP152+$E152*DP12</f>
        <v>0</v>
      </c>
      <c r="DQ153" s="35" t="n">
        <f aca="false">DQ152+$E152*DQ12</f>
        <v>0</v>
      </c>
      <c r="DR153" s="35" t="n">
        <f aca="false">DR152+$E152*DR12</f>
        <v>0</v>
      </c>
      <c r="DS153" s="35" t="n">
        <f aca="false">DS152+$E152*DS12</f>
        <v>0</v>
      </c>
      <c r="DT153" s="35" t="n">
        <f aca="false">DT152+$E152*DT12</f>
        <v>0</v>
      </c>
      <c r="DU153" s="35" t="n">
        <f aca="false">DU152+$E152*DU12</f>
        <v>0</v>
      </c>
      <c r="DV153" s="35" t="n">
        <f aca="false">DV152+$E152*DV12</f>
        <v>0</v>
      </c>
      <c r="DW153" s="35" t="n">
        <f aca="false">DW152+$E152*DW12</f>
        <v>0</v>
      </c>
      <c r="DX153" s="35" t="n">
        <f aca="false">DX152+$E152*DX12</f>
        <v>0</v>
      </c>
      <c r="DY153" s="35" t="n">
        <f aca="false">DY152+$E152*DY12</f>
        <v>0</v>
      </c>
      <c r="DZ153" s="35" t="n">
        <f aca="false">DZ152+$E152*DZ12</f>
        <v>0</v>
      </c>
      <c r="EA153" s="35" t="n">
        <f aca="false">EA152+$E152*EA12</f>
        <v>0</v>
      </c>
      <c r="EB153" s="35" t="n">
        <f aca="false">EB152+$E152*EB12</f>
        <v>0</v>
      </c>
      <c r="EC153" s="35" t="n">
        <f aca="false">EC152+$E152*EC12</f>
        <v>0</v>
      </c>
      <c r="ED153" s="35" t="n">
        <f aca="false">ED152+$E152*ED12</f>
        <v>0</v>
      </c>
      <c r="EE153" s="35" t="n">
        <f aca="false">EE152+$E152*EE12</f>
        <v>0</v>
      </c>
      <c r="EF153" s="35" t="n">
        <f aca="false">EF152+$E152*EF12</f>
        <v>0</v>
      </c>
      <c r="EG153" s="35" t="n">
        <f aca="false">EG152+$E152*EG12</f>
        <v>0</v>
      </c>
      <c r="EH153" s="35" t="n">
        <f aca="false">EH152+$E152*EH12</f>
        <v>0</v>
      </c>
      <c r="EI153" s="35" t="n">
        <f aca="false">EI152+$E152*EI12</f>
        <v>0</v>
      </c>
      <c r="EJ153" s="35" t="n">
        <f aca="false">EJ152+$E152*EJ12</f>
        <v>0</v>
      </c>
      <c r="EK153" s="35" t="n">
        <f aca="false">EK152+$E152*EK12</f>
        <v>0</v>
      </c>
      <c r="EL153" s="35" t="n">
        <f aca="false">EL152+$E152*EL12</f>
        <v>0</v>
      </c>
      <c r="EM153" s="35" t="n">
        <f aca="false">EM152+$E152*EM12</f>
        <v>0</v>
      </c>
      <c r="EN153" s="35" t="n">
        <f aca="false">EN152+$E152*EN12</f>
        <v>0</v>
      </c>
      <c r="EO153" s="35" t="n">
        <f aca="false">EO152+$E152*EO12</f>
        <v>0</v>
      </c>
      <c r="EP153" s="35" t="n">
        <f aca="false">EP152+$E152*EP12</f>
        <v>0</v>
      </c>
      <c r="EQ153" s="35" t="n">
        <f aca="false">EQ152+$E152*EQ12</f>
        <v>0</v>
      </c>
      <c r="ER153" s="35" t="n">
        <f aca="false">ER152+$E152*ER12</f>
        <v>0</v>
      </c>
      <c r="ES153" s="35" t="n">
        <f aca="false">ES152+$E152*ES12</f>
        <v>0</v>
      </c>
      <c r="ET153" s="35" t="n">
        <f aca="false">ET152+$E152*ET12</f>
        <v>0</v>
      </c>
    </row>
    <row r="154" customFormat="false" ht="15" hidden="false" customHeight="false" outlineLevel="0" collapsed="false">
      <c r="C154" s="0" t="s">
        <v>168</v>
      </c>
      <c r="D154" s="11" t="s">
        <v>253</v>
      </c>
      <c r="E154" s="33" t="n">
        <f aca="false">$E59+$I46+$E152</f>
        <v>-1806.77268158454</v>
      </c>
    </row>
    <row r="155" customFormat="false" ht="15" hidden="false" customHeight="false" outlineLevel="0" collapsed="false">
      <c r="C155" s="30" t="s">
        <v>75</v>
      </c>
      <c r="D155" s="11" t="s">
        <v>35</v>
      </c>
      <c r="E155" s="57" t="n">
        <f aca="false">IFERROR(XIRR($J153:$ET153,$J$4:$ET$4),"n/a")</f>
        <v>0.221510760619134</v>
      </c>
    </row>
    <row r="156" customFormat="false" ht="15" hidden="false" customHeight="false" outlineLevel="0" collapsed="false">
      <c r="C156" s="30" t="s">
        <v>599</v>
      </c>
      <c r="D156" s="11" t="s">
        <v>13</v>
      </c>
      <c r="E156" s="58" t="n">
        <f aca="false">($F143+$E152)/($F143-$I152)</f>
        <v>1.24970223352323</v>
      </c>
    </row>
    <row r="157" customFormat="false" ht="15" hidden="false" customHeight="false" outlineLevel="0" collapsed="false">
      <c r="C157" s="30" t="s">
        <v>170</v>
      </c>
      <c r="D157" s="11" t="s">
        <v>253</v>
      </c>
      <c r="E157" s="35" t="n">
        <f aca="false">XNPV(In_Discount_Rate,$J153:$ET153,$J$4:$ET$4)</f>
        <v>3328.54248477583</v>
      </c>
    </row>
    <row r="159" customFormat="false" ht="15" hidden="false" customHeight="false" outlineLevel="0" collapsed="false">
      <c r="A159" s="9" t="s">
        <v>13</v>
      </c>
      <c r="B159" s="9"/>
      <c r="C159" s="9" t="s">
        <v>171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</row>
    <row r="160" customFormat="false" ht="15" hidden="false" customHeight="false" outlineLevel="0" collapsed="false">
      <c r="C160" s="0" t="s">
        <v>600</v>
      </c>
      <c r="D160" s="11" t="s">
        <v>253</v>
      </c>
      <c r="I160" s="33" t="n">
        <f aca="false">SUM(J160:ET160)</f>
        <v>-73398.9735112757</v>
      </c>
      <c r="J160" s="33" t="n">
        <f aca="false">(J60+J106+J99+J120)*(J$4&lt;=In_COD)</f>
        <v>-400</v>
      </c>
      <c r="K160" s="33" t="n">
        <f aca="false">(K60+K106+K99+K120)*(K$4&lt;=In_COD)</f>
        <v>-1437.78053818728</v>
      </c>
      <c r="L160" s="33" t="n">
        <f aca="false">(L60+L106+L99+L120)*(L$4&lt;=In_COD)</f>
        <v>-691.910911990993</v>
      </c>
      <c r="M160" s="33" t="n">
        <f aca="false">(M60+M106+M99+M120)*(M$4&lt;=In_COD)</f>
        <v>-148.451634452993</v>
      </c>
      <c r="N160" s="33" t="n">
        <f aca="false">(N60+N106+N99+N120)*(N$4&lt;=In_COD)</f>
        <v>-149.601261024582</v>
      </c>
      <c r="O160" s="33" t="n">
        <f aca="false">(O60+O106+O99+O120)*(O$4&lt;=In_COD)</f>
        <v>-290.127288421843</v>
      </c>
      <c r="P160" s="33" t="n">
        <f aca="false">(P60+P106+P99+P120)*(P$4&lt;=In_COD)</f>
        <v>-1394.65781281475</v>
      </c>
      <c r="Q160" s="33" t="n">
        <f aca="false">(Q60+Q106+Q99+Q120)*(Q$4&lt;=In_COD)</f>
        <v>-109.225607055733</v>
      </c>
      <c r="R160" s="33" t="n">
        <f aca="false">(R60+R106+R99+R120)*(R$4&lt;=In_COD)</f>
        <v>-269.857154566657</v>
      </c>
      <c r="S160" s="33" t="n">
        <f aca="false">(S60+S106+S99+S120)*(S$4&lt;=In_COD)</f>
        <v>-422.991783283459</v>
      </c>
      <c r="T160" s="33" t="n">
        <f aca="false">(T60+T106+T99+T120)*(T$4&lt;=In_COD)</f>
        <v>-20587.5113339088</v>
      </c>
      <c r="U160" s="33" t="n">
        <f aca="false">(U60+U106+U99+U120)*(U$4&lt;=In_COD)</f>
        <v>-104.616018014637</v>
      </c>
      <c r="V160" s="33" t="n">
        <f aca="false">(V60+V106+V99+V120)*(V$4&lt;=In_COD)</f>
        <v>-105.765644586226</v>
      </c>
      <c r="W160" s="33" t="n">
        <f aca="false">(W60+W106+W99+W120)*(W$4&lt;=In_COD)</f>
        <v>-6875.32473538409</v>
      </c>
      <c r="X160" s="33" t="n">
        <f aca="false">(X60+X106+X99+X120)*(X$4&lt;=In_COD)</f>
        <v>-5073.5175863622</v>
      </c>
      <c r="Y160" s="33" t="n">
        <f aca="false">(Y60+Y106+Y99+Y120)*(Y$4&lt;=In_COD)</f>
        <v>-5103.58937070822</v>
      </c>
      <c r="Z160" s="33" t="n">
        <f aca="false">(Z60+Z106+Z99+Z120)*(Z$4&lt;=In_COD)</f>
        <v>-5132.78767858878</v>
      </c>
      <c r="AA160" s="33" t="n">
        <f aca="false">(AA60+AA106+AA99+AA120)*(AA$4&lt;=In_COD)</f>
        <v>-5105.60714622201</v>
      </c>
      <c r="AB160" s="33" t="n">
        <f aca="false">(AB60+AB106+AB99+AB120)*(AB$4&lt;=In_COD)</f>
        <v>-4969.92045560723</v>
      </c>
      <c r="AC160" s="33" t="n">
        <f aca="false">(AC60+AC106+AC99+AC120)*(AC$4&lt;=In_COD)</f>
        <v>-4998.84116072264</v>
      </c>
      <c r="AD160" s="33" t="n">
        <f aca="false">(AD60+AD106+AD99+AD120)*(AD$4&lt;=In_COD)</f>
        <v>-10026.8883893726</v>
      </c>
      <c r="AE160" s="33" t="n">
        <f aca="false">(AE60+AE106+AE99+AE120)*(AE$4&lt;=In_COD)</f>
        <v>0</v>
      </c>
      <c r="AF160" s="33" t="n">
        <f aca="false">(AF60+AF106+AF99+AF120)*(AF$4&lt;=In_COD)</f>
        <v>0</v>
      </c>
      <c r="AG160" s="33" t="n">
        <f aca="false">(AG60+AG106+AG99+AG120)*(AG$4&lt;=In_COD)</f>
        <v>0</v>
      </c>
      <c r="AH160" s="33" t="n">
        <f aca="false">(AH60+AH106+AH99+AH120)*(AH$4&lt;=In_COD)</f>
        <v>0</v>
      </c>
      <c r="AI160" s="33" t="n">
        <f aca="false">(AI60+AI106+AI99+AI120)*(AI$4&lt;=In_COD)</f>
        <v>0</v>
      </c>
      <c r="AJ160" s="33" t="n">
        <f aca="false">(AJ60+AJ106+AJ99+AJ120)*(AJ$4&lt;=In_COD)</f>
        <v>0</v>
      </c>
      <c r="AK160" s="33" t="n">
        <f aca="false">(AK60+AK106+AK99+AK120)*(AK$4&lt;=In_COD)</f>
        <v>0</v>
      </c>
      <c r="AL160" s="33" t="n">
        <f aca="false">(AL60+AL106+AL99+AL120)*(AL$4&lt;=In_COD)</f>
        <v>0</v>
      </c>
      <c r="AM160" s="33" t="n">
        <f aca="false">(AM60+AM106+AM99+AM120)*(AM$4&lt;=In_COD)</f>
        <v>0</v>
      </c>
      <c r="AN160" s="33" t="n">
        <f aca="false">(AN60+AN106+AN99+AN120)*(AN$4&lt;=In_COD)</f>
        <v>0</v>
      </c>
      <c r="AO160" s="33" t="n">
        <f aca="false">(AO60+AO106+AO99+AO120)*(AO$4&lt;=In_COD)</f>
        <v>0</v>
      </c>
      <c r="AP160" s="33" t="n">
        <f aca="false">(AP60+AP106+AP99+AP120)*(AP$4&lt;=In_COD)</f>
        <v>0</v>
      </c>
      <c r="AQ160" s="33" t="n">
        <f aca="false">(AQ60+AQ106+AQ99+AQ120)*(AQ$4&lt;=In_COD)</f>
        <v>0</v>
      </c>
      <c r="AR160" s="33" t="n">
        <f aca="false">(AR60+AR106+AR99+AR120)*(AR$4&lt;=In_COD)</f>
        <v>0</v>
      </c>
      <c r="AS160" s="33" t="n">
        <f aca="false">(AS60+AS106+AS99+AS120)*(AS$4&lt;=In_COD)</f>
        <v>0</v>
      </c>
      <c r="AT160" s="33" t="n">
        <f aca="false">(AT60+AT106+AT99+AT120)*(AT$4&lt;=In_COD)</f>
        <v>0</v>
      </c>
      <c r="AU160" s="33" t="n">
        <f aca="false">(AU60+AU106+AU99+AU120)*(AU$4&lt;=In_COD)</f>
        <v>0</v>
      </c>
      <c r="AV160" s="33" t="n">
        <f aca="false">(AV60+AV106+AV99+AV120)*(AV$4&lt;=In_COD)</f>
        <v>0</v>
      </c>
      <c r="AW160" s="33" t="n">
        <f aca="false">(AW60+AW106+AW99+AW120)*(AW$4&lt;=In_COD)</f>
        <v>0</v>
      </c>
      <c r="AX160" s="33" t="n">
        <f aca="false">(AX60+AX106+AX99+AX120)*(AX$4&lt;=In_COD)</f>
        <v>0</v>
      </c>
      <c r="AY160" s="33" t="n">
        <f aca="false">(AY60+AY106+AY99+AY120)*(AY$4&lt;=In_COD)</f>
        <v>0</v>
      </c>
      <c r="AZ160" s="33" t="n">
        <f aca="false">(AZ60+AZ106+AZ99+AZ120)*(AZ$4&lt;=In_COD)</f>
        <v>0</v>
      </c>
      <c r="BA160" s="33" t="n">
        <f aca="false">(BA60+BA106+BA99+BA120)*(BA$4&lt;=In_COD)</f>
        <v>0</v>
      </c>
      <c r="BB160" s="33" t="n">
        <f aca="false">(BB60+BB106+BB99+BB120)*(BB$4&lt;=In_COD)</f>
        <v>0</v>
      </c>
      <c r="BC160" s="33" t="n">
        <f aca="false">(BC60+BC106+BC99+BC120)*(BC$4&lt;=In_COD)</f>
        <v>0</v>
      </c>
      <c r="BD160" s="33" t="n">
        <f aca="false">(BD60+BD106+BD99+BD120)*(BD$4&lt;=In_COD)</f>
        <v>0</v>
      </c>
      <c r="BE160" s="33" t="n">
        <f aca="false">(BE60+BE106+BE99+BE120)*(BE$4&lt;=In_COD)</f>
        <v>0</v>
      </c>
      <c r="BF160" s="33" t="n">
        <f aca="false">(BF60+BF106+BF99+BF120)*(BF$4&lt;=In_COD)</f>
        <v>0</v>
      </c>
      <c r="BG160" s="33" t="n">
        <f aca="false">(BG60+BG106+BG99+BG120)*(BG$4&lt;=In_COD)</f>
        <v>0</v>
      </c>
      <c r="BH160" s="33" t="n">
        <f aca="false">(BH60+BH106+BH99+BH120)*(BH$4&lt;=In_COD)</f>
        <v>0</v>
      </c>
      <c r="BI160" s="33" t="n">
        <f aca="false">(BI60+BI106+BI99+BI120)*(BI$4&lt;=In_COD)</f>
        <v>0</v>
      </c>
      <c r="BJ160" s="33" t="n">
        <f aca="false">(BJ60+BJ106+BJ99+BJ120)*(BJ$4&lt;=In_COD)</f>
        <v>0</v>
      </c>
      <c r="BK160" s="33" t="n">
        <f aca="false">(BK60+BK106+BK99+BK120)*(BK$4&lt;=In_COD)</f>
        <v>0</v>
      </c>
      <c r="BL160" s="33" t="n">
        <f aca="false">(BL60+BL106+BL99+BL120)*(BL$4&lt;=In_COD)</f>
        <v>0</v>
      </c>
      <c r="BM160" s="33" t="n">
        <f aca="false">(BM60+BM106+BM99+BM120)*(BM$4&lt;=In_COD)</f>
        <v>0</v>
      </c>
      <c r="BN160" s="33" t="n">
        <f aca="false">(BN60+BN106+BN99+BN120)*(BN$4&lt;=In_COD)</f>
        <v>0</v>
      </c>
      <c r="BO160" s="33" t="n">
        <f aca="false">(BO60+BO106+BO99+BO120)*(BO$4&lt;=In_COD)</f>
        <v>0</v>
      </c>
      <c r="BP160" s="33" t="n">
        <f aca="false">(BP60+BP106+BP99+BP120)*(BP$4&lt;=In_COD)</f>
        <v>0</v>
      </c>
      <c r="BQ160" s="33" t="n">
        <f aca="false">(BQ60+BQ106+BQ99+BQ120)*(BQ$4&lt;=In_COD)</f>
        <v>0</v>
      </c>
      <c r="BR160" s="33" t="n">
        <f aca="false">(BR60+BR106+BR99+BR120)*(BR$4&lt;=In_COD)</f>
        <v>0</v>
      </c>
      <c r="BS160" s="33" t="n">
        <f aca="false">(BS60+BS106+BS99+BS120)*(BS$4&lt;=In_COD)</f>
        <v>0</v>
      </c>
      <c r="BT160" s="33" t="n">
        <f aca="false">(BT60+BT106+BT99+BT120)*(BT$4&lt;=In_COD)</f>
        <v>0</v>
      </c>
      <c r="BU160" s="33" t="n">
        <f aca="false">(BU60+BU106+BU99+BU120)*(BU$4&lt;=In_COD)</f>
        <v>0</v>
      </c>
      <c r="BV160" s="33" t="n">
        <f aca="false">(BV60+BV106+BV99+BV120)*(BV$4&lt;=In_COD)</f>
        <v>0</v>
      </c>
      <c r="BW160" s="33" t="n">
        <f aca="false">(BW60+BW106+BW99+BW120)*(BW$4&lt;=In_COD)</f>
        <v>0</v>
      </c>
      <c r="BX160" s="33" t="n">
        <f aca="false">(BX60+BX106+BX99+BX120)*(BX$4&lt;=In_COD)</f>
        <v>0</v>
      </c>
      <c r="BY160" s="33" t="n">
        <f aca="false">(BY60+BY106+BY99+BY120)*(BY$4&lt;=In_COD)</f>
        <v>0</v>
      </c>
      <c r="BZ160" s="33" t="n">
        <f aca="false">(BZ60+BZ106+BZ99+BZ120)*(BZ$4&lt;=In_COD)</f>
        <v>0</v>
      </c>
      <c r="CA160" s="33" t="n">
        <f aca="false">(CA60+CA106+CA99+CA120)*(CA$4&lt;=In_COD)</f>
        <v>0</v>
      </c>
      <c r="CB160" s="33" t="n">
        <f aca="false">(CB60+CB106+CB99+CB120)*(CB$4&lt;=In_COD)</f>
        <v>0</v>
      </c>
      <c r="CC160" s="33" t="n">
        <f aca="false">(CC60+CC106+CC99+CC120)*(CC$4&lt;=In_COD)</f>
        <v>0</v>
      </c>
      <c r="CD160" s="33" t="n">
        <f aca="false">(CD60+CD106+CD99+CD120)*(CD$4&lt;=In_COD)</f>
        <v>0</v>
      </c>
      <c r="CE160" s="33" t="n">
        <f aca="false">(CE60+CE106+CE99+CE120)*(CE$4&lt;=In_COD)</f>
        <v>0</v>
      </c>
      <c r="CF160" s="33" t="n">
        <f aca="false">(CF60+CF106+CF99+CF120)*(CF$4&lt;=In_COD)</f>
        <v>0</v>
      </c>
      <c r="CG160" s="33" t="n">
        <f aca="false">(CG60+CG106+CG99+CG120)*(CG$4&lt;=In_COD)</f>
        <v>0</v>
      </c>
      <c r="CH160" s="33" t="n">
        <f aca="false">(CH60+CH106+CH99+CH120)*(CH$4&lt;=In_COD)</f>
        <v>0</v>
      </c>
      <c r="CI160" s="33" t="n">
        <f aca="false">(CI60+CI106+CI99+CI120)*(CI$4&lt;=In_COD)</f>
        <v>0</v>
      </c>
      <c r="CJ160" s="33" t="n">
        <f aca="false">(CJ60+CJ106+CJ99+CJ120)*(CJ$4&lt;=In_COD)</f>
        <v>0</v>
      </c>
      <c r="CK160" s="33" t="n">
        <f aca="false">(CK60+CK106+CK99+CK120)*(CK$4&lt;=In_COD)</f>
        <v>0</v>
      </c>
      <c r="CL160" s="33" t="n">
        <f aca="false">(CL60+CL106+CL99+CL120)*(CL$4&lt;=In_COD)</f>
        <v>0</v>
      </c>
      <c r="CM160" s="33" t="n">
        <f aca="false">(CM60+CM106+CM99+CM120)*(CM$4&lt;=In_COD)</f>
        <v>0</v>
      </c>
      <c r="CN160" s="33" t="n">
        <f aca="false">(CN60+CN106+CN99+CN120)*(CN$4&lt;=In_COD)</f>
        <v>0</v>
      </c>
      <c r="CO160" s="33" t="n">
        <f aca="false">(CO60+CO106+CO99+CO120)*(CO$4&lt;=In_COD)</f>
        <v>0</v>
      </c>
      <c r="CP160" s="33" t="n">
        <f aca="false">(CP60+CP106+CP99+CP120)*(CP$4&lt;=In_COD)</f>
        <v>0</v>
      </c>
      <c r="CQ160" s="33" t="n">
        <f aca="false">(CQ60+CQ106+CQ99+CQ120)*(CQ$4&lt;=In_COD)</f>
        <v>0</v>
      </c>
      <c r="CR160" s="33" t="n">
        <f aca="false">(CR60+CR106+CR99+CR120)*(CR$4&lt;=In_COD)</f>
        <v>0</v>
      </c>
      <c r="CS160" s="33" t="n">
        <f aca="false">(CS60+CS106+CS99+CS120)*(CS$4&lt;=In_COD)</f>
        <v>0</v>
      </c>
      <c r="CT160" s="33" t="n">
        <f aca="false">(CT60+CT106+CT99+CT120)*(CT$4&lt;=In_COD)</f>
        <v>0</v>
      </c>
      <c r="CU160" s="33" t="n">
        <f aca="false">(CU60+CU106+CU99+CU120)*(CU$4&lt;=In_COD)</f>
        <v>0</v>
      </c>
      <c r="CV160" s="33" t="n">
        <f aca="false">(CV60+CV106+CV99+CV120)*(CV$4&lt;=In_COD)</f>
        <v>0</v>
      </c>
      <c r="CW160" s="33" t="n">
        <f aca="false">(CW60+CW106+CW99+CW120)*(CW$4&lt;=In_COD)</f>
        <v>0</v>
      </c>
      <c r="CX160" s="33" t="n">
        <f aca="false">(CX60+CX106+CX99+CX120)*(CX$4&lt;=In_COD)</f>
        <v>0</v>
      </c>
      <c r="CY160" s="33" t="n">
        <f aca="false">(CY60+CY106+CY99+CY120)*(CY$4&lt;=In_COD)</f>
        <v>0</v>
      </c>
      <c r="CZ160" s="33" t="n">
        <f aca="false">(CZ60+CZ106+CZ99+CZ120)*(CZ$4&lt;=In_COD)</f>
        <v>0</v>
      </c>
      <c r="DA160" s="33" t="n">
        <f aca="false">(DA60+DA106+DA99+DA120)*(DA$4&lt;=In_COD)</f>
        <v>0</v>
      </c>
      <c r="DB160" s="33" t="n">
        <f aca="false">(DB60+DB106+DB99+DB120)*(DB$4&lt;=In_COD)</f>
        <v>0</v>
      </c>
      <c r="DC160" s="33" t="n">
        <f aca="false">(DC60+DC106+DC99+DC120)*(DC$4&lt;=In_COD)</f>
        <v>0</v>
      </c>
      <c r="DD160" s="33" t="n">
        <f aca="false">(DD60+DD106+DD99+DD120)*(DD$4&lt;=In_COD)</f>
        <v>0</v>
      </c>
      <c r="DE160" s="33" t="n">
        <f aca="false">(DE60+DE106+DE99+DE120)*(DE$4&lt;=In_COD)</f>
        <v>0</v>
      </c>
      <c r="DF160" s="33" t="n">
        <f aca="false">(DF60+DF106+DF99+DF120)*(DF$4&lt;=In_COD)</f>
        <v>0</v>
      </c>
      <c r="DG160" s="33" t="n">
        <f aca="false">(DG60+DG106+DG99+DG120)*(DG$4&lt;=In_COD)</f>
        <v>0</v>
      </c>
      <c r="DH160" s="33" t="n">
        <f aca="false">(DH60+DH106+DH99+DH120)*(DH$4&lt;=In_COD)</f>
        <v>0</v>
      </c>
      <c r="DI160" s="33" t="n">
        <f aca="false">(DI60+DI106+DI99+DI120)*(DI$4&lt;=In_COD)</f>
        <v>0</v>
      </c>
      <c r="DJ160" s="33" t="n">
        <f aca="false">(DJ60+DJ106+DJ99+DJ120)*(DJ$4&lt;=In_COD)</f>
        <v>0</v>
      </c>
      <c r="DK160" s="33" t="n">
        <f aca="false">(DK60+DK106+DK99+DK120)*(DK$4&lt;=In_COD)</f>
        <v>0</v>
      </c>
      <c r="DL160" s="33" t="n">
        <f aca="false">(DL60+DL106+DL99+DL120)*(DL$4&lt;=In_COD)</f>
        <v>0</v>
      </c>
      <c r="DM160" s="33" t="n">
        <f aca="false">(DM60+DM106+DM99+DM120)*(DM$4&lt;=In_COD)</f>
        <v>0</v>
      </c>
      <c r="DN160" s="33" t="n">
        <f aca="false">(DN60+DN106+DN99+DN120)*(DN$4&lt;=In_COD)</f>
        <v>0</v>
      </c>
      <c r="DO160" s="33" t="n">
        <f aca="false">(DO60+DO106+DO99+DO120)*(DO$4&lt;=In_COD)</f>
        <v>0</v>
      </c>
      <c r="DP160" s="33" t="n">
        <f aca="false">(DP60+DP106+DP99+DP120)*(DP$4&lt;=In_COD)</f>
        <v>0</v>
      </c>
      <c r="DQ160" s="33" t="n">
        <f aca="false">(DQ60+DQ106+DQ99+DQ120)*(DQ$4&lt;=In_COD)</f>
        <v>0</v>
      </c>
      <c r="DR160" s="33" t="n">
        <f aca="false">(DR60+DR106+DR99+DR120)*(DR$4&lt;=In_COD)</f>
        <v>0</v>
      </c>
      <c r="DS160" s="33" t="n">
        <f aca="false">(DS60+DS106+DS99+DS120)*(DS$4&lt;=In_COD)</f>
        <v>0</v>
      </c>
      <c r="DT160" s="33" t="n">
        <f aca="false">(DT60+DT106+DT99+DT120)*(DT$4&lt;=In_COD)</f>
        <v>0</v>
      </c>
      <c r="DU160" s="33" t="n">
        <f aca="false">(DU60+DU106+DU99+DU120)*(DU$4&lt;=In_COD)</f>
        <v>0</v>
      </c>
      <c r="DV160" s="33" t="n">
        <f aca="false">(DV60+DV106+DV99+DV120)*(DV$4&lt;=In_COD)</f>
        <v>0</v>
      </c>
      <c r="DW160" s="33" t="n">
        <f aca="false">(DW60+DW106+DW99+DW120)*(DW$4&lt;=In_COD)</f>
        <v>0</v>
      </c>
      <c r="DX160" s="33" t="n">
        <f aca="false">(DX60+DX106+DX99+DX120)*(DX$4&lt;=In_COD)</f>
        <v>0</v>
      </c>
      <c r="DY160" s="33" t="n">
        <f aca="false">(DY60+DY106+DY99+DY120)*(DY$4&lt;=In_COD)</f>
        <v>0</v>
      </c>
      <c r="DZ160" s="33" t="n">
        <f aca="false">(DZ60+DZ106+DZ99+DZ120)*(DZ$4&lt;=In_COD)</f>
        <v>0</v>
      </c>
      <c r="EA160" s="33" t="n">
        <f aca="false">(EA60+EA106+EA99+EA120)*(EA$4&lt;=In_COD)</f>
        <v>0</v>
      </c>
      <c r="EB160" s="33" t="n">
        <f aca="false">(EB60+EB106+EB99+EB120)*(EB$4&lt;=In_COD)</f>
        <v>0</v>
      </c>
      <c r="EC160" s="33" t="n">
        <f aca="false">(EC60+EC106+EC99+EC120)*(EC$4&lt;=In_COD)</f>
        <v>0</v>
      </c>
      <c r="ED160" s="33" t="n">
        <f aca="false">(ED60+ED106+ED99+ED120)*(ED$4&lt;=In_COD)</f>
        <v>0</v>
      </c>
      <c r="EE160" s="33" t="n">
        <f aca="false">(EE60+EE106+EE99+EE120)*(EE$4&lt;=In_COD)</f>
        <v>0</v>
      </c>
      <c r="EF160" s="33" t="n">
        <f aca="false">(EF60+EF106+EF99+EF120)*(EF$4&lt;=In_COD)</f>
        <v>0</v>
      </c>
      <c r="EG160" s="33" t="n">
        <f aca="false">(EG60+EG106+EG99+EG120)*(EG$4&lt;=In_COD)</f>
        <v>0</v>
      </c>
      <c r="EH160" s="33" t="n">
        <f aca="false">(EH60+EH106+EH99+EH120)*(EH$4&lt;=In_COD)</f>
        <v>0</v>
      </c>
      <c r="EI160" s="33" t="n">
        <f aca="false">(EI60+EI106+EI99+EI120)*(EI$4&lt;=In_COD)</f>
        <v>0</v>
      </c>
      <c r="EJ160" s="33" t="n">
        <f aca="false">(EJ60+EJ106+EJ99+EJ120)*(EJ$4&lt;=In_COD)</f>
        <v>0</v>
      </c>
      <c r="EK160" s="33" t="n">
        <f aca="false">(EK60+EK106+EK99+EK120)*(EK$4&lt;=In_COD)</f>
        <v>0</v>
      </c>
      <c r="EL160" s="33" t="n">
        <f aca="false">(EL60+EL106+EL99+EL120)*(EL$4&lt;=In_COD)</f>
        <v>0</v>
      </c>
      <c r="EM160" s="33" t="n">
        <f aca="false">(EM60+EM106+EM99+EM120)*(EM$4&lt;=In_COD)</f>
        <v>0</v>
      </c>
      <c r="EN160" s="33" t="n">
        <f aca="false">(EN60+EN106+EN99+EN120)*(EN$4&lt;=In_COD)</f>
        <v>0</v>
      </c>
      <c r="EO160" s="33" t="n">
        <f aca="false">(EO60+EO106+EO99+EO120)*(EO$4&lt;=In_COD)</f>
        <v>0</v>
      </c>
      <c r="EP160" s="33" t="n">
        <f aca="false">(EP60+EP106+EP99+EP120)*(EP$4&lt;=In_COD)</f>
        <v>0</v>
      </c>
      <c r="EQ160" s="33" t="n">
        <f aca="false">(EQ60+EQ106+EQ99+EQ120)*(EQ$4&lt;=In_COD)</f>
        <v>0</v>
      </c>
      <c r="ER160" s="33" t="n">
        <f aca="false">(ER60+ER106+ER99+ER120)*(ER$4&lt;=In_COD)</f>
        <v>0</v>
      </c>
      <c r="ES160" s="33" t="n">
        <f aca="false">(ES60+ES106+ES99+ES120)*(ES$4&lt;=In_COD)</f>
        <v>0</v>
      </c>
      <c r="ET160" s="33" t="n">
        <f aca="false">(ET60+ET106+ET99+ET120)*(ET$4&lt;=In_COD)</f>
        <v>0</v>
      </c>
    </row>
    <row r="161" customFormat="false" ht="15" hidden="false" customHeight="false" outlineLevel="0" collapsed="false">
      <c r="C161" s="0" t="s">
        <v>601</v>
      </c>
      <c r="D161" s="11" t="s">
        <v>253</v>
      </c>
      <c r="E161" s="33" t="n">
        <f aca="false">SUMPRODUCT($J161:$ET161,$J21:$ET21)</f>
        <v>-2474.54304721128</v>
      </c>
      <c r="I161" s="33" t="n">
        <f aca="false">SUM(J161:ET161)</f>
        <v>-6307.65794259604</v>
      </c>
      <c r="J161" s="33" t="n">
        <f aca="false">-($E31*In_Delivered-In_Ref_Community)*J112*(1-In_CIT)/Thousand</f>
        <v>-0</v>
      </c>
      <c r="K161" s="33" t="n">
        <f aca="false">-($E31*In_Delivered-In_Ref_Community)*K112*(1-In_CIT)/Thousand</f>
        <v>-0</v>
      </c>
      <c r="L161" s="33" t="n">
        <f aca="false">-($E31*In_Delivered-In_Ref_Community)*L112*(1-In_CIT)/Thousand</f>
        <v>-0</v>
      </c>
      <c r="M161" s="33" t="n">
        <f aca="false">-($E31*In_Delivered-In_Ref_Community)*M112*(1-In_CIT)/Thousand</f>
        <v>-0</v>
      </c>
      <c r="N161" s="33" t="n">
        <f aca="false">-($E31*In_Delivered-In_Ref_Community)*N112*(1-In_CIT)/Thousand</f>
        <v>-0</v>
      </c>
      <c r="O161" s="33" t="n">
        <f aca="false">-($E31*In_Delivered-In_Ref_Community)*O112*(1-In_CIT)/Thousand</f>
        <v>-0</v>
      </c>
      <c r="P161" s="33" t="n">
        <f aca="false">-($E31*In_Delivered-In_Ref_Community)*P112*(1-In_CIT)/Thousand</f>
        <v>-0</v>
      </c>
      <c r="Q161" s="33" t="n">
        <f aca="false">-($E31*In_Delivered-In_Ref_Community)*Q112*(1-In_CIT)/Thousand</f>
        <v>-0</v>
      </c>
      <c r="R161" s="33" t="n">
        <f aca="false">-($E31*In_Delivered-In_Ref_Community)*R112*(1-In_CIT)/Thousand</f>
        <v>-0</v>
      </c>
      <c r="S161" s="33" t="n">
        <f aca="false">-($E31*In_Delivered-In_Ref_Community)*S112*(1-In_CIT)/Thousand</f>
        <v>-0</v>
      </c>
      <c r="T161" s="33" t="n">
        <f aca="false">-($E31*In_Delivered-In_Ref_Community)*T112*(1-In_CIT)/Thousand</f>
        <v>-0</v>
      </c>
      <c r="U161" s="33" t="n">
        <f aca="false">-($E31*In_Delivered-In_Ref_Community)*U112*(1-In_CIT)/Thousand</f>
        <v>-0</v>
      </c>
      <c r="V161" s="33" t="n">
        <f aca="false">-($E31*In_Delivered-In_Ref_Community)*V112*(1-In_CIT)/Thousand</f>
        <v>-0</v>
      </c>
      <c r="W161" s="33" t="n">
        <f aca="false">-($E31*In_Delivered-In_Ref_Community)*W112*(1-In_CIT)/Thousand</f>
        <v>-0</v>
      </c>
      <c r="X161" s="33" t="n">
        <f aca="false">-($E31*In_Delivered-In_Ref_Community)*X112*(1-In_CIT)/Thousand</f>
        <v>-0</v>
      </c>
      <c r="Y161" s="33" t="n">
        <f aca="false">-($E31*In_Delivered-In_Ref_Community)*Y112*(1-In_CIT)/Thousand</f>
        <v>-0</v>
      </c>
      <c r="Z161" s="33" t="n">
        <f aca="false">-($E31*In_Delivered-In_Ref_Community)*Z112*(1-In_CIT)/Thousand</f>
        <v>-0</v>
      </c>
      <c r="AA161" s="33" t="n">
        <f aca="false">-($E31*In_Delivered-In_Ref_Community)*AA112*(1-In_CIT)/Thousand</f>
        <v>-0</v>
      </c>
      <c r="AB161" s="33" t="n">
        <f aca="false">-($E31*In_Delivered-In_Ref_Community)*AB112*(1-In_CIT)/Thousand</f>
        <v>-0</v>
      </c>
      <c r="AC161" s="33" t="n">
        <f aca="false">-($E31*In_Delivered-In_Ref_Community)*AC112*(1-In_CIT)/Thousand</f>
        <v>-0</v>
      </c>
      <c r="AD161" s="33" t="n">
        <f aca="false">-($E31*In_Delivered-In_Ref_Community)*AD112*(1-In_CIT)/Thousand</f>
        <v>-0</v>
      </c>
      <c r="AE161" s="33" t="n">
        <f aca="false">-($E31*In_Delivered-In_Ref_Community)*AE112*(1-In_CIT)/Thousand</f>
        <v>-55.2964865753425</v>
      </c>
      <c r="AF161" s="33" t="n">
        <f aca="false">-($E31*In_Delivered-In_Ref_Community)*AF112*(1-In_CIT)/Thousand</f>
        <v>-54.6954378082192</v>
      </c>
      <c r="AG161" s="33" t="n">
        <f aca="false">-($E31*In_Delivered-In_Ref_Community)*AG112*(1-In_CIT)/Thousand</f>
        <v>-54.6954378082192</v>
      </c>
      <c r="AH161" s="33" t="n">
        <f aca="false">-($E31*In_Delivered-In_Ref_Community)*AH112*(1-In_CIT)/Thousand</f>
        <v>-55.2964865753425</v>
      </c>
      <c r="AI161" s="33" t="n">
        <f aca="false">-($E31*In_Delivered-In_Ref_Community)*AI112*(1-In_CIT)/Thousand</f>
        <v>-55.1305971156164</v>
      </c>
      <c r="AJ161" s="33" t="n">
        <f aca="false">-($E31*In_Delivered-In_Ref_Community)*AJ112*(1-In_CIT)/Thousand</f>
        <v>-53.9321058739726</v>
      </c>
      <c r="AK161" s="33" t="n">
        <f aca="false">-($E31*In_Delivered-In_Ref_Community)*AK112*(1-In_CIT)/Thousand</f>
        <v>-54.5313514947945</v>
      </c>
      <c r="AL161" s="33" t="n">
        <f aca="false">-($E31*In_Delivered-In_Ref_Community)*AL112*(1-In_CIT)/Thousand</f>
        <v>-55.1305971156164</v>
      </c>
      <c r="AM161" s="33" t="n">
        <f aca="false">-($E31*In_Delivered-In_Ref_Community)*AM112*(1-In_CIT)/Thousand</f>
        <v>-54.9652053242696</v>
      </c>
      <c r="AN161" s="33" t="n">
        <f aca="false">-($E31*In_Delivered-In_Ref_Community)*AN112*(1-In_CIT)/Thousand</f>
        <v>-53.7703095563507</v>
      </c>
      <c r="AO161" s="33" t="n">
        <f aca="false">-($E31*In_Delivered-In_Ref_Community)*AO112*(1-In_CIT)/Thousand</f>
        <v>-54.3677574403101</v>
      </c>
      <c r="AP161" s="33" t="n">
        <f aca="false">-($E31*In_Delivered-In_Ref_Community)*AP112*(1-In_CIT)/Thousand</f>
        <v>-54.9652053242696</v>
      </c>
      <c r="AQ161" s="33" t="n">
        <f aca="false">-($E31*In_Delivered-In_Ref_Community)*AQ112*(1-In_CIT)/Thousand</f>
        <v>-54.8003097082968</v>
      </c>
      <c r="AR161" s="33" t="n">
        <f aca="false">-($E31*In_Delivered-In_Ref_Community)*AR112*(1-In_CIT)/Thousand</f>
        <v>-53.6089986276816</v>
      </c>
      <c r="AS161" s="33" t="n">
        <f aca="false">-($E31*In_Delivered-In_Ref_Community)*AS112*(1-In_CIT)/Thousand</f>
        <v>-54.2046541679892</v>
      </c>
      <c r="AT161" s="33" t="n">
        <f aca="false">-($E31*In_Delivered-In_Ref_Community)*AT112*(1-In_CIT)/Thousand</f>
        <v>-54.8003097082968</v>
      </c>
      <c r="AU161" s="33" t="n">
        <f aca="false">-($E31*In_Delivered-In_Ref_Community)*AU112*(1-In_CIT)/Thousand</f>
        <v>-54.6359087791719</v>
      </c>
      <c r="AV161" s="33" t="n">
        <f aca="false">-($E31*In_Delivered-In_Ref_Community)*AV112*(1-In_CIT)/Thousand</f>
        <v>-54.0420402054852</v>
      </c>
      <c r="AW161" s="33" t="n">
        <f aca="false">-($E31*In_Delivered-In_Ref_Community)*AW112*(1-In_CIT)/Thousand</f>
        <v>-54.0420402054852</v>
      </c>
      <c r="AX161" s="33" t="n">
        <f aca="false">-($E31*In_Delivered-In_Ref_Community)*AX112*(1-In_CIT)/Thousand</f>
        <v>-54.6359087791719</v>
      </c>
      <c r="AY161" s="33" t="n">
        <f aca="false">-($E31*In_Delivered-In_Ref_Community)*AY112*(1-In_CIT)/Thousand</f>
        <v>-54.4720010528344</v>
      </c>
      <c r="AZ161" s="33" t="n">
        <f aca="false">-($E31*In_Delivered-In_Ref_Community)*AZ112*(1-In_CIT)/Thousand</f>
        <v>-53.2878271169032</v>
      </c>
      <c r="BA161" s="33" t="n">
        <f aca="false">-($E31*In_Delivered-In_Ref_Community)*BA112*(1-In_CIT)/Thousand</f>
        <v>-53.8799140848688</v>
      </c>
      <c r="BB161" s="33" t="n">
        <f aca="false">-($E31*In_Delivered-In_Ref_Community)*BB112*(1-In_CIT)/Thousand</f>
        <v>-54.4720010528344</v>
      </c>
      <c r="BC161" s="33" t="n">
        <f aca="false">-($E31*In_Delivered-In_Ref_Community)*BC112*(1-In_CIT)/Thousand</f>
        <v>-54.3085850496759</v>
      </c>
      <c r="BD161" s="33" t="n">
        <f aca="false">-($E31*In_Delivered-In_Ref_Community)*BD112*(1-In_CIT)/Thousand</f>
        <v>-53.1279636355525</v>
      </c>
      <c r="BE161" s="33" t="n">
        <f aca="false">-($E31*In_Delivered-In_Ref_Community)*BE112*(1-In_CIT)/Thousand</f>
        <v>-53.7182743426142</v>
      </c>
      <c r="BF161" s="33" t="n">
        <f aca="false">-($E31*In_Delivered-In_Ref_Community)*BF112*(1-In_CIT)/Thousand</f>
        <v>-54.3085850496759</v>
      </c>
      <c r="BG161" s="33" t="n">
        <f aca="false">-($E31*In_Delivered-In_Ref_Community)*BG112*(1-In_CIT)/Thousand</f>
        <v>-54.1456592945269</v>
      </c>
      <c r="BH161" s="33" t="n">
        <f aca="false">-($E31*In_Delivered-In_Ref_Community)*BH112*(1-In_CIT)/Thousand</f>
        <v>-52.9685797446458</v>
      </c>
      <c r="BI161" s="33" t="n">
        <f aca="false">-($E31*In_Delivered-In_Ref_Community)*BI112*(1-In_CIT)/Thousand</f>
        <v>-53.5571195195863</v>
      </c>
      <c r="BJ161" s="33" t="n">
        <f aca="false">-($E31*In_Delivered-In_Ref_Community)*BJ112*(1-In_CIT)/Thousand</f>
        <v>-54.1456592945269</v>
      </c>
      <c r="BK161" s="33" t="n">
        <f aca="false">-($E31*In_Delivered-In_Ref_Community)*BK112*(1-In_CIT)/Thousand</f>
        <v>-53.9832223166433</v>
      </c>
      <c r="BL161" s="33" t="n">
        <f aca="false">-($E31*In_Delivered-In_Ref_Community)*BL112*(1-In_CIT)/Thousand</f>
        <v>-53.3964481610276</v>
      </c>
      <c r="BM161" s="33" t="n">
        <f aca="false">-($E31*In_Delivered-In_Ref_Community)*BM112*(1-In_CIT)/Thousand</f>
        <v>-53.3964481610276</v>
      </c>
      <c r="BN161" s="33" t="n">
        <f aca="false">-($E31*In_Delivered-In_Ref_Community)*BN112*(1-In_CIT)/Thousand</f>
        <v>-53.9832223166433</v>
      </c>
      <c r="BO161" s="33" t="n">
        <f aca="false">-($E31*In_Delivered-In_Ref_Community)*BO112*(1-In_CIT)/Thousand</f>
        <v>-53.8212726496933</v>
      </c>
      <c r="BP161" s="33" t="n">
        <f aca="false">-($E31*In_Delivered-In_Ref_Community)*BP112*(1-In_CIT)/Thousand</f>
        <v>-52.6512449833957</v>
      </c>
      <c r="BQ161" s="33" t="n">
        <f aca="false">-($E31*In_Delivered-In_Ref_Community)*BQ112*(1-In_CIT)/Thousand</f>
        <v>-53.2362588165445</v>
      </c>
      <c r="BR161" s="33" t="n">
        <f aca="false">-($E31*In_Delivered-In_Ref_Community)*BR112*(1-In_CIT)/Thousand</f>
        <v>-53.8212726496933</v>
      </c>
      <c r="BS161" s="33" t="n">
        <f aca="false">-($E31*In_Delivered-In_Ref_Community)*BS112*(1-In_CIT)/Thousand</f>
        <v>-53.6598088317443</v>
      </c>
      <c r="BT161" s="33" t="n">
        <f aca="false">-($E31*In_Delivered-In_Ref_Community)*BT112*(1-In_CIT)/Thousand</f>
        <v>-52.4932912484455</v>
      </c>
      <c r="BU161" s="33" t="n">
        <f aca="false">-($E31*In_Delivered-In_Ref_Community)*BU112*(1-In_CIT)/Thousand</f>
        <v>-53.0765500400949</v>
      </c>
      <c r="BV161" s="33" t="n">
        <f aca="false">-($E31*In_Delivered-In_Ref_Community)*BV112*(1-In_CIT)/Thousand</f>
        <v>-53.6598088317443</v>
      </c>
      <c r="BW161" s="33" t="n">
        <f aca="false">-($E31*In_Delivered-In_Ref_Community)*BW112*(1-In_CIT)/Thousand</f>
        <v>-53.498829405249</v>
      </c>
      <c r="BX161" s="33" t="n">
        <f aca="false">-($E31*In_Delivered-In_Ref_Community)*BX112*(1-In_CIT)/Thousand</f>
        <v>-52.3358113747001</v>
      </c>
      <c r="BY161" s="33" t="n">
        <f aca="false">-($E31*In_Delivered-In_Ref_Community)*BY112*(1-In_CIT)/Thousand</f>
        <v>-52.9173203899746</v>
      </c>
      <c r="BZ161" s="33" t="n">
        <f aca="false">-($E31*In_Delivered-In_Ref_Community)*BZ112*(1-In_CIT)/Thousand</f>
        <v>-53.498829405249</v>
      </c>
      <c r="CA161" s="33" t="n">
        <f aca="false">-($E31*In_Delivered-In_Ref_Community)*CA112*(1-In_CIT)/Thousand</f>
        <v>-53.3383329170333</v>
      </c>
      <c r="CB161" s="33" t="n">
        <f aca="false">-($E31*In_Delivered-In_Ref_Community)*CB112*(1-In_CIT)/Thousand</f>
        <v>-52.7585684288047</v>
      </c>
      <c r="CC161" s="33" t="n">
        <f aca="false">-($E31*In_Delivered-In_Ref_Community)*CC112*(1-In_CIT)/Thousand</f>
        <v>-52.7585684288047</v>
      </c>
      <c r="CD161" s="33" t="n">
        <f aca="false">-($E31*In_Delivered-In_Ref_Community)*CD112*(1-In_CIT)/Thousand</f>
        <v>-53.3383329170333</v>
      </c>
      <c r="CE161" s="33" t="n">
        <f aca="false">-($E31*In_Delivered-In_Ref_Community)*CE112*(1-In_CIT)/Thousand</f>
        <v>-53.1783179182822</v>
      </c>
      <c r="CF161" s="33" t="n">
        <f aca="false">-($E31*In_Delivered-In_Ref_Community)*CF112*(1-In_CIT)/Thousand</f>
        <v>-52.0222675287543</v>
      </c>
      <c r="CG161" s="33" t="n">
        <f aca="false">-($E31*In_Delivered-In_Ref_Community)*CG112*(1-In_CIT)/Thousand</f>
        <v>-52.6002927235182</v>
      </c>
      <c r="CH161" s="33" t="n">
        <f aca="false">-($E31*In_Delivered-In_Ref_Community)*CH112*(1-In_CIT)/Thousand</f>
        <v>-53.1783179182822</v>
      </c>
      <c r="CI161" s="33" t="n">
        <f aca="false">-($E31*In_Delivered-In_Ref_Community)*CI112*(1-In_CIT)/Thousand</f>
        <v>-53.0187829645273</v>
      </c>
      <c r="CJ161" s="33" t="n">
        <f aca="false">-($E31*In_Delivered-In_Ref_Community)*CJ112*(1-In_CIT)/Thousand</f>
        <v>-51.866200726168</v>
      </c>
      <c r="CK161" s="33" t="n">
        <f aca="false">-($E31*In_Delivered-In_Ref_Community)*CK112*(1-In_CIT)/Thousand</f>
        <v>-52.4424918453477</v>
      </c>
      <c r="CL161" s="33" t="n">
        <f aca="false">-($E31*In_Delivered-In_Ref_Community)*CL112*(1-In_CIT)/Thousand</f>
        <v>-53.0187829645273</v>
      </c>
      <c r="CM161" s="33" t="n">
        <f aca="false">-($E31*In_Delivered-In_Ref_Community)*CM112*(1-In_CIT)/Thousand</f>
        <v>-52.8597266156338</v>
      </c>
      <c r="CN161" s="33" t="n">
        <f aca="false">-($E31*In_Delivered-In_Ref_Community)*CN112*(1-In_CIT)/Thousand</f>
        <v>-51.7106021239895</v>
      </c>
      <c r="CO161" s="33" t="n">
        <f aca="false">-($E31*In_Delivered-In_Ref_Community)*CO112*(1-In_CIT)/Thousand</f>
        <v>-52.2851643698116</v>
      </c>
      <c r="CP161" s="33" t="n">
        <f aca="false">-($E31*In_Delivered-In_Ref_Community)*CP112*(1-In_CIT)/Thousand</f>
        <v>-52.8597266156338</v>
      </c>
      <c r="CQ161" s="33" t="n">
        <f aca="false">-($E31*In_Delivered-In_Ref_Community)*CQ112*(1-In_CIT)/Thousand</f>
        <v>-52.7011474357869</v>
      </c>
      <c r="CR161" s="33" t="n">
        <f aca="false">-($E31*In_Delivered-In_Ref_Community)*CR112*(1-In_CIT)/Thousand</f>
        <v>-52.1283088767022</v>
      </c>
      <c r="CS161" s="33" t="n">
        <f aca="false">-($E31*In_Delivered-In_Ref_Community)*CS112*(1-In_CIT)/Thousand</f>
        <v>-52.1283088767022</v>
      </c>
      <c r="CT161" s="33" t="n">
        <f aca="false">-($E31*In_Delivered-In_Ref_Community)*CT112*(1-In_CIT)/Thousand</f>
        <v>-52.7011474357869</v>
      </c>
      <c r="CU161" s="33" t="n">
        <f aca="false">-($E31*In_Delivered-In_Ref_Community)*CU112*(1-In_CIT)/Thousand</f>
        <v>-52.5430439934795</v>
      </c>
      <c r="CV161" s="33" t="n">
        <f aca="false">-($E31*In_Delivered-In_Ref_Community)*CV112*(1-In_CIT)/Thousand</f>
        <v>-51.4008039066647</v>
      </c>
      <c r="CW161" s="33" t="n">
        <f aca="false">-($E31*In_Delivered-In_Ref_Community)*CW112*(1-In_CIT)/Thousand</f>
        <v>-51.9719239500721</v>
      </c>
      <c r="CX161" s="33" t="n">
        <f aca="false">-($E31*In_Delivered-In_Ref_Community)*CX112*(1-In_CIT)/Thousand</f>
        <v>-52.5430439934795</v>
      </c>
      <c r="CY161" s="33" t="n">
        <f aca="false">-($E31*In_Delivered-In_Ref_Community)*CY112*(1-In_CIT)/Thousand</f>
        <v>-52.3854148614991</v>
      </c>
      <c r="CZ161" s="33" t="n">
        <f aca="false">-($E31*In_Delivered-In_Ref_Community)*CZ112*(1-In_CIT)/Thousand</f>
        <v>-51.2466014949447</v>
      </c>
      <c r="DA161" s="33" t="n">
        <f aca="false">-($E31*In_Delivered-In_Ref_Community)*DA112*(1-In_CIT)/Thousand</f>
        <v>-51.8160081782219</v>
      </c>
      <c r="DB161" s="33" t="n">
        <f aca="false">-($E31*In_Delivered-In_Ref_Community)*DB112*(1-In_CIT)/Thousand</f>
        <v>-52.3854148614991</v>
      </c>
      <c r="DC161" s="33" t="n">
        <f aca="false">-($E31*In_Delivered-In_Ref_Community)*DC112*(1-In_CIT)/Thousand</f>
        <v>-52.2282586169146</v>
      </c>
      <c r="DD161" s="33" t="n">
        <f aca="false">-($E31*In_Delivered-In_Ref_Community)*DD112*(1-In_CIT)/Thousand</f>
        <v>-51.0928616904599</v>
      </c>
      <c r="DE161" s="33" t="n">
        <f aca="false">-($E31*In_Delivered-In_Ref_Community)*DE112*(1-In_CIT)/Thousand</f>
        <v>-51.6605601536872</v>
      </c>
      <c r="DF161" s="33" t="n">
        <f aca="false">-($E31*In_Delivered-In_Ref_Community)*DF112*(1-In_CIT)/Thousand</f>
        <v>-52.2282586169146</v>
      </c>
      <c r="DG161" s="33" t="n">
        <f aca="false">-($E31*In_Delivered-In_Ref_Community)*DG112*(1-In_CIT)/Thousand</f>
        <v>-52.0715738410638</v>
      </c>
      <c r="DH161" s="33" t="n">
        <f aca="false">-($E31*In_Delivered-In_Ref_Community)*DH112*(1-In_CIT)/Thousand</f>
        <v>-51.5055784732262</v>
      </c>
      <c r="DI161" s="33" t="n">
        <f aca="false">-($E31*In_Delivered-In_Ref_Community)*DI112*(1-In_CIT)/Thousand</f>
        <v>-51.5055784732262</v>
      </c>
      <c r="DJ161" s="33" t="n">
        <f aca="false">-($E31*In_Delivered-In_Ref_Community)*DJ112*(1-In_CIT)/Thousand</f>
        <v>-52.0715738410638</v>
      </c>
      <c r="DK161" s="33" t="n">
        <f aca="false">-($E31*In_Delivered-In_Ref_Community)*DK112*(1-In_CIT)/Thousand</f>
        <v>-51.9153591195406</v>
      </c>
      <c r="DL161" s="33" t="n">
        <f aca="false">-($E31*In_Delivered-In_Ref_Community)*DL112*(1-In_CIT)/Thousand</f>
        <v>-50.7867643560723</v>
      </c>
      <c r="DM161" s="33" t="n">
        <f aca="false">-($E31*In_Delivered-In_Ref_Community)*DM112*(1-In_CIT)/Thousand</f>
        <v>-51.3510617378065</v>
      </c>
      <c r="DN161" s="33" t="n">
        <f aca="false">-($E31*In_Delivered-In_Ref_Community)*DN112*(1-In_CIT)/Thousand</f>
        <v>-51.9153591195406</v>
      </c>
      <c r="DO161" s="33" t="n">
        <f aca="false">-($E31*In_Delivered-In_Ref_Community)*DO112*(1-In_CIT)/Thousand</f>
        <v>-51.759613042182</v>
      </c>
      <c r="DP161" s="33" t="n">
        <f aca="false">-($E31*In_Delivered-In_Ref_Community)*DP112*(1-In_CIT)/Thousand</f>
        <v>-50.6344040630041</v>
      </c>
      <c r="DQ161" s="33" t="n">
        <f aca="false">-($E31*In_Delivered-In_Ref_Community)*DQ112*(1-In_CIT)/Thousand</f>
        <v>-51.1970085525931</v>
      </c>
      <c r="DR161" s="33" t="n">
        <f aca="false">-($E31*In_Delivered-In_Ref_Community)*DR112*(1-In_CIT)/Thousand</f>
        <v>-51.759613042182</v>
      </c>
      <c r="DS161" s="33" t="n">
        <f aca="false">-($E31*In_Delivered-In_Ref_Community)*DS112*(1-In_CIT)/Thousand</f>
        <v>-51.6043342030555</v>
      </c>
      <c r="DT161" s="33" t="n">
        <f aca="false">-($E31*In_Delivered-In_Ref_Community)*DT112*(1-In_CIT)/Thousand</f>
        <v>-50.4825008508151</v>
      </c>
      <c r="DU161" s="33" t="n">
        <f aca="false">-($E31*In_Delivered-In_Ref_Community)*DU112*(1-In_CIT)/Thousand</f>
        <v>-51.0434175269353</v>
      </c>
      <c r="DV161" s="33" t="n">
        <f aca="false">-($E31*In_Delivered-In_Ref_Community)*DV112*(1-In_CIT)/Thousand</f>
        <v>-51.6043342030555</v>
      </c>
      <c r="DW161" s="33" t="n">
        <f aca="false">-($E31*In_Delivered-In_Ref_Community)*DW112*(1-In_CIT)/Thousand</f>
        <v>-51.4495212004463</v>
      </c>
      <c r="DX161" s="33" t="n">
        <f aca="false">-($E31*In_Delivered-In_Ref_Community)*DX112*(1-In_CIT)/Thousand</f>
        <v>-50.8902872743545</v>
      </c>
      <c r="DY161" s="33" t="n">
        <f aca="false">-($E31*In_Delivered-In_Ref_Community)*DY112*(1-In_CIT)/Thousand</f>
        <v>-50.8902872743545</v>
      </c>
      <c r="DZ161" s="33" t="n">
        <f aca="false">-($E31*In_Delivered-In_Ref_Community)*DZ112*(1-In_CIT)/Thousand</f>
        <v>-51.4495212004463</v>
      </c>
      <c r="EA161" s="33" t="n">
        <f aca="false">-($E31*In_Delivered-In_Ref_Community)*EA112*(1-In_CIT)/Thousand</f>
        <v>-51.2951726368449</v>
      </c>
      <c r="EB161" s="33" t="n">
        <f aca="false">-($E31*In_Delivered-In_Ref_Community)*EB112*(1-In_CIT)/Thousand</f>
        <v>-50.1800601882179</v>
      </c>
      <c r="EC161" s="33" t="n">
        <f aca="false">-($E31*In_Delivered-In_Ref_Community)*EC112*(1-In_CIT)/Thousand</f>
        <v>-50.7376164125314</v>
      </c>
      <c r="ED161" s="33" t="n">
        <f aca="false">-($E31*In_Delivered-In_Ref_Community)*ED112*(1-In_CIT)/Thousand</f>
        <v>-51.2951726368449</v>
      </c>
      <c r="EE161" s="33" t="n">
        <f aca="false">-($E31*In_Delivered-In_Ref_Community)*EE112*(1-In_CIT)/Thousand</f>
        <v>-51.1412871189344</v>
      </c>
      <c r="EF161" s="33" t="n">
        <f aca="false">-($E31*In_Delivered-In_Ref_Community)*EF112*(1-In_CIT)/Thousand</f>
        <v>-50.0295200076532</v>
      </c>
      <c r="EG161" s="33" t="n">
        <f aca="false">-($E31*In_Delivered-In_Ref_Community)*EG112*(1-In_CIT)/Thousand</f>
        <v>-50.5854035632938</v>
      </c>
      <c r="EH161" s="33" t="n">
        <f aca="false">-($E31*In_Delivered-In_Ref_Community)*EH112*(1-In_CIT)/Thousand</f>
        <v>-51.1412871189344</v>
      </c>
      <c r="EI161" s="33" t="n">
        <f aca="false">-($E31*In_Delivered-In_Ref_Community)*EI112*(1-In_CIT)/Thousand</f>
        <v>-50.9878632575776</v>
      </c>
      <c r="EJ161" s="33" t="n">
        <f aca="false">-($E31*In_Delivered-In_Ref_Community)*EJ112*(1-In_CIT)/Thousand</f>
        <v>-49.8794314476303</v>
      </c>
      <c r="EK161" s="33" t="n">
        <f aca="false">-($E31*In_Delivered-In_Ref_Community)*EK112*(1-In_CIT)/Thousand</f>
        <v>-50.4336473526039</v>
      </c>
      <c r="EL161" s="33" t="n">
        <f aca="false">-($E31*In_Delivered-In_Ref_Community)*EL112*(1-In_CIT)/Thousand</f>
        <v>-50.9878632575776</v>
      </c>
      <c r="EM161" s="33" t="n">
        <f aca="false">-($E31*In_Delivered-In_Ref_Community)*EM112*(1-In_CIT)/Thousand</f>
        <v>-50.8348996678049</v>
      </c>
      <c r="EN161" s="33" t="n">
        <f aca="false">-($E31*In_Delivered-In_Ref_Community)*EN112*(1-In_CIT)/Thousand</f>
        <v>-50.2823464105461</v>
      </c>
      <c r="EO161" s="33" t="n">
        <f aca="false">-($E31*In_Delivered-In_Ref_Community)*EO112*(1-In_CIT)/Thousand</f>
        <v>-50.2823464105461</v>
      </c>
      <c r="EP161" s="33" t="n">
        <f aca="false">-($E31*In_Delivered-In_Ref_Community)*EP112*(1-In_CIT)/Thousand</f>
        <v>-50.8348996678049</v>
      </c>
      <c r="EQ161" s="33" t="n">
        <f aca="false">-($E31*In_Delivered-In_Ref_Community)*EQ112*(1-In_CIT)/Thousand</f>
        <v>-50.6823949688015</v>
      </c>
      <c r="ER161" s="33" t="n">
        <f aca="false">-($E31*In_Delivered-In_Ref_Community)*ER112*(1-In_CIT)/Thousand</f>
        <v>-49.5806037738275</v>
      </c>
      <c r="ES161" s="33" t="n">
        <f aca="false">-($E31*In_Delivered-In_Ref_Community)*ES112*(1-In_CIT)/Thousand</f>
        <v>-50.1314993713145</v>
      </c>
      <c r="ET161" s="33" t="n">
        <f aca="false">-($E31*In_Delivered-In_Ref_Community)*ET112*(1-In_CIT)/Thousand</f>
        <v>-50.6823949688015</v>
      </c>
    </row>
    <row r="162" customFormat="false" ht="15" hidden="false" customHeight="false" outlineLevel="0" collapsed="false">
      <c r="C162" s="0" t="s">
        <v>602</v>
      </c>
      <c r="D162" s="11" t="s">
        <v>253</v>
      </c>
      <c r="E162" s="33" t="n">
        <f aca="false">IF(In_CN_Turbine=1,In_COD_Price_CN,In_COD_Price)*$F24*(1-$E27)</f>
        <v>245000</v>
      </c>
      <c r="F162" s="33" t="n">
        <f aca="false">In_Pass_Through*($E161+SUMPRODUCT($J87:$ET87,$J21:$ET21))</f>
        <v>-3839.08122210466</v>
      </c>
    </row>
    <row r="163" customFormat="false" ht="15" hidden="false" customHeight="false" outlineLevel="0" collapsed="false">
      <c r="A163" s="55"/>
      <c r="B163" s="55"/>
      <c r="C163" s="55" t="s">
        <v>603</v>
      </c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  <c r="DX163" s="55"/>
      <c r="DY163" s="55"/>
      <c r="DZ163" s="55"/>
      <c r="EA163" s="55"/>
      <c r="EB163" s="55"/>
      <c r="EC163" s="55"/>
      <c r="ED163" s="55"/>
      <c r="EE163" s="55"/>
      <c r="EF163" s="55"/>
      <c r="EG163" s="55"/>
      <c r="EH163" s="55"/>
      <c r="EI163" s="55"/>
      <c r="EJ163" s="55"/>
      <c r="EK163" s="55"/>
      <c r="EL163" s="55"/>
      <c r="EM163" s="55"/>
      <c r="EN163" s="55"/>
      <c r="EO163" s="55"/>
      <c r="EP163" s="55"/>
      <c r="EQ163" s="55"/>
      <c r="ER163" s="55"/>
      <c r="ES163" s="55"/>
      <c r="ET163" s="55"/>
    </row>
    <row r="164" customFormat="false" ht="15" hidden="false" customHeight="false" outlineLevel="0" collapsed="false">
      <c r="C164" s="0" t="s">
        <v>604</v>
      </c>
      <c r="D164" s="11" t="s">
        <v>253</v>
      </c>
      <c r="E164" s="33" t="n">
        <f aca="false">$I99+$I100</f>
        <v>99336.0596347059</v>
      </c>
      <c r="F164" s="33" t="n">
        <f aca="false">MAX(0,$E162+$F162-$E164)</f>
        <v>141824.859143189</v>
      </c>
    </row>
    <row r="165" customFormat="false" ht="15" hidden="false" customHeight="false" outlineLevel="0" collapsed="false">
      <c r="C165" s="0" t="s">
        <v>581</v>
      </c>
      <c r="D165" s="11" t="s">
        <v>253</v>
      </c>
      <c r="E165" s="22" t="n">
        <f aca="false">In_Sale_Costs</f>
        <v>500</v>
      </c>
      <c r="F165" s="33" t="n">
        <f aca="false">MIN($E165,$F164)</f>
        <v>500</v>
      </c>
    </row>
    <row r="166" customFormat="false" ht="15" hidden="false" customHeight="false" outlineLevel="0" collapsed="false">
      <c r="C166" s="0" t="s">
        <v>605</v>
      </c>
      <c r="D166" s="11" t="s">
        <v>253</v>
      </c>
      <c r="E166" s="33" t="n">
        <f aca="false">-$I160+$I46+$I54+$I56+$I47+$F59</f>
        <v>68289.9577668034</v>
      </c>
      <c r="F166" s="33" t="n">
        <f aca="false">MIN($E166,$F164-SUM($F165:$F165))</f>
        <v>68289.9577668034</v>
      </c>
    </row>
    <row r="167" customFormat="false" ht="15" hidden="false" customHeight="false" outlineLevel="0" collapsed="false">
      <c r="C167" s="0" t="s">
        <v>606</v>
      </c>
      <c r="D167" s="11" t="s">
        <v>253</v>
      </c>
      <c r="E167" s="33" t="n">
        <f aca="false">$F68+$F73+$F79</f>
        <v>11746.2079961624</v>
      </c>
      <c r="F167" s="33" t="n">
        <f aca="false">MIN($E167,$F164-SUM($F165:$F166))</f>
        <v>11746.2079961624</v>
      </c>
    </row>
    <row r="168" customFormat="false" ht="15" hidden="false" customHeight="false" outlineLevel="0" collapsed="false">
      <c r="C168" s="0" t="s">
        <v>587</v>
      </c>
      <c r="D168" s="11" t="s">
        <v>253</v>
      </c>
      <c r="E168" s="33" t="n">
        <f aca="false">MIN(In_DSA_Cap,In_DSA_Rate*YEARFRAC(In_Signing_Date,In_COD,0))*$E24</f>
        <v>1510</v>
      </c>
      <c r="F168" s="33" t="n">
        <f aca="false">MIN($E168,$F164-SUM($F165:$F167))</f>
        <v>1510</v>
      </c>
    </row>
    <row r="169" customFormat="false" ht="15" hidden="false" customHeight="false" outlineLevel="0" collapsed="false">
      <c r="C169" s="30" t="s">
        <v>162</v>
      </c>
      <c r="D169" s="11" t="s">
        <v>253</v>
      </c>
      <c r="F169" s="35" t="n">
        <f aca="false">MAX(0,$F164-SUM($E165:$E168))</f>
        <v>59778.6933802236</v>
      </c>
    </row>
    <row r="170" customFormat="false" ht="15" hidden="false" customHeight="false" outlineLevel="0" collapsed="false">
      <c r="C170" s="30" t="s">
        <v>175</v>
      </c>
      <c r="D170" s="11" t="s">
        <v>253</v>
      </c>
      <c r="F170" s="35" t="n">
        <f aca="false">$F166+$F167+In_FEP_Share*$F169</f>
        <v>121881.251129122</v>
      </c>
    </row>
    <row r="171" customFormat="false" ht="15" hidden="false" customHeight="false" outlineLevel="0" collapsed="false">
      <c r="C171" s="30" t="s">
        <v>607</v>
      </c>
      <c r="D171" s="11" t="s">
        <v>253</v>
      </c>
      <c r="I171" s="35" t="n">
        <f aca="false">SUM(J171:ET171)</f>
        <v>48482.2776178466</v>
      </c>
      <c r="J171" s="35" t="n">
        <f aca="false">J160+$F170*J14</f>
        <v>-400</v>
      </c>
      <c r="K171" s="35" t="n">
        <f aca="false">K160+$F170*K14</f>
        <v>-1437.78053818728</v>
      </c>
      <c r="L171" s="35" t="n">
        <f aca="false">L160+$F170*L14</f>
        <v>-691.910911990993</v>
      </c>
      <c r="M171" s="35" t="n">
        <f aca="false">M160+$F170*M14</f>
        <v>-148.451634452993</v>
      </c>
      <c r="N171" s="35" t="n">
        <f aca="false">N160+$F170*N14</f>
        <v>-149.601261024582</v>
      </c>
      <c r="O171" s="35" t="n">
        <f aca="false">O160+$F170*O14</f>
        <v>-290.127288421843</v>
      </c>
      <c r="P171" s="35" t="n">
        <f aca="false">P160+$F170*P14</f>
        <v>-1394.65781281475</v>
      </c>
      <c r="Q171" s="35" t="n">
        <f aca="false">Q160+$F170*Q14</f>
        <v>-109.225607055733</v>
      </c>
      <c r="R171" s="35" t="n">
        <f aca="false">R160+$F170*R14</f>
        <v>-269.857154566657</v>
      </c>
      <c r="S171" s="35" t="n">
        <f aca="false">S160+$F170*S14</f>
        <v>-422.991783283459</v>
      </c>
      <c r="T171" s="35" t="n">
        <f aca="false">T160+$F170*T14</f>
        <v>-20587.5113339088</v>
      </c>
      <c r="U171" s="35" t="n">
        <f aca="false">U160+$F170*U14</f>
        <v>-104.616018014637</v>
      </c>
      <c r="V171" s="35" t="n">
        <f aca="false">V160+$F170*V14</f>
        <v>-105.765644586226</v>
      </c>
      <c r="W171" s="35" t="n">
        <f aca="false">W160+$F170*W14</f>
        <v>-6875.32473538409</v>
      </c>
      <c r="X171" s="35" t="n">
        <f aca="false">X160+$F170*X14</f>
        <v>-5073.5175863622</v>
      </c>
      <c r="Y171" s="35" t="n">
        <f aca="false">Y160+$F170*Y14</f>
        <v>-5103.58937070822</v>
      </c>
      <c r="Z171" s="35" t="n">
        <f aca="false">Z160+$F170*Z14</f>
        <v>-5132.78767858878</v>
      </c>
      <c r="AA171" s="35" t="n">
        <f aca="false">AA160+$F170*AA14</f>
        <v>-5105.60714622201</v>
      </c>
      <c r="AB171" s="35" t="n">
        <f aca="false">AB160+$F170*AB14</f>
        <v>-4969.92045560723</v>
      </c>
      <c r="AC171" s="35" t="n">
        <f aca="false">AC160+$F170*AC14</f>
        <v>-4998.84116072264</v>
      </c>
      <c r="AD171" s="35" t="n">
        <f aca="false">AD160+$F170*AD14</f>
        <v>111854.36273975</v>
      </c>
      <c r="AE171" s="35" t="n">
        <f aca="false">AE160+$F170*AE14</f>
        <v>0</v>
      </c>
      <c r="AF171" s="35" t="n">
        <f aca="false">AF160+$F170*AF14</f>
        <v>0</v>
      </c>
      <c r="AG171" s="35" t="n">
        <f aca="false">AG160+$F170*AG14</f>
        <v>0</v>
      </c>
      <c r="AH171" s="35" t="n">
        <f aca="false">AH160+$F170*AH14</f>
        <v>0</v>
      </c>
      <c r="AI171" s="35" t="n">
        <f aca="false">AI160+$F170*AI14</f>
        <v>0</v>
      </c>
      <c r="AJ171" s="35" t="n">
        <f aca="false">AJ160+$F170*AJ14</f>
        <v>0</v>
      </c>
      <c r="AK171" s="35" t="n">
        <f aca="false">AK160+$F170*AK14</f>
        <v>0</v>
      </c>
      <c r="AL171" s="35" t="n">
        <f aca="false">AL160+$F170*AL14</f>
        <v>0</v>
      </c>
      <c r="AM171" s="35" t="n">
        <f aca="false">AM160+$F170*AM14</f>
        <v>0</v>
      </c>
      <c r="AN171" s="35" t="n">
        <f aca="false">AN160+$F170*AN14</f>
        <v>0</v>
      </c>
      <c r="AO171" s="35" t="n">
        <f aca="false">AO160+$F170*AO14</f>
        <v>0</v>
      </c>
      <c r="AP171" s="35" t="n">
        <f aca="false">AP160+$F170*AP14</f>
        <v>0</v>
      </c>
      <c r="AQ171" s="35" t="n">
        <f aca="false">AQ160+$F170*AQ14</f>
        <v>0</v>
      </c>
      <c r="AR171" s="35" t="n">
        <f aca="false">AR160+$F170*AR14</f>
        <v>0</v>
      </c>
      <c r="AS171" s="35" t="n">
        <f aca="false">AS160+$F170*AS14</f>
        <v>0</v>
      </c>
      <c r="AT171" s="35" t="n">
        <f aca="false">AT160+$F170*AT14</f>
        <v>0</v>
      </c>
      <c r="AU171" s="35" t="n">
        <f aca="false">AU160+$F170*AU14</f>
        <v>0</v>
      </c>
      <c r="AV171" s="35" t="n">
        <f aca="false">AV160+$F170*AV14</f>
        <v>0</v>
      </c>
      <c r="AW171" s="35" t="n">
        <f aca="false">AW160+$F170*AW14</f>
        <v>0</v>
      </c>
      <c r="AX171" s="35" t="n">
        <f aca="false">AX160+$F170*AX14</f>
        <v>0</v>
      </c>
      <c r="AY171" s="35" t="n">
        <f aca="false">AY160+$F170*AY14</f>
        <v>0</v>
      </c>
      <c r="AZ171" s="35" t="n">
        <f aca="false">AZ160+$F170*AZ14</f>
        <v>0</v>
      </c>
      <c r="BA171" s="35" t="n">
        <f aca="false">BA160+$F170*BA14</f>
        <v>0</v>
      </c>
      <c r="BB171" s="35" t="n">
        <f aca="false">BB160+$F170*BB14</f>
        <v>0</v>
      </c>
      <c r="BC171" s="35" t="n">
        <f aca="false">BC160+$F170*BC14</f>
        <v>0</v>
      </c>
      <c r="BD171" s="35" t="n">
        <f aca="false">BD160+$F170*BD14</f>
        <v>0</v>
      </c>
      <c r="BE171" s="35" t="n">
        <f aca="false">BE160+$F170*BE14</f>
        <v>0</v>
      </c>
      <c r="BF171" s="35" t="n">
        <f aca="false">BF160+$F170*BF14</f>
        <v>0</v>
      </c>
      <c r="BG171" s="35" t="n">
        <f aca="false">BG160+$F170*BG14</f>
        <v>0</v>
      </c>
      <c r="BH171" s="35" t="n">
        <f aca="false">BH160+$F170*BH14</f>
        <v>0</v>
      </c>
      <c r="BI171" s="35" t="n">
        <f aca="false">BI160+$F170*BI14</f>
        <v>0</v>
      </c>
      <c r="BJ171" s="35" t="n">
        <f aca="false">BJ160+$F170*BJ14</f>
        <v>0</v>
      </c>
      <c r="BK171" s="35" t="n">
        <f aca="false">BK160+$F170*BK14</f>
        <v>0</v>
      </c>
      <c r="BL171" s="35" t="n">
        <f aca="false">BL160+$F170*BL14</f>
        <v>0</v>
      </c>
      <c r="BM171" s="35" t="n">
        <f aca="false">BM160+$F170*BM14</f>
        <v>0</v>
      </c>
      <c r="BN171" s="35" t="n">
        <f aca="false">BN160+$F170*BN14</f>
        <v>0</v>
      </c>
      <c r="BO171" s="35" t="n">
        <f aca="false">BO160+$F170*BO14</f>
        <v>0</v>
      </c>
      <c r="BP171" s="35" t="n">
        <f aca="false">BP160+$F170*BP14</f>
        <v>0</v>
      </c>
      <c r="BQ171" s="35" t="n">
        <f aca="false">BQ160+$F170*BQ14</f>
        <v>0</v>
      </c>
      <c r="BR171" s="35" t="n">
        <f aca="false">BR160+$F170*BR14</f>
        <v>0</v>
      </c>
      <c r="BS171" s="35" t="n">
        <f aca="false">BS160+$F170*BS14</f>
        <v>0</v>
      </c>
      <c r="BT171" s="35" t="n">
        <f aca="false">BT160+$F170*BT14</f>
        <v>0</v>
      </c>
      <c r="BU171" s="35" t="n">
        <f aca="false">BU160+$F170*BU14</f>
        <v>0</v>
      </c>
      <c r="BV171" s="35" t="n">
        <f aca="false">BV160+$F170*BV14</f>
        <v>0</v>
      </c>
      <c r="BW171" s="35" t="n">
        <f aca="false">BW160+$F170*BW14</f>
        <v>0</v>
      </c>
      <c r="BX171" s="35" t="n">
        <f aca="false">BX160+$F170*BX14</f>
        <v>0</v>
      </c>
      <c r="BY171" s="35" t="n">
        <f aca="false">BY160+$F170*BY14</f>
        <v>0</v>
      </c>
      <c r="BZ171" s="35" t="n">
        <f aca="false">BZ160+$F170*BZ14</f>
        <v>0</v>
      </c>
      <c r="CA171" s="35" t="n">
        <f aca="false">CA160+$F170*CA14</f>
        <v>0</v>
      </c>
      <c r="CB171" s="35" t="n">
        <f aca="false">CB160+$F170*CB14</f>
        <v>0</v>
      </c>
      <c r="CC171" s="35" t="n">
        <f aca="false">CC160+$F170*CC14</f>
        <v>0</v>
      </c>
      <c r="CD171" s="35" t="n">
        <f aca="false">CD160+$F170*CD14</f>
        <v>0</v>
      </c>
      <c r="CE171" s="35" t="n">
        <f aca="false">CE160+$F170*CE14</f>
        <v>0</v>
      </c>
      <c r="CF171" s="35" t="n">
        <f aca="false">CF160+$F170*CF14</f>
        <v>0</v>
      </c>
      <c r="CG171" s="35" t="n">
        <f aca="false">CG160+$F170*CG14</f>
        <v>0</v>
      </c>
      <c r="CH171" s="35" t="n">
        <f aca="false">CH160+$F170*CH14</f>
        <v>0</v>
      </c>
      <c r="CI171" s="35" t="n">
        <f aca="false">CI160+$F170*CI14</f>
        <v>0</v>
      </c>
      <c r="CJ171" s="35" t="n">
        <f aca="false">CJ160+$F170*CJ14</f>
        <v>0</v>
      </c>
      <c r="CK171" s="35" t="n">
        <f aca="false">CK160+$F170*CK14</f>
        <v>0</v>
      </c>
      <c r="CL171" s="35" t="n">
        <f aca="false">CL160+$F170*CL14</f>
        <v>0</v>
      </c>
      <c r="CM171" s="35" t="n">
        <f aca="false">CM160+$F170*CM14</f>
        <v>0</v>
      </c>
      <c r="CN171" s="35" t="n">
        <f aca="false">CN160+$F170*CN14</f>
        <v>0</v>
      </c>
      <c r="CO171" s="35" t="n">
        <f aca="false">CO160+$F170*CO14</f>
        <v>0</v>
      </c>
      <c r="CP171" s="35" t="n">
        <f aca="false">CP160+$F170*CP14</f>
        <v>0</v>
      </c>
      <c r="CQ171" s="35" t="n">
        <f aca="false">CQ160+$F170*CQ14</f>
        <v>0</v>
      </c>
      <c r="CR171" s="35" t="n">
        <f aca="false">CR160+$F170*CR14</f>
        <v>0</v>
      </c>
      <c r="CS171" s="35" t="n">
        <f aca="false">CS160+$F170*CS14</f>
        <v>0</v>
      </c>
      <c r="CT171" s="35" t="n">
        <f aca="false">CT160+$F170*CT14</f>
        <v>0</v>
      </c>
      <c r="CU171" s="35" t="n">
        <f aca="false">CU160+$F170*CU14</f>
        <v>0</v>
      </c>
      <c r="CV171" s="35" t="n">
        <f aca="false">CV160+$F170*CV14</f>
        <v>0</v>
      </c>
      <c r="CW171" s="35" t="n">
        <f aca="false">CW160+$F170*CW14</f>
        <v>0</v>
      </c>
      <c r="CX171" s="35" t="n">
        <f aca="false">CX160+$F170*CX14</f>
        <v>0</v>
      </c>
      <c r="CY171" s="35" t="n">
        <f aca="false">CY160+$F170*CY14</f>
        <v>0</v>
      </c>
      <c r="CZ171" s="35" t="n">
        <f aca="false">CZ160+$F170*CZ14</f>
        <v>0</v>
      </c>
      <c r="DA171" s="35" t="n">
        <f aca="false">DA160+$F170*DA14</f>
        <v>0</v>
      </c>
      <c r="DB171" s="35" t="n">
        <f aca="false">DB160+$F170*DB14</f>
        <v>0</v>
      </c>
      <c r="DC171" s="35" t="n">
        <f aca="false">DC160+$F170*DC14</f>
        <v>0</v>
      </c>
      <c r="DD171" s="35" t="n">
        <f aca="false">DD160+$F170*DD14</f>
        <v>0</v>
      </c>
      <c r="DE171" s="35" t="n">
        <f aca="false">DE160+$F170*DE14</f>
        <v>0</v>
      </c>
      <c r="DF171" s="35" t="n">
        <f aca="false">DF160+$F170*DF14</f>
        <v>0</v>
      </c>
      <c r="DG171" s="35" t="n">
        <f aca="false">DG160+$F170*DG14</f>
        <v>0</v>
      </c>
      <c r="DH171" s="35" t="n">
        <f aca="false">DH160+$F170*DH14</f>
        <v>0</v>
      </c>
      <c r="DI171" s="35" t="n">
        <f aca="false">DI160+$F170*DI14</f>
        <v>0</v>
      </c>
      <c r="DJ171" s="35" t="n">
        <f aca="false">DJ160+$F170*DJ14</f>
        <v>0</v>
      </c>
      <c r="DK171" s="35" t="n">
        <f aca="false">DK160+$F170*DK14</f>
        <v>0</v>
      </c>
      <c r="DL171" s="35" t="n">
        <f aca="false">DL160+$F170*DL14</f>
        <v>0</v>
      </c>
      <c r="DM171" s="35" t="n">
        <f aca="false">DM160+$F170*DM14</f>
        <v>0</v>
      </c>
      <c r="DN171" s="35" t="n">
        <f aca="false">DN160+$F170*DN14</f>
        <v>0</v>
      </c>
      <c r="DO171" s="35" t="n">
        <f aca="false">DO160+$F170*DO14</f>
        <v>0</v>
      </c>
      <c r="DP171" s="35" t="n">
        <f aca="false">DP160+$F170*DP14</f>
        <v>0</v>
      </c>
      <c r="DQ171" s="35" t="n">
        <f aca="false">DQ160+$F170*DQ14</f>
        <v>0</v>
      </c>
      <c r="DR171" s="35" t="n">
        <f aca="false">DR160+$F170*DR14</f>
        <v>0</v>
      </c>
      <c r="DS171" s="35" t="n">
        <f aca="false">DS160+$F170*DS14</f>
        <v>0</v>
      </c>
      <c r="DT171" s="35" t="n">
        <f aca="false">DT160+$F170*DT14</f>
        <v>0</v>
      </c>
      <c r="DU171" s="35" t="n">
        <f aca="false">DU160+$F170*DU14</f>
        <v>0</v>
      </c>
      <c r="DV171" s="35" t="n">
        <f aca="false">DV160+$F170*DV14</f>
        <v>0</v>
      </c>
      <c r="DW171" s="35" t="n">
        <f aca="false">DW160+$F170*DW14</f>
        <v>0</v>
      </c>
      <c r="DX171" s="35" t="n">
        <f aca="false">DX160+$F170*DX14</f>
        <v>0</v>
      </c>
      <c r="DY171" s="35" t="n">
        <f aca="false">DY160+$F170*DY14</f>
        <v>0</v>
      </c>
      <c r="DZ171" s="35" t="n">
        <f aca="false">DZ160+$F170*DZ14</f>
        <v>0</v>
      </c>
      <c r="EA171" s="35" t="n">
        <f aca="false">EA160+$F170*EA14</f>
        <v>0</v>
      </c>
      <c r="EB171" s="35" t="n">
        <f aca="false">EB160+$F170*EB14</f>
        <v>0</v>
      </c>
      <c r="EC171" s="35" t="n">
        <f aca="false">EC160+$F170*EC14</f>
        <v>0</v>
      </c>
      <c r="ED171" s="35" t="n">
        <f aca="false">ED160+$F170*ED14</f>
        <v>0</v>
      </c>
      <c r="EE171" s="35" t="n">
        <f aca="false">EE160+$F170*EE14</f>
        <v>0</v>
      </c>
      <c r="EF171" s="35" t="n">
        <f aca="false">EF160+$F170*EF14</f>
        <v>0</v>
      </c>
      <c r="EG171" s="35" t="n">
        <f aca="false">EG160+$F170*EG14</f>
        <v>0</v>
      </c>
      <c r="EH171" s="35" t="n">
        <f aca="false">EH160+$F170*EH14</f>
        <v>0</v>
      </c>
      <c r="EI171" s="35" t="n">
        <f aca="false">EI160+$F170*EI14</f>
        <v>0</v>
      </c>
      <c r="EJ171" s="35" t="n">
        <f aca="false">EJ160+$F170*EJ14</f>
        <v>0</v>
      </c>
      <c r="EK171" s="35" t="n">
        <f aca="false">EK160+$F170*EK14</f>
        <v>0</v>
      </c>
      <c r="EL171" s="35" t="n">
        <f aca="false">EL160+$F170*EL14</f>
        <v>0</v>
      </c>
      <c r="EM171" s="35" t="n">
        <f aca="false">EM160+$F170*EM14</f>
        <v>0</v>
      </c>
      <c r="EN171" s="35" t="n">
        <f aca="false">EN160+$F170*EN14</f>
        <v>0</v>
      </c>
      <c r="EO171" s="35" t="n">
        <f aca="false">EO160+$F170*EO14</f>
        <v>0</v>
      </c>
      <c r="EP171" s="35" t="n">
        <f aca="false">EP160+$F170*EP14</f>
        <v>0</v>
      </c>
      <c r="EQ171" s="35" t="n">
        <f aca="false">EQ160+$F170*EQ14</f>
        <v>0</v>
      </c>
      <c r="ER171" s="35" t="n">
        <f aca="false">ER160+$F170*ER14</f>
        <v>0</v>
      </c>
      <c r="ES171" s="35" t="n">
        <f aca="false">ES160+$F170*ES14</f>
        <v>0</v>
      </c>
      <c r="ET171" s="35" t="n">
        <f aca="false">ET160+$F170*ET14</f>
        <v>0</v>
      </c>
    </row>
    <row r="172" customFormat="false" ht="15" hidden="false" customHeight="false" outlineLevel="0" collapsed="false">
      <c r="C172" s="30" t="s">
        <v>77</v>
      </c>
      <c r="D172" s="11" t="s">
        <v>35</v>
      </c>
      <c r="E172" s="57" t="n">
        <f aca="false">XIRR($J171:$ET171,$J$4:$ET$4)</f>
        <v>0.339207407992561</v>
      </c>
    </row>
    <row r="173" customFormat="false" ht="15" hidden="false" customHeight="false" outlineLevel="0" collapsed="false">
      <c r="C173" s="30" t="s">
        <v>608</v>
      </c>
      <c r="D173" s="11" t="s">
        <v>13</v>
      </c>
      <c r="E173" s="58" t="n">
        <f aca="false">$F170/-$I160</f>
        <v>1.66053073086095</v>
      </c>
    </row>
    <row r="174" customFormat="false" ht="15" hidden="false" customHeight="false" outlineLevel="0" collapsed="false">
      <c r="C174" s="30" t="s">
        <v>79</v>
      </c>
      <c r="D174" s="11" t="s">
        <v>253</v>
      </c>
      <c r="E174" s="35" t="n">
        <f aca="false">XNPV(In_Discount_Rate,$J171:$ET171,$J$4:$ET$4)</f>
        <v>26530.583975982</v>
      </c>
    </row>
    <row r="175" customFormat="false" ht="15" hidden="false" customHeight="false" outlineLevel="0" collapsed="false">
      <c r="A175" s="55"/>
      <c r="B175" s="55"/>
      <c r="C175" s="55" t="s">
        <v>609</v>
      </c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55"/>
      <c r="BK175" s="55"/>
      <c r="BL175" s="55"/>
      <c r="BM175" s="55"/>
      <c r="BN175" s="55"/>
      <c r="BO175" s="55"/>
      <c r="BP175" s="55"/>
      <c r="BQ175" s="55"/>
      <c r="BR175" s="55"/>
      <c r="BS175" s="55"/>
      <c r="BT175" s="55"/>
      <c r="BU175" s="55"/>
      <c r="BV175" s="55"/>
      <c r="BW175" s="55"/>
      <c r="BX175" s="5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55"/>
      <c r="CO175" s="55"/>
      <c r="CP175" s="55"/>
      <c r="CQ175" s="55"/>
      <c r="CR175" s="55"/>
      <c r="CS175" s="55"/>
      <c r="CT175" s="55"/>
      <c r="CU175" s="55"/>
      <c r="CV175" s="55"/>
      <c r="CW175" s="55"/>
      <c r="CX175" s="55"/>
      <c r="CY175" s="55"/>
      <c r="CZ175" s="55"/>
      <c r="DA175" s="55"/>
      <c r="DB175" s="55"/>
      <c r="DC175" s="55"/>
      <c r="DD175" s="55"/>
      <c r="DE175" s="55"/>
      <c r="DF175" s="55"/>
      <c r="DG175" s="55"/>
      <c r="DH175" s="55"/>
      <c r="DI175" s="55"/>
      <c r="DJ175" s="55"/>
      <c r="DK175" s="55"/>
      <c r="DL175" s="55"/>
      <c r="DM175" s="55"/>
      <c r="DN175" s="55"/>
      <c r="DO175" s="55"/>
      <c r="DP175" s="55"/>
      <c r="DQ175" s="55"/>
      <c r="DR175" s="55"/>
      <c r="DS175" s="55"/>
      <c r="DT175" s="55"/>
      <c r="DU175" s="55"/>
      <c r="DV175" s="55"/>
      <c r="DW175" s="55"/>
      <c r="DX175" s="55"/>
      <c r="DY175" s="55"/>
      <c r="DZ175" s="55"/>
      <c r="EA175" s="55"/>
      <c r="EB175" s="55"/>
      <c r="EC175" s="55"/>
      <c r="ED175" s="55"/>
      <c r="EE175" s="55"/>
      <c r="EF175" s="55"/>
      <c r="EG175" s="55"/>
      <c r="EH175" s="55"/>
      <c r="EI175" s="55"/>
      <c r="EJ175" s="55"/>
      <c r="EK175" s="55"/>
      <c r="EL175" s="55"/>
      <c r="EM175" s="55"/>
      <c r="EN175" s="55"/>
      <c r="EO175" s="55"/>
      <c r="EP175" s="55"/>
      <c r="EQ175" s="55"/>
      <c r="ER175" s="55"/>
      <c r="ES175" s="55"/>
      <c r="ET175" s="55"/>
    </row>
    <row r="176" customFormat="false" ht="15" hidden="false" customHeight="false" outlineLevel="0" collapsed="false">
      <c r="C176" s="0" t="s">
        <v>610</v>
      </c>
      <c r="D176" s="11" t="s">
        <v>253</v>
      </c>
      <c r="E176" s="33" t="n">
        <f aca="false">$E93*$F24</f>
        <v>60000</v>
      </c>
      <c r="F176" s="33" t="n">
        <f aca="false">In_Installation*$F24</f>
        <v>8000</v>
      </c>
    </row>
    <row r="177" customFormat="false" ht="15" hidden="false" customHeight="false" outlineLevel="0" collapsed="false">
      <c r="C177" s="0" t="s">
        <v>611</v>
      </c>
      <c r="D177" s="11" t="s">
        <v>253</v>
      </c>
      <c r="E177" s="33" t="n">
        <f aca="false">In_Foundations*$F24</f>
        <v>9000</v>
      </c>
      <c r="F177" s="33" t="n">
        <f aca="false">In_BoP*$F24</f>
        <v>13000</v>
      </c>
    </row>
    <row r="178" customFormat="false" ht="15" hidden="false" customHeight="false" outlineLevel="0" collapsed="false">
      <c r="C178" s="0" t="s">
        <v>612</v>
      </c>
      <c r="D178" s="11" t="s">
        <v>253</v>
      </c>
      <c r="E178" s="33" t="n">
        <f aca="false">In_Owner*$F24</f>
        <v>4000</v>
      </c>
      <c r="F178" s="33" t="n">
        <f aca="false">In_Easements*$F24-SUMIF($J$4:$ET$4,"&lt;="&amp;In_COD,$J120:$ET120)</f>
        <v>2118.49126824379</v>
      </c>
    </row>
    <row r="179" customFormat="false" ht="15" hidden="false" customHeight="false" outlineLevel="0" collapsed="false">
      <c r="C179" s="0" t="s">
        <v>613</v>
      </c>
      <c r="D179" s="11" t="s">
        <v>253</v>
      </c>
      <c r="E179" s="33" t="n">
        <f aca="false">In_Capex_Contingency*(($E93+$F93)*$F24+$E94)</f>
        <v>5375</v>
      </c>
      <c r="F179" s="33" t="n">
        <f aca="false">$E94</f>
        <v>12000</v>
      </c>
    </row>
    <row r="180" customFormat="false" ht="15" hidden="false" customHeight="false" outlineLevel="0" collapsed="false">
      <c r="C180" s="0" t="s">
        <v>614</v>
      </c>
      <c r="D180" s="11" t="s">
        <v>253</v>
      </c>
      <c r="E180" s="33" t="n">
        <f aca="false">In_BESS_Capex*$F26</f>
        <v>20400</v>
      </c>
      <c r="F180" s="33" t="n">
        <f aca="false">-$I53</f>
        <v>20179.3874082192</v>
      </c>
    </row>
    <row r="181" customFormat="false" ht="15" hidden="false" customHeight="false" outlineLevel="0" collapsed="false">
      <c r="C181" s="0" t="s">
        <v>615</v>
      </c>
      <c r="D181" s="11" t="s">
        <v>253</v>
      </c>
      <c r="E181" s="33" t="n">
        <f aca="false">-$I96</f>
        <v>5000</v>
      </c>
      <c r="F181" s="33" t="n">
        <f aca="false">-($I57+$I46+$I47+$I50)</f>
        <v>4760.72040238188</v>
      </c>
    </row>
    <row r="182" customFormat="false" ht="15" hidden="false" customHeight="false" outlineLevel="0" collapsed="false">
      <c r="C182" s="0" t="s">
        <v>119</v>
      </c>
      <c r="D182" s="11" t="s">
        <v>253</v>
      </c>
      <c r="E182" s="33" t="n">
        <f aca="false">$I100-$I104-$I105-$F59</f>
        <v>8901.43406713672</v>
      </c>
    </row>
    <row r="183" customFormat="false" ht="15" hidden="false" customHeight="false" outlineLevel="0" collapsed="false">
      <c r="C183" s="30" t="s">
        <v>616</v>
      </c>
      <c r="D183" s="11" t="s">
        <v>253</v>
      </c>
      <c r="E183" s="35" t="n">
        <f aca="false">SUM($E176:$F182)</f>
        <v>172735.033145982</v>
      </c>
      <c r="F183" s="35" t="n">
        <f aca="false">$I99+$I100-$I160</f>
        <v>172735.033145982</v>
      </c>
    </row>
    <row r="184" customFormat="false" ht="15" hidden="false" customHeight="false" outlineLevel="0" collapsed="false">
      <c r="C184" s="0" t="s">
        <v>617</v>
      </c>
      <c r="D184" s="11" t="s">
        <v>253</v>
      </c>
      <c r="E184" s="33" t="n">
        <f aca="false">-($I95+$I99)-SUMIF($J$4:$ET$4,"&lt;="&amp;In_COD,$J120:$ET120)</f>
        <v>38820.8588233123</v>
      </c>
      <c r="F184" s="33" t="n">
        <f aca="false">-($I104+$I105)</f>
        <v>2626.3903023952</v>
      </c>
    </row>
    <row r="185" customFormat="false" ht="15" hidden="false" customHeight="false" outlineLevel="0" collapsed="false">
      <c r="A185" s="55"/>
      <c r="B185" s="55"/>
      <c r="C185" s="55" t="s">
        <v>618</v>
      </c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/>
      <c r="BB185" s="55"/>
      <c r="BC185" s="55"/>
      <c r="BD185" s="55"/>
      <c r="BE185" s="55"/>
      <c r="BF185" s="55"/>
      <c r="BG185" s="55"/>
      <c r="BH185" s="55"/>
      <c r="BI185" s="55"/>
      <c r="BJ185" s="55"/>
      <c r="BK185" s="55"/>
      <c r="BL185" s="55"/>
      <c r="BM185" s="55"/>
      <c r="BN185" s="55"/>
      <c r="BO185" s="55"/>
      <c r="BP185" s="55"/>
      <c r="BQ185" s="55"/>
      <c r="BR185" s="55"/>
      <c r="BS185" s="55"/>
      <c r="BT185" s="55"/>
      <c r="BU185" s="55"/>
      <c r="BV185" s="55"/>
      <c r="BW185" s="55"/>
      <c r="BX185" s="55"/>
      <c r="BY185" s="55"/>
      <c r="BZ185" s="55"/>
      <c r="CA185" s="55"/>
      <c r="CB185" s="55"/>
      <c r="CC185" s="55"/>
      <c r="CD185" s="55"/>
      <c r="CE185" s="55"/>
      <c r="CF185" s="55"/>
      <c r="CG185" s="55"/>
      <c r="CH185" s="55"/>
      <c r="CI185" s="55"/>
      <c r="CJ185" s="55"/>
      <c r="CK185" s="55"/>
      <c r="CL185" s="55"/>
      <c r="CM185" s="55"/>
      <c r="CN185" s="55"/>
      <c r="CO185" s="55"/>
      <c r="CP185" s="55"/>
      <c r="CQ185" s="55"/>
      <c r="CR185" s="55"/>
      <c r="CS185" s="55"/>
      <c r="CT185" s="55"/>
      <c r="CU185" s="55"/>
      <c r="CV185" s="55"/>
      <c r="CW185" s="55"/>
      <c r="CX185" s="55"/>
      <c r="CY185" s="55"/>
      <c r="CZ185" s="55"/>
      <c r="DA185" s="55"/>
      <c r="DB185" s="55"/>
      <c r="DC185" s="55"/>
      <c r="DD185" s="55"/>
      <c r="DE185" s="55"/>
      <c r="DF185" s="55"/>
      <c r="DG185" s="55"/>
      <c r="DH185" s="55"/>
      <c r="DI185" s="55"/>
      <c r="DJ185" s="55"/>
      <c r="DK185" s="55"/>
      <c r="DL185" s="55"/>
      <c r="DM185" s="55"/>
      <c r="DN185" s="55"/>
      <c r="DO185" s="55"/>
      <c r="DP185" s="55"/>
      <c r="DQ185" s="55"/>
      <c r="DR185" s="55"/>
      <c r="DS185" s="55"/>
      <c r="DT185" s="55"/>
      <c r="DU185" s="55"/>
      <c r="DV185" s="55"/>
      <c r="DW185" s="55"/>
      <c r="DX185" s="55"/>
      <c r="DY185" s="55"/>
      <c r="DZ185" s="55"/>
      <c r="EA185" s="55"/>
      <c r="EB185" s="55"/>
      <c r="EC185" s="55"/>
      <c r="ED185" s="55"/>
      <c r="EE185" s="55"/>
      <c r="EF185" s="55"/>
      <c r="EG185" s="55"/>
      <c r="EH185" s="55"/>
      <c r="EI185" s="55"/>
      <c r="EJ185" s="55"/>
      <c r="EK185" s="55"/>
      <c r="EL185" s="55"/>
      <c r="EM185" s="55"/>
      <c r="EN185" s="55"/>
      <c r="EO185" s="55"/>
      <c r="EP185" s="55"/>
      <c r="EQ185" s="55"/>
      <c r="ER185" s="55"/>
      <c r="ES185" s="55"/>
      <c r="ET185" s="55"/>
    </row>
    <row r="186" customFormat="false" ht="15" hidden="false" customHeight="false" outlineLevel="0" collapsed="false">
      <c r="C186" s="0" t="s">
        <v>143</v>
      </c>
      <c r="D186" s="11" t="s">
        <v>253</v>
      </c>
      <c r="E186" s="33" t="n">
        <f aca="false">$E49-$I47-$I50</f>
        <v>8234.65753424658</v>
      </c>
    </row>
    <row r="187" customFormat="false" ht="15" hidden="false" customHeight="false" outlineLevel="0" collapsed="false">
      <c r="C187" s="30" t="s">
        <v>619</v>
      </c>
      <c r="D187" s="11" t="s">
        <v>253</v>
      </c>
      <c r="E187" s="35" t="n">
        <f aca="false">$E183+$E49</f>
        <v>179728.594789817</v>
      </c>
    </row>
    <row r="188" customFormat="false" ht="15" hidden="false" customHeight="false" outlineLevel="0" collapsed="false">
      <c r="C188" s="0" t="s">
        <v>620</v>
      </c>
      <c r="D188" s="11" t="s">
        <v>253</v>
      </c>
      <c r="E188" s="33" t="n">
        <f aca="false">-$I87</f>
        <v>1418.21917808219</v>
      </c>
      <c r="F188" s="33" t="n">
        <f aca="false">$F86</f>
        <v>6993.56164383562</v>
      </c>
    </row>
    <row r="190" customFormat="false" ht="15" hidden="false" customHeight="false" outlineLevel="0" collapsed="false">
      <c r="A190" s="9" t="s">
        <v>13</v>
      </c>
      <c r="B190" s="9"/>
      <c r="C190" s="9" t="s">
        <v>178</v>
      </c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</row>
    <row r="191" customFormat="false" ht="15" hidden="false" customHeight="false" outlineLevel="0" collapsed="false">
      <c r="C191" s="30" t="s">
        <v>621</v>
      </c>
      <c r="D191" s="11" t="s">
        <v>253</v>
      </c>
      <c r="I191" s="35" t="n">
        <f aca="false">SUM(J191:ET191)</f>
        <v>278469.644233254</v>
      </c>
      <c r="J191" s="35" t="n">
        <f aca="false">J60+J106+J99+J120+J103+J101+J129+J87-$F144*J12</f>
        <v>-400</v>
      </c>
      <c r="K191" s="35" t="n">
        <f aca="false">K60+K106+K99+K120+K103+K101+K129+K87-$F144*K12</f>
        <v>-1437.78053818728</v>
      </c>
      <c r="L191" s="35" t="n">
        <f aca="false">L60+L106+L99+L120+L103+L101+L129+L87-$F144*L12</f>
        <v>-691.910911990993</v>
      </c>
      <c r="M191" s="35" t="n">
        <f aca="false">M60+M106+M99+M120+M103+M101+M129+M87-$F144*M12</f>
        <v>-148.451634452993</v>
      </c>
      <c r="N191" s="35" t="n">
        <f aca="false">N60+N106+N99+N120+N103+N101+N129+N87-$F144*N12</f>
        <v>-149.601261024582</v>
      </c>
      <c r="O191" s="35" t="n">
        <f aca="false">O60+O106+O99+O120+O103+O101+O129+O87-$F144*O12</f>
        <v>-290.127288421843</v>
      </c>
      <c r="P191" s="35" t="n">
        <f aca="false">P60+P106+P99+P120+P103+P101+P129+P87-$F144*P12</f>
        <v>-1394.65781281475</v>
      </c>
      <c r="Q191" s="35" t="n">
        <f aca="false">Q60+Q106+Q99+Q120+Q103+Q101+Q129+Q87-$F144*Q12</f>
        <v>-109.225607055733</v>
      </c>
      <c r="R191" s="35" t="n">
        <f aca="false">R60+R106+R99+R120+R103+R101+R129+R87-$F144*R12</f>
        <v>-269.857154566657</v>
      </c>
      <c r="S191" s="35" t="n">
        <f aca="false">S60+S106+S99+S120+S103+S101+S129+S87-$F144*S12</f>
        <v>-422.991783283459</v>
      </c>
      <c r="T191" s="35" t="n">
        <f aca="false">T60+T106+T99+T120+T103+T101+T129+T87-$F144*T12</f>
        <v>-20587.5113339088</v>
      </c>
      <c r="U191" s="35" t="n">
        <f aca="false">U60+U106+U99+U120+U103+U101+U129+U87-$F144*U12</f>
        <v>-104.616018014637</v>
      </c>
      <c r="V191" s="35" t="n">
        <f aca="false">V60+V106+V99+V120+V103+V101+V129+V87-$F144*V12</f>
        <v>-105.765644586226</v>
      </c>
      <c r="W191" s="35" t="n">
        <f aca="false">W60+W106+W99+W120+W103+W101+W129+W87-$F144*W12</f>
        <v>-10324.3941457621</v>
      </c>
      <c r="X191" s="35" t="n">
        <f aca="false">X60+X106+X99+X120+X103+X101+X129+X87-$F144*X12</f>
        <v>-5073.5175863622</v>
      </c>
      <c r="Y191" s="35" t="n">
        <f aca="false">Y60+Y106+Y99+Y120+Y103+Y101+Y129+Y87-$F144*Y12</f>
        <v>-5103.58937070822</v>
      </c>
      <c r="Z191" s="35" t="n">
        <f aca="false">Z60+Z106+Z99+Z120+Z103+Z101+Z129+Z87-$F144*Z12</f>
        <v>-5132.78767858878</v>
      </c>
      <c r="AA191" s="35" t="n">
        <f aca="false">AA60+AA106+AA99+AA120+AA103+AA101+AA129+AA87-$F144*AA12</f>
        <v>-5105.60714622201</v>
      </c>
      <c r="AB191" s="35" t="n">
        <f aca="false">AB60+AB106+AB99+AB120+AB103+AB101+AB129+AB87-$F144*AB12</f>
        <v>-4969.92045560723</v>
      </c>
      <c r="AC191" s="35" t="n">
        <f aca="false">AC60+AC106+AC99+AC120+AC103+AC101+AC129+AC87-$F144*AC12</f>
        <v>-4998.84116072264</v>
      </c>
      <c r="AD191" s="35" t="n">
        <f aca="false">AD60+AD106+AD99+AD120+AD103+AD101+AD129+AD87-$F144*AD12</f>
        <v>-10026.8883893726</v>
      </c>
      <c r="AE191" s="35" t="n">
        <f aca="false">AE60+AE106+AE99+AE120+AE103+AE101+AE129+AE87-$F144*AE12</f>
        <v>874.393407109325</v>
      </c>
      <c r="AF191" s="35" t="n">
        <f aca="false">AF60+AF106+AF99+AF120+AF103+AF101+AF129+AF87-$F144*AF12</f>
        <v>-560.072909893331</v>
      </c>
      <c r="AG191" s="35" t="n">
        <f aca="false">AG60+AG106+AG99+AG120+AG103+AG101+AG129+AG87-$F144*AG12</f>
        <v>858.146268188861</v>
      </c>
      <c r="AH191" s="35" t="n">
        <f aca="false">AH60+AH106+AH99+AH120+AH103+AH101+AH129+AH87-$F144*AH12</f>
        <v>902.422023615627</v>
      </c>
      <c r="AI191" s="35" t="n">
        <f aca="false">AI60+AI106+AI99+AI120+AI103+AI101+AI129+AI87-$F144*AI12</f>
        <v>887.727990101891</v>
      </c>
      <c r="AJ191" s="35" t="n">
        <f aca="false">AJ60+AJ106+AJ99+AJ120+AJ103+AJ101+AJ129+AJ87-$F144*AJ12</f>
        <v>826.680388268668</v>
      </c>
      <c r="AK191" s="35" t="n">
        <f aca="false">AK60+AK106+AK99+AK120+AK103+AK101+AK129+AK87-$F144*AK12</f>
        <v>964.097236992855</v>
      </c>
      <c r="AL191" s="35" t="n">
        <f aca="false">AL60+AL106+AL99+AL120+AL103+AL101+AL129+AL87-$F144*AL12</f>
        <v>925.793262766851</v>
      </c>
      <c r="AM191" s="35" t="n">
        <f aca="false">AM60+AM106+AM99+AM120+AM103+AM101+AM129+AM87-$F144*AM12</f>
        <v>909.969296222041</v>
      </c>
      <c r="AN191" s="35" t="n">
        <f aca="false">AN60+AN106+AN99+AN120+AN103+AN101+AN129+AN87-$F144*AN12</f>
        <v>845.404881547606</v>
      </c>
      <c r="AO191" s="35" t="n">
        <f aca="false">AO60+AO106+AO99+AO120+AO103+AO101+AO129+AO87-$F144*AO12</f>
        <v>886.590388683276</v>
      </c>
      <c r="AP191" s="35" t="n">
        <f aca="false">AP60+AP106+AP99+AP120+AP103+AP101+AP129+AP87-$F144*AP12</f>
        <v>927.745556516224</v>
      </c>
      <c r="AQ191" s="35" t="n">
        <f aca="false">AQ60+AQ106+AQ99+AQ120+AQ103+AQ101+AQ129+AQ87-$F144*AQ12</f>
        <v>911.715877644968</v>
      </c>
      <c r="AR191" s="35" t="n">
        <f aca="false">AR60+AR106+AR99+AR120+AR103+AR101+AR129+AR87-$F144*AR12</f>
        <v>846.543277615423</v>
      </c>
      <c r="AS191" s="35" t="n">
        <f aca="false">AS60+AS106+AS99+AS120+AS103+AS101+AS129+AS87-$F144*AS12</f>
        <v>887.727694520745</v>
      </c>
      <c r="AT191" s="35" t="n">
        <f aca="false">AT60+AT106+AT99+AT120+AT103+AT101+AT129+AT87-$F144*AT12</f>
        <v>928.88022647735</v>
      </c>
      <c r="AU191" s="35" t="n">
        <f aca="false">AU60+AU106+AU99+AU120+AU103+AU101+AU129+AU87-$F144*AU12</f>
        <v>912.638411235669</v>
      </c>
      <c r="AV191" s="35" t="n">
        <f aca="false">AV60+AV106+AV99+AV120+AV103+AV101+AV129+AV87-$F144*AV12</f>
        <v>890.70113207518</v>
      </c>
      <c r="AW191" s="35" t="n">
        <f aca="false">AW60+AW106+AW99+AW120+AW103+AW101+AW129+AW87-$F144*AW12</f>
        <v>888.020385021271</v>
      </c>
      <c r="AX191" s="35" t="n">
        <f aca="false">AX60+AX106+AX99+AX120+AX103+AX101+AX129+AX87-$F144*AX12</f>
        <v>929.16022862069</v>
      </c>
      <c r="AY191" s="35" t="n">
        <f aca="false">AY60+AY106+AY99+AY120+AY103+AY101+AY129+AY87-$F144*AY12</f>
        <v>912.699544478946</v>
      </c>
      <c r="AZ191" s="35" t="n">
        <f aca="false">AZ60+AZ106+AZ99+AZ120+AZ103+AZ101+AZ129+AZ87-$F144*AZ12</f>
        <v>846.278418220016</v>
      </c>
      <c r="BA191" s="35" t="n">
        <f aca="false">BA60+BA106+BA99+BA120+BA103+BA101+BA129+BA87-$F144*BA12</f>
        <v>887.43027860781</v>
      </c>
      <c r="BB191" s="35" t="n">
        <f aca="false">BB60+BB106+BB99+BB120+BB103+BB101+BB129+BB87-$F144*BB12</f>
        <v>928.546922512905</v>
      </c>
      <c r="BC191" s="35" t="n">
        <f aca="false">BC60+BC106+BC99+BC120+BC103+BC101+BC129+BC87-$F144*BC12</f>
        <v>911.86031268293</v>
      </c>
      <c r="BD191" s="35" t="n">
        <f aca="false">BD60+BD106+BD99+BD120+BD103+BD101+BD129+BD87-$F144*BD12</f>
        <v>844.798079926203</v>
      </c>
      <c r="BE191" s="35" t="n">
        <f aca="false">BE60+BE106+BE99+BE120+BE103+BE101+BE129+BE87-$F144*BE12</f>
        <v>885.917544416721</v>
      </c>
      <c r="BF191" s="35" t="n">
        <f aca="false">BF60+BF106+BF99+BF120+BF103+BF101+BF129+BF87-$F144*BF12</f>
        <v>926.999998308965</v>
      </c>
      <c r="BG191" s="35" t="n">
        <f aca="false">BG60+BG106+BG99+BG120+BG103+BG101+BG129+BG87-$F144*BG12</f>
        <v>910.080065163074</v>
      </c>
      <c r="BH191" s="35" t="n">
        <f aca="false">BH60+BH106+BH99+BH120+BH103+BH101+BH129+BH87-$F144*BH12</f>
        <v>842.36495707647</v>
      </c>
      <c r="BI191" s="35" t="n">
        <f aca="false">BI60+BI106+BI99+BI120+BI103+BI101+BI129+BI87-$F144*BI12</f>
        <v>883.440626714007</v>
      </c>
      <c r="BJ191" s="35" t="n">
        <f aca="false">BJ60+BJ106+BJ99+BJ120+BJ103+BJ101+BJ129+BJ87-$F144*BJ12</f>
        <v>924.477400235871</v>
      </c>
      <c r="BK191" s="35" t="n">
        <f aca="false">BK60+BK106+BK99+BK120+BK103+BK101+BK129+BK87-$F144*BK12</f>
        <v>907.316387876432</v>
      </c>
      <c r="BL191" s="35" t="n">
        <f aca="false">BL60+BL106+BL99+BL120+BL103+BL101+BL129+BL87-$F144*BL12</f>
        <v>883.226380985904</v>
      </c>
      <c r="BM191" s="35" t="n">
        <f aca="false">BM60+BM106+BM99+BM120+BM103+BM101+BM129+BM87-$F144*BM12</f>
        <v>879.956165674805</v>
      </c>
      <c r="BN191" s="35" t="n">
        <f aca="false">BN60+BN106+BN99+BN120+BN103+BN101+BN129+BN87-$F144*BN12</f>
        <v>920.935246394432</v>
      </c>
      <c r="BO191" s="35" t="n">
        <f aca="false">BO60+BO106+BO99+BO120+BO103+BO101+BO129+BO87-$F144*BO12</f>
        <v>903.525022330628</v>
      </c>
      <c r="BP191" s="35" t="n">
        <f aca="false">BP60+BP106+BP99+BP120+BP103+BP101+BP129+BP87-$F144*BP12</f>
        <v>834.467123776132</v>
      </c>
      <c r="BQ191" s="35" t="n">
        <f aca="false">BQ60+BQ106+BQ99+BQ120+BQ103+BQ101+BQ129+BQ87-$F144*BQ12</f>
        <v>875.418914346086</v>
      </c>
      <c r="BR191" s="35" t="n">
        <f aca="false">BR60+BR106+BR99+BR120+BR103+BR101+BR129+BR87-$F144*BR12</f>
        <v>916.32774469689</v>
      </c>
      <c r="BS191" s="35" t="n">
        <f aca="false">BS60+BS106+BS99+BS120+BS103+BS101+BS129+BS87-$F144*BS12</f>
        <v>4069.60725622995</v>
      </c>
      <c r="BT191" s="35" t="n">
        <f aca="false">BT60+BT106+BT99+BT120+BT103+BT101+BT129+BT87-$F144*BT12</f>
        <v>4003.42584117317</v>
      </c>
      <c r="BU191" s="35" t="n">
        <f aca="false">BU60+BU106+BU99+BU120+BU103+BU101+BU129+BU87-$F144*BU12</f>
        <v>4047.90835051954</v>
      </c>
      <c r="BV191" s="35" t="n">
        <f aca="false">BV60+BV106+BV99+BV120+BV103+BV101+BV129+BV87-$F144*BV12</f>
        <v>4092.39085986591</v>
      </c>
      <c r="BW191" s="35" t="n">
        <f aca="false">BW60+BW106+BW99+BW120+BW103+BW101+BW129+BW87-$F144*BW12</f>
        <v>4078.15898065686</v>
      </c>
      <c r="BX191" s="35" t="n">
        <f aca="false">BX60+BX106+BX99+BX120+BX103+BX101+BX129+BX87-$F144*BX12</f>
        <v>4011.45486590955</v>
      </c>
      <c r="BY191" s="35" t="n">
        <f aca="false">BY60+BY106+BY99+BY120+BY103+BY101+BY129+BY87-$F144*BY12</f>
        <v>4056.02658664188</v>
      </c>
      <c r="BZ191" s="35" t="n">
        <f aca="false">BZ60+BZ106+BZ99+BZ120+BZ103+BZ101+BZ129+BZ87-$F144*BZ12</f>
        <v>4100.59830737421</v>
      </c>
      <c r="CA191" s="35" t="n">
        <f aca="false">CA60+CA106+CA99+CA120+CA103+CA101+CA129+CA87-$F144*CA12</f>
        <v>4086.27900066486</v>
      </c>
      <c r="CB191" s="35" t="n">
        <f aca="false">CB60+CB106+CB99+CB120+CB103+CB101+CB129+CB87-$F144*CB12</f>
        <v>4063.70340708089</v>
      </c>
      <c r="CC191" s="35" t="n">
        <f aca="false">CC60+CC106+CC99+CC120+CC103+CC101+CC129+CC87-$F144*CC12</f>
        <v>4063.70340708089</v>
      </c>
      <c r="CD191" s="35" t="n">
        <f aca="false">CD60+CD106+CD99+CD120+CD103+CD101+CD129+CD87-$F144*CD12</f>
        <v>4108.35948847738</v>
      </c>
      <c r="CE191" s="35" t="n">
        <f aca="false">CE60+CE106+CE99+CE120+CE103+CE101+CE129+CE87-$F144*CE12</f>
        <v>4093.95252293801</v>
      </c>
      <c r="CF191" s="35" t="n">
        <f aca="false">CF60+CF106+CF99+CF120+CF103+CF101+CF129+CF87-$F144*CF12</f>
        <v>4026.18836092788</v>
      </c>
      <c r="CG191" s="35" t="n">
        <f aca="false">CG60+CG106+CG99+CG120+CG103+CG101+CG129+CG87-$F144*CG12</f>
        <v>4070.92378716041</v>
      </c>
      <c r="CH191" s="35" t="n">
        <f aca="false">CH60+CH106+CH99+CH120+CH103+CH101+CH129+CH87-$F144*CH12</f>
        <v>4115.65921339294</v>
      </c>
      <c r="CI191" s="35" t="n">
        <f aca="false">CI60+CI106+CI99+CI120+CI103+CI101+CI129+CI87-$F144*CI12</f>
        <v>4101.16436400994</v>
      </c>
      <c r="CJ191" s="35" t="n">
        <f aca="false">CJ60+CJ106+CJ99+CJ120+CJ103+CJ101+CJ129+CJ87-$F144*CJ12</f>
        <v>4032.86272067897</v>
      </c>
      <c r="CK191" s="35" t="n">
        <f aca="false">CK60+CK106+CK99+CK120+CK103+CK101+CK129+CK87-$F144*CK12</f>
        <v>4077.6723064643</v>
      </c>
      <c r="CL191" s="35" t="n">
        <f aca="false">CL60+CL106+CL99+CL120+CL103+CL101+CL129+CL87-$F144*CL12</f>
        <v>4122.48189224962</v>
      </c>
      <c r="CM191" s="35" t="n">
        <f aca="false">CM60+CM106+CM99+CM120+CM103+CM101+CM129+CM87-$F144*CM12</f>
        <v>4107.89894054444</v>
      </c>
      <c r="CN191" s="35" t="n">
        <f aca="false">CN60+CN106+CN99+CN120+CN103+CN101+CN129+CN87-$F144*CN12</f>
        <v>4039.05475283845</v>
      </c>
      <c r="CO191" s="35" t="n">
        <f aca="false">CO60+CO106+CO99+CO120+CO103+CO101+CO129+CO87-$F144*CO12</f>
        <v>4083.9331389811</v>
      </c>
      <c r="CP191" s="35" t="n">
        <f aca="false">CP60+CP106+CP99+CP120+CP103+CP101+CP129+CP87-$F144*CP12</f>
        <v>4128.81152512375</v>
      </c>
      <c r="CQ191" s="35" t="n">
        <f aca="false">CQ60+CQ106+CQ99+CQ120+CQ103+CQ101+CQ129+CQ87-$F144*CQ12</f>
        <v>4114.14025937721</v>
      </c>
      <c r="CR191" s="35" t="n">
        <f aca="false">CR60+CR106+CR99+CR120+CR103+CR101+CR129+CR87-$F144*CR12</f>
        <v>4089.69004300646</v>
      </c>
      <c r="CS191" s="35" t="n">
        <f aca="false">CS60+CS106+CS99+CS120+CS103+CS101+CS129+CS87-$F144*CS12</f>
        <v>4089.69004300646</v>
      </c>
      <c r="CT191" s="35" t="n">
        <f aca="false">CT60+CT106+CT99+CT120+CT103+CT101+CT129+CT87-$F144*CT12</f>
        <v>4134.63169183071</v>
      </c>
      <c r="CU191" s="35" t="n">
        <f aca="false">CU60+CU106+CU99+CU120+CU103+CU101+CU129+CU87-$F144*CU12</f>
        <v>4119.87190731273</v>
      </c>
      <c r="CV191" s="35" t="n">
        <f aca="false">CV60+CV106+CV99+CV120+CV103+CV101+CV129+CV87-$F144*CV12</f>
        <v>4049.92716012924</v>
      </c>
      <c r="CW191" s="35" t="n">
        <f aca="false">CW60+CW106+CW99+CW120+CW103+CW101+CW129+CW87-$F144*CW12</f>
        <v>4094.92635079735</v>
      </c>
      <c r="CX191" s="35" t="n">
        <f aca="false">CX60+CX106+CX99+CX120+CX103+CX101+CX129+CX87-$F144*CX12</f>
        <v>4139.92554146545</v>
      </c>
      <c r="CY191" s="35" t="n">
        <f aca="false">CY60+CY106+CY99+CY120+CY103+CY101+CY129+CY87-$F144*CY12</f>
        <v>4125.07704067048</v>
      </c>
      <c r="CZ191" s="35" t="n">
        <f aca="false">CZ60+CZ106+CZ99+CZ120+CZ103+CZ101+CZ129+CZ87-$F144*CZ12</f>
        <v>4054.57413425806</v>
      </c>
      <c r="DA191" s="35" t="n">
        <f aca="false">DA60+DA106+DA99+DA120+DA103+DA101+DA129+DA87-$F144*DA12</f>
        <v>4099.62495797204</v>
      </c>
      <c r="DB191" s="35" t="n">
        <f aca="false">DB60+DB106+DB99+DB120+DB103+DB101+DB129+DB87-$F144*DB12</f>
        <v>4144.67578168601</v>
      </c>
      <c r="DC191" s="35" t="n">
        <f aca="false">DC60+DC106+DC99+DC120+DC103+DC101+DC129+DC87-$F144*DC12</f>
        <v>4129.73837457408</v>
      </c>
      <c r="DD191" s="35" t="n">
        <f aca="false">DD60+DD106+DD99+DD120+DD103+DD101+DD129+DD87-$F144*DD12</f>
        <v>4058.67195756549</v>
      </c>
      <c r="DE191" s="35" t="n">
        <f aca="false">DE60+DE106+DE99+DE120+DE103+DE101+DE129+DE87-$F144*DE12</f>
        <v>4103.76831264955</v>
      </c>
      <c r="DF191" s="35" t="n">
        <f aca="false">DF60+DF106+DF99+DF120+DF103+DF101+DF129+DF87-$F144*DF12</f>
        <v>4148.86466773361</v>
      </c>
      <c r="DG191" s="35" t="n">
        <f aca="false">DG60+DG106+DG99+DG120+DG103+DG101+DG129+DG87-$F144*DG12</f>
        <v>3948.00494486583</v>
      </c>
      <c r="DH191" s="35" t="n">
        <f aca="false">DH60+DH106+DH99+DH120+DH103+DH101+DH129+DH87-$F144*DH12</f>
        <v>3923.5251035924</v>
      </c>
      <c r="DI191" s="35" t="n">
        <f aca="false">DI60+DI106+DI99+DI120+DI103+DI101+DI129+DI87-$F144*DI12</f>
        <v>3923.5251035924</v>
      </c>
      <c r="DJ191" s="35" t="n">
        <f aca="false">DJ60+DJ106+DJ99+DJ120+DJ103+DJ101+DJ129+DJ87-$F144*DJ12</f>
        <v>3966.64076407144</v>
      </c>
      <c r="DK191" s="35" t="n">
        <f aca="false">DK60+DK106+DK99+DK120+DK103+DK101+DK129+DK87-$F144*DK12</f>
        <v>3951.52500530895</v>
      </c>
      <c r="DL191" s="35" t="n">
        <f aca="false">DL60+DL106+DL99+DL120+DL103+DL101+DL129+DL87-$F144*DL12</f>
        <v>3883.35506214572</v>
      </c>
      <c r="DM191" s="35" t="n">
        <f aca="false">DM60+DM106+DM99+DM120+DM103+DM101+DM129+DM87-$F144*DM12</f>
        <v>3926.50345172512</v>
      </c>
      <c r="DN191" s="35" t="n">
        <f aca="false">DN60+DN106+DN99+DN120+DN103+DN101+DN129+DN87-$F144*DN12</f>
        <v>3969.65184130451</v>
      </c>
      <c r="DO191" s="35" t="n">
        <f aca="false">DO60+DO106+DO99+DO120+DO103+DO101+DO129+DO87-$F144*DO12</f>
        <v>3954.44665339857</v>
      </c>
      <c r="DP191" s="35" t="n">
        <f aca="false">DP60+DP106+DP99+DP120+DP103+DP101+DP129+DP87-$F144*DP12</f>
        <v>3885.69668644693</v>
      </c>
      <c r="DQ191" s="35" t="n">
        <f aca="false">DQ60+DQ106+DQ99+DQ120+DQ103+DQ101+DQ129+DQ87-$F144*DQ12</f>
        <v>3928.87109407412</v>
      </c>
      <c r="DR191" s="35" t="n">
        <f aca="false">DR60+DR106+DR99+DR120+DR103+DR101+DR129+DR87-$F144*DR12</f>
        <v>3972.04550170131</v>
      </c>
      <c r="DS191" s="35" t="n">
        <f aca="false">DS60+DS106+DS99+DS120+DS103+DS101+DS129+DS87-$F144*DS12</f>
        <v>3956.75072700462</v>
      </c>
      <c r="DT191" s="35" t="n">
        <f aca="false">DT60+DT106+DT99+DT120+DT103+DT101+DT129+DT87-$F144*DT12</f>
        <v>3887.415073898</v>
      </c>
      <c r="DU191" s="35" t="n">
        <f aca="false">DU60+DU106+DU99+DU120+DU103+DU101+DU129+DU87-$F144*DU12</f>
        <v>3930.60857471908</v>
      </c>
      <c r="DV191" s="35" t="n">
        <f aca="false">DV60+DV106+DV99+DV120+DV103+DV101+DV129+DV87-$F144*DV12</f>
        <v>3973.80207554017</v>
      </c>
      <c r="DW191" s="35" t="n">
        <f aca="false">DW60+DW106+DW99+DW120+DW103+DW101+DW129+DW87-$F144*DW12</f>
        <v>3958.41756516718</v>
      </c>
      <c r="DX191" s="35" t="n">
        <f aca="false">DX60+DX106+DX99+DX120+DX103+DX101+DX129+DX87-$F144*DX12</f>
        <v>3931.695931801</v>
      </c>
      <c r="DY191" s="35" t="n">
        <f aca="false">DY60+DY106+DY99+DY120+DY103+DY101+DY129+DY87-$F144*DY12</f>
        <v>3931.695931801</v>
      </c>
      <c r="DZ191" s="35" t="n">
        <f aca="false">DZ60+DZ106+DZ99+DZ120+DZ103+DZ101+DZ129+DZ87-$F144*DZ12</f>
        <v>3974.90138160101</v>
      </c>
      <c r="EA191" s="35" t="n">
        <f aca="false">EA60+EA106+EA99+EA120+EA103+EA101+EA129+EA87-$F144*EA12</f>
        <v>3959.42699570617</v>
      </c>
      <c r="EB191" s="35" t="n">
        <f aca="false">EB60+EB106+EB99+EB120+EB103+EB101+EB129+EB87-$F144*EB12</f>
        <v>3888.90265545373</v>
      </c>
      <c r="EC191" s="35" t="n">
        <f aca="false">EC60+EC106+EC99+EC120+EC103+EC101+EC129+EC87-$F144*EC12</f>
        <v>3932.11268495877</v>
      </c>
      <c r="ED191" s="35" t="n">
        <f aca="false">ED60+ED106+ED99+ED120+ED103+ED101+ED129+ED87-$F144*ED12</f>
        <v>3975.32271446381</v>
      </c>
      <c r="EE191" s="35" t="n">
        <f aca="false">EE60+EE106+EE99+EE120+EE103+EE101+EE129+EE87-$F144*EE12</f>
        <v>3959.75832252664</v>
      </c>
      <c r="EF191" s="35" t="n">
        <f aca="false">EF60+EF106+EF99+EF120+EF103+EF101+EF129+EF87-$F144*EF12</f>
        <v>3888.63081341921</v>
      </c>
      <c r="EG191" s="35" t="n">
        <f aca="false">EG60+EG106+EG99+EG120+EG103+EG101+EG129+EG87-$F144*EG12</f>
        <v>3931.8378224572</v>
      </c>
      <c r="EH191" s="35" t="n">
        <f aca="false">EH60+EH106+EH99+EH120+EH103+EH101+EH129+EH87-$F144*EH12</f>
        <v>3975.04483149519</v>
      </c>
      <c r="EI191" s="35" t="n">
        <f aca="false">EI60+EI106+EI99+EI120+EI103+EI101+EI129+EI87-$F144*EI12</f>
        <v>3959.39031261208</v>
      </c>
      <c r="EJ191" s="35" t="n">
        <f aca="false">EJ60+EJ106+EJ99+EJ120+EJ103+EJ101+EJ129+EJ87-$F144*EJ12</f>
        <v>3887.65363648219</v>
      </c>
      <c r="EK191" s="35" t="n">
        <f aca="false">EK60+EK106+EK99+EK120+EK103+EK101+EK129+EK87-$F144*EK12</f>
        <v>3930.84978799866</v>
      </c>
      <c r="EL191" s="35" t="n">
        <f aca="false">EL60+EL106+EL99+EL120+EL103+EL101+EL129+EL87-$F144*EL12</f>
        <v>3974.04593951513</v>
      </c>
      <c r="EM191" s="35" t="n">
        <f aca="false">EM60+EM106+EM99+EM120+EM103+EM101+EM129+EM87-$F144*EM12</f>
        <v>3958.30118269824</v>
      </c>
      <c r="EN191" s="35" t="n">
        <f aca="false">EN60+EN106+EN99+EN120+EN103+EN101+EN129+EN87-$F144*EN12</f>
        <v>3929.12646721084</v>
      </c>
      <c r="EO191" s="35" t="n">
        <f aca="false">EO60+EO106+EO99+EO120+EO103+EO101+EO129+EO87-$F144*EO12</f>
        <v>3929.12646721084</v>
      </c>
      <c r="EP191" s="35" t="n">
        <f aca="false">EP60+EP106+EP99+EP120+EP103+EP101+EP129+EP87-$F144*EP12</f>
        <v>3972.30368113624</v>
      </c>
      <c r="EQ191" s="35" t="n">
        <f aca="false">EQ60+EQ106+EQ99+EQ120+EQ103+EQ101+EQ129+EQ87-$F144*EQ12</f>
        <v>3956.46858561953</v>
      </c>
      <c r="ER191" s="35" t="n">
        <f aca="false">ER60+ER106+ER99+ER120+ER103+ER101+ER129+ER87-$F144*ER12</f>
        <v>3883.49522683763</v>
      </c>
      <c r="ES191" s="35" t="n">
        <f aca="false">ES60+ES106+ES99+ES120+ES103+ES101+ES129+ES87-$F144*ES12</f>
        <v>3926.6451738025</v>
      </c>
      <c r="ET191" s="35" t="n">
        <f aca="false">ET60+ET106+ET99+ET120+ET103+ET101+ET129+ET87-$F144*ET12</f>
        <v>3969.79512076736</v>
      </c>
    </row>
    <row r="192" customFormat="false" ht="15" hidden="false" customHeight="false" outlineLevel="0" collapsed="false">
      <c r="C192" s="30" t="s">
        <v>81</v>
      </c>
      <c r="D192" s="11" t="s">
        <v>35</v>
      </c>
      <c r="E192" s="57" t="n">
        <f aca="false">XIRR($J191:$ET191,$J$4:$ET$4)</f>
        <v>0.0887506658196496</v>
      </c>
    </row>
    <row r="193" customFormat="false" ht="15" hidden="false" customHeight="false" outlineLevel="0" collapsed="false">
      <c r="C193" s="30" t="s">
        <v>179</v>
      </c>
      <c r="D193" s="11" t="s">
        <v>13</v>
      </c>
      <c r="E193" s="58" t="n">
        <f aca="false">SUMIF($J191:$ET191,"&gt;0")/-SUMIF($J191:$ET191,"&lt;0")</f>
        <v>4.59742181090224</v>
      </c>
    </row>
    <row r="194" customFormat="false" ht="15" hidden="false" customHeight="false" outlineLevel="0" collapsed="false">
      <c r="C194" s="30" t="s">
        <v>83</v>
      </c>
      <c r="D194" s="11" t="s">
        <v>253</v>
      </c>
      <c r="E194" s="35" t="n">
        <f aca="false">XNPV(In_Discount_Rate,$J191:$ET191,$J$4:$ET$4)</f>
        <v>8141.80305533397</v>
      </c>
    </row>
    <row r="195" customFormat="false" ht="15" hidden="false" customHeight="false" outlineLevel="0" collapsed="false">
      <c r="C195" s="0" t="s">
        <v>622</v>
      </c>
      <c r="D195" s="11" t="s">
        <v>13</v>
      </c>
      <c r="E195" s="50" t="n">
        <f aca="false">MIN($J195:$ET195)</f>
        <v>1.26316018482958</v>
      </c>
      <c r="J195" s="50" t="str">
        <f aca="false">IF(J103+J101&lt;0,(J120+J129)/-(J103+J101),"")</f>
        <v/>
      </c>
      <c r="K195" s="50" t="str">
        <f aca="false">IF(K103+K101&lt;0,(K120+K129)/-(K103+K101),"")</f>
        <v/>
      </c>
      <c r="L195" s="50" t="str">
        <f aca="false">IF(L103+L101&lt;0,(L120+L129)/-(L103+L101),"")</f>
        <v/>
      </c>
      <c r="M195" s="50" t="str">
        <f aca="false">IF(M103+M101&lt;0,(M120+M129)/-(M103+M101),"")</f>
        <v/>
      </c>
      <c r="N195" s="50" t="str">
        <f aca="false">IF(N103+N101&lt;0,(N120+N129)/-(N103+N101),"")</f>
        <v/>
      </c>
      <c r="O195" s="50" t="str">
        <f aca="false">IF(O103+O101&lt;0,(O120+O129)/-(O103+O101),"")</f>
        <v/>
      </c>
      <c r="P195" s="50" t="str">
        <f aca="false">IF(P103+P101&lt;0,(P120+P129)/-(P103+P101),"")</f>
        <v/>
      </c>
      <c r="Q195" s="50" t="str">
        <f aca="false">IF(Q103+Q101&lt;0,(Q120+Q129)/-(Q103+Q101),"")</f>
        <v/>
      </c>
      <c r="R195" s="50" t="str">
        <f aca="false">IF(R103+R101&lt;0,(R120+R129)/-(R103+R101),"")</f>
        <v/>
      </c>
      <c r="S195" s="50" t="str">
        <f aca="false">IF(S103+S101&lt;0,(S120+S129)/-(S103+S101),"")</f>
        <v/>
      </c>
      <c r="T195" s="50" t="str">
        <f aca="false">IF(T103+T101&lt;0,(T120+T129)/-(T103+T101),"")</f>
        <v/>
      </c>
      <c r="U195" s="50" t="str">
        <f aca="false">IF(U103+U101&lt;0,(U120+U129)/-(U103+U101),"")</f>
        <v/>
      </c>
      <c r="V195" s="50" t="str">
        <f aca="false">IF(V103+V101&lt;0,(V120+V129)/-(V103+V101),"")</f>
        <v/>
      </c>
      <c r="W195" s="50" t="str">
        <f aca="false">IF(W103+W101&lt;0,(W120+W129)/-(W103+W101),"")</f>
        <v/>
      </c>
      <c r="X195" s="50" t="str">
        <f aca="false">IF(X103+X101&lt;0,(X120+X129)/-(X103+X101),"")</f>
        <v/>
      </c>
      <c r="Y195" s="50" t="str">
        <f aca="false">IF(Y103+Y101&lt;0,(Y120+Y129)/-(Y103+Y101),"")</f>
        <v/>
      </c>
      <c r="Z195" s="50" t="str">
        <f aca="false">IF(Z103+Z101&lt;0,(Z120+Z129)/-(Z103+Z101),"")</f>
        <v/>
      </c>
      <c r="AA195" s="50" t="str">
        <f aca="false">IF(AA103+AA101&lt;0,(AA120+AA129)/-(AA103+AA101),"")</f>
        <v/>
      </c>
      <c r="AB195" s="50" t="str">
        <f aca="false">IF(AB103+AB101&lt;0,(AB120+AB129)/-(AB103+AB101),"")</f>
        <v/>
      </c>
      <c r="AC195" s="50" t="str">
        <f aca="false">IF(AC103+AC101&lt;0,(AC120+AC129)/-(AC103+AC101),"")</f>
        <v/>
      </c>
      <c r="AD195" s="50" t="str">
        <f aca="false">IF(AD103+AD101&lt;0,(AD120+AD129)/-(AD103+AD101),"")</f>
        <v/>
      </c>
      <c r="AE195" s="50" t="n">
        <f aca="false">IF(AE103+AE101&lt;0,(AE120+AE129)/-(AE103+AE101),"")</f>
        <v>1.30910605086437</v>
      </c>
      <c r="AF195" s="50" t="n">
        <f aca="false">IF(AF103+AF101&lt;0,(AF120+AF129)/-(AF103+AF101),"")</f>
        <v>1.30361975201342</v>
      </c>
      <c r="AG195" s="50" t="n">
        <f aca="false">IF(AG103+AG101&lt;0,(AG120+AG129)/-(AG103+AG101),"")</f>
        <v>1.30361975201342</v>
      </c>
      <c r="AH195" s="50" t="n">
        <f aca="false">IF(AH103+AH101&lt;0,(AH120+AH129)/-(AH103+AH101),"")</f>
        <v>1.31794524379379</v>
      </c>
      <c r="AI195" s="50" t="n">
        <f aca="false">IF(AI103+AI101&lt;0,(AI120+AI129)/-(AI103+AI101),"")</f>
        <v>1.31331128702642</v>
      </c>
      <c r="AJ195" s="50" t="n">
        <f aca="false">IF(AJ103+AJ101&lt;0,(AJ120+AJ129)/-(AJ103+AJ101),"")</f>
        <v>1.29333402298692</v>
      </c>
      <c r="AK195" s="50" t="n">
        <f aca="false">IF(AK103+AK101&lt;0,(AK120+AK129)/-(AK103+AK101),"")</f>
        <v>1.30404074630601</v>
      </c>
      <c r="AL195" s="50" t="n">
        <f aca="false">IF(AL103+AL101&lt;0,(AL120+AL129)/-(AL103+AL101),"")</f>
        <v>1.29196108414819</v>
      </c>
      <c r="AM195" s="50" t="n">
        <f aca="false">IF(AM103+AM101&lt;0,(AM120+AM129)/-(AM103+AM101),"")</f>
        <v>1.2869707881353</v>
      </c>
      <c r="AN195" s="50" t="n">
        <f aca="false">IF(AN103+AN101&lt;0,(AN120+AN129)/-(AN103+AN101),"")</f>
        <v>1.26660955062812</v>
      </c>
      <c r="AO195" s="50" t="n">
        <f aca="false">IF(AO103+AO101&lt;0,(AO120+AO129)/-(AO103+AO101),"")</f>
        <v>1.27959794209534</v>
      </c>
      <c r="AP195" s="50" t="n">
        <f aca="false">IF(AP103+AP101&lt;0,(AP120+AP129)/-(AP103+AP101),"")</f>
        <v>1.29257676566432</v>
      </c>
      <c r="AQ195" s="50" t="n">
        <f aca="false">IF(AQ103+AQ101&lt;0,(AQ120+AQ129)/-(AQ103+AQ101),"")</f>
        <v>1.28752159556316</v>
      </c>
      <c r="AR195" s="50" t="n">
        <f aca="false">IF(AR103+AR101&lt;0,(AR120+AR129)/-(AR103+AR101),"")</f>
        <v>1.26696855880362</v>
      </c>
      <c r="AS195" s="50" t="n">
        <f aca="false">IF(AS103+AS101&lt;0,(AS120+AS129)/-(AS103+AS101),"")</f>
        <v>1.27995660645235</v>
      </c>
      <c r="AT195" s="50" t="n">
        <f aca="false">IF(AT103+AT101&lt;0,(AT120+AT129)/-(AT103+AT101),"")</f>
        <v>1.29293459876306</v>
      </c>
      <c r="AU195" s="50" t="n">
        <f aca="false">IF(AU103+AU101&lt;0,(AU120+AU129)/-(AU103+AU101),"")</f>
        <v>1.28781252866684</v>
      </c>
      <c r="AV195" s="50" t="n">
        <f aca="false">IF(AV103+AV101&lt;0,(AV120+AV129)/-(AV103+AV101),"")</f>
        <v>1.28089431910047</v>
      </c>
      <c r="AW195" s="50" t="n">
        <f aca="false">IF(AW103+AW101&lt;0,(AW120+AW129)/-(AW103+AW101),"")</f>
        <v>1.28004891025201</v>
      </c>
      <c r="AX195" s="50" t="n">
        <f aca="false">IF(AX103+AX101&lt;0,(AX120+AX129)/-(AX103+AX101),"")</f>
        <v>1.29302290112236</v>
      </c>
      <c r="AY195" s="50" t="n">
        <f aca="false">IF(AY103+AY101&lt;0,(AY120+AY129)/-(AY103+AY101),"")</f>
        <v>1.28783180783931</v>
      </c>
      <c r="AZ195" s="50" t="n">
        <f aca="false">IF(AZ103+AZ101&lt;0,(AZ120+AZ129)/-(AZ103+AZ101),"")</f>
        <v>1.26688503190907</v>
      </c>
      <c r="BA195" s="50" t="n">
        <f aca="false">IF(BA103+BA101&lt;0,(BA120+BA129)/-(BA103+BA101),"")</f>
        <v>1.27986281243172</v>
      </c>
      <c r="BB195" s="50" t="n">
        <f aca="false">IF(BB103+BB101&lt;0,(BB120+BB129)/-(BB103+BB101),"")</f>
        <v>1.29282948697328</v>
      </c>
      <c r="BC195" s="50" t="n">
        <f aca="false">IF(BC103+BC101&lt;0,(BC120+BC129)/-(BC103+BC101),"")</f>
        <v>1.28756714505241</v>
      </c>
      <c r="BD195" s="50" t="n">
        <f aca="false">IF(BD103+BD101&lt;0,(BD120+BD129)/-(BD103+BD101),"")</f>
        <v>1.26641818775439</v>
      </c>
      <c r="BE195" s="50" t="n">
        <f aca="false">IF(BE103+BE101&lt;0,(BE120+BE129)/-(BE103+BE101),"")</f>
        <v>1.27938575180467</v>
      </c>
      <c r="BF195" s="50" t="n">
        <f aca="false">IF(BF103+BF101&lt;0,(BF120+BF129)/-(BF103+BF101),"")</f>
        <v>1.29234164407591</v>
      </c>
      <c r="BG195" s="50" t="n">
        <f aca="false">IF(BG103+BG101&lt;0,(BG120+BG129)/-(BG103+BG101),"")</f>
        <v>1.28700572057801</v>
      </c>
      <c r="BH195" s="50" t="n">
        <f aca="false">IF(BH103+BH101&lt;0,(BH120+BH129)/-(BH103+BH101),"")</f>
        <v>1.26565087045619</v>
      </c>
      <c r="BI195" s="50" t="n">
        <f aca="false">IF(BI103+BI101&lt;0,(BI120+BI129)/-(BI103+BI101),"")</f>
        <v>1.27860462322347</v>
      </c>
      <c r="BJ195" s="50" t="n">
        <f aca="false">IF(BJ103+BJ101&lt;0,(BJ120+BJ129)/-(BJ103+BJ101),"")</f>
        <v>1.29154610958899</v>
      </c>
      <c r="BK195" s="50" t="n">
        <f aca="false">IF(BK103+BK101&lt;0,(BK120+BK129)/-(BK103+BK101),"")</f>
        <v>1.28613415858972</v>
      </c>
      <c r="BL195" s="50" t="n">
        <f aca="false">IF(BL103+BL101&lt;0,(BL120+BL129)/-(BL103+BL101),"")</f>
        <v>1.27853705801472</v>
      </c>
      <c r="BM195" s="50" t="n">
        <f aca="false">IF(BM103+BM101&lt;0,(BM120+BM129)/-(BM103+BM101),"")</f>
        <v>1.27750575259695</v>
      </c>
      <c r="BN195" s="50" t="n">
        <f aca="false">IF(BN103+BN101&lt;0,(BN120+BN129)/-(BN103+BN101),"")</f>
        <v>1.29042904477834</v>
      </c>
      <c r="BO195" s="50" t="n">
        <f aca="false">IF(BO103+BO101&lt;0,(BO120+BO129)/-(BO103+BO101),"")</f>
        <v>1.28493850158975</v>
      </c>
      <c r="BP195" s="50" t="n">
        <f aca="false">IF(BP103+BP101&lt;0,(BP120+BP129)/-(BP103+BP101),"")</f>
        <v>1.26316018482958</v>
      </c>
      <c r="BQ195" s="50" t="n">
        <f aca="false">IF(BQ103+BQ101&lt;0,(BQ120+BQ129)/-(BQ103+BQ101),"")</f>
        <v>1.27607487070327</v>
      </c>
      <c r="BR195" s="50" t="n">
        <f aca="false">IF(BR103+BR101&lt;0,(BR120+BR129)/-(BR103+BR101),"")</f>
        <v>1.28897600850672</v>
      </c>
      <c r="BS195" s="50" t="str">
        <f aca="false">IF(BS103+BS101&lt;0,(BS120+BS129)/-(BS103+BS101),"")</f>
        <v/>
      </c>
      <c r="BT195" s="50" t="str">
        <f aca="false">IF(BT103+BT101&lt;0,(BT120+BT129)/-(BT103+BT101),"")</f>
        <v/>
      </c>
      <c r="BU195" s="50" t="str">
        <f aca="false">IF(BU103+BU101&lt;0,(BU120+BU129)/-(BU103+BU101),"")</f>
        <v/>
      </c>
      <c r="BV195" s="50" t="str">
        <f aca="false">IF(BV103+BV101&lt;0,(BV120+BV129)/-(BV103+BV101),"")</f>
        <v/>
      </c>
      <c r="BW195" s="50" t="str">
        <f aca="false">IF(BW103+BW101&lt;0,(BW120+BW129)/-(BW103+BW101),"")</f>
        <v/>
      </c>
      <c r="BX195" s="50" t="str">
        <f aca="false">IF(BX103+BX101&lt;0,(BX120+BX129)/-(BX103+BX101),"")</f>
        <v/>
      </c>
      <c r="BY195" s="50" t="str">
        <f aca="false">IF(BY103+BY101&lt;0,(BY120+BY129)/-(BY103+BY101),"")</f>
        <v/>
      </c>
      <c r="BZ195" s="50" t="str">
        <f aca="false">IF(BZ103+BZ101&lt;0,(BZ120+BZ129)/-(BZ103+BZ101),"")</f>
        <v/>
      </c>
      <c r="CA195" s="50" t="str">
        <f aca="false">IF(CA103+CA101&lt;0,(CA120+CA129)/-(CA103+CA101),"")</f>
        <v/>
      </c>
      <c r="CB195" s="50" t="str">
        <f aca="false">IF(CB103+CB101&lt;0,(CB120+CB129)/-(CB103+CB101),"")</f>
        <v/>
      </c>
      <c r="CC195" s="50" t="str">
        <f aca="false">IF(CC103+CC101&lt;0,(CC120+CC129)/-(CC103+CC101),"")</f>
        <v/>
      </c>
      <c r="CD195" s="50" t="str">
        <f aca="false">IF(CD103+CD101&lt;0,(CD120+CD129)/-(CD103+CD101),"")</f>
        <v/>
      </c>
      <c r="CE195" s="50" t="str">
        <f aca="false">IF(CE103+CE101&lt;0,(CE120+CE129)/-(CE103+CE101),"")</f>
        <v/>
      </c>
      <c r="CF195" s="50" t="str">
        <f aca="false">IF(CF103+CF101&lt;0,(CF120+CF129)/-(CF103+CF101),"")</f>
        <v/>
      </c>
      <c r="CG195" s="50" t="str">
        <f aca="false">IF(CG103+CG101&lt;0,(CG120+CG129)/-(CG103+CG101),"")</f>
        <v/>
      </c>
      <c r="CH195" s="50" t="str">
        <f aca="false">IF(CH103+CH101&lt;0,(CH120+CH129)/-(CH103+CH101),"")</f>
        <v/>
      </c>
      <c r="CI195" s="50" t="str">
        <f aca="false">IF(CI103+CI101&lt;0,(CI120+CI129)/-(CI103+CI101),"")</f>
        <v/>
      </c>
      <c r="CJ195" s="50" t="str">
        <f aca="false">IF(CJ103+CJ101&lt;0,(CJ120+CJ129)/-(CJ103+CJ101),"")</f>
        <v/>
      </c>
      <c r="CK195" s="50" t="str">
        <f aca="false">IF(CK103+CK101&lt;0,(CK120+CK129)/-(CK103+CK101),"")</f>
        <v/>
      </c>
      <c r="CL195" s="50" t="str">
        <f aca="false">IF(CL103+CL101&lt;0,(CL120+CL129)/-(CL103+CL101),"")</f>
        <v/>
      </c>
      <c r="CM195" s="50" t="str">
        <f aca="false">IF(CM103+CM101&lt;0,(CM120+CM129)/-(CM103+CM101),"")</f>
        <v/>
      </c>
      <c r="CN195" s="50" t="str">
        <f aca="false">IF(CN103+CN101&lt;0,(CN120+CN129)/-(CN103+CN101),"")</f>
        <v/>
      </c>
      <c r="CO195" s="50" t="str">
        <f aca="false">IF(CO103+CO101&lt;0,(CO120+CO129)/-(CO103+CO101),"")</f>
        <v/>
      </c>
      <c r="CP195" s="50" t="str">
        <f aca="false">IF(CP103+CP101&lt;0,(CP120+CP129)/-(CP103+CP101),"")</f>
        <v/>
      </c>
      <c r="CQ195" s="50" t="str">
        <f aca="false">IF(CQ103+CQ101&lt;0,(CQ120+CQ129)/-(CQ103+CQ101),"")</f>
        <v/>
      </c>
      <c r="CR195" s="50" t="str">
        <f aca="false">IF(CR103+CR101&lt;0,(CR120+CR129)/-(CR103+CR101),"")</f>
        <v/>
      </c>
      <c r="CS195" s="50" t="str">
        <f aca="false">IF(CS103+CS101&lt;0,(CS120+CS129)/-(CS103+CS101),"")</f>
        <v/>
      </c>
      <c r="CT195" s="50" t="str">
        <f aca="false">IF(CT103+CT101&lt;0,(CT120+CT129)/-(CT103+CT101),"")</f>
        <v/>
      </c>
      <c r="CU195" s="50" t="str">
        <f aca="false">IF(CU103+CU101&lt;0,(CU120+CU129)/-(CU103+CU101),"")</f>
        <v/>
      </c>
      <c r="CV195" s="50" t="str">
        <f aca="false">IF(CV103+CV101&lt;0,(CV120+CV129)/-(CV103+CV101),"")</f>
        <v/>
      </c>
      <c r="CW195" s="50" t="str">
        <f aca="false">IF(CW103+CW101&lt;0,(CW120+CW129)/-(CW103+CW101),"")</f>
        <v/>
      </c>
      <c r="CX195" s="50" t="str">
        <f aca="false">IF(CX103+CX101&lt;0,(CX120+CX129)/-(CX103+CX101),"")</f>
        <v/>
      </c>
      <c r="CY195" s="50" t="str">
        <f aca="false">IF(CY103+CY101&lt;0,(CY120+CY129)/-(CY103+CY101),"")</f>
        <v/>
      </c>
      <c r="CZ195" s="50" t="str">
        <f aca="false">IF(CZ103+CZ101&lt;0,(CZ120+CZ129)/-(CZ103+CZ101),"")</f>
        <v/>
      </c>
      <c r="DA195" s="50" t="str">
        <f aca="false">IF(DA103+DA101&lt;0,(DA120+DA129)/-(DA103+DA101),"")</f>
        <v/>
      </c>
      <c r="DB195" s="50" t="str">
        <f aca="false">IF(DB103+DB101&lt;0,(DB120+DB129)/-(DB103+DB101),"")</f>
        <v/>
      </c>
      <c r="DC195" s="50" t="str">
        <f aca="false">IF(DC103+DC101&lt;0,(DC120+DC129)/-(DC103+DC101),"")</f>
        <v/>
      </c>
      <c r="DD195" s="50" t="str">
        <f aca="false">IF(DD103+DD101&lt;0,(DD120+DD129)/-(DD103+DD101),"")</f>
        <v/>
      </c>
      <c r="DE195" s="50" t="str">
        <f aca="false">IF(DE103+DE101&lt;0,(DE120+DE129)/-(DE103+DE101),"")</f>
        <v/>
      </c>
      <c r="DF195" s="50" t="str">
        <f aca="false">IF(DF103+DF101&lt;0,(DF120+DF129)/-(DF103+DF101),"")</f>
        <v/>
      </c>
      <c r="DG195" s="50" t="str">
        <f aca="false">IF(DG103+DG101&lt;0,(DG120+DG129)/-(DG103+DG101),"")</f>
        <v/>
      </c>
      <c r="DH195" s="50" t="str">
        <f aca="false">IF(DH103+DH101&lt;0,(DH120+DH129)/-(DH103+DH101),"")</f>
        <v/>
      </c>
      <c r="DI195" s="50" t="str">
        <f aca="false">IF(DI103+DI101&lt;0,(DI120+DI129)/-(DI103+DI101),"")</f>
        <v/>
      </c>
      <c r="DJ195" s="50" t="str">
        <f aca="false">IF(DJ103+DJ101&lt;0,(DJ120+DJ129)/-(DJ103+DJ101),"")</f>
        <v/>
      </c>
      <c r="DK195" s="50" t="str">
        <f aca="false">IF(DK103+DK101&lt;0,(DK120+DK129)/-(DK103+DK101),"")</f>
        <v/>
      </c>
      <c r="DL195" s="50" t="str">
        <f aca="false">IF(DL103+DL101&lt;0,(DL120+DL129)/-(DL103+DL101),"")</f>
        <v/>
      </c>
      <c r="DM195" s="50" t="str">
        <f aca="false">IF(DM103+DM101&lt;0,(DM120+DM129)/-(DM103+DM101),"")</f>
        <v/>
      </c>
      <c r="DN195" s="50" t="str">
        <f aca="false">IF(DN103+DN101&lt;0,(DN120+DN129)/-(DN103+DN101),"")</f>
        <v/>
      </c>
      <c r="DO195" s="50" t="str">
        <f aca="false">IF(DO103+DO101&lt;0,(DO120+DO129)/-(DO103+DO101),"")</f>
        <v/>
      </c>
      <c r="DP195" s="50" t="str">
        <f aca="false">IF(DP103+DP101&lt;0,(DP120+DP129)/-(DP103+DP101),"")</f>
        <v/>
      </c>
      <c r="DQ195" s="50" t="str">
        <f aca="false">IF(DQ103+DQ101&lt;0,(DQ120+DQ129)/-(DQ103+DQ101),"")</f>
        <v/>
      </c>
      <c r="DR195" s="50" t="str">
        <f aca="false">IF(DR103+DR101&lt;0,(DR120+DR129)/-(DR103+DR101),"")</f>
        <v/>
      </c>
      <c r="DS195" s="50" t="str">
        <f aca="false">IF(DS103+DS101&lt;0,(DS120+DS129)/-(DS103+DS101),"")</f>
        <v/>
      </c>
      <c r="DT195" s="50" t="str">
        <f aca="false">IF(DT103+DT101&lt;0,(DT120+DT129)/-(DT103+DT101),"")</f>
        <v/>
      </c>
      <c r="DU195" s="50" t="str">
        <f aca="false">IF(DU103+DU101&lt;0,(DU120+DU129)/-(DU103+DU101),"")</f>
        <v/>
      </c>
      <c r="DV195" s="50" t="str">
        <f aca="false">IF(DV103+DV101&lt;0,(DV120+DV129)/-(DV103+DV101),"")</f>
        <v/>
      </c>
      <c r="DW195" s="50" t="str">
        <f aca="false">IF(DW103+DW101&lt;0,(DW120+DW129)/-(DW103+DW101),"")</f>
        <v/>
      </c>
      <c r="DX195" s="50" t="str">
        <f aca="false">IF(DX103+DX101&lt;0,(DX120+DX129)/-(DX103+DX101),"")</f>
        <v/>
      </c>
      <c r="DY195" s="50" t="str">
        <f aca="false">IF(DY103+DY101&lt;0,(DY120+DY129)/-(DY103+DY101),"")</f>
        <v/>
      </c>
      <c r="DZ195" s="50" t="str">
        <f aca="false">IF(DZ103+DZ101&lt;0,(DZ120+DZ129)/-(DZ103+DZ101),"")</f>
        <v/>
      </c>
      <c r="EA195" s="50" t="str">
        <f aca="false">IF(EA103+EA101&lt;0,(EA120+EA129)/-(EA103+EA101),"")</f>
        <v/>
      </c>
      <c r="EB195" s="50" t="str">
        <f aca="false">IF(EB103+EB101&lt;0,(EB120+EB129)/-(EB103+EB101),"")</f>
        <v/>
      </c>
      <c r="EC195" s="50" t="str">
        <f aca="false">IF(EC103+EC101&lt;0,(EC120+EC129)/-(EC103+EC101),"")</f>
        <v/>
      </c>
      <c r="ED195" s="50" t="str">
        <f aca="false">IF(ED103+ED101&lt;0,(ED120+ED129)/-(ED103+ED101),"")</f>
        <v/>
      </c>
      <c r="EE195" s="50" t="str">
        <f aca="false">IF(EE103+EE101&lt;0,(EE120+EE129)/-(EE103+EE101),"")</f>
        <v/>
      </c>
      <c r="EF195" s="50" t="str">
        <f aca="false">IF(EF103+EF101&lt;0,(EF120+EF129)/-(EF103+EF101),"")</f>
        <v/>
      </c>
      <c r="EG195" s="50" t="str">
        <f aca="false">IF(EG103+EG101&lt;0,(EG120+EG129)/-(EG103+EG101),"")</f>
        <v/>
      </c>
      <c r="EH195" s="50" t="str">
        <f aca="false">IF(EH103+EH101&lt;0,(EH120+EH129)/-(EH103+EH101),"")</f>
        <v/>
      </c>
      <c r="EI195" s="50" t="str">
        <f aca="false">IF(EI103+EI101&lt;0,(EI120+EI129)/-(EI103+EI101),"")</f>
        <v/>
      </c>
      <c r="EJ195" s="50" t="str">
        <f aca="false">IF(EJ103+EJ101&lt;0,(EJ120+EJ129)/-(EJ103+EJ101),"")</f>
        <v/>
      </c>
      <c r="EK195" s="50" t="str">
        <f aca="false">IF(EK103+EK101&lt;0,(EK120+EK129)/-(EK103+EK101),"")</f>
        <v/>
      </c>
      <c r="EL195" s="50" t="str">
        <f aca="false">IF(EL103+EL101&lt;0,(EL120+EL129)/-(EL103+EL101),"")</f>
        <v/>
      </c>
      <c r="EM195" s="50" t="str">
        <f aca="false">IF(EM103+EM101&lt;0,(EM120+EM129)/-(EM103+EM101),"")</f>
        <v/>
      </c>
      <c r="EN195" s="50" t="str">
        <f aca="false">IF(EN103+EN101&lt;0,(EN120+EN129)/-(EN103+EN101),"")</f>
        <v/>
      </c>
      <c r="EO195" s="50" t="str">
        <f aca="false">IF(EO103+EO101&lt;0,(EO120+EO129)/-(EO103+EO101),"")</f>
        <v/>
      </c>
      <c r="EP195" s="50" t="str">
        <f aca="false">IF(EP103+EP101&lt;0,(EP120+EP129)/-(EP103+EP101),"")</f>
        <v/>
      </c>
      <c r="EQ195" s="50" t="str">
        <f aca="false">IF(EQ103+EQ101&lt;0,(EQ120+EQ129)/-(EQ103+EQ101),"")</f>
        <v/>
      </c>
      <c r="ER195" s="50" t="str">
        <f aca="false">IF(ER103+ER101&lt;0,(ER120+ER129)/-(ER103+ER101),"")</f>
        <v/>
      </c>
      <c r="ES195" s="50" t="str">
        <f aca="false">IF(ES103+ES101&lt;0,(ES120+ES129)/-(ES103+ES101),"")</f>
        <v/>
      </c>
      <c r="ET195" s="50" t="str">
        <f aca="false">IF(ET103+ET101&lt;0,(ET120+ET129)/-(ET103+ET101),"")</f>
        <v/>
      </c>
    </row>
    <row r="197" customFormat="false" ht="15" hidden="false" customHeight="false" outlineLevel="0" collapsed="false">
      <c r="C197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2</v>
      </c>
      <c r="C1" s="13" t="s">
        <v>477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478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479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480</v>
      </c>
      <c r="D5" s="11" t="s">
        <v>215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481</v>
      </c>
      <c r="D6" s="11" t="s">
        <v>482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483</v>
      </c>
      <c r="D7" s="11" t="s">
        <v>484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485</v>
      </c>
      <c r="D8" s="11" t="s">
        <v>211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486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487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488</v>
      </c>
      <c r="D13" s="11" t="s">
        <v>482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371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489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490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491</v>
      </c>
      <c r="D18" s="11" t="s">
        <v>482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492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493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494</v>
      </c>
      <c r="D21" s="11" t="s">
        <v>482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495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496</v>
      </c>
      <c r="D24" s="11" t="s">
        <v>123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497</v>
      </c>
      <c r="D25" s="11" t="s">
        <v>123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498</v>
      </c>
      <c r="D26" s="11" t="s">
        <v>499</v>
      </c>
      <c r="E26" s="32" t="n">
        <f aca="false">$E25*INDEX(Dash_BESS_Hours,1,$A$1)</f>
        <v>204</v>
      </c>
      <c r="F26" s="32" t="n">
        <f aca="false">$E26*In_BESS_Built</f>
        <v>204</v>
      </c>
    </row>
    <row r="27" customFormat="false" ht="15" hidden="false" customHeight="false" outlineLevel="0" collapsed="false">
      <c r="C27" s="0" t="s">
        <v>500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501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502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503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504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505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506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507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508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509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510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511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512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513</v>
      </c>
      <c r="D42" s="11" t="s">
        <v>211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514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515</v>
      </c>
      <c r="D45" s="11" t="s">
        <v>287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90</v>
      </c>
      <c r="D46" s="11" t="s">
        <v>253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516</v>
      </c>
      <c r="D47" s="11" t="s">
        <v>253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517</v>
      </c>
      <c r="D48" s="11" t="s">
        <v>253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518</v>
      </c>
      <c r="D49" s="11" t="s">
        <v>253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519</v>
      </c>
      <c r="D50" s="11" t="s">
        <v>253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520</v>
      </c>
      <c r="D51" s="11" t="s">
        <v>253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521</v>
      </c>
      <c r="D52" s="11" t="s">
        <v>253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116</v>
      </c>
      <c r="D53" s="11" t="s">
        <v>253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522</v>
      </c>
      <c r="D54" s="11" t="s">
        <v>253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523</v>
      </c>
      <c r="D55" s="11" t="s">
        <v>253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524</v>
      </c>
      <c r="D56" s="11" t="s">
        <v>253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525</v>
      </c>
      <c r="D57" s="11" t="s">
        <v>253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526</v>
      </c>
      <c r="D58" s="11" t="s">
        <v>253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527</v>
      </c>
      <c r="D59" s="11" t="s">
        <v>253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528</v>
      </c>
      <c r="D60" s="11" t="s">
        <v>253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529</v>
      </c>
      <c r="D61" s="11" t="s">
        <v>253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530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531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532</v>
      </c>
      <c r="D65" s="11" t="s">
        <v>253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533</v>
      </c>
      <c r="D66" s="11" t="s">
        <v>211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534</v>
      </c>
      <c r="D67" s="11" t="s">
        <v>253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535</v>
      </c>
      <c r="D68" s="11" t="s">
        <v>253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536</v>
      </c>
      <c r="D69" s="11" t="s">
        <v>253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537</v>
      </c>
      <c r="D70" s="11" t="s">
        <v>253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538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539</v>
      </c>
      <c r="D72" s="11" t="s">
        <v>253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535</v>
      </c>
      <c r="D73" s="11" t="s">
        <v>253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536</v>
      </c>
      <c r="D74" s="11" t="s">
        <v>253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540</v>
      </c>
      <c r="D75" s="11" t="s">
        <v>253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541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533</v>
      </c>
      <c r="D77" s="11" t="s">
        <v>211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534</v>
      </c>
      <c r="D78" s="11" t="s">
        <v>253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542</v>
      </c>
      <c r="D79" s="11" t="s">
        <v>253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536</v>
      </c>
      <c r="D80" s="11" t="s">
        <v>253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537</v>
      </c>
      <c r="D81" s="11" t="s">
        <v>253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543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544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545</v>
      </c>
      <c r="D85" s="11" t="s">
        <v>253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546</v>
      </c>
      <c r="D86" s="11" t="s">
        <v>253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547</v>
      </c>
      <c r="D87" s="11" t="s">
        <v>253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548</v>
      </c>
      <c r="D88" s="11" t="s">
        <v>147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148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549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550</v>
      </c>
      <c r="D92" s="11" t="s">
        <v>41</v>
      </c>
      <c r="E92" s="46" t="n">
        <f aca="false">MAX(In_CN_Turbine,1-In_Delivered)</f>
        <v>0</v>
      </c>
    </row>
    <row r="93" customFormat="false" ht="15" hidden="false" customHeight="false" outlineLevel="0" collapsed="false">
      <c r="C93" s="0" t="s">
        <v>551</v>
      </c>
      <c r="D93" s="11" t="s">
        <v>27</v>
      </c>
      <c r="E93" s="33" t="n">
        <f aca="false">IF($E92=1,In_Turbine_CN,In_Turbine)</f>
        <v>600</v>
      </c>
      <c r="F93" s="33" t="n">
        <f aca="false">In_Installation+In_Foundations+In_BoP+In_Owner+In_Easements</f>
        <v>355</v>
      </c>
    </row>
    <row r="94" customFormat="false" ht="15" hidden="false" customHeight="false" outlineLevel="0" collapsed="false">
      <c r="C94" s="0" t="s">
        <v>552</v>
      </c>
      <c r="D94" s="11" t="s">
        <v>253</v>
      </c>
      <c r="E94" s="33" t="n">
        <f aca="false">IF($E92=1,In_Substation_CN,In_Substation)</f>
        <v>12000</v>
      </c>
    </row>
    <row r="95" customFormat="false" ht="15" hidden="false" customHeight="false" outlineLevel="0" collapsed="false">
      <c r="C95" s="0" t="s">
        <v>553</v>
      </c>
      <c r="D95" s="11" t="s">
        <v>253</v>
      </c>
      <c r="E95" s="33" t="n">
        <f aca="false">(($E93+$F93)*$F24+$E94)*(1+In_Capex_Contingency)+In_BESS_Capex*$F26</f>
        <v>133275</v>
      </c>
      <c r="I95" s="33" t="n">
        <f aca="false">SUM(J95:ET95)</f>
        <v>-133275</v>
      </c>
      <c r="J95" s="33" t="n">
        <f aca="false">-$E95*J13</f>
        <v>-0</v>
      </c>
      <c r="K95" s="33" t="n">
        <f aca="false">-$E95*K13</f>
        <v>-0</v>
      </c>
      <c r="L95" s="33" t="n">
        <f aca="false">-$E95*L13</f>
        <v>-0</v>
      </c>
      <c r="M95" s="33" t="n">
        <f aca="false">-$E95*M13</f>
        <v>-0</v>
      </c>
      <c r="N95" s="33" t="n">
        <f aca="false">-$E95*N13</f>
        <v>-0</v>
      </c>
      <c r="O95" s="33" t="n">
        <f aca="false">-$E95*O13</f>
        <v>-0</v>
      </c>
      <c r="P95" s="33" t="n">
        <f aca="false">-$E95*P13</f>
        <v>-0</v>
      </c>
      <c r="Q95" s="33" t="n">
        <f aca="false">-$E95*Q13</f>
        <v>-0</v>
      </c>
      <c r="R95" s="33" t="n">
        <f aca="false">-$E95*R13</f>
        <v>-0</v>
      </c>
      <c r="S95" s="33" t="n">
        <f aca="false">-$E95*S13</f>
        <v>-0</v>
      </c>
      <c r="T95" s="33" t="n">
        <f aca="false">-$E95*T13</f>
        <v>-0</v>
      </c>
      <c r="U95" s="33" t="n">
        <f aca="false">-$E95*U13</f>
        <v>-0</v>
      </c>
      <c r="V95" s="33" t="n">
        <f aca="false">-$E95*V13</f>
        <v>-0</v>
      </c>
      <c r="W95" s="33" t="n">
        <f aca="false">-$E95*W13</f>
        <v>-16796.301369863</v>
      </c>
      <c r="X95" s="33" t="n">
        <f aca="false">-$E95*X13</f>
        <v>-16431.1643835616</v>
      </c>
      <c r="Y95" s="33" t="n">
        <f aca="false">-$E95*Y13</f>
        <v>-16613.7328767123</v>
      </c>
      <c r="Z95" s="33" t="n">
        <f aca="false">-$E95*Z13</f>
        <v>-16796.301369863</v>
      </c>
      <c r="AA95" s="33" t="n">
        <f aca="false">-$E95*AA13</f>
        <v>-16796.301369863</v>
      </c>
      <c r="AB95" s="33" t="n">
        <f aca="false">-$E95*AB13</f>
        <v>-16431.1643835616</v>
      </c>
      <c r="AC95" s="33" t="n">
        <f aca="false">-$E95*AC13</f>
        <v>-16613.7328767123</v>
      </c>
      <c r="AD95" s="33" t="n">
        <f aca="false">-$E95*AD13</f>
        <v>-16796.301369863</v>
      </c>
      <c r="AE95" s="33" t="n">
        <f aca="false">-$E95*AE13</f>
        <v>-0</v>
      </c>
      <c r="AF95" s="33" t="n">
        <f aca="false">-$E95*AF13</f>
        <v>-0</v>
      </c>
      <c r="AG95" s="33" t="n">
        <f aca="false">-$E95*AG13</f>
        <v>-0</v>
      </c>
      <c r="AH95" s="33" t="n">
        <f aca="false">-$E95*AH13</f>
        <v>-0</v>
      </c>
      <c r="AI95" s="33" t="n">
        <f aca="false">-$E95*AI13</f>
        <v>-0</v>
      </c>
      <c r="AJ95" s="33" t="n">
        <f aca="false">-$E95*AJ13</f>
        <v>-0</v>
      </c>
      <c r="AK95" s="33" t="n">
        <f aca="false">-$E95*AK13</f>
        <v>-0</v>
      </c>
      <c r="AL95" s="33" t="n">
        <f aca="false">-$E95*AL13</f>
        <v>-0</v>
      </c>
      <c r="AM95" s="33" t="n">
        <f aca="false">-$E95*AM13</f>
        <v>-0</v>
      </c>
      <c r="AN95" s="33" t="n">
        <f aca="false">-$E95*AN13</f>
        <v>-0</v>
      </c>
      <c r="AO95" s="33" t="n">
        <f aca="false">-$E95*AO13</f>
        <v>-0</v>
      </c>
      <c r="AP95" s="33" t="n">
        <f aca="false">-$E95*AP13</f>
        <v>-0</v>
      </c>
      <c r="AQ95" s="33" t="n">
        <f aca="false">-$E95*AQ13</f>
        <v>-0</v>
      </c>
      <c r="AR95" s="33" t="n">
        <f aca="false">-$E95*AR13</f>
        <v>-0</v>
      </c>
      <c r="AS95" s="33" t="n">
        <f aca="false">-$E95*AS13</f>
        <v>-0</v>
      </c>
      <c r="AT95" s="33" t="n">
        <f aca="false">-$E95*AT13</f>
        <v>-0</v>
      </c>
      <c r="AU95" s="33" t="n">
        <f aca="false">-$E95*AU13</f>
        <v>-0</v>
      </c>
      <c r="AV95" s="33" t="n">
        <f aca="false">-$E95*AV13</f>
        <v>-0</v>
      </c>
      <c r="AW95" s="33" t="n">
        <f aca="false">-$E95*AW13</f>
        <v>-0</v>
      </c>
      <c r="AX95" s="33" t="n">
        <f aca="false">-$E95*AX13</f>
        <v>-0</v>
      </c>
      <c r="AY95" s="33" t="n">
        <f aca="false">-$E95*AY13</f>
        <v>-0</v>
      </c>
      <c r="AZ95" s="33" t="n">
        <f aca="false">-$E95*AZ13</f>
        <v>-0</v>
      </c>
      <c r="BA95" s="33" t="n">
        <f aca="false">-$E95*BA13</f>
        <v>-0</v>
      </c>
      <c r="BB95" s="33" t="n">
        <f aca="false">-$E95*BB13</f>
        <v>-0</v>
      </c>
      <c r="BC95" s="33" t="n">
        <f aca="false">-$E95*BC13</f>
        <v>-0</v>
      </c>
      <c r="BD95" s="33" t="n">
        <f aca="false">-$E95*BD13</f>
        <v>-0</v>
      </c>
      <c r="BE95" s="33" t="n">
        <f aca="false">-$E95*BE13</f>
        <v>-0</v>
      </c>
      <c r="BF95" s="33" t="n">
        <f aca="false">-$E95*BF13</f>
        <v>-0</v>
      </c>
      <c r="BG95" s="33" t="n">
        <f aca="false">-$E95*BG13</f>
        <v>-0</v>
      </c>
      <c r="BH95" s="33" t="n">
        <f aca="false">-$E95*BH13</f>
        <v>-0</v>
      </c>
      <c r="BI95" s="33" t="n">
        <f aca="false">-$E95*BI13</f>
        <v>-0</v>
      </c>
      <c r="BJ95" s="33" t="n">
        <f aca="false">-$E95*BJ13</f>
        <v>-0</v>
      </c>
      <c r="BK95" s="33" t="n">
        <f aca="false">-$E95*BK13</f>
        <v>-0</v>
      </c>
      <c r="BL95" s="33" t="n">
        <f aca="false">-$E95*BL13</f>
        <v>-0</v>
      </c>
      <c r="BM95" s="33" t="n">
        <f aca="false">-$E95*BM13</f>
        <v>-0</v>
      </c>
      <c r="BN95" s="33" t="n">
        <f aca="false">-$E95*BN13</f>
        <v>-0</v>
      </c>
      <c r="BO95" s="33" t="n">
        <f aca="false">-$E95*BO13</f>
        <v>-0</v>
      </c>
      <c r="BP95" s="33" t="n">
        <f aca="false">-$E95*BP13</f>
        <v>-0</v>
      </c>
      <c r="BQ95" s="33" t="n">
        <f aca="false">-$E95*BQ13</f>
        <v>-0</v>
      </c>
      <c r="BR95" s="33" t="n">
        <f aca="false">-$E95*BR13</f>
        <v>-0</v>
      </c>
      <c r="BS95" s="33" t="n">
        <f aca="false">-$E95*BS13</f>
        <v>-0</v>
      </c>
      <c r="BT95" s="33" t="n">
        <f aca="false">-$E95*BT13</f>
        <v>-0</v>
      </c>
      <c r="BU95" s="33" t="n">
        <f aca="false">-$E95*BU13</f>
        <v>-0</v>
      </c>
      <c r="BV95" s="33" t="n">
        <f aca="false">-$E95*BV13</f>
        <v>-0</v>
      </c>
      <c r="BW95" s="33" t="n">
        <f aca="false">-$E95*BW13</f>
        <v>-0</v>
      </c>
      <c r="BX95" s="33" t="n">
        <f aca="false">-$E95*BX13</f>
        <v>-0</v>
      </c>
      <c r="BY95" s="33" t="n">
        <f aca="false">-$E95*BY13</f>
        <v>-0</v>
      </c>
      <c r="BZ95" s="33" t="n">
        <f aca="false">-$E95*BZ13</f>
        <v>-0</v>
      </c>
      <c r="CA95" s="33" t="n">
        <f aca="false">-$E95*CA13</f>
        <v>-0</v>
      </c>
      <c r="CB95" s="33" t="n">
        <f aca="false">-$E95*CB13</f>
        <v>-0</v>
      </c>
      <c r="CC95" s="33" t="n">
        <f aca="false">-$E95*CC13</f>
        <v>-0</v>
      </c>
      <c r="CD95" s="33" t="n">
        <f aca="false">-$E95*CD13</f>
        <v>-0</v>
      </c>
      <c r="CE95" s="33" t="n">
        <f aca="false">-$E95*CE13</f>
        <v>-0</v>
      </c>
      <c r="CF95" s="33" t="n">
        <f aca="false">-$E95*CF13</f>
        <v>-0</v>
      </c>
      <c r="CG95" s="33" t="n">
        <f aca="false">-$E95*CG13</f>
        <v>-0</v>
      </c>
      <c r="CH95" s="33" t="n">
        <f aca="false">-$E95*CH13</f>
        <v>-0</v>
      </c>
      <c r="CI95" s="33" t="n">
        <f aca="false">-$E95*CI13</f>
        <v>-0</v>
      </c>
      <c r="CJ95" s="33" t="n">
        <f aca="false">-$E95*CJ13</f>
        <v>-0</v>
      </c>
      <c r="CK95" s="33" t="n">
        <f aca="false">-$E95*CK13</f>
        <v>-0</v>
      </c>
      <c r="CL95" s="33" t="n">
        <f aca="false">-$E95*CL13</f>
        <v>-0</v>
      </c>
      <c r="CM95" s="33" t="n">
        <f aca="false">-$E95*CM13</f>
        <v>-0</v>
      </c>
      <c r="CN95" s="33" t="n">
        <f aca="false">-$E95*CN13</f>
        <v>-0</v>
      </c>
      <c r="CO95" s="33" t="n">
        <f aca="false">-$E95*CO13</f>
        <v>-0</v>
      </c>
      <c r="CP95" s="33" t="n">
        <f aca="false">-$E95*CP13</f>
        <v>-0</v>
      </c>
      <c r="CQ95" s="33" t="n">
        <f aca="false">-$E95*CQ13</f>
        <v>-0</v>
      </c>
      <c r="CR95" s="33" t="n">
        <f aca="false">-$E95*CR13</f>
        <v>-0</v>
      </c>
      <c r="CS95" s="33" t="n">
        <f aca="false">-$E95*CS13</f>
        <v>-0</v>
      </c>
      <c r="CT95" s="33" t="n">
        <f aca="false">-$E95*CT13</f>
        <v>-0</v>
      </c>
      <c r="CU95" s="33" t="n">
        <f aca="false">-$E95*CU13</f>
        <v>-0</v>
      </c>
      <c r="CV95" s="33" t="n">
        <f aca="false">-$E95*CV13</f>
        <v>-0</v>
      </c>
      <c r="CW95" s="33" t="n">
        <f aca="false">-$E95*CW13</f>
        <v>-0</v>
      </c>
      <c r="CX95" s="33" t="n">
        <f aca="false">-$E95*CX13</f>
        <v>-0</v>
      </c>
      <c r="CY95" s="33" t="n">
        <f aca="false">-$E95*CY13</f>
        <v>-0</v>
      </c>
      <c r="CZ95" s="33" t="n">
        <f aca="false">-$E95*CZ13</f>
        <v>-0</v>
      </c>
      <c r="DA95" s="33" t="n">
        <f aca="false">-$E95*DA13</f>
        <v>-0</v>
      </c>
      <c r="DB95" s="33" t="n">
        <f aca="false">-$E95*DB13</f>
        <v>-0</v>
      </c>
      <c r="DC95" s="33" t="n">
        <f aca="false">-$E95*DC13</f>
        <v>-0</v>
      </c>
      <c r="DD95" s="33" t="n">
        <f aca="false">-$E95*DD13</f>
        <v>-0</v>
      </c>
      <c r="DE95" s="33" t="n">
        <f aca="false">-$E95*DE13</f>
        <v>-0</v>
      </c>
      <c r="DF95" s="33" t="n">
        <f aca="false">-$E95*DF13</f>
        <v>-0</v>
      </c>
      <c r="DG95" s="33" t="n">
        <f aca="false">-$E95*DG13</f>
        <v>-0</v>
      </c>
      <c r="DH95" s="33" t="n">
        <f aca="false">-$E95*DH13</f>
        <v>-0</v>
      </c>
      <c r="DI95" s="33" t="n">
        <f aca="false">-$E95*DI13</f>
        <v>-0</v>
      </c>
      <c r="DJ95" s="33" t="n">
        <f aca="false">-$E95*DJ13</f>
        <v>-0</v>
      </c>
      <c r="DK95" s="33" t="n">
        <f aca="false">-$E95*DK13</f>
        <v>-0</v>
      </c>
      <c r="DL95" s="33" t="n">
        <f aca="false">-$E95*DL13</f>
        <v>-0</v>
      </c>
      <c r="DM95" s="33" t="n">
        <f aca="false">-$E95*DM13</f>
        <v>-0</v>
      </c>
      <c r="DN95" s="33" t="n">
        <f aca="false">-$E95*DN13</f>
        <v>-0</v>
      </c>
      <c r="DO95" s="33" t="n">
        <f aca="false">-$E95*DO13</f>
        <v>-0</v>
      </c>
      <c r="DP95" s="33" t="n">
        <f aca="false">-$E95*DP13</f>
        <v>-0</v>
      </c>
      <c r="DQ95" s="33" t="n">
        <f aca="false">-$E95*DQ13</f>
        <v>-0</v>
      </c>
      <c r="DR95" s="33" t="n">
        <f aca="false">-$E95*DR13</f>
        <v>-0</v>
      </c>
      <c r="DS95" s="33" t="n">
        <f aca="false">-$E95*DS13</f>
        <v>-0</v>
      </c>
      <c r="DT95" s="33" t="n">
        <f aca="false">-$E95*DT13</f>
        <v>-0</v>
      </c>
      <c r="DU95" s="33" t="n">
        <f aca="false">-$E95*DU13</f>
        <v>-0</v>
      </c>
      <c r="DV95" s="33" t="n">
        <f aca="false">-$E95*DV13</f>
        <v>-0</v>
      </c>
      <c r="DW95" s="33" t="n">
        <f aca="false">-$E95*DW13</f>
        <v>-0</v>
      </c>
      <c r="DX95" s="33" t="n">
        <f aca="false">-$E95*DX13</f>
        <v>-0</v>
      </c>
      <c r="DY95" s="33" t="n">
        <f aca="false">-$E95*DY13</f>
        <v>-0</v>
      </c>
      <c r="DZ95" s="33" t="n">
        <f aca="false">-$E95*DZ13</f>
        <v>-0</v>
      </c>
      <c r="EA95" s="33" t="n">
        <f aca="false">-$E95*EA13</f>
        <v>-0</v>
      </c>
      <c r="EB95" s="33" t="n">
        <f aca="false">-$E95*EB13</f>
        <v>-0</v>
      </c>
      <c r="EC95" s="33" t="n">
        <f aca="false">-$E95*EC13</f>
        <v>-0</v>
      </c>
      <c r="ED95" s="33" t="n">
        <f aca="false">-$E95*ED13</f>
        <v>-0</v>
      </c>
      <c r="EE95" s="33" t="n">
        <f aca="false">-$E95*EE13</f>
        <v>-0</v>
      </c>
      <c r="EF95" s="33" t="n">
        <f aca="false">-$E95*EF13</f>
        <v>-0</v>
      </c>
      <c r="EG95" s="33" t="n">
        <f aca="false">-$E95*EG13</f>
        <v>-0</v>
      </c>
      <c r="EH95" s="33" t="n">
        <f aca="false">-$E95*EH13</f>
        <v>-0</v>
      </c>
      <c r="EI95" s="33" t="n">
        <f aca="false">-$E95*EI13</f>
        <v>-0</v>
      </c>
      <c r="EJ95" s="33" t="n">
        <f aca="false">-$E95*EJ13</f>
        <v>-0</v>
      </c>
      <c r="EK95" s="33" t="n">
        <f aca="false">-$E95*EK13</f>
        <v>-0</v>
      </c>
      <c r="EL95" s="33" t="n">
        <f aca="false">-$E95*EL13</f>
        <v>-0</v>
      </c>
      <c r="EM95" s="33" t="n">
        <f aca="false">-$E95*EM13</f>
        <v>-0</v>
      </c>
      <c r="EN95" s="33" t="n">
        <f aca="false">-$E95*EN13</f>
        <v>-0</v>
      </c>
      <c r="EO95" s="33" t="n">
        <f aca="false">-$E95*EO13</f>
        <v>-0</v>
      </c>
      <c r="EP95" s="33" t="n">
        <f aca="false">-$E95*EP13</f>
        <v>-0</v>
      </c>
      <c r="EQ95" s="33" t="n">
        <f aca="false">-$E95*EQ13</f>
        <v>-0</v>
      </c>
      <c r="ER95" s="33" t="n">
        <f aca="false">-$E95*ER13</f>
        <v>-0</v>
      </c>
      <c r="ES95" s="33" t="n">
        <f aca="false">-$E95*ES13</f>
        <v>-0</v>
      </c>
      <c r="ET95" s="33" t="n">
        <f aca="false">-$E95*ET13</f>
        <v>-0</v>
      </c>
    </row>
    <row r="96" customFormat="false" ht="15" hidden="false" customHeight="false" outlineLevel="0" collapsed="false">
      <c r="C96" s="0" t="s">
        <v>554</v>
      </c>
      <c r="D96" s="11" t="s">
        <v>253</v>
      </c>
      <c r="E96" s="33" t="n">
        <f aca="false">$E30*In_MVA*In_Delivered</f>
        <v>5000</v>
      </c>
      <c r="I96" s="33" t="n">
        <f aca="false">SUM(J96:ET96)</f>
        <v>-5000</v>
      </c>
      <c r="J96" s="33" t="n">
        <f aca="false">-$E96*J14</f>
        <v>-0</v>
      </c>
      <c r="K96" s="33" t="n">
        <f aca="false">-$E96*K14</f>
        <v>-0</v>
      </c>
      <c r="L96" s="33" t="n">
        <f aca="false">-$E96*L14</f>
        <v>-0</v>
      </c>
      <c r="M96" s="33" t="n">
        <f aca="false">-$E96*M14</f>
        <v>-0</v>
      </c>
      <c r="N96" s="33" t="n">
        <f aca="false">-$E96*N14</f>
        <v>-0</v>
      </c>
      <c r="O96" s="33" t="n">
        <f aca="false">-$E96*O14</f>
        <v>-0</v>
      </c>
      <c r="P96" s="33" t="n">
        <f aca="false">-$E96*P14</f>
        <v>-0</v>
      </c>
      <c r="Q96" s="33" t="n">
        <f aca="false">-$E96*Q14</f>
        <v>-0</v>
      </c>
      <c r="R96" s="33" t="n">
        <f aca="false">-$E96*R14</f>
        <v>-0</v>
      </c>
      <c r="S96" s="33" t="n">
        <f aca="false">-$E96*S14</f>
        <v>-0</v>
      </c>
      <c r="T96" s="33" t="n">
        <f aca="false">-$E96*T14</f>
        <v>-0</v>
      </c>
      <c r="U96" s="33" t="n">
        <f aca="false">-$E96*U14</f>
        <v>-0</v>
      </c>
      <c r="V96" s="33" t="n">
        <f aca="false">-$E96*V14</f>
        <v>-0</v>
      </c>
      <c r="W96" s="33" t="n">
        <f aca="false">-$E96*W14</f>
        <v>-0</v>
      </c>
      <c r="X96" s="33" t="n">
        <f aca="false">-$E96*X14</f>
        <v>-0</v>
      </c>
      <c r="Y96" s="33" t="n">
        <f aca="false">-$E96*Y14</f>
        <v>-0</v>
      </c>
      <c r="Z96" s="33" t="n">
        <f aca="false">-$E96*Z14</f>
        <v>-0</v>
      </c>
      <c r="AA96" s="33" t="n">
        <f aca="false">-$E96*AA14</f>
        <v>-0</v>
      </c>
      <c r="AB96" s="33" t="n">
        <f aca="false">-$E96*AB14</f>
        <v>-0</v>
      </c>
      <c r="AC96" s="33" t="n">
        <f aca="false">-$E96*AC14</f>
        <v>-0</v>
      </c>
      <c r="AD96" s="33" t="n">
        <f aca="false">-$E96*AD14</f>
        <v>-5000</v>
      </c>
      <c r="AE96" s="33" t="n">
        <f aca="false">-$E96*AE14</f>
        <v>-0</v>
      </c>
      <c r="AF96" s="33" t="n">
        <f aca="false">-$E96*AF14</f>
        <v>-0</v>
      </c>
      <c r="AG96" s="33" t="n">
        <f aca="false">-$E96*AG14</f>
        <v>-0</v>
      </c>
      <c r="AH96" s="33" t="n">
        <f aca="false">-$E96*AH14</f>
        <v>-0</v>
      </c>
      <c r="AI96" s="33" t="n">
        <f aca="false">-$E96*AI14</f>
        <v>-0</v>
      </c>
      <c r="AJ96" s="33" t="n">
        <f aca="false">-$E96*AJ14</f>
        <v>-0</v>
      </c>
      <c r="AK96" s="33" t="n">
        <f aca="false">-$E96*AK14</f>
        <v>-0</v>
      </c>
      <c r="AL96" s="33" t="n">
        <f aca="false">-$E96*AL14</f>
        <v>-0</v>
      </c>
      <c r="AM96" s="33" t="n">
        <f aca="false">-$E96*AM14</f>
        <v>-0</v>
      </c>
      <c r="AN96" s="33" t="n">
        <f aca="false">-$E96*AN14</f>
        <v>-0</v>
      </c>
      <c r="AO96" s="33" t="n">
        <f aca="false">-$E96*AO14</f>
        <v>-0</v>
      </c>
      <c r="AP96" s="33" t="n">
        <f aca="false">-$E96*AP14</f>
        <v>-0</v>
      </c>
      <c r="AQ96" s="33" t="n">
        <f aca="false">-$E96*AQ14</f>
        <v>-0</v>
      </c>
      <c r="AR96" s="33" t="n">
        <f aca="false">-$E96*AR14</f>
        <v>-0</v>
      </c>
      <c r="AS96" s="33" t="n">
        <f aca="false">-$E96*AS14</f>
        <v>-0</v>
      </c>
      <c r="AT96" s="33" t="n">
        <f aca="false">-$E96*AT14</f>
        <v>-0</v>
      </c>
      <c r="AU96" s="33" t="n">
        <f aca="false">-$E96*AU14</f>
        <v>-0</v>
      </c>
      <c r="AV96" s="33" t="n">
        <f aca="false">-$E96*AV14</f>
        <v>-0</v>
      </c>
      <c r="AW96" s="33" t="n">
        <f aca="false">-$E96*AW14</f>
        <v>-0</v>
      </c>
      <c r="AX96" s="33" t="n">
        <f aca="false">-$E96*AX14</f>
        <v>-0</v>
      </c>
      <c r="AY96" s="33" t="n">
        <f aca="false">-$E96*AY14</f>
        <v>-0</v>
      </c>
      <c r="AZ96" s="33" t="n">
        <f aca="false">-$E96*AZ14</f>
        <v>-0</v>
      </c>
      <c r="BA96" s="33" t="n">
        <f aca="false">-$E96*BA14</f>
        <v>-0</v>
      </c>
      <c r="BB96" s="33" t="n">
        <f aca="false">-$E96*BB14</f>
        <v>-0</v>
      </c>
      <c r="BC96" s="33" t="n">
        <f aca="false">-$E96*BC14</f>
        <v>-0</v>
      </c>
      <c r="BD96" s="33" t="n">
        <f aca="false">-$E96*BD14</f>
        <v>-0</v>
      </c>
      <c r="BE96" s="33" t="n">
        <f aca="false">-$E96*BE14</f>
        <v>-0</v>
      </c>
      <c r="BF96" s="33" t="n">
        <f aca="false">-$E96*BF14</f>
        <v>-0</v>
      </c>
      <c r="BG96" s="33" t="n">
        <f aca="false">-$E96*BG14</f>
        <v>-0</v>
      </c>
      <c r="BH96" s="33" t="n">
        <f aca="false">-$E96*BH14</f>
        <v>-0</v>
      </c>
      <c r="BI96" s="33" t="n">
        <f aca="false">-$E96*BI14</f>
        <v>-0</v>
      </c>
      <c r="BJ96" s="33" t="n">
        <f aca="false">-$E96*BJ14</f>
        <v>-0</v>
      </c>
      <c r="BK96" s="33" t="n">
        <f aca="false">-$E96*BK14</f>
        <v>-0</v>
      </c>
      <c r="BL96" s="33" t="n">
        <f aca="false">-$E96*BL14</f>
        <v>-0</v>
      </c>
      <c r="BM96" s="33" t="n">
        <f aca="false">-$E96*BM14</f>
        <v>-0</v>
      </c>
      <c r="BN96" s="33" t="n">
        <f aca="false">-$E96*BN14</f>
        <v>-0</v>
      </c>
      <c r="BO96" s="33" t="n">
        <f aca="false">-$E96*BO14</f>
        <v>-0</v>
      </c>
      <c r="BP96" s="33" t="n">
        <f aca="false">-$E96*BP14</f>
        <v>-0</v>
      </c>
      <c r="BQ96" s="33" t="n">
        <f aca="false">-$E96*BQ14</f>
        <v>-0</v>
      </c>
      <c r="BR96" s="33" t="n">
        <f aca="false">-$E96*BR14</f>
        <v>-0</v>
      </c>
      <c r="BS96" s="33" t="n">
        <f aca="false">-$E96*BS14</f>
        <v>-0</v>
      </c>
      <c r="BT96" s="33" t="n">
        <f aca="false">-$E96*BT14</f>
        <v>-0</v>
      </c>
      <c r="BU96" s="33" t="n">
        <f aca="false">-$E96*BU14</f>
        <v>-0</v>
      </c>
      <c r="BV96" s="33" t="n">
        <f aca="false">-$E96*BV14</f>
        <v>-0</v>
      </c>
      <c r="BW96" s="33" t="n">
        <f aca="false">-$E96*BW14</f>
        <v>-0</v>
      </c>
      <c r="BX96" s="33" t="n">
        <f aca="false">-$E96*BX14</f>
        <v>-0</v>
      </c>
      <c r="BY96" s="33" t="n">
        <f aca="false">-$E96*BY14</f>
        <v>-0</v>
      </c>
      <c r="BZ96" s="33" t="n">
        <f aca="false">-$E96*BZ14</f>
        <v>-0</v>
      </c>
      <c r="CA96" s="33" t="n">
        <f aca="false">-$E96*CA14</f>
        <v>-0</v>
      </c>
      <c r="CB96" s="33" t="n">
        <f aca="false">-$E96*CB14</f>
        <v>-0</v>
      </c>
      <c r="CC96" s="33" t="n">
        <f aca="false">-$E96*CC14</f>
        <v>-0</v>
      </c>
      <c r="CD96" s="33" t="n">
        <f aca="false">-$E96*CD14</f>
        <v>-0</v>
      </c>
      <c r="CE96" s="33" t="n">
        <f aca="false">-$E96*CE14</f>
        <v>-0</v>
      </c>
      <c r="CF96" s="33" t="n">
        <f aca="false">-$E96*CF14</f>
        <v>-0</v>
      </c>
      <c r="CG96" s="33" t="n">
        <f aca="false">-$E96*CG14</f>
        <v>-0</v>
      </c>
      <c r="CH96" s="33" t="n">
        <f aca="false">-$E96*CH14</f>
        <v>-0</v>
      </c>
      <c r="CI96" s="33" t="n">
        <f aca="false">-$E96*CI14</f>
        <v>-0</v>
      </c>
      <c r="CJ96" s="33" t="n">
        <f aca="false">-$E96*CJ14</f>
        <v>-0</v>
      </c>
      <c r="CK96" s="33" t="n">
        <f aca="false">-$E96*CK14</f>
        <v>-0</v>
      </c>
      <c r="CL96" s="33" t="n">
        <f aca="false">-$E96*CL14</f>
        <v>-0</v>
      </c>
      <c r="CM96" s="33" t="n">
        <f aca="false">-$E96*CM14</f>
        <v>-0</v>
      </c>
      <c r="CN96" s="33" t="n">
        <f aca="false">-$E96*CN14</f>
        <v>-0</v>
      </c>
      <c r="CO96" s="33" t="n">
        <f aca="false">-$E96*CO14</f>
        <v>-0</v>
      </c>
      <c r="CP96" s="33" t="n">
        <f aca="false">-$E96*CP14</f>
        <v>-0</v>
      </c>
      <c r="CQ96" s="33" t="n">
        <f aca="false">-$E96*CQ14</f>
        <v>-0</v>
      </c>
      <c r="CR96" s="33" t="n">
        <f aca="false">-$E96*CR14</f>
        <v>-0</v>
      </c>
      <c r="CS96" s="33" t="n">
        <f aca="false">-$E96*CS14</f>
        <v>-0</v>
      </c>
      <c r="CT96" s="33" t="n">
        <f aca="false">-$E96*CT14</f>
        <v>-0</v>
      </c>
      <c r="CU96" s="33" t="n">
        <f aca="false">-$E96*CU14</f>
        <v>-0</v>
      </c>
      <c r="CV96" s="33" t="n">
        <f aca="false">-$E96*CV14</f>
        <v>-0</v>
      </c>
      <c r="CW96" s="33" t="n">
        <f aca="false">-$E96*CW14</f>
        <v>-0</v>
      </c>
      <c r="CX96" s="33" t="n">
        <f aca="false">-$E96*CX14</f>
        <v>-0</v>
      </c>
      <c r="CY96" s="33" t="n">
        <f aca="false">-$E96*CY14</f>
        <v>-0</v>
      </c>
      <c r="CZ96" s="33" t="n">
        <f aca="false">-$E96*CZ14</f>
        <v>-0</v>
      </c>
      <c r="DA96" s="33" t="n">
        <f aca="false">-$E96*DA14</f>
        <v>-0</v>
      </c>
      <c r="DB96" s="33" t="n">
        <f aca="false">-$E96*DB14</f>
        <v>-0</v>
      </c>
      <c r="DC96" s="33" t="n">
        <f aca="false">-$E96*DC14</f>
        <v>-0</v>
      </c>
      <c r="DD96" s="33" t="n">
        <f aca="false">-$E96*DD14</f>
        <v>-0</v>
      </c>
      <c r="DE96" s="33" t="n">
        <f aca="false">-$E96*DE14</f>
        <v>-0</v>
      </c>
      <c r="DF96" s="33" t="n">
        <f aca="false">-$E96*DF14</f>
        <v>-0</v>
      </c>
      <c r="DG96" s="33" t="n">
        <f aca="false">-$E96*DG14</f>
        <v>-0</v>
      </c>
      <c r="DH96" s="33" t="n">
        <f aca="false">-$E96*DH14</f>
        <v>-0</v>
      </c>
      <c r="DI96" s="33" t="n">
        <f aca="false">-$E96*DI14</f>
        <v>-0</v>
      </c>
      <c r="DJ96" s="33" t="n">
        <f aca="false">-$E96*DJ14</f>
        <v>-0</v>
      </c>
      <c r="DK96" s="33" t="n">
        <f aca="false">-$E96*DK14</f>
        <v>-0</v>
      </c>
      <c r="DL96" s="33" t="n">
        <f aca="false">-$E96*DL14</f>
        <v>-0</v>
      </c>
      <c r="DM96" s="33" t="n">
        <f aca="false">-$E96*DM14</f>
        <v>-0</v>
      </c>
      <c r="DN96" s="33" t="n">
        <f aca="false">-$E96*DN14</f>
        <v>-0</v>
      </c>
      <c r="DO96" s="33" t="n">
        <f aca="false">-$E96*DO14</f>
        <v>-0</v>
      </c>
      <c r="DP96" s="33" t="n">
        <f aca="false">-$E96*DP14</f>
        <v>-0</v>
      </c>
      <c r="DQ96" s="33" t="n">
        <f aca="false">-$E96*DQ14</f>
        <v>-0</v>
      </c>
      <c r="DR96" s="33" t="n">
        <f aca="false">-$E96*DR14</f>
        <v>-0</v>
      </c>
      <c r="DS96" s="33" t="n">
        <f aca="false">-$E96*DS14</f>
        <v>-0</v>
      </c>
      <c r="DT96" s="33" t="n">
        <f aca="false">-$E96*DT14</f>
        <v>-0</v>
      </c>
      <c r="DU96" s="33" t="n">
        <f aca="false">-$E96*DU14</f>
        <v>-0</v>
      </c>
      <c r="DV96" s="33" t="n">
        <f aca="false">-$E96*DV14</f>
        <v>-0</v>
      </c>
      <c r="DW96" s="33" t="n">
        <f aca="false">-$E96*DW14</f>
        <v>-0</v>
      </c>
      <c r="DX96" s="33" t="n">
        <f aca="false">-$E96*DX14</f>
        <v>-0</v>
      </c>
      <c r="DY96" s="33" t="n">
        <f aca="false">-$E96*DY14</f>
        <v>-0</v>
      </c>
      <c r="DZ96" s="33" t="n">
        <f aca="false">-$E96*DZ14</f>
        <v>-0</v>
      </c>
      <c r="EA96" s="33" t="n">
        <f aca="false">-$E96*EA14</f>
        <v>-0</v>
      </c>
      <c r="EB96" s="33" t="n">
        <f aca="false">-$E96*EB14</f>
        <v>-0</v>
      </c>
      <c r="EC96" s="33" t="n">
        <f aca="false">-$E96*EC14</f>
        <v>-0</v>
      </c>
      <c r="ED96" s="33" t="n">
        <f aca="false">-$E96*ED14</f>
        <v>-0</v>
      </c>
      <c r="EE96" s="33" t="n">
        <f aca="false">-$E96*EE14</f>
        <v>-0</v>
      </c>
      <c r="EF96" s="33" t="n">
        <f aca="false">-$E96*EF14</f>
        <v>-0</v>
      </c>
      <c r="EG96" s="33" t="n">
        <f aca="false">-$E96*EG14</f>
        <v>-0</v>
      </c>
      <c r="EH96" s="33" t="n">
        <f aca="false">-$E96*EH14</f>
        <v>-0</v>
      </c>
      <c r="EI96" s="33" t="n">
        <f aca="false">-$E96*EI14</f>
        <v>-0</v>
      </c>
      <c r="EJ96" s="33" t="n">
        <f aca="false">-$E96*EJ14</f>
        <v>-0</v>
      </c>
      <c r="EK96" s="33" t="n">
        <f aca="false">-$E96*EK14</f>
        <v>-0</v>
      </c>
      <c r="EL96" s="33" t="n">
        <f aca="false">-$E96*EL14</f>
        <v>-0</v>
      </c>
      <c r="EM96" s="33" t="n">
        <f aca="false">-$E96*EM14</f>
        <v>-0</v>
      </c>
      <c r="EN96" s="33" t="n">
        <f aca="false">-$E96*EN14</f>
        <v>-0</v>
      </c>
      <c r="EO96" s="33" t="n">
        <f aca="false">-$E96*EO14</f>
        <v>-0</v>
      </c>
      <c r="EP96" s="33" t="n">
        <f aca="false">-$E96*EP14</f>
        <v>-0</v>
      </c>
      <c r="EQ96" s="33" t="n">
        <f aca="false">-$E96*EQ14</f>
        <v>-0</v>
      </c>
      <c r="ER96" s="33" t="n">
        <f aca="false">-$E96*ER14</f>
        <v>-0</v>
      </c>
      <c r="ES96" s="33" t="n">
        <f aca="false">-$E96*ES14</f>
        <v>-0</v>
      </c>
      <c r="ET96" s="33" t="n">
        <f aca="false">-$E96*ET14</f>
        <v>-0</v>
      </c>
    </row>
    <row r="97" customFormat="false" ht="15" hidden="false" customHeight="false" outlineLevel="0" collapsed="false">
      <c r="A97" s="55"/>
      <c r="B97" s="55"/>
      <c r="C97" s="55" t="s">
        <v>555</v>
      </c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5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55"/>
      <c r="CO97" s="55"/>
      <c r="CP97" s="55"/>
      <c r="CQ97" s="55"/>
      <c r="CR97" s="55"/>
      <c r="CS97" s="55"/>
      <c r="CT97" s="55"/>
      <c r="CU97" s="55"/>
      <c r="CV97" s="55"/>
      <c r="CW97" s="55"/>
      <c r="CX97" s="55"/>
      <c r="CY97" s="55"/>
      <c r="CZ97" s="55"/>
      <c r="DA97" s="55"/>
      <c r="DB97" s="55"/>
      <c r="DC97" s="55"/>
      <c r="DD97" s="55"/>
      <c r="DE97" s="55"/>
      <c r="DF97" s="55"/>
      <c r="DG97" s="55"/>
      <c r="DH97" s="55"/>
      <c r="DI97" s="55"/>
      <c r="DJ97" s="55"/>
      <c r="DK97" s="55"/>
      <c r="DL97" s="55"/>
      <c r="DM97" s="55"/>
      <c r="DN97" s="55"/>
      <c r="DO97" s="55"/>
      <c r="DP97" s="55"/>
      <c r="DQ97" s="55"/>
      <c r="DR97" s="55"/>
      <c r="DS97" s="55"/>
      <c r="DT97" s="55"/>
      <c r="DU97" s="55"/>
      <c r="DV97" s="55"/>
      <c r="DW97" s="55"/>
      <c r="DX97" s="55"/>
      <c r="DY97" s="55"/>
      <c r="DZ97" s="55"/>
      <c r="EA97" s="55"/>
      <c r="EB97" s="55"/>
      <c r="EC97" s="55"/>
      <c r="ED97" s="55"/>
      <c r="EE97" s="55"/>
      <c r="EF97" s="55"/>
      <c r="EG97" s="55"/>
      <c r="EH97" s="55"/>
      <c r="EI97" s="55"/>
      <c r="EJ97" s="55"/>
      <c r="EK97" s="55"/>
      <c r="EL97" s="55"/>
      <c r="EM97" s="55"/>
      <c r="EN97" s="55"/>
      <c r="EO97" s="55"/>
      <c r="EP97" s="55"/>
      <c r="EQ97" s="55"/>
      <c r="ER97" s="55"/>
      <c r="ES97" s="55"/>
      <c r="ET97" s="55"/>
    </row>
    <row r="98" customFormat="false" ht="15" hidden="false" customHeight="false" outlineLevel="0" collapsed="false">
      <c r="C98" s="0" t="s">
        <v>534</v>
      </c>
      <c r="D98" s="11" t="s">
        <v>253</v>
      </c>
      <c r="J98" s="22" t="n">
        <f aca="false">I102</f>
        <v>0</v>
      </c>
      <c r="K98" s="22" t="n">
        <f aca="false">J102</f>
        <v>0</v>
      </c>
      <c r="L98" s="22" t="n">
        <f aca="false">K102</f>
        <v>0</v>
      </c>
      <c r="M98" s="22" t="n">
        <f aca="false">L102</f>
        <v>0</v>
      </c>
      <c r="N98" s="22" t="n">
        <f aca="false">M102</f>
        <v>0</v>
      </c>
      <c r="O98" s="22" t="n">
        <f aca="false">N102</f>
        <v>0</v>
      </c>
      <c r="P98" s="22" t="n">
        <f aca="false">O102</f>
        <v>0</v>
      </c>
      <c r="Q98" s="22" t="n">
        <f aca="false">P102</f>
        <v>0</v>
      </c>
      <c r="R98" s="22" t="n">
        <f aca="false">Q102</f>
        <v>0</v>
      </c>
      <c r="S98" s="22" t="n">
        <f aca="false">R102</f>
        <v>0</v>
      </c>
      <c r="T98" s="22" t="n">
        <f aca="false">S102</f>
        <v>0</v>
      </c>
      <c r="U98" s="22" t="n">
        <f aca="false">T102</f>
        <v>0</v>
      </c>
      <c r="V98" s="22" t="n">
        <f aca="false">U102</f>
        <v>0</v>
      </c>
      <c r="W98" s="22" t="n">
        <f aca="false">V102</f>
        <v>0</v>
      </c>
      <c r="X98" s="22" t="n">
        <f aca="false">W102</f>
        <v>11981.7564177174</v>
      </c>
      <c r="Y98" s="22" t="n">
        <f aca="false">X102</f>
        <v>23852.8118250537</v>
      </c>
      <c r="Z98" s="22" t="n">
        <f aca="false">Y102</f>
        <v>36002.491907783</v>
      </c>
      <c r="AA98" s="22" t="n">
        <f aca="false">Z102</f>
        <v>48434.2794743477</v>
      </c>
      <c r="AB98" s="22" t="n">
        <f aca="false">AA102</f>
        <v>61021.4643854944</v>
      </c>
      <c r="AC98" s="22" t="n">
        <f aca="false">AB102</f>
        <v>73505.516142428</v>
      </c>
      <c r="AD98" s="22" t="n">
        <f aca="false">AC102</f>
        <v>86275.8550291244</v>
      </c>
      <c r="AE98" s="22" t="n">
        <f aca="false">AD102</f>
        <v>99336.0596347059</v>
      </c>
      <c r="AF98" s="22" t="n">
        <f aca="false">AE102</f>
        <v>97406.8129044928</v>
      </c>
      <c r="AG98" s="22" t="n">
        <f aca="false">AF102</f>
        <v>95453.450590152</v>
      </c>
      <c r="AH98" s="22" t="n">
        <f aca="false">AG102</f>
        <v>93475.671246882</v>
      </c>
      <c r="AI98" s="22" t="n">
        <f aca="false">AH102</f>
        <v>91473.1696618211</v>
      </c>
      <c r="AJ98" s="22" t="n">
        <f aca="false">AI102</f>
        <v>89445.636806947</v>
      </c>
      <c r="AK98" s="22" t="n">
        <f aca="false">AJ102</f>
        <v>87392.7597913869</v>
      </c>
      <c r="AL98" s="22" t="n">
        <f aca="false">AK102</f>
        <v>85314.2218131323</v>
      </c>
      <c r="AM98" s="22" t="n">
        <f aca="false">AL102</f>
        <v>83209.7021101496</v>
      </c>
      <c r="AN98" s="22" t="n">
        <f aca="false">AM102</f>
        <v>81078.8759108795</v>
      </c>
      <c r="AO98" s="22" t="n">
        <f aca="false">AN102</f>
        <v>78921.4143841186</v>
      </c>
      <c r="AP98" s="22" t="n">
        <f aca="false">AO102</f>
        <v>76736.9845882732</v>
      </c>
      <c r="AQ98" s="22" t="n">
        <f aca="false">AP102</f>
        <v>74525.2494199797</v>
      </c>
      <c r="AR98" s="22" t="n">
        <f aca="false">AQ102</f>
        <v>72285.8675620825</v>
      </c>
      <c r="AS98" s="22" t="n">
        <f aca="false">AR102</f>
        <v>70018.4934309616</v>
      </c>
      <c r="AT98" s="22" t="n">
        <f aca="false">AS102</f>
        <v>67722.7771232017</v>
      </c>
      <c r="AU98" s="22" t="n">
        <f aca="false">AT102</f>
        <v>65398.3643615948</v>
      </c>
      <c r="AV98" s="22" t="n">
        <f aca="false">AU102</f>
        <v>63044.8964404679</v>
      </c>
      <c r="AW98" s="22" t="n">
        <f aca="false">AV102</f>
        <v>60662.0101703268</v>
      </c>
      <c r="AX98" s="22" t="n">
        <f aca="false">AW102</f>
        <v>58249.337821809</v>
      </c>
      <c r="AY98" s="22" t="n">
        <f aca="false">AX102</f>
        <v>55806.5070689347</v>
      </c>
      <c r="AZ98" s="22" t="n">
        <f aca="false">AY102</f>
        <v>53333.1409316494</v>
      </c>
      <c r="BA98" s="22" t="n">
        <f aca="false">AZ102</f>
        <v>50828.8577176481</v>
      </c>
      <c r="BB98" s="22" t="n">
        <f aca="false">BA102</f>
        <v>48293.2709634718</v>
      </c>
      <c r="BC98" s="22" t="n">
        <f aca="false">BB102</f>
        <v>45725.9893748683</v>
      </c>
      <c r="BD98" s="22" t="n">
        <f aca="false">BC102</f>
        <v>43126.6167664073</v>
      </c>
      <c r="BE98" s="22" t="n">
        <f aca="false">BD102</f>
        <v>40494.7520003404</v>
      </c>
      <c r="BF98" s="22" t="n">
        <f aca="false">BE102</f>
        <v>37829.9889246978</v>
      </c>
      <c r="BG98" s="22" t="n">
        <f aca="false">BF102</f>
        <v>35131.9163106096</v>
      </c>
      <c r="BH98" s="22" t="n">
        <f aca="false">BG102</f>
        <v>32400.1177888453</v>
      </c>
      <c r="BI98" s="22" t="n">
        <f aca="false">BH102</f>
        <v>29634.1717855589</v>
      </c>
      <c r="BJ98" s="22" t="n">
        <f aca="false">BI102</f>
        <v>26833.6514572315</v>
      </c>
      <c r="BK98" s="22" t="n">
        <f aca="false">BJ102</f>
        <v>23998.1246248</v>
      </c>
      <c r="BL98" s="22" t="n">
        <f aca="false">BK102</f>
        <v>21127.1537069631</v>
      </c>
      <c r="BM98" s="22" t="n">
        <f aca="false">BL102</f>
        <v>18220.2956526532</v>
      </c>
      <c r="BN98" s="22" t="n">
        <f aca="false">BM102</f>
        <v>15277.1018726645</v>
      </c>
      <c r="BO98" s="22" t="n">
        <f aca="false">BN102</f>
        <v>12297.1181704259</v>
      </c>
      <c r="BP98" s="22" t="n">
        <f aca="false">BO102</f>
        <v>9279.88467190926</v>
      </c>
      <c r="BQ98" s="22" t="n">
        <f aca="false">BP102</f>
        <v>6224.93575466122</v>
      </c>
      <c r="BR98" s="22" t="n">
        <f aca="false">BQ102</f>
        <v>3131.79997594757</v>
      </c>
      <c r="BS98" s="22" t="n">
        <f aca="false">BR102</f>
        <v>0</v>
      </c>
      <c r="BT98" s="22" t="n">
        <f aca="false">BS102</f>
        <v>0</v>
      </c>
      <c r="BU98" s="22" t="n">
        <f aca="false">BT102</f>
        <v>0</v>
      </c>
      <c r="BV98" s="22" t="n">
        <f aca="false">BU102</f>
        <v>0</v>
      </c>
      <c r="BW98" s="22" t="n">
        <f aca="false">BV102</f>
        <v>0</v>
      </c>
      <c r="BX98" s="22" t="n">
        <f aca="false">BW102</f>
        <v>0</v>
      </c>
      <c r="BY98" s="22" t="n">
        <f aca="false">BX102</f>
        <v>0</v>
      </c>
      <c r="BZ98" s="22" t="n">
        <f aca="false">BY102</f>
        <v>0</v>
      </c>
      <c r="CA98" s="22" t="n">
        <f aca="false">BZ102</f>
        <v>0</v>
      </c>
      <c r="CB98" s="22" t="n">
        <f aca="false">CA102</f>
        <v>0</v>
      </c>
      <c r="CC98" s="22" t="n">
        <f aca="false">CB102</f>
        <v>0</v>
      </c>
      <c r="CD98" s="22" t="n">
        <f aca="false">CC102</f>
        <v>0</v>
      </c>
      <c r="CE98" s="22" t="n">
        <f aca="false">CD102</f>
        <v>0</v>
      </c>
      <c r="CF98" s="22" t="n">
        <f aca="false">CE102</f>
        <v>0</v>
      </c>
      <c r="CG98" s="22" t="n">
        <f aca="false">CF102</f>
        <v>0</v>
      </c>
      <c r="CH98" s="22" t="n">
        <f aca="false">CG102</f>
        <v>0</v>
      </c>
      <c r="CI98" s="22" t="n">
        <f aca="false">CH102</f>
        <v>0</v>
      </c>
      <c r="CJ98" s="22" t="n">
        <f aca="false">CI102</f>
        <v>0</v>
      </c>
      <c r="CK98" s="22" t="n">
        <f aca="false">CJ102</f>
        <v>0</v>
      </c>
      <c r="CL98" s="22" t="n">
        <f aca="false">CK102</f>
        <v>0</v>
      </c>
      <c r="CM98" s="22" t="n">
        <f aca="false">CL102</f>
        <v>0</v>
      </c>
      <c r="CN98" s="22" t="n">
        <f aca="false">CM102</f>
        <v>0</v>
      </c>
      <c r="CO98" s="22" t="n">
        <f aca="false">CN102</f>
        <v>0</v>
      </c>
      <c r="CP98" s="22" t="n">
        <f aca="false">CO102</f>
        <v>0</v>
      </c>
      <c r="CQ98" s="22" t="n">
        <f aca="false">CP102</f>
        <v>0</v>
      </c>
      <c r="CR98" s="22" t="n">
        <f aca="false">CQ102</f>
        <v>0</v>
      </c>
      <c r="CS98" s="22" t="n">
        <f aca="false">CR102</f>
        <v>0</v>
      </c>
      <c r="CT98" s="22" t="n">
        <f aca="false">CS102</f>
        <v>0</v>
      </c>
      <c r="CU98" s="22" t="n">
        <f aca="false">CT102</f>
        <v>0</v>
      </c>
      <c r="CV98" s="22" t="n">
        <f aca="false">CU102</f>
        <v>0</v>
      </c>
      <c r="CW98" s="22" t="n">
        <f aca="false">CV102</f>
        <v>0</v>
      </c>
      <c r="CX98" s="22" t="n">
        <f aca="false">CW102</f>
        <v>0</v>
      </c>
      <c r="CY98" s="22" t="n">
        <f aca="false">CX102</f>
        <v>0</v>
      </c>
      <c r="CZ98" s="22" t="n">
        <f aca="false">CY102</f>
        <v>0</v>
      </c>
      <c r="DA98" s="22" t="n">
        <f aca="false">CZ102</f>
        <v>0</v>
      </c>
      <c r="DB98" s="22" t="n">
        <f aca="false">DA102</f>
        <v>0</v>
      </c>
      <c r="DC98" s="22" t="n">
        <f aca="false">DB102</f>
        <v>0</v>
      </c>
      <c r="DD98" s="22" t="n">
        <f aca="false">DC102</f>
        <v>0</v>
      </c>
      <c r="DE98" s="22" t="n">
        <f aca="false">DD102</f>
        <v>0</v>
      </c>
      <c r="DF98" s="22" t="n">
        <f aca="false">DE102</f>
        <v>0</v>
      </c>
      <c r="DG98" s="22" t="n">
        <f aca="false">DF102</f>
        <v>0</v>
      </c>
      <c r="DH98" s="22" t="n">
        <f aca="false">DG102</f>
        <v>0</v>
      </c>
      <c r="DI98" s="22" t="n">
        <f aca="false">DH102</f>
        <v>0</v>
      </c>
      <c r="DJ98" s="22" t="n">
        <f aca="false">DI102</f>
        <v>0</v>
      </c>
      <c r="DK98" s="22" t="n">
        <f aca="false">DJ102</f>
        <v>0</v>
      </c>
      <c r="DL98" s="22" t="n">
        <f aca="false">DK102</f>
        <v>0</v>
      </c>
      <c r="DM98" s="22" t="n">
        <f aca="false">DL102</f>
        <v>0</v>
      </c>
      <c r="DN98" s="22" t="n">
        <f aca="false">DM102</f>
        <v>0</v>
      </c>
      <c r="DO98" s="22" t="n">
        <f aca="false">DN102</f>
        <v>0</v>
      </c>
      <c r="DP98" s="22" t="n">
        <f aca="false">DO102</f>
        <v>0</v>
      </c>
      <c r="DQ98" s="22" t="n">
        <f aca="false">DP102</f>
        <v>0</v>
      </c>
      <c r="DR98" s="22" t="n">
        <f aca="false">DQ102</f>
        <v>0</v>
      </c>
      <c r="DS98" s="22" t="n">
        <f aca="false">DR102</f>
        <v>0</v>
      </c>
      <c r="DT98" s="22" t="n">
        <f aca="false">DS102</f>
        <v>0</v>
      </c>
      <c r="DU98" s="22" t="n">
        <f aca="false">DT102</f>
        <v>0</v>
      </c>
      <c r="DV98" s="22" t="n">
        <f aca="false">DU102</f>
        <v>0</v>
      </c>
      <c r="DW98" s="22" t="n">
        <f aca="false">DV102</f>
        <v>0</v>
      </c>
      <c r="DX98" s="22" t="n">
        <f aca="false">DW102</f>
        <v>0</v>
      </c>
      <c r="DY98" s="22" t="n">
        <f aca="false">DX102</f>
        <v>0</v>
      </c>
      <c r="DZ98" s="22" t="n">
        <f aca="false">DY102</f>
        <v>0</v>
      </c>
      <c r="EA98" s="22" t="n">
        <f aca="false">DZ102</f>
        <v>0</v>
      </c>
      <c r="EB98" s="22" t="n">
        <f aca="false">EA102</f>
        <v>0</v>
      </c>
      <c r="EC98" s="22" t="n">
        <f aca="false">EB102</f>
        <v>0</v>
      </c>
      <c r="ED98" s="22" t="n">
        <f aca="false">EC102</f>
        <v>0</v>
      </c>
      <c r="EE98" s="22" t="n">
        <f aca="false">ED102</f>
        <v>0</v>
      </c>
      <c r="EF98" s="22" t="n">
        <f aca="false">EE102</f>
        <v>0</v>
      </c>
      <c r="EG98" s="22" t="n">
        <f aca="false">EF102</f>
        <v>0</v>
      </c>
      <c r="EH98" s="22" t="n">
        <f aca="false">EG102</f>
        <v>0</v>
      </c>
      <c r="EI98" s="22" t="n">
        <f aca="false">EH102</f>
        <v>0</v>
      </c>
      <c r="EJ98" s="22" t="n">
        <f aca="false">EI102</f>
        <v>0</v>
      </c>
      <c r="EK98" s="22" t="n">
        <f aca="false">EJ102</f>
        <v>0</v>
      </c>
      <c r="EL98" s="22" t="n">
        <f aca="false">EK102</f>
        <v>0</v>
      </c>
      <c r="EM98" s="22" t="n">
        <f aca="false">EL102</f>
        <v>0</v>
      </c>
      <c r="EN98" s="22" t="n">
        <f aca="false">EM102</f>
        <v>0</v>
      </c>
      <c r="EO98" s="22" t="n">
        <f aca="false">EN102</f>
        <v>0</v>
      </c>
      <c r="EP98" s="22" t="n">
        <f aca="false">EO102</f>
        <v>0</v>
      </c>
      <c r="EQ98" s="22" t="n">
        <f aca="false">EP102</f>
        <v>0</v>
      </c>
      <c r="ER98" s="22" t="n">
        <f aca="false">EQ102</f>
        <v>0</v>
      </c>
      <c r="ES98" s="22" t="n">
        <f aca="false">ER102</f>
        <v>0</v>
      </c>
      <c r="ET98" s="22" t="n">
        <f aca="false">ES102</f>
        <v>0</v>
      </c>
    </row>
    <row r="99" customFormat="false" ht="15" hidden="false" customHeight="false" outlineLevel="0" collapsed="false">
      <c r="C99" s="0" t="s">
        <v>556</v>
      </c>
      <c r="D99" s="11" t="s">
        <v>253</v>
      </c>
      <c r="E99" s="33" t="n">
        <f aca="false">-IF(In_CN_Turbine=1,In_Gearing_CN,In_Gearing)*($I95+$I53+$I96)</f>
        <v>95072.6324449315</v>
      </c>
      <c r="I99" s="33" t="n">
        <f aca="false">SUM(J99:ET99)</f>
        <v>95072.6324449315</v>
      </c>
      <c r="J99" s="33" t="n">
        <f aca="false">$E99*J13</f>
        <v>0</v>
      </c>
      <c r="K99" s="33" t="n">
        <f aca="false">$E99*K13</f>
        <v>0</v>
      </c>
      <c r="L99" s="33" t="n">
        <f aca="false">$E99*L13</f>
        <v>0</v>
      </c>
      <c r="M99" s="33" t="n">
        <f aca="false">$E99*M13</f>
        <v>0</v>
      </c>
      <c r="N99" s="33" t="n">
        <f aca="false">$E99*N13</f>
        <v>0</v>
      </c>
      <c r="O99" s="33" t="n">
        <f aca="false">$E99*O13</f>
        <v>0</v>
      </c>
      <c r="P99" s="33" t="n">
        <f aca="false">$E99*P13</f>
        <v>0</v>
      </c>
      <c r="Q99" s="33" t="n">
        <f aca="false">$E99*Q13</f>
        <v>0</v>
      </c>
      <c r="R99" s="33" t="n">
        <f aca="false">$E99*R13</f>
        <v>0</v>
      </c>
      <c r="S99" s="33" t="n">
        <f aca="false">$E99*S13</f>
        <v>0</v>
      </c>
      <c r="T99" s="33" t="n">
        <f aca="false">$E99*T13</f>
        <v>0</v>
      </c>
      <c r="U99" s="33" t="n">
        <f aca="false">$E99*U13</f>
        <v>0</v>
      </c>
      <c r="V99" s="33" t="n">
        <f aca="false">$E99*V13</f>
        <v>0</v>
      </c>
      <c r="W99" s="33" t="n">
        <f aca="false">$E99*W13</f>
        <v>11981.7564177174</v>
      </c>
      <c r="X99" s="33" t="n">
        <f aca="false">$E99*X13</f>
        <v>11721.2834521148</v>
      </c>
      <c r="Y99" s="33" t="n">
        <f aca="false">$E99*Y13</f>
        <v>11851.5199349161</v>
      </c>
      <c r="Z99" s="33" t="n">
        <f aca="false">$E99*Z13</f>
        <v>11981.7564177174</v>
      </c>
      <c r="AA99" s="33" t="n">
        <f aca="false">$E99*AA13</f>
        <v>11981.7564177174</v>
      </c>
      <c r="AB99" s="33" t="n">
        <f aca="false">$E99*AB13</f>
        <v>11721.2834521148</v>
      </c>
      <c r="AC99" s="33" t="n">
        <f aca="false">$E99*AC13</f>
        <v>11851.5199349161</v>
      </c>
      <c r="AD99" s="33" t="n">
        <f aca="false">$E99*AD13</f>
        <v>11981.7564177174</v>
      </c>
      <c r="AE99" s="33" t="n">
        <f aca="false">$E99*AE13</f>
        <v>0</v>
      </c>
      <c r="AF99" s="33" t="n">
        <f aca="false">$E99*AF13</f>
        <v>0</v>
      </c>
      <c r="AG99" s="33" t="n">
        <f aca="false">$E99*AG13</f>
        <v>0</v>
      </c>
      <c r="AH99" s="33" t="n">
        <f aca="false">$E99*AH13</f>
        <v>0</v>
      </c>
      <c r="AI99" s="33" t="n">
        <f aca="false">$E99*AI13</f>
        <v>0</v>
      </c>
      <c r="AJ99" s="33" t="n">
        <f aca="false">$E99*AJ13</f>
        <v>0</v>
      </c>
      <c r="AK99" s="33" t="n">
        <f aca="false">$E99*AK13</f>
        <v>0</v>
      </c>
      <c r="AL99" s="33" t="n">
        <f aca="false">$E99*AL13</f>
        <v>0</v>
      </c>
      <c r="AM99" s="33" t="n">
        <f aca="false">$E99*AM13</f>
        <v>0</v>
      </c>
      <c r="AN99" s="33" t="n">
        <f aca="false">$E99*AN13</f>
        <v>0</v>
      </c>
      <c r="AO99" s="33" t="n">
        <f aca="false">$E99*AO13</f>
        <v>0</v>
      </c>
      <c r="AP99" s="33" t="n">
        <f aca="false">$E99*AP13</f>
        <v>0</v>
      </c>
      <c r="AQ99" s="33" t="n">
        <f aca="false">$E99*AQ13</f>
        <v>0</v>
      </c>
      <c r="AR99" s="33" t="n">
        <f aca="false">$E99*AR13</f>
        <v>0</v>
      </c>
      <c r="AS99" s="33" t="n">
        <f aca="false">$E99*AS13</f>
        <v>0</v>
      </c>
      <c r="AT99" s="33" t="n">
        <f aca="false">$E99*AT13</f>
        <v>0</v>
      </c>
      <c r="AU99" s="33" t="n">
        <f aca="false">$E99*AU13</f>
        <v>0</v>
      </c>
      <c r="AV99" s="33" t="n">
        <f aca="false">$E99*AV13</f>
        <v>0</v>
      </c>
      <c r="AW99" s="33" t="n">
        <f aca="false">$E99*AW13</f>
        <v>0</v>
      </c>
      <c r="AX99" s="33" t="n">
        <f aca="false">$E99*AX13</f>
        <v>0</v>
      </c>
      <c r="AY99" s="33" t="n">
        <f aca="false">$E99*AY13</f>
        <v>0</v>
      </c>
      <c r="AZ99" s="33" t="n">
        <f aca="false">$E99*AZ13</f>
        <v>0</v>
      </c>
      <c r="BA99" s="33" t="n">
        <f aca="false">$E99*BA13</f>
        <v>0</v>
      </c>
      <c r="BB99" s="33" t="n">
        <f aca="false">$E99*BB13</f>
        <v>0</v>
      </c>
      <c r="BC99" s="33" t="n">
        <f aca="false">$E99*BC13</f>
        <v>0</v>
      </c>
      <c r="BD99" s="33" t="n">
        <f aca="false">$E99*BD13</f>
        <v>0</v>
      </c>
      <c r="BE99" s="33" t="n">
        <f aca="false">$E99*BE13</f>
        <v>0</v>
      </c>
      <c r="BF99" s="33" t="n">
        <f aca="false">$E99*BF13</f>
        <v>0</v>
      </c>
      <c r="BG99" s="33" t="n">
        <f aca="false">$E99*BG13</f>
        <v>0</v>
      </c>
      <c r="BH99" s="33" t="n">
        <f aca="false">$E99*BH13</f>
        <v>0</v>
      </c>
      <c r="BI99" s="33" t="n">
        <f aca="false">$E99*BI13</f>
        <v>0</v>
      </c>
      <c r="BJ99" s="33" t="n">
        <f aca="false">$E99*BJ13</f>
        <v>0</v>
      </c>
      <c r="BK99" s="33" t="n">
        <f aca="false">$E99*BK13</f>
        <v>0</v>
      </c>
      <c r="BL99" s="33" t="n">
        <f aca="false">$E99*BL13</f>
        <v>0</v>
      </c>
      <c r="BM99" s="33" t="n">
        <f aca="false">$E99*BM13</f>
        <v>0</v>
      </c>
      <c r="BN99" s="33" t="n">
        <f aca="false">$E99*BN13</f>
        <v>0</v>
      </c>
      <c r="BO99" s="33" t="n">
        <f aca="false">$E99*BO13</f>
        <v>0</v>
      </c>
      <c r="BP99" s="33" t="n">
        <f aca="false">$E99*BP13</f>
        <v>0</v>
      </c>
      <c r="BQ99" s="33" t="n">
        <f aca="false">$E99*BQ13</f>
        <v>0</v>
      </c>
      <c r="BR99" s="33" t="n">
        <f aca="false">$E99*BR13</f>
        <v>0</v>
      </c>
      <c r="BS99" s="33" t="n">
        <f aca="false">$E99*BS13</f>
        <v>0</v>
      </c>
      <c r="BT99" s="33" t="n">
        <f aca="false">$E99*BT13</f>
        <v>0</v>
      </c>
      <c r="BU99" s="33" t="n">
        <f aca="false">$E99*BU13</f>
        <v>0</v>
      </c>
      <c r="BV99" s="33" t="n">
        <f aca="false">$E99*BV13</f>
        <v>0</v>
      </c>
      <c r="BW99" s="33" t="n">
        <f aca="false">$E99*BW13</f>
        <v>0</v>
      </c>
      <c r="BX99" s="33" t="n">
        <f aca="false">$E99*BX13</f>
        <v>0</v>
      </c>
      <c r="BY99" s="33" t="n">
        <f aca="false">$E99*BY13</f>
        <v>0</v>
      </c>
      <c r="BZ99" s="33" t="n">
        <f aca="false">$E99*BZ13</f>
        <v>0</v>
      </c>
      <c r="CA99" s="33" t="n">
        <f aca="false">$E99*CA13</f>
        <v>0</v>
      </c>
      <c r="CB99" s="33" t="n">
        <f aca="false">$E99*CB13</f>
        <v>0</v>
      </c>
      <c r="CC99" s="33" t="n">
        <f aca="false">$E99*CC13</f>
        <v>0</v>
      </c>
      <c r="CD99" s="33" t="n">
        <f aca="false">$E99*CD13</f>
        <v>0</v>
      </c>
      <c r="CE99" s="33" t="n">
        <f aca="false">$E99*CE13</f>
        <v>0</v>
      </c>
      <c r="CF99" s="33" t="n">
        <f aca="false">$E99*CF13</f>
        <v>0</v>
      </c>
      <c r="CG99" s="33" t="n">
        <f aca="false">$E99*CG13</f>
        <v>0</v>
      </c>
      <c r="CH99" s="33" t="n">
        <f aca="false">$E99*CH13</f>
        <v>0</v>
      </c>
      <c r="CI99" s="33" t="n">
        <f aca="false">$E99*CI13</f>
        <v>0</v>
      </c>
      <c r="CJ99" s="33" t="n">
        <f aca="false">$E99*CJ13</f>
        <v>0</v>
      </c>
      <c r="CK99" s="33" t="n">
        <f aca="false">$E99*CK13</f>
        <v>0</v>
      </c>
      <c r="CL99" s="33" t="n">
        <f aca="false">$E99*CL13</f>
        <v>0</v>
      </c>
      <c r="CM99" s="33" t="n">
        <f aca="false">$E99*CM13</f>
        <v>0</v>
      </c>
      <c r="CN99" s="33" t="n">
        <f aca="false">$E99*CN13</f>
        <v>0</v>
      </c>
      <c r="CO99" s="33" t="n">
        <f aca="false">$E99*CO13</f>
        <v>0</v>
      </c>
      <c r="CP99" s="33" t="n">
        <f aca="false">$E99*CP13</f>
        <v>0</v>
      </c>
      <c r="CQ99" s="33" t="n">
        <f aca="false">$E99*CQ13</f>
        <v>0</v>
      </c>
      <c r="CR99" s="33" t="n">
        <f aca="false">$E99*CR13</f>
        <v>0</v>
      </c>
      <c r="CS99" s="33" t="n">
        <f aca="false">$E99*CS13</f>
        <v>0</v>
      </c>
      <c r="CT99" s="33" t="n">
        <f aca="false">$E99*CT13</f>
        <v>0</v>
      </c>
      <c r="CU99" s="33" t="n">
        <f aca="false">$E99*CU13</f>
        <v>0</v>
      </c>
      <c r="CV99" s="33" t="n">
        <f aca="false">$E99*CV13</f>
        <v>0</v>
      </c>
      <c r="CW99" s="33" t="n">
        <f aca="false">$E99*CW13</f>
        <v>0</v>
      </c>
      <c r="CX99" s="33" t="n">
        <f aca="false">$E99*CX13</f>
        <v>0</v>
      </c>
      <c r="CY99" s="33" t="n">
        <f aca="false">$E99*CY13</f>
        <v>0</v>
      </c>
      <c r="CZ99" s="33" t="n">
        <f aca="false">$E99*CZ13</f>
        <v>0</v>
      </c>
      <c r="DA99" s="33" t="n">
        <f aca="false">$E99*DA13</f>
        <v>0</v>
      </c>
      <c r="DB99" s="33" t="n">
        <f aca="false">$E99*DB13</f>
        <v>0</v>
      </c>
      <c r="DC99" s="33" t="n">
        <f aca="false">$E99*DC13</f>
        <v>0</v>
      </c>
      <c r="DD99" s="33" t="n">
        <f aca="false">$E99*DD13</f>
        <v>0</v>
      </c>
      <c r="DE99" s="33" t="n">
        <f aca="false">$E99*DE13</f>
        <v>0</v>
      </c>
      <c r="DF99" s="33" t="n">
        <f aca="false">$E99*DF13</f>
        <v>0</v>
      </c>
      <c r="DG99" s="33" t="n">
        <f aca="false">$E99*DG13</f>
        <v>0</v>
      </c>
      <c r="DH99" s="33" t="n">
        <f aca="false">$E99*DH13</f>
        <v>0</v>
      </c>
      <c r="DI99" s="33" t="n">
        <f aca="false">$E99*DI13</f>
        <v>0</v>
      </c>
      <c r="DJ99" s="33" t="n">
        <f aca="false">$E99*DJ13</f>
        <v>0</v>
      </c>
      <c r="DK99" s="33" t="n">
        <f aca="false">$E99*DK13</f>
        <v>0</v>
      </c>
      <c r="DL99" s="33" t="n">
        <f aca="false">$E99*DL13</f>
        <v>0</v>
      </c>
      <c r="DM99" s="33" t="n">
        <f aca="false">$E99*DM13</f>
        <v>0</v>
      </c>
      <c r="DN99" s="33" t="n">
        <f aca="false">$E99*DN13</f>
        <v>0</v>
      </c>
      <c r="DO99" s="33" t="n">
        <f aca="false">$E99*DO13</f>
        <v>0</v>
      </c>
      <c r="DP99" s="33" t="n">
        <f aca="false">$E99*DP13</f>
        <v>0</v>
      </c>
      <c r="DQ99" s="33" t="n">
        <f aca="false">$E99*DQ13</f>
        <v>0</v>
      </c>
      <c r="DR99" s="33" t="n">
        <f aca="false">$E99*DR13</f>
        <v>0</v>
      </c>
      <c r="DS99" s="33" t="n">
        <f aca="false">$E99*DS13</f>
        <v>0</v>
      </c>
      <c r="DT99" s="33" t="n">
        <f aca="false">$E99*DT13</f>
        <v>0</v>
      </c>
      <c r="DU99" s="33" t="n">
        <f aca="false">$E99*DU13</f>
        <v>0</v>
      </c>
      <c r="DV99" s="33" t="n">
        <f aca="false">$E99*DV13</f>
        <v>0</v>
      </c>
      <c r="DW99" s="33" t="n">
        <f aca="false">$E99*DW13</f>
        <v>0</v>
      </c>
      <c r="DX99" s="33" t="n">
        <f aca="false">$E99*DX13</f>
        <v>0</v>
      </c>
      <c r="DY99" s="33" t="n">
        <f aca="false">$E99*DY13</f>
        <v>0</v>
      </c>
      <c r="DZ99" s="33" t="n">
        <f aca="false">$E99*DZ13</f>
        <v>0</v>
      </c>
      <c r="EA99" s="33" t="n">
        <f aca="false">$E99*EA13</f>
        <v>0</v>
      </c>
      <c r="EB99" s="33" t="n">
        <f aca="false">$E99*EB13</f>
        <v>0</v>
      </c>
      <c r="EC99" s="33" t="n">
        <f aca="false">$E99*EC13</f>
        <v>0</v>
      </c>
      <c r="ED99" s="33" t="n">
        <f aca="false">$E99*ED13</f>
        <v>0</v>
      </c>
      <c r="EE99" s="33" t="n">
        <f aca="false">$E99*EE13</f>
        <v>0</v>
      </c>
      <c r="EF99" s="33" t="n">
        <f aca="false">$E99*EF13</f>
        <v>0</v>
      </c>
      <c r="EG99" s="33" t="n">
        <f aca="false">$E99*EG13</f>
        <v>0</v>
      </c>
      <c r="EH99" s="33" t="n">
        <f aca="false">$E99*EH13</f>
        <v>0</v>
      </c>
      <c r="EI99" s="33" t="n">
        <f aca="false">$E99*EI13</f>
        <v>0</v>
      </c>
      <c r="EJ99" s="33" t="n">
        <f aca="false">$E99*EJ13</f>
        <v>0</v>
      </c>
      <c r="EK99" s="33" t="n">
        <f aca="false">$E99*EK13</f>
        <v>0</v>
      </c>
      <c r="EL99" s="33" t="n">
        <f aca="false">$E99*EL13</f>
        <v>0</v>
      </c>
      <c r="EM99" s="33" t="n">
        <f aca="false">$E99*EM13</f>
        <v>0</v>
      </c>
      <c r="EN99" s="33" t="n">
        <f aca="false">$E99*EN13</f>
        <v>0</v>
      </c>
      <c r="EO99" s="33" t="n">
        <f aca="false">$E99*EO13</f>
        <v>0</v>
      </c>
      <c r="EP99" s="33" t="n">
        <f aca="false">$E99*EP13</f>
        <v>0</v>
      </c>
      <c r="EQ99" s="33" t="n">
        <f aca="false">$E99*EQ13</f>
        <v>0</v>
      </c>
      <c r="ER99" s="33" t="n">
        <f aca="false">$E99*ER13</f>
        <v>0</v>
      </c>
      <c r="ES99" s="33" t="n">
        <f aca="false">$E99*ES13</f>
        <v>0</v>
      </c>
      <c r="ET99" s="33" t="n">
        <f aca="false">$E99*ET13</f>
        <v>0</v>
      </c>
    </row>
    <row r="100" customFormat="false" ht="15" hidden="false" customHeight="false" outlineLevel="0" collapsed="false">
      <c r="C100" s="0" t="s">
        <v>557</v>
      </c>
      <c r="D100" s="11" t="s">
        <v>253</v>
      </c>
      <c r="F100" s="53" t="n">
        <f aca="false">In_Debt_Rate*Months_Per_Period/Months_In_Year</f>
        <v>0.0125</v>
      </c>
      <c r="I100" s="33" t="n">
        <f aca="false">SUM(J100:ET100)</f>
        <v>4263.42718977436</v>
      </c>
      <c r="J100" s="33" t="n">
        <f aca="false">J98*$F100*(J$4&lt;=In_COD)</f>
        <v>0</v>
      </c>
      <c r="K100" s="33" t="n">
        <f aca="false">K98*$F100*(K$4&lt;=In_COD)</f>
        <v>0</v>
      </c>
      <c r="L100" s="33" t="n">
        <f aca="false">L98*$F100*(L$4&lt;=In_COD)</f>
        <v>0</v>
      </c>
      <c r="M100" s="33" t="n">
        <f aca="false">M98*$F100*(M$4&lt;=In_COD)</f>
        <v>0</v>
      </c>
      <c r="N100" s="33" t="n">
        <f aca="false">N98*$F100*(N$4&lt;=In_COD)</f>
        <v>0</v>
      </c>
      <c r="O100" s="33" t="n">
        <f aca="false">O98*$F100*(O$4&lt;=In_COD)</f>
        <v>0</v>
      </c>
      <c r="P100" s="33" t="n">
        <f aca="false">P98*$F100*(P$4&lt;=In_COD)</f>
        <v>0</v>
      </c>
      <c r="Q100" s="33" t="n">
        <f aca="false">Q98*$F100*(Q$4&lt;=In_COD)</f>
        <v>0</v>
      </c>
      <c r="R100" s="33" t="n">
        <f aca="false">R98*$F100*(R$4&lt;=In_COD)</f>
        <v>0</v>
      </c>
      <c r="S100" s="33" t="n">
        <f aca="false">S98*$F100*(S$4&lt;=In_COD)</f>
        <v>0</v>
      </c>
      <c r="T100" s="33" t="n">
        <f aca="false">T98*$F100*(T$4&lt;=In_COD)</f>
        <v>0</v>
      </c>
      <c r="U100" s="33" t="n">
        <f aca="false">U98*$F100*(U$4&lt;=In_COD)</f>
        <v>0</v>
      </c>
      <c r="V100" s="33" t="n">
        <f aca="false">V98*$F100*(V$4&lt;=In_COD)</f>
        <v>0</v>
      </c>
      <c r="W100" s="33" t="n">
        <f aca="false">W98*$F100*(W$4&lt;=In_COD)</f>
        <v>0</v>
      </c>
      <c r="X100" s="33" t="n">
        <f aca="false">X98*$F100*(X$4&lt;=In_COD)</f>
        <v>149.771955221468</v>
      </c>
      <c r="Y100" s="33" t="n">
        <f aca="false">Y98*$F100*(Y$4&lt;=In_COD)</f>
        <v>298.160147813171</v>
      </c>
      <c r="Z100" s="33" t="n">
        <f aca="false">Z98*$F100*(Z$4&lt;=In_COD)</f>
        <v>450.031148847288</v>
      </c>
      <c r="AA100" s="33" t="n">
        <f aca="false">AA98*$F100*(AA$4&lt;=In_COD)</f>
        <v>605.428493429346</v>
      </c>
      <c r="AB100" s="33" t="n">
        <f aca="false">AB98*$F100*(AB$4&lt;=In_COD)</f>
        <v>762.768304818681</v>
      </c>
      <c r="AC100" s="33" t="n">
        <f aca="false">AC98*$F100*(AC$4&lt;=In_COD)</f>
        <v>918.81895178035</v>
      </c>
      <c r="AD100" s="33" t="n">
        <f aca="false">AD98*$F100*(AD$4&lt;=In_COD)</f>
        <v>1078.44818786406</v>
      </c>
      <c r="AE100" s="33" t="n">
        <f aca="false">AE98*$F100*(AE$4&lt;=In_COD)</f>
        <v>0</v>
      </c>
      <c r="AF100" s="33" t="n">
        <f aca="false">AF98*$F100*(AF$4&lt;=In_COD)</f>
        <v>0</v>
      </c>
      <c r="AG100" s="33" t="n">
        <f aca="false">AG98*$F100*(AG$4&lt;=In_COD)</f>
        <v>0</v>
      </c>
      <c r="AH100" s="33" t="n">
        <f aca="false">AH98*$F100*(AH$4&lt;=In_COD)</f>
        <v>0</v>
      </c>
      <c r="AI100" s="33" t="n">
        <f aca="false">AI98*$F100*(AI$4&lt;=In_COD)</f>
        <v>0</v>
      </c>
      <c r="AJ100" s="33" t="n">
        <f aca="false">AJ98*$F100*(AJ$4&lt;=In_COD)</f>
        <v>0</v>
      </c>
      <c r="AK100" s="33" t="n">
        <f aca="false">AK98*$F100*(AK$4&lt;=In_COD)</f>
        <v>0</v>
      </c>
      <c r="AL100" s="33" t="n">
        <f aca="false">AL98*$F100*(AL$4&lt;=In_COD)</f>
        <v>0</v>
      </c>
      <c r="AM100" s="33" t="n">
        <f aca="false">AM98*$F100*(AM$4&lt;=In_COD)</f>
        <v>0</v>
      </c>
      <c r="AN100" s="33" t="n">
        <f aca="false">AN98*$F100*(AN$4&lt;=In_COD)</f>
        <v>0</v>
      </c>
      <c r="AO100" s="33" t="n">
        <f aca="false">AO98*$F100*(AO$4&lt;=In_COD)</f>
        <v>0</v>
      </c>
      <c r="AP100" s="33" t="n">
        <f aca="false">AP98*$F100*(AP$4&lt;=In_COD)</f>
        <v>0</v>
      </c>
      <c r="AQ100" s="33" t="n">
        <f aca="false">AQ98*$F100*(AQ$4&lt;=In_COD)</f>
        <v>0</v>
      </c>
      <c r="AR100" s="33" t="n">
        <f aca="false">AR98*$F100*(AR$4&lt;=In_COD)</f>
        <v>0</v>
      </c>
      <c r="AS100" s="33" t="n">
        <f aca="false">AS98*$F100*(AS$4&lt;=In_COD)</f>
        <v>0</v>
      </c>
      <c r="AT100" s="33" t="n">
        <f aca="false">AT98*$F100*(AT$4&lt;=In_COD)</f>
        <v>0</v>
      </c>
      <c r="AU100" s="33" t="n">
        <f aca="false">AU98*$F100*(AU$4&lt;=In_COD)</f>
        <v>0</v>
      </c>
      <c r="AV100" s="33" t="n">
        <f aca="false">AV98*$F100*(AV$4&lt;=In_COD)</f>
        <v>0</v>
      </c>
      <c r="AW100" s="33" t="n">
        <f aca="false">AW98*$F100*(AW$4&lt;=In_COD)</f>
        <v>0</v>
      </c>
      <c r="AX100" s="33" t="n">
        <f aca="false">AX98*$F100*(AX$4&lt;=In_COD)</f>
        <v>0</v>
      </c>
      <c r="AY100" s="33" t="n">
        <f aca="false">AY98*$F100*(AY$4&lt;=In_COD)</f>
        <v>0</v>
      </c>
      <c r="AZ100" s="33" t="n">
        <f aca="false">AZ98*$F100*(AZ$4&lt;=In_COD)</f>
        <v>0</v>
      </c>
      <c r="BA100" s="33" t="n">
        <f aca="false">BA98*$F100*(BA$4&lt;=In_COD)</f>
        <v>0</v>
      </c>
      <c r="BB100" s="33" t="n">
        <f aca="false">BB98*$F100*(BB$4&lt;=In_COD)</f>
        <v>0</v>
      </c>
      <c r="BC100" s="33" t="n">
        <f aca="false">BC98*$F100*(BC$4&lt;=In_COD)</f>
        <v>0</v>
      </c>
      <c r="BD100" s="33" t="n">
        <f aca="false">BD98*$F100*(BD$4&lt;=In_COD)</f>
        <v>0</v>
      </c>
      <c r="BE100" s="33" t="n">
        <f aca="false">BE98*$F100*(BE$4&lt;=In_COD)</f>
        <v>0</v>
      </c>
      <c r="BF100" s="33" t="n">
        <f aca="false">BF98*$F100*(BF$4&lt;=In_COD)</f>
        <v>0</v>
      </c>
      <c r="BG100" s="33" t="n">
        <f aca="false">BG98*$F100*(BG$4&lt;=In_COD)</f>
        <v>0</v>
      </c>
      <c r="BH100" s="33" t="n">
        <f aca="false">BH98*$F100*(BH$4&lt;=In_COD)</f>
        <v>0</v>
      </c>
      <c r="BI100" s="33" t="n">
        <f aca="false">BI98*$F100*(BI$4&lt;=In_COD)</f>
        <v>0</v>
      </c>
      <c r="BJ100" s="33" t="n">
        <f aca="false">BJ98*$F100*(BJ$4&lt;=In_COD)</f>
        <v>0</v>
      </c>
      <c r="BK100" s="33" t="n">
        <f aca="false">BK98*$F100*(BK$4&lt;=In_COD)</f>
        <v>0</v>
      </c>
      <c r="BL100" s="33" t="n">
        <f aca="false">BL98*$F100*(BL$4&lt;=In_COD)</f>
        <v>0</v>
      </c>
      <c r="BM100" s="33" t="n">
        <f aca="false">BM98*$F100*(BM$4&lt;=In_COD)</f>
        <v>0</v>
      </c>
      <c r="BN100" s="33" t="n">
        <f aca="false">BN98*$F100*(BN$4&lt;=In_COD)</f>
        <v>0</v>
      </c>
      <c r="BO100" s="33" t="n">
        <f aca="false">BO98*$F100*(BO$4&lt;=In_COD)</f>
        <v>0</v>
      </c>
      <c r="BP100" s="33" t="n">
        <f aca="false">BP98*$F100*(BP$4&lt;=In_COD)</f>
        <v>0</v>
      </c>
      <c r="BQ100" s="33" t="n">
        <f aca="false">BQ98*$F100*(BQ$4&lt;=In_COD)</f>
        <v>0</v>
      </c>
      <c r="BR100" s="33" t="n">
        <f aca="false">BR98*$F100*(BR$4&lt;=In_COD)</f>
        <v>0</v>
      </c>
      <c r="BS100" s="33" t="n">
        <f aca="false">BS98*$F100*(BS$4&lt;=In_COD)</f>
        <v>0</v>
      </c>
      <c r="BT100" s="33" t="n">
        <f aca="false">BT98*$F100*(BT$4&lt;=In_COD)</f>
        <v>0</v>
      </c>
      <c r="BU100" s="33" t="n">
        <f aca="false">BU98*$F100*(BU$4&lt;=In_COD)</f>
        <v>0</v>
      </c>
      <c r="BV100" s="33" t="n">
        <f aca="false">BV98*$F100*(BV$4&lt;=In_COD)</f>
        <v>0</v>
      </c>
      <c r="BW100" s="33" t="n">
        <f aca="false">BW98*$F100*(BW$4&lt;=In_COD)</f>
        <v>0</v>
      </c>
      <c r="BX100" s="33" t="n">
        <f aca="false">BX98*$F100*(BX$4&lt;=In_COD)</f>
        <v>0</v>
      </c>
      <c r="BY100" s="33" t="n">
        <f aca="false">BY98*$F100*(BY$4&lt;=In_COD)</f>
        <v>0</v>
      </c>
      <c r="BZ100" s="33" t="n">
        <f aca="false">BZ98*$F100*(BZ$4&lt;=In_COD)</f>
        <v>0</v>
      </c>
      <c r="CA100" s="33" t="n">
        <f aca="false">CA98*$F100*(CA$4&lt;=In_COD)</f>
        <v>0</v>
      </c>
      <c r="CB100" s="33" t="n">
        <f aca="false">CB98*$F100*(CB$4&lt;=In_COD)</f>
        <v>0</v>
      </c>
      <c r="CC100" s="33" t="n">
        <f aca="false">CC98*$F100*(CC$4&lt;=In_COD)</f>
        <v>0</v>
      </c>
      <c r="CD100" s="33" t="n">
        <f aca="false">CD98*$F100*(CD$4&lt;=In_COD)</f>
        <v>0</v>
      </c>
      <c r="CE100" s="33" t="n">
        <f aca="false">CE98*$F100*(CE$4&lt;=In_COD)</f>
        <v>0</v>
      </c>
      <c r="CF100" s="33" t="n">
        <f aca="false">CF98*$F100*(CF$4&lt;=In_COD)</f>
        <v>0</v>
      </c>
      <c r="CG100" s="33" t="n">
        <f aca="false">CG98*$F100*(CG$4&lt;=In_COD)</f>
        <v>0</v>
      </c>
      <c r="CH100" s="33" t="n">
        <f aca="false">CH98*$F100*(CH$4&lt;=In_COD)</f>
        <v>0</v>
      </c>
      <c r="CI100" s="33" t="n">
        <f aca="false">CI98*$F100*(CI$4&lt;=In_COD)</f>
        <v>0</v>
      </c>
      <c r="CJ100" s="33" t="n">
        <f aca="false">CJ98*$F100*(CJ$4&lt;=In_COD)</f>
        <v>0</v>
      </c>
      <c r="CK100" s="33" t="n">
        <f aca="false">CK98*$F100*(CK$4&lt;=In_COD)</f>
        <v>0</v>
      </c>
      <c r="CL100" s="33" t="n">
        <f aca="false">CL98*$F100*(CL$4&lt;=In_COD)</f>
        <v>0</v>
      </c>
      <c r="CM100" s="33" t="n">
        <f aca="false">CM98*$F100*(CM$4&lt;=In_COD)</f>
        <v>0</v>
      </c>
      <c r="CN100" s="33" t="n">
        <f aca="false">CN98*$F100*(CN$4&lt;=In_COD)</f>
        <v>0</v>
      </c>
      <c r="CO100" s="33" t="n">
        <f aca="false">CO98*$F100*(CO$4&lt;=In_COD)</f>
        <v>0</v>
      </c>
      <c r="CP100" s="33" t="n">
        <f aca="false">CP98*$F100*(CP$4&lt;=In_COD)</f>
        <v>0</v>
      </c>
      <c r="CQ100" s="33" t="n">
        <f aca="false">CQ98*$F100*(CQ$4&lt;=In_COD)</f>
        <v>0</v>
      </c>
      <c r="CR100" s="33" t="n">
        <f aca="false">CR98*$F100*(CR$4&lt;=In_COD)</f>
        <v>0</v>
      </c>
      <c r="CS100" s="33" t="n">
        <f aca="false">CS98*$F100*(CS$4&lt;=In_COD)</f>
        <v>0</v>
      </c>
      <c r="CT100" s="33" t="n">
        <f aca="false">CT98*$F100*(CT$4&lt;=In_COD)</f>
        <v>0</v>
      </c>
      <c r="CU100" s="33" t="n">
        <f aca="false">CU98*$F100*(CU$4&lt;=In_COD)</f>
        <v>0</v>
      </c>
      <c r="CV100" s="33" t="n">
        <f aca="false">CV98*$F100*(CV$4&lt;=In_COD)</f>
        <v>0</v>
      </c>
      <c r="CW100" s="33" t="n">
        <f aca="false">CW98*$F100*(CW$4&lt;=In_COD)</f>
        <v>0</v>
      </c>
      <c r="CX100" s="33" t="n">
        <f aca="false">CX98*$F100*(CX$4&lt;=In_COD)</f>
        <v>0</v>
      </c>
      <c r="CY100" s="33" t="n">
        <f aca="false">CY98*$F100*(CY$4&lt;=In_COD)</f>
        <v>0</v>
      </c>
      <c r="CZ100" s="33" t="n">
        <f aca="false">CZ98*$F100*(CZ$4&lt;=In_COD)</f>
        <v>0</v>
      </c>
      <c r="DA100" s="33" t="n">
        <f aca="false">DA98*$F100*(DA$4&lt;=In_COD)</f>
        <v>0</v>
      </c>
      <c r="DB100" s="33" t="n">
        <f aca="false">DB98*$F100*(DB$4&lt;=In_COD)</f>
        <v>0</v>
      </c>
      <c r="DC100" s="33" t="n">
        <f aca="false">DC98*$F100*(DC$4&lt;=In_COD)</f>
        <v>0</v>
      </c>
      <c r="DD100" s="33" t="n">
        <f aca="false">DD98*$F100*(DD$4&lt;=In_COD)</f>
        <v>0</v>
      </c>
      <c r="DE100" s="33" t="n">
        <f aca="false">DE98*$F100*(DE$4&lt;=In_COD)</f>
        <v>0</v>
      </c>
      <c r="DF100" s="33" t="n">
        <f aca="false">DF98*$F100*(DF$4&lt;=In_COD)</f>
        <v>0</v>
      </c>
      <c r="DG100" s="33" t="n">
        <f aca="false">DG98*$F100*(DG$4&lt;=In_COD)</f>
        <v>0</v>
      </c>
      <c r="DH100" s="33" t="n">
        <f aca="false">DH98*$F100*(DH$4&lt;=In_COD)</f>
        <v>0</v>
      </c>
      <c r="DI100" s="33" t="n">
        <f aca="false">DI98*$F100*(DI$4&lt;=In_COD)</f>
        <v>0</v>
      </c>
      <c r="DJ100" s="33" t="n">
        <f aca="false">DJ98*$F100*(DJ$4&lt;=In_COD)</f>
        <v>0</v>
      </c>
      <c r="DK100" s="33" t="n">
        <f aca="false">DK98*$F100*(DK$4&lt;=In_COD)</f>
        <v>0</v>
      </c>
      <c r="DL100" s="33" t="n">
        <f aca="false">DL98*$F100*(DL$4&lt;=In_COD)</f>
        <v>0</v>
      </c>
      <c r="DM100" s="33" t="n">
        <f aca="false">DM98*$F100*(DM$4&lt;=In_COD)</f>
        <v>0</v>
      </c>
      <c r="DN100" s="33" t="n">
        <f aca="false">DN98*$F100*(DN$4&lt;=In_COD)</f>
        <v>0</v>
      </c>
      <c r="DO100" s="33" t="n">
        <f aca="false">DO98*$F100*(DO$4&lt;=In_COD)</f>
        <v>0</v>
      </c>
      <c r="DP100" s="33" t="n">
        <f aca="false">DP98*$F100*(DP$4&lt;=In_COD)</f>
        <v>0</v>
      </c>
      <c r="DQ100" s="33" t="n">
        <f aca="false">DQ98*$F100*(DQ$4&lt;=In_COD)</f>
        <v>0</v>
      </c>
      <c r="DR100" s="33" t="n">
        <f aca="false">DR98*$F100*(DR$4&lt;=In_COD)</f>
        <v>0</v>
      </c>
      <c r="DS100" s="33" t="n">
        <f aca="false">DS98*$F100*(DS$4&lt;=In_COD)</f>
        <v>0</v>
      </c>
      <c r="DT100" s="33" t="n">
        <f aca="false">DT98*$F100*(DT$4&lt;=In_COD)</f>
        <v>0</v>
      </c>
      <c r="DU100" s="33" t="n">
        <f aca="false">DU98*$F100*(DU$4&lt;=In_COD)</f>
        <v>0</v>
      </c>
      <c r="DV100" s="33" t="n">
        <f aca="false">DV98*$F100*(DV$4&lt;=In_COD)</f>
        <v>0</v>
      </c>
      <c r="DW100" s="33" t="n">
        <f aca="false">DW98*$F100*(DW$4&lt;=In_COD)</f>
        <v>0</v>
      </c>
      <c r="DX100" s="33" t="n">
        <f aca="false">DX98*$F100*(DX$4&lt;=In_COD)</f>
        <v>0</v>
      </c>
      <c r="DY100" s="33" t="n">
        <f aca="false">DY98*$F100*(DY$4&lt;=In_COD)</f>
        <v>0</v>
      </c>
      <c r="DZ100" s="33" t="n">
        <f aca="false">DZ98*$F100*(DZ$4&lt;=In_COD)</f>
        <v>0</v>
      </c>
      <c r="EA100" s="33" t="n">
        <f aca="false">EA98*$F100*(EA$4&lt;=In_COD)</f>
        <v>0</v>
      </c>
      <c r="EB100" s="33" t="n">
        <f aca="false">EB98*$F100*(EB$4&lt;=In_COD)</f>
        <v>0</v>
      </c>
      <c r="EC100" s="33" t="n">
        <f aca="false">EC98*$F100*(EC$4&lt;=In_COD)</f>
        <v>0</v>
      </c>
      <c r="ED100" s="33" t="n">
        <f aca="false">ED98*$F100*(ED$4&lt;=In_COD)</f>
        <v>0</v>
      </c>
      <c r="EE100" s="33" t="n">
        <f aca="false">EE98*$F100*(EE$4&lt;=In_COD)</f>
        <v>0</v>
      </c>
      <c r="EF100" s="33" t="n">
        <f aca="false">EF98*$F100*(EF$4&lt;=In_COD)</f>
        <v>0</v>
      </c>
      <c r="EG100" s="33" t="n">
        <f aca="false">EG98*$F100*(EG$4&lt;=In_COD)</f>
        <v>0</v>
      </c>
      <c r="EH100" s="33" t="n">
        <f aca="false">EH98*$F100*(EH$4&lt;=In_COD)</f>
        <v>0</v>
      </c>
      <c r="EI100" s="33" t="n">
        <f aca="false">EI98*$F100*(EI$4&lt;=In_COD)</f>
        <v>0</v>
      </c>
      <c r="EJ100" s="33" t="n">
        <f aca="false">EJ98*$F100*(EJ$4&lt;=In_COD)</f>
        <v>0</v>
      </c>
      <c r="EK100" s="33" t="n">
        <f aca="false">EK98*$F100*(EK$4&lt;=In_COD)</f>
        <v>0</v>
      </c>
      <c r="EL100" s="33" t="n">
        <f aca="false">EL98*$F100*(EL$4&lt;=In_COD)</f>
        <v>0</v>
      </c>
      <c r="EM100" s="33" t="n">
        <f aca="false">EM98*$F100*(EM$4&lt;=In_COD)</f>
        <v>0</v>
      </c>
      <c r="EN100" s="33" t="n">
        <f aca="false">EN98*$F100*(EN$4&lt;=In_COD)</f>
        <v>0</v>
      </c>
      <c r="EO100" s="33" t="n">
        <f aca="false">EO98*$F100*(EO$4&lt;=In_COD)</f>
        <v>0</v>
      </c>
      <c r="EP100" s="33" t="n">
        <f aca="false">EP98*$F100*(EP$4&lt;=In_COD)</f>
        <v>0</v>
      </c>
      <c r="EQ100" s="33" t="n">
        <f aca="false">EQ98*$F100*(EQ$4&lt;=In_COD)</f>
        <v>0</v>
      </c>
      <c r="ER100" s="33" t="n">
        <f aca="false">ER98*$F100*(ER$4&lt;=In_COD)</f>
        <v>0</v>
      </c>
      <c r="ES100" s="33" t="n">
        <f aca="false">ES98*$F100*(ES$4&lt;=In_COD)</f>
        <v>0</v>
      </c>
      <c r="ET100" s="33" t="n">
        <f aca="false">ET98*$F100*(ET$4&lt;=In_COD)</f>
        <v>0</v>
      </c>
    </row>
    <row r="101" customFormat="false" ht="15" hidden="false" customHeight="false" outlineLevel="0" collapsed="false">
      <c r="C101" s="0" t="s">
        <v>558</v>
      </c>
      <c r="D101" s="11" t="s">
        <v>253</v>
      </c>
      <c r="I101" s="33" t="n">
        <f aca="false">SUM(J101:ET101)</f>
        <v>-99336.0596347059</v>
      </c>
      <c r="J101" s="33" t="n">
        <f aca="false">PPMT($F100,1,In_Debt_Tenor*Months_In_Year/Months_Per_Period-SUM($J17:J17)+1,J98)*J17</f>
        <v>0</v>
      </c>
      <c r="K101" s="33" t="n">
        <f aca="false">PPMT($F100,1,In_Debt_Tenor*Months_In_Year/Months_Per_Period-SUM($J17:K17)+1,K98)*K17</f>
        <v>0</v>
      </c>
      <c r="L101" s="33" t="n">
        <f aca="false">PPMT($F100,1,In_Debt_Tenor*Months_In_Year/Months_Per_Period-SUM($J17:L17)+1,L98)*L17</f>
        <v>0</v>
      </c>
      <c r="M101" s="33" t="n">
        <f aca="false">PPMT($F100,1,In_Debt_Tenor*Months_In_Year/Months_Per_Period-SUM($J17:M17)+1,M98)*M17</f>
        <v>0</v>
      </c>
      <c r="N101" s="33" t="n">
        <f aca="false">PPMT($F100,1,In_Debt_Tenor*Months_In_Year/Months_Per_Period-SUM($J17:N17)+1,N98)*N17</f>
        <v>0</v>
      </c>
      <c r="O101" s="33" t="n">
        <f aca="false">PPMT($F100,1,In_Debt_Tenor*Months_In_Year/Months_Per_Period-SUM($J17:O17)+1,O98)*O17</f>
        <v>0</v>
      </c>
      <c r="P101" s="33" t="n">
        <f aca="false">PPMT($F100,1,In_Debt_Tenor*Months_In_Year/Months_Per_Period-SUM($J17:P17)+1,P98)*P17</f>
        <v>0</v>
      </c>
      <c r="Q101" s="33" t="n">
        <f aca="false">PPMT($F100,1,In_Debt_Tenor*Months_In_Year/Months_Per_Period-SUM($J17:Q17)+1,Q98)*Q17</f>
        <v>0</v>
      </c>
      <c r="R101" s="33" t="n">
        <f aca="false">PPMT($F100,1,In_Debt_Tenor*Months_In_Year/Months_Per_Period-SUM($J17:R17)+1,R98)*R17</f>
        <v>0</v>
      </c>
      <c r="S101" s="33" t="n">
        <f aca="false">PPMT($F100,1,In_Debt_Tenor*Months_In_Year/Months_Per_Period-SUM($J17:S17)+1,S98)*S17</f>
        <v>0</v>
      </c>
      <c r="T101" s="33" t="n">
        <f aca="false">PPMT($F100,1,In_Debt_Tenor*Months_In_Year/Months_Per_Period-SUM($J17:T17)+1,T98)*T17</f>
        <v>0</v>
      </c>
      <c r="U101" s="33" t="n">
        <f aca="false">PPMT($F100,1,In_Debt_Tenor*Months_In_Year/Months_Per_Period-SUM($J17:U17)+1,U98)*U17</f>
        <v>0</v>
      </c>
      <c r="V101" s="33" t="n">
        <f aca="false">PPMT($F100,1,In_Debt_Tenor*Months_In_Year/Months_Per_Period-SUM($J17:V17)+1,V98)*V17</f>
        <v>0</v>
      </c>
      <c r="W101" s="33" t="n">
        <f aca="false">PPMT($F100,1,In_Debt_Tenor*Months_In_Year/Months_Per_Period-SUM($J17:W17)+1,W98)*W17</f>
        <v>0</v>
      </c>
      <c r="X101" s="33" t="n">
        <f aca="false">PPMT($F100,1,In_Debt_Tenor*Months_In_Year/Months_Per_Period-SUM($J17:X17)+1,X98)*X17</f>
        <v>-0</v>
      </c>
      <c r="Y101" s="33" t="n">
        <f aca="false">PPMT($F100,1,In_Debt_Tenor*Months_In_Year/Months_Per_Period-SUM($J17:Y17)+1,Y98)*Y17</f>
        <v>-0</v>
      </c>
      <c r="Z101" s="33" t="n">
        <f aca="false">PPMT($F100,1,In_Debt_Tenor*Months_In_Year/Months_Per_Period-SUM($J17:Z17)+1,Z98)*Z17</f>
        <v>-0</v>
      </c>
      <c r="AA101" s="33" t="n">
        <f aca="false">PPMT($F100,1,In_Debt_Tenor*Months_In_Year/Months_Per_Period-SUM($J17:AA17)+1,AA98)*AA17</f>
        <v>-0</v>
      </c>
      <c r="AB101" s="33" t="n">
        <f aca="false">PPMT($F100,1,In_Debt_Tenor*Months_In_Year/Months_Per_Period-SUM($J17:AB17)+1,AB98)*AB17</f>
        <v>-0</v>
      </c>
      <c r="AC101" s="33" t="n">
        <f aca="false">PPMT($F100,1,In_Debt_Tenor*Months_In_Year/Months_Per_Period-SUM($J17:AC17)+1,AC98)*AC17</f>
        <v>-0</v>
      </c>
      <c r="AD101" s="33" t="n">
        <f aca="false">PPMT($F100,1,In_Debt_Tenor*Months_In_Year/Months_Per_Period-SUM($J17:AD17)+1,AD98)*AD17</f>
        <v>-0</v>
      </c>
      <c r="AE101" s="33" t="n">
        <f aca="false">PPMT($F100,1,In_Debt_Tenor*Months_In_Year/Months_Per_Period-SUM($J17:AE17)+1,AE98)*AE17</f>
        <v>-1929.24673021309</v>
      </c>
      <c r="AF101" s="33" t="n">
        <f aca="false">PPMT($F100,1,In_Debt_Tenor*Months_In_Year/Months_Per_Period-SUM($J17:AF17)+1,AF98)*AF17</f>
        <v>-1953.36231434075</v>
      </c>
      <c r="AG101" s="33" t="n">
        <f aca="false">PPMT($F100,1,In_Debt_Tenor*Months_In_Year/Months_Per_Period-SUM($J17:AG17)+1,AG98)*AG17</f>
        <v>-1977.77934327001</v>
      </c>
      <c r="AH101" s="33" t="n">
        <f aca="false">PPMT($F100,1,In_Debt_Tenor*Months_In_Year/Months_Per_Period-SUM($J17:AH17)+1,AH98)*AH17</f>
        <v>-2002.50158506089</v>
      </c>
      <c r="AI101" s="33" t="n">
        <f aca="false">PPMT($F100,1,In_Debt_Tenor*Months_In_Year/Months_Per_Period-SUM($J17:AI17)+1,AI98)*AI17</f>
        <v>-2027.53285487415</v>
      </c>
      <c r="AJ101" s="33" t="n">
        <f aca="false">PPMT($F100,1,In_Debt_Tenor*Months_In_Year/Months_Per_Period-SUM($J17:AJ17)+1,AJ98)*AJ17</f>
        <v>-2052.87701556008</v>
      </c>
      <c r="AK101" s="33" t="n">
        <f aca="false">PPMT($F100,1,In_Debt_Tenor*Months_In_Year/Months_Per_Period-SUM($J17:AK17)+1,AK98)*AK17</f>
        <v>-2078.53797825458</v>
      </c>
      <c r="AL101" s="33" t="n">
        <f aca="false">PPMT($F100,1,In_Debt_Tenor*Months_In_Year/Months_Per_Period-SUM($J17:AL17)+1,AL98)*AL17</f>
        <v>-2104.51970298276</v>
      </c>
      <c r="AM101" s="33" t="n">
        <f aca="false">PPMT($F100,1,In_Debt_Tenor*Months_In_Year/Months_Per_Period-SUM($J17:AM17)+1,AM98)*AM17</f>
        <v>-2130.82619927004</v>
      </c>
      <c r="AN101" s="33" t="n">
        <f aca="false">PPMT($F100,1,In_Debt_Tenor*Months_In_Year/Months_Per_Period-SUM($J17:AN17)+1,AN98)*AN17</f>
        <v>-2157.46152676092</v>
      </c>
      <c r="AO101" s="33" t="n">
        <f aca="false">PPMT($F100,1,In_Debt_Tenor*Months_In_Year/Months_Per_Period-SUM($J17:AO17)+1,AO98)*AO17</f>
        <v>-2184.42979584543</v>
      </c>
      <c r="AP101" s="33" t="n">
        <f aca="false">PPMT($F100,1,In_Debt_Tenor*Months_In_Year/Months_Per_Period-SUM($J17:AP17)+1,AP98)*AP17</f>
        <v>-2211.7351682935</v>
      </c>
      <c r="AQ101" s="33" t="n">
        <f aca="false">PPMT($F100,1,In_Debt_Tenor*Months_In_Year/Months_Per_Period-SUM($J17:AQ17)+1,AQ98)*AQ17</f>
        <v>-2239.38185789717</v>
      </c>
      <c r="AR101" s="33" t="n">
        <f aca="false">PPMT($F100,1,In_Debt_Tenor*Months_In_Year/Months_Per_Period-SUM($J17:AR17)+1,AR98)*AR17</f>
        <v>-2267.37413112088</v>
      </c>
      <c r="AS101" s="33" t="n">
        <f aca="false">PPMT($F100,1,In_Debt_Tenor*Months_In_Year/Months_Per_Period-SUM($J17:AS17)+1,AS98)*AS17</f>
        <v>-2295.71630775989</v>
      </c>
      <c r="AT101" s="33" t="n">
        <f aca="false">PPMT($F100,1,In_Debt_Tenor*Months_In_Year/Months_Per_Period-SUM($J17:AT17)+1,AT98)*AT17</f>
        <v>-2324.41276160689</v>
      </c>
      <c r="AU101" s="33" t="n">
        <f aca="false">PPMT($F100,1,In_Debt_Tenor*Months_In_Year/Months_Per_Period-SUM($J17:AU17)+1,AU98)*AU17</f>
        <v>-2353.46792112698</v>
      </c>
      <c r="AV101" s="33" t="n">
        <f aca="false">PPMT($F100,1,In_Debt_Tenor*Months_In_Year/Months_Per_Period-SUM($J17:AV17)+1,AV98)*AV17</f>
        <v>-2382.88627014107</v>
      </c>
      <c r="AW101" s="33" t="n">
        <f aca="false">PPMT($F100,1,In_Debt_Tenor*Months_In_Year/Months_Per_Period-SUM($J17:AW17)+1,AW98)*AW17</f>
        <v>-2412.67234851783</v>
      </c>
      <c r="AX101" s="33" t="n">
        <f aca="false">PPMT($F100,1,In_Debt_Tenor*Months_In_Year/Months_Per_Period-SUM($J17:AX17)+1,AX98)*AX17</f>
        <v>-2442.8307528743</v>
      </c>
      <c r="AY101" s="33" t="n">
        <f aca="false">PPMT($F100,1,In_Debt_Tenor*Months_In_Year/Months_Per_Period-SUM($J17:AY17)+1,AY98)*AY17</f>
        <v>-2473.36613728523</v>
      </c>
      <c r="AZ101" s="33" t="n">
        <f aca="false">PPMT($F100,1,In_Debt_Tenor*Months_In_Year/Months_Per_Period-SUM($J17:AZ17)+1,AZ98)*AZ17</f>
        <v>-2504.2832140013</v>
      </c>
      <c r="BA101" s="33" t="n">
        <f aca="false">PPMT($F100,1,In_Debt_Tenor*Months_In_Year/Months_Per_Period-SUM($J17:BA17)+1,BA98)*BA17</f>
        <v>-2535.58675417631</v>
      </c>
      <c r="BB101" s="33" t="n">
        <f aca="false">PPMT($F100,1,In_Debt_Tenor*Months_In_Year/Months_Per_Period-SUM($J17:BB17)+1,BB98)*BB17</f>
        <v>-2567.28158860352</v>
      </c>
      <c r="BC101" s="33" t="n">
        <f aca="false">PPMT($F100,1,In_Debt_Tenor*Months_In_Year/Months_Per_Period-SUM($J17:BC17)+1,BC98)*BC17</f>
        <v>-2599.37260846106</v>
      </c>
      <c r="BD101" s="33" t="n">
        <f aca="false">PPMT($F100,1,In_Debt_Tenor*Months_In_Year/Months_Per_Period-SUM($J17:BD17)+1,BD98)*BD17</f>
        <v>-2631.86476606682</v>
      </c>
      <c r="BE101" s="33" t="n">
        <f aca="false">PPMT($F100,1,In_Debt_Tenor*Months_In_Year/Months_Per_Period-SUM($J17:BE17)+1,BE98)*BE17</f>
        <v>-2664.76307564266</v>
      </c>
      <c r="BF101" s="33" t="n">
        <f aca="false">PPMT($F100,1,In_Debt_Tenor*Months_In_Year/Months_Per_Period-SUM($J17:BF17)+1,BF98)*BF17</f>
        <v>-2698.07261408819</v>
      </c>
      <c r="BG101" s="33" t="n">
        <f aca="false">PPMT($F100,1,In_Debt_Tenor*Months_In_Year/Months_Per_Period-SUM($J17:BG17)+1,BG98)*BG17</f>
        <v>-2731.79852176429</v>
      </c>
      <c r="BH101" s="33" t="n">
        <f aca="false">PPMT($F100,1,In_Debt_Tenor*Months_In_Year/Months_Per_Period-SUM($J17:BH17)+1,BH98)*BH17</f>
        <v>-2765.94600328635</v>
      </c>
      <c r="BI101" s="33" t="n">
        <f aca="false">PPMT($F100,1,In_Debt_Tenor*Months_In_Year/Months_Per_Period-SUM($J17:BI17)+1,BI98)*BI17</f>
        <v>-2800.52032832743</v>
      </c>
      <c r="BJ101" s="33" t="n">
        <f aca="false">PPMT($F100,1,In_Debt_Tenor*Months_In_Year/Months_Per_Period-SUM($J17:BJ17)+1,BJ98)*BJ17</f>
        <v>-2835.52683243152</v>
      </c>
      <c r="BK101" s="33" t="n">
        <f aca="false">PPMT($F100,1,In_Debt_Tenor*Months_In_Year/Months_Per_Period-SUM($J17:BK17)+1,BK98)*BK17</f>
        <v>-2870.97091783691</v>
      </c>
      <c r="BL101" s="33" t="n">
        <f aca="false">PPMT($F100,1,In_Debt_Tenor*Months_In_Year/Months_Per_Period-SUM($J17:BL17)+1,BL98)*BL17</f>
        <v>-2906.85805430987</v>
      </c>
      <c r="BM101" s="33" t="n">
        <f aca="false">PPMT($F100,1,In_Debt_Tenor*Months_In_Year/Months_Per_Period-SUM($J17:BM17)+1,BM98)*BM17</f>
        <v>-2943.19377998875</v>
      </c>
      <c r="BN101" s="33" t="n">
        <f aca="false">PPMT($F100,1,In_Debt_Tenor*Months_In_Year/Months_Per_Period-SUM($J17:BN17)+1,BN98)*BN17</f>
        <v>-2979.98370223861</v>
      </c>
      <c r="BO101" s="33" t="n">
        <f aca="false">PPMT($F100,1,In_Debt_Tenor*Months_In_Year/Months_Per_Period-SUM($J17:BO17)+1,BO98)*BO17</f>
        <v>-3017.23349851659</v>
      </c>
      <c r="BP101" s="33" t="n">
        <f aca="false">PPMT($F100,1,In_Debt_Tenor*Months_In_Year/Months_Per_Period-SUM($J17:BP17)+1,BP98)*BP17</f>
        <v>-3054.94891724805</v>
      </c>
      <c r="BQ101" s="33" t="n">
        <f aca="false">PPMT($F100,1,In_Debt_Tenor*Months_In_Year/Months_Per_Period-SUM($J17:BQ17)+1,BQ98)*BQ17</f>
        <v>-3093.13577871365</v>
      </c>
      <c r="BR101" s="33" t="n">
        <f aca="false">PPMT($F100,1,In_Debt_Tenor*Months_In_Year/Months_Per_Period-SUM($J17:BR17)+1,BR98)*BR17</f>
        <v>-3131.79997594757</v>
      </c>
      <c r="BS101" s="33" t="n">
        <f aca="false">PPMT($F100,1,In_Debt_Tenor*Months_In_Year/Months_Per_Period-SUM($J17:BS17)+1,BS98)*BS17</f>
        <v>0</v>
      </c>
      <c r="BT101" s="33" t="n">
        <f aca="false">PPMT($F100,1,In_Debt_Tenor*Months_In_Year/Months_Per_Period-SUM($J17:BT17)+1,BT98)*BT17</f>
        <v>0</v>
      </c>
      <c r="BU101" s="33" t="n">
        <f aca="false">PPMT($F100,1,In_Debt_Tenor*Months_In_Year/Months_Per_Period-SUM($J17:BU17)+1,BU98)*BU17</f>
        <v>0</v>
      </c>
      <c r="BV101" s="33" t="n">
        <f aca="false">PPMT($F100,1,In_Debt_Tenor*Months_In_Year/Months_Per_Period-SUM($J17:BV17)+1,BV98)*BV17</f>
        <v>0</v>
      </c>
      <c r="BW101" s="33" t="n">
        <f aca="false">PPMT($F100,1,In_Debt_Tenor*Months_In_Year/Months_Per_Period-SUM($J17:BW17)+1,BW98)*BW17</f>
        <v>0</v>
      </c>
      <c r="BX101" s="33" t="n">
        <f aca="false">PPMT($F100,1,In_Debt_Tenor*Months_In_Year/Months_Per_Period-SUM($J17:BX17)+1,BX98)*BX17</f>
        <v>0</v>
      </c>
      <c r="BY101" s="33" t="n">
        <f aca="false">PPMT($F100,1,In_Debt_Tenor*Months_In_Year/Months_Per_Period-SUM($J17:BY17)+1,BY98)*BY17</f>
        <v>0</v>
      </c>
      <c r="BZ101" s="33" t="n">
        <f aca="false">PPMT($F100,1,In_Debt_Tenor*Months_In_Year/Months_Per_Period-SUM($J17:BZ17)+1,BZ98)*BZ17</f>
        <v>0</v>
      </c>
      <c r="CA101" s="33" t="n">
        <f aca="false">PPMT($F100,1,In_Debt_Tenor*Months_In_Year/Months_Per_Period-SUM($J17:CA17)+1,CA98)*CA17</f>
        <v>0</v>
      </c>
      <c r="CB101" s="33" t="n">
        <f aca="false">PPMT($F100,1,In_Debt_Tenor*Months_In_Year/Months_Per_Period-SUM($J17:CB17)+1,CB98)*CB17</f>
        <v>0</v>
      </c>
      <c r="CC101" s="33" t="n">
        <f aca="false">PPMT($F100,1,In_Debt_Tenor*Months_In_Year/Months_Per_Period-SUM($J17:CC17)+1,CC98)*CC17</f>
        <v>0</v>
      </c>
      <c r="CD101" s="33" t="n">
        <f aca="false">PPMT($F100,1,In_Debt_Tenor*Months_In_Year/Months_Per_Period-SUM($J17:CD17)+1,CD98)*CD17</f>
        <v>0</v>
      </c>
      <c r="CE101" s="33" t="n">
        <f aca="false">PPMT($F100,1,In_Debt_Tenor*Months_In_Year/Months_Per_Period-SUM($J17:CE17)+1,CE98)*CE17</f>
        <v>0</v>
      </c>
      <c r="CF101" s="33" t="n">
        <f aca="false">PPMT($F100,1,In_Debt_Tenor*Months_In_Year/Months_Per_Period-SUM($J17:CF17)+1,CF98)*CF17</f>
        <v>0</v>
      </c>
      <c r="CG101" s="33" t="n">
        <f aca="false">PPMT($F100,1,In_Debt_Tenor*Months_In_Year/Months_Per_Period-SUM($J17:CG17)+1,CG98)*CG17</f>
        <v>0</v>
      </c>
      <c r="CH101" s="33" t="n">
        <f aca="false">PPMT($F100,1,In_Debt_Tenor*Months_In_Year/Months_Per_Period-SUM($J17:CH17)+1,CH98)*CH17</f>
        <v>0</v>
      </c>
      <c r="CI101" s="33" t="n">
        <f aca="false">PPMT($F100,1,In_Debt_Tenor*Months_In_Year/Months_Per_Period-SUM($J17:CI17)+1,CI98)*CI17</f>
        <v>0</v>
      </c>
      <c r="CJ101" s="33" t="n">
        <f aca="false">PPMT($F100,1,In_Debt_Tenor*Months_In_Year/Months_Per_Period-SUM($J17:CJ17)+1,CJ98)*CJ17</f>
        <v>0</v>
      </c>
      <c r="CK101" s="33" t="n">
        <f aca="false">PPMT($F100,1,In_Debt_Tenor*Months_In_Year/Months_Per_Period-SUM($J17:CK17)+1,CK98)*CK17</f>
        <v>0</v>
      </c>
      <c r="CL101" s="33" t="n">
        <f aca="false">PPMT($F100,1,In_Debt_Tenor*Months_In_Year/Months_Per_Period-SUM($J17:CL17)+1,CL98)*CL17</f>
        <v>0</v>
      </c>
      <c r="CM101" s="33" t="n">
        <f aca="false">PPMT($F100,1,In_Debt_Tenor*Months_In_Year/Months_Per_Period-SUM($J17:CM17)+1,CM98)*CM17</f>
        <v>0</v>
      </c>
      <c r="CN101" s="33" t="n">
        <f aca="false">PPMT($F100,1,In_Debt_Tenor*Months_In_Year/Months_Per_Period-SUM($J17:CN17)+1,CN98)*CN17</f>
        <v>0</v>
      </c>
      <c r="CO101" s="33" t="n">
        <f aca="false">PPMT($F100,1,In_Debt_Tenor*Months_In_Year/Months_Per_Period-SUM($J17:CO17)+1,CO98)*CO17</f>
        <v>0</v>
      </c>
      <c r="CP101" s="33" t="n">
        <f aca="false">PPMT($F100,1,In_Debt_Tenor*Months_In_Year/Months_Per_Period-SUM($J17:CP17)+1,CP98)*CP17</f>
        <v>0</v>
      </c>
      <c r="CQ101" s="33" t="n">
        <f aca="false">PPMT($F100,1,In_Debt_Tenor*Months_In_Year/Months_Per_Period-SUM($J17:CQ17)+1,CQ98)*CQ17</f>
        <v>0</v>
      </c>
      <c r="CR101" s="33" t="n">
        <f aca="false">PPMT($F100,1,In_Debt_Tenor*Months_In_Year/Months_Per_Period-SUM($J17:CR17)+1,CR98)*CR17</f>
        <v>0</v>
      </c>
      <c r="CS101" s="33" t="n">
        <f aca="false">PPMT($F100,1,In_Debt_Tenor*Months_In_Year/Months_Per_Period-SUM($J17:CS17)+1,CS98)*CS17</f>
        <v>0</v>
      </c>
      <c r="CT101" s="33" t="n">
        <f aca="false">PPMT($F100,1,In_Debt_Tenor*Months_In_Year/Months_Per_Period-SUM($J17:CT17)+1,CT98)*CT17</f>
        <v>0</v>
      </c>
      <c r="CU101" s="33" t="n">
        <f aca="false">PPMT($F100,1,In_Debt_Tenor*Months_In_Year/Months_Per_Period-SUM($J17:CU17)+1,CU98)*CU17</f>
        <v>0</v>
      </c>
      <c r="CV101" s="33" t="n">
        <f aca="false">PPMT($F100,1,In_Debt_Tenor*Months_In_Year/Months_Per_Period-SUM($J17:CV17)+1,CV98)*CV17</f>
        <v>0</v>
      </c>
      <c r="CW101" s="33" t="n">
        <f aca="false">PPMT($F100,1,In_Debt_Tenor*Months_In_Year/Months_Per_Period-SUM($J17:CW17)+1,CW98)*CW17</f>
        <v>0</v>
      </c>
      <c r="CX101" s="33" t="n">
        <f aca="false">PPMT($F100,1,In_Debt_Tenor*Months_In_Year/Months_Per_Period-SUM($J17:CX17)+1,CX98)*CX17</f>
        <v>0</v>
      </c>
      <c r="CY101" s="33" t="n">
        <f aca="false">PPMT($F100,1,In_Debt_Tenor*Months_In_Year/Months_Per_Period-SUM($J17:CY17)+1,CY98)*CY17</f>
        <v>0</v>
      </c>
      <c r="CZ101" s="33" t="n">
        <f aca="false">PPMT($F100,1,In_Debt_Tenor*Months_In_Year/Months_Per_Period-SUM($J17:CZ17)+1,CZ98)*CZ17</f>
        <v>0</v>
      </c>
      <c r="DA101" s="33" t="n">
        <f aca="false">PPMT($F100,1,In_Debt_Tenor*Months_In_Year/Months_Per_Period-SUM($J17:DA17)+1,DA98)*DA17</f>
        <v>0</v>
      </c>
      <c r="DB101" s="33" t="n">
        <f aca="false">PPMT($F100,1,In_Debt_Tenor*Months_In_Year/Months_Per_Period-SUM($J17:DB17)+1,DB98)*DB17</f>
        <v>0</v>
      </c>
      <c r="DC101" s="33" t="n">
        <f aca="false">PPMT($F100,1,In_Debt_Tenor*Months_In_Year/Months_Per_Period-SUM($J17:DC17)+1,DC98)*DC17</f>
        <v>0</v>
      </c>
      <c r="DD101" s="33" t="n">
        <f aca="false">PPMT($F100,1,In_Debt_Tenor*Months_In_Year/Months_Per_Period-SUM($J17:DD17)+1,DD98)*DD17</f>
        <v>0</v>
      </c>
      <c r="DE101" s="33" t="n">
        <f aca="false">PPMT($F100,1,In_Debt_Tenor*Months_In_Year/Months_Per_Period-SUM($J17:DE17)+1,DE98)*DE17</f>
        <v>0</v>
      </c>
      <c r="DF101" s="33" t="n">
        <f aca="false">PPMT($F100,1,In_Debt_Tenor*Months_In_Year/Months_Per_Period-SUM($J17:DF17)+1,DF98)*DF17</f>
        <v>0</v>
      </c>
      <c r="DG101" s="33" t="n">
        <f aca="false">PPMT($F100,1,In_Debt_Tenor*Months_In_Year/Months_Per_Period-SUM($J17:DG17)+1,DG98)*DG17</f>
        <v>0</v>
      </c>
      <c r="DH101" s="33" t="n">
        <f aca="false">PPMT($F100,1,In_Debt_Tenor*Months_In_Year/Months_Per_Period-SUM($J17:DH17)+1,DH98)*DH17</f>
        <v>0</v>
      </c>
      <c r="DI101" s="33" t="n">
        <f aca="false">PPMT($F100,1,In_Debt_Tenor*Months_In_Year/Months_Per_Period-SUM($J17:DI17)+1,DI98)*DI17</f>
        <v>0</v>
      </c>
      <c r="DJ101" s="33" t="n">
        <f aca="false">PPMT($F100,1,In_Debt_Tenor*Months_In_Year/Months_Per_Period-SUM($J17:DJ17)+1,DJ98)*DJ17</f>
        <v>0</v>
      </c>
      <c r="DK101" s="33" t="n">
        <f aca="false">PPMT($F100,1,In_Debt_Tenor*Months_In_Year/Months_Per_Period-SUM($J17:DK17)+1,DK98)*DK17</f>
        <v>0</v>
      </c>
      <c r="DL101" s="33" t="n">
        <f aca="false">PPMT($F100,1,In_Debt_Tenor*Months_In_Year/Months_Per_Period-SUM($J17:DL17)+1,DL98)*DL17</f>
        <v>0</v>
      </c>
      <c r="DM101" s="33" t="n">
        <f aca="false">PPMT($F100,1,In_Debt_Tenor*Months_In_Year/Months_Per_Period-SUM($J17:DM17)+1,DM98)*DM17</f>
        <v>0</v>
      </c>
      <c r="DN101" s="33" t="n">
        <f aca="false">PPMT($F100,1,In_Debt_Tenor*Months_In_Year/Months_Per_Period-SUM($J17:DN17)+1,DN98)*DN17</f>
        <v>0</v>
      </c>
      <c r="DO101" s="33" t="n">
        <f aca="false">PPMT($F100,1,In_Debt_Tenor*Months_In_Year/Months_Per_Period-SUM($J17:DO17)+1,DO98)*DO17</f>
        <v>0</v>
      </c>
      <c r="DP101" s="33" t="n">
        <f aca="false">PPMT($F100,1,In_Debt_Tenor*Months_In_Year/Months_Per_Period-SUM($J17:DP17)+1,DP98)*DP17</f>
        <v>0</v>
      </c>
      <c r="DQ101" s="33" t="n">
        <f aca="false">PPMT($F100,1,In_Debt_Tenor*Months_In_Year/Months_Per_Period-SUM($J17:DQ17)+1,DQ98)*DQ17</f>
        <v>0</v>
      </c>
      <c r="DR101" s="33" t="n">
        <f aca="false">PPMT($F100,1,In_Debt_Tenor*Months_In_Year/Months_Per_Period-SUM($J17:DR17)+1,DR98)*DR17</f>
        <v>0</v>
      </c>
      <c r="DS101" s="33" t="n">
        <f aca="false">PPMT($F100,1,In_Debt_Tenor*Months_In_Year/Months_Per_Period-SUM($J17:DS17)+1,DS98)*DS17</f>
        <v>0</v>
      </c>
      <c r="DT101" s="33" t="n">
        <f aca="false">PPMT($F100,1,In_Debt_Tenor*Months_In_Year/Months_Per_Period-SUM($J17:DT17)+1,DT98)*DT17</f>
        <v>0</v>
      </c>
      <c r="DU101" s="33" t="n">
        <f aca="false">PPMT($F100,1,In_Debt_Tenor*Months_In_Year/Months_Per_Period-SUM($J17:DU17)+1,DU98)*DU17</f>
        <v>0</v>
      </c>
      <c r="DV101" s="33" t="n">
        <f aca="false">PPMT($F100,1,In_Debt_Tenor*Months_In_Year/Months_Per_Period-SUM($J17:DV17)+1,DV98)*DV17</f>
        <v>0</v>
      </c>
      <c r="DW101" s="33" t="n">
        <f aca="false">PPMT($F100,1,In_Debt_Tenor*Months_In_Year/Months_Per_Period-SUM($J17:DW17)+1,DW98)*DW17</f>
        <v>0</v>
      </c>
      <c r="DX101" s="33" t="n">
        <f aca="false">PPMT($F100,1,In_Debt_Tenor*Months_In_Year/Months_Per_Period-SUM($J17:DX17)+1,DX98)*DX17</f>
        <v>0</v>
      </c>
      <c r="DY101" s="33" t="n">
        <f aca="false">PPMT($F100,1,In_Debt_Tenor*Months_In_Year/Months_Per_Period-SUM($J17:DY17)+1,DY98)*DY17</f>
        <v>0</v>
      </c>
      <c r="DZ101" s="33" t="n">
        <f aca="false">PPMT($F100,1,In_Debt_Tenor*Months_In_Year/Months_Per_Period-SUM($J17:DZ17)+1,DZ98)*DZ17</f>
        <v>0</v>
      </c>
      <c r="EA101" s="33" t="n">
        <f aca="false">PPMT($F100,1,In_Debt_Tenor*Months_In_Year/Months_Per_Period-SUM($J17:EA17)+1,EA98)*EA17</f>
        <v>0</v>
      </c>
      <c r="EB101" s="33" t="n">
        <f aca="false">PPMT($F100,1,In_Debt_Tenor*Months_In_Year/Months_Per_Period-SUM($J17:EB17)+1,EB98)*EB17</f>
        <v>0</v>
      </c>
      <c r="EC101" s="33" t="n">
        <f aca="false">PPMT($F100,1,In_Debt_Tenor*Months_In_Year/Months_Per_Period-SUM($J17:EC17)+1,EC98)*EC17</f>
        <v>0</v>
      </c>
      <c r="ED101" s="33" t="n">
        <f aca="false">PPMT($F100,1,In_Debt_Tenor*Months_In_Year/Months_Per_Period-SUM($J17:ED17)+1,ED98)*ED17</f>
        <v>0</v>
      </c>
      <c r="EE101" s="33" t="n">
        <f aca="false">PPMT($F100,1,In_Debt_Tenor*Months_In_Year/Months_Per_Period-SUM($J17:EE17)+1,EE98)*EE17</f>
        <v>0</v>
      </c>
      <c r="EF101" s="33" t="n">
        <f aca="false">PPMT($F100,1,In_Debt_Tenor*Months_In_Year/Months_Per_Period-SUM($J17:EF17)+1,EF98)*EF17</f>
        <v>0</v>
      </c>
      <c r="EG101" s="33" t="n">
        <f aca="false">PPMT($F100,1,In_Debt_Tenor*Months_In_Year/Months_Per_Period-SUM($J17:EG17)+1,EG98)*EG17</f>
        <v>0</v>
      </c>
      <c r="EH101" s="33" t="n">
        <f aca="false">PPMT($F100,1,In_Debt_Tenor*Months_In_Year/Months_Per_Period-SUM($J17:EH17)+1,EH98)*EH17</f>
        <v>0</v>
      </c>
      <c r="EI101" s="33" t="n">
        <f aca="false">PPMT($F100,1,In_Debt_Tenor*Months_In_Year/Months_Per_Period-SUM($J17:EI17)+1,EI98)*EI17</f>
        <v>0</v>
      </c>
      <c r="EJ101" s="33" t="n">
        <f aca="false">PPMT($F100,1,In_Debt_Tenor*Months_In_Year/Months_Per_Period-SUM($J17:EJ17)+1,EJ98)*EJ17</f>
        <v>0</v>
      </c>
      <c r="EK101" s="33" t="n">
        <f aca="false">PPMT($F100,1,In_Debt_Tenor*Months_In_Year/Months_Per_Period-SUM($J17:EK17)+1,EK98)*EK17</f>
        <v>0</v>
      </c>
      <c r="EL101" s="33" t="n">
        <f aca="false">PPMT($F100,1,In_Debt_Tenor*Months_In_Year/Months_Per_Period-SUM($J17:EL17)+1,EL98)*EL17</f>
        <v>0</v>
      </c>
      <c r="EM101" s="33" t="n">
        <f aca="false">PPMT($F100,1,In_Debt_Tenor*Months_In_Year/Months_Per_Period-SUM($J17:EM17)+1,EM98)*EM17</f>
        <v>0</v>
      </c>
      <c r="EN101" s="33" t="n">
        <f aca="false">PPMT($F100,1,In_Debt_Tenor*Months_In_Year/Months_Per_Period-SUM($J17:EN17)+1,EN98)*EN17</f>
        <v>0</v>
      </c>
      <c r="EO101" s="33" t="n">
        <f aca="false">PPMT($F100,1,In_Debt_Tenor*Months_In_Year/Months_Per_Period-SUM($J17:EO17)+1,EO98)*EO17</f>
        <v>0</v>
      </c>
      <c r="EP101" s="33" t="n">
        <f aca="false">PPMT($F100,1,In_Debt_Tenor*Months_In_Year/Months_Per_Period-SUM($J17:EP17)+1,EP98)*EP17</f>
        <v>0</v>
      </c>
      <c r="EQ101" s="33" t="n">
        <f aca="false">PPMT($F100,1,In_Debt_Tenor*Months_In_Year/Months_Per_Period-SUM($J17:EQ17)+1,EQ98)*EQ17</f>
        <v>0</v>
      </c>
      <c r="ER101" s="33" t="n">
        <f aca="false">PPMT($F100,1,In_Debt_Tenor*Months_In_Year/Months_Per_Period-SUM($J17:ER17)+1,ER98)*ER17</f>
        <v>0</v>
      </c>
      <c r="ES101" s="33" t="n">
        <f aca="false">PPMT($F100,1,In_Debt_Tenor*Months_In_Year/Months_Per_Period-SUM($J17:ES17)+1,ES98)*ES17</f>
        <v>0</v>
      </c>
      <c r="ET101" s="33" t="n">
        <f aca="false">PPMT($F100,1,In_Debt_Tenor*Months_In_Year/Months_Per_Period-SUM($J17:ET17)+1,ET98)*ET17</f>
        <v>0</v>
      </c>
    </row>
    <row r="102" customFormat="false" ht="15" hidden="false" customHeight="false" outlineLevel="0" collapsed="false">
      <c r="C102" s="30" t="s">
        <v>537</v>
      </c>
      <c r="D102" s="11" t="s">
        <v>253</v>
      </c>
      <c r="I102" s="54"/>
      <c r="J102" s="35" t="n">
        <f aca="false">SUM(J98:J101)</f>
        <v>0</v>
      </c>
      <c r="K102" s="35" t="n">
        <f aca="false">SUM(K98:K101)</f>
        <v>0</v>
      </c>
      <c r="L102" s="35" t="n">
        <f aca="false">SUM(L98:L101)</f>
        <v>0</v>
      </c>
      <c r="M102" s="35" t="n">
        <f aca="false">SUM(M98:M101)</f>
        <v>0</v>
      </c>
      <c r="N102" s="35" t="n">
        <f aca="false">SUM(N98:N101)</f>
        <v>0</v>
      </c>
      <c r="O102" s="35" t="n">
        <f aca="false">SUM(O98:O101)</f>
        <v>0</v>
      </c>
      <c r="P102" s="35" t="n">
        <f aca="false">SUM(P98:P101)</f>
        <v>0</v>
      </c>
      <c r="Q102" s="35" t="n">
        <f aca="false">SUM(Q98:Q101)</f>
        <v>0</v>
      </c>
      <c r="R102" s="35" t="n">
        <f aca="false">SUM(R98:R101)</f>
        <v>0</v>
      </c>
      <c r="S102" s="35" t="n">
        <f aca="false">SUM(S98:S101)</f>
        <v>0</v>
      </c>
      <c r="T102" s="35" t="n">
        <f aca="false">SUM(T98:T101)</f>
        <v>0</v>
      </c>
      <c r="U102" s="35" t="n">
        <f aca="false">SUM(U98:U101)</f>
        <v>0</v>
      </c>
      <c r="V102" s="35" t="n">
        <f aca="false">SUM(V98:V101)</f>
        <v>0</v>
      </c>
      <c r="W102" s="35" t="n">
        <f aca="false">SUM(W98:W101)</f>
        <v>11981.7564177174</v>
      </c>
      <c r="X102" s="35" t="n">
        <f aca="false">SUM(X98:X101)</f>
        <v>23852.8118250537</v>
      </c>
      <c r="Y102" s="35" t="n">
        <f aca="false">SUM(Y98:Y101)</f>
        <v>36002.491907783</v>
      </c>
      <c r="Z102" s="35" t="n">
        <f aca="false">SUM(Z98:Z101)</f>
        <v>48434.2794743477</v>
      </c>
      <c r="AA102" s="35" t="n">
        <f aca="false">SUM(AA98:AA101)</f>
        <v>61021.4643854944</v>
      </c>
      <c r="AB102" s="35" t="n">
        <f aca="false">SUM(AB98:AB101)</f>
        <v>73505.516142428</v>
      </c>
      <c r="AC102" s="35" t="n">
        <f aca="false">SUM(AC98:AC101)</f>
        <v>86275.8550291244</v>
      </c>
      <c r="AD102" s="35" t="n">
        <f aca="false">SUM(AD98:AD101)</f>
        <v>99336.0596347059</v>
      </c>
      <c r="AE102" s="35" t="n">
        <f aca="false">SUM(AE98:AE101)</f>
        <v>97406.8129044928</v>
      </c>
      <c r="AF102" s="35" t="n">
        <f aca="false">SUM(AF98:AF101)</f>
        <v>95453.450590152</v>
      </c>
      <c r="AG102" s="35" t="n">
        <f aca="false">SUM(AG98:AG101)</f>
        <v>93475.671246882</v>
      </c>
      <c r="AH102" s="35" t="n">
        <f aca="false">SUM(AH98:AH101)</f>
        <v>91473.1696618211</v>
      </c>
      <c r="AI102" s="35" t="n">
        <f aca="false">SUM(AI98:AI101)</f>
        <v>89445.636806947</v>
      </c>
      <c r="AJ102" s="35" t="n">
        <f aca="false">SUM(AJ98:AJ101)</f>
        <v>87392.7597913869</v>
      </c>
      <c r="AK102" s="35" t="n">
        <f aca="false">SUM(AK98:AK101)</f>
        <v>85314.2218131323</v>
      </c>
      <c r="AL102" s="35" t="n">
        <f aca="false">SUM(AL98:AL101)</f>
        <v>83209.7021101496</v>
      </c>
      <c r="AM102" s="35" t="n">
        <f aca="false">SUM(AM98:AM101)</f>
        <v>81078.8759108795</v>
      </c>
      <c r="AN102" s="35" t="n">
        <f aca="false">SUM(AN98:AN101)</f>
        <v>78921.4143841186</v>
      </c>
      <c r="AO102" s="35" t="n">
        <f aca="false">SUM(AO98:AO101)</f>
        <v>76736.9845882732</v>
      </c>
      <c r="AP102" s="35" t="n">
        <f aca="false">SUM(AP98:AP101)</f>
        <v>74525.2494199797</v>
      </c>
      <c r="AQ102" s="35" t="n">
        <f aca="false">SUM(AQ98:AQ101)</f>
        <v>72285.8675620825</v>
      </c>
      <c r="AR102" s="35" t="n">
        <f aca="false">SUM(AR98:AR101)</f>
        <v>70018.4934309616</v>
      </c>
      <c r="AS102" s="35" t="n">
        <f aca="false">SUM(AS98:AS101)</f>
        <v>67722.7771232017</v>
      </c>
      <c r="AT102" s="35" t="n">
        <f aca="false">SUM(AT98:AT101)</f>
        <v>65398.3643615948</v>
      </c>
      <c r="AU102" s="35" t="n">
        <f aca="false">SUM(AU98:AU101)</f>
        <v>63044.8964404679</v>
      </c>
      <c r="AV102" s="35" t="n">
        <f aca="false">SUM(AV98:AV101)</f>
        <v>60662.0101703268</v>
      </c>
      <c r="AW102" s="35" t="n">
        <f aca="false">SUM(AW98:AW101)</f>
        <v>58249.337821809</v>
      </c>
      <c r="AX102" s="35" t="n">
        <f aca="false">SUM(AX98:AX101)</f>
        <v>55806.5070689347</v>
      </c>
      <c r="AY102" s="35" t="n">
        <f aca="false">SUM(AY98:AY101)</f>
        <v>53333.1409316494</v>
      </c>
      <c r="AZ102" s="35" t="n">
        <f aca="false">SUM(AZ98:AZ101)</f>
        <v>50828.8577176481</v>
      </c>
      <c r="BA102" s="35" t="n">
        <f aca="false">SUM(BA98:BA101)</f>
        <v>48293.2709634718</v>
      </c>
      <c r="BB102" s="35" t="n">
        <f aca="false">SUM(BB98:BB101)</f>
        <v>45725.9893748683</v>
      </c>
      <c r="BC102" s="35" t="n">
        <f aca="false">SUM(BC98:BC101)</f>
        <v>43126.6167664073</v>
      </c>
      <c r="BD102" s="35" t="n">
        <f aca="false">SUM(BD98:BD101)</f>
        <v>40494.7520003404</v>
      </c>
      <c r="BE102" s="35" t="n">
        <f aca="false">SUM(BE98:BE101)</f>
        <v>37829.9889246978</v>
      </c>
      <c r="BF102" s="35" t="n">
        <f aca="false">SUM(BF98:BF101)</f>
        <v>35131.9163106096</v>
      </c>
      <c r="BG102" s="35" t="n">
        <f aca="false">SUM(BG98:BG101)</f>
        <v>32400.1177888453</v>
      </c>
      <c r="BH102" s="35" t="n">
        <f aca="false">SUM(BH98:BH101)</f>
        <v>29634.1717855589</v>
      </c>
      <c r="BI102" s="35" t="n">
        <f aca="false">SUM(BI98:BI101)</f>
        <v>26833.6514572315</v>
      </c>
      <c r="BJ102" s="35" t="n">
        <f aca="false">SUM(BJ98:BJ101)</f>
        <v>23998.1246248</v>
      </c>
      <c r="BK102" s="35" t="n">
        <f aca="false">SUM(BK98:BK101)</f>
        <v>21127.1537069631</v>
      </c>
      <c r="BL102" s="35" t="n">
        <f aca="false">SUM(BL98:BL101)</f>
        <v>18220.2956526532</v>
      </c>
      <c r="BM102" s="35" t="n">
        <f aca="false">SUM(BM98:BM101)</f>
        <v>15277.1018726645</v>
      </c>
      <c r="BN102" s="35" t="n">
        <f aca="false">SUM(BN98:BN101)</f>
        <v>12297.1181704259</v>
      </c>
      <c r="BO102" s="35" t="n">
        <f aca="false">SUM(BO98:BO101)</f>
        <v>9279.88467190926</v>
      </c>
      <c r="BP102" s="35" t="n">
        <f aca="false">SUM(BP98:BP101)</f>
        <v>6224.93575466122</v>
      </c>
      <c r="BQ102" s="35" t="n">
        <f aca="false">SUM(BQ98:BQ101)</f>
        <v>3131.79997594757</v>
      </c>
      <c r="BR102" s="35" t="n">
        <f aca="false">SUM(BR98:BR101)</f>
        <v>0</v>
      </c>
      <c r="BS102" s="35" t="n">
        <f aca="false">SUM(BS98:BS101)</f>
        <v>0</v>
      </c>
      <c r="BT102" s="35" t="n">
        <f aca="false">SUM(BT98:BT101)</f>
        <v>0</v>
      </c>
      <c r="BU102" s="35" t="n">
        <f aca="false">SUM(BU98:BU101)</f>
        <v>0</v>
      </c>
      <c r="BV102" s="35" t="n">
        <f aca="false">SUM(BV98:BV101)</f>
        <v>0</v>
      </c>
      <c r="BW102" s="35" t="n">
        <f aca="false">SUM(BW98:BW101)</f>
        <v>0</v>
      </c>
      <c r="BX102" s="35" t="n">
        <f aca="false">SUM(BX98:BX101)</f>
        <v>0</v>
      </c>
      <c r="BY102" s="35" t="n">
        <f aca="false">SUM(BY98:BY101)</f>
        <v>0</v>
      </c>
      <c r="BZ102" s="35" t="n">
        <f aca="false">SUM(BZ98:BZ101)</f>
        <v>0</v>
      </c>
      <c r="CA102" s="35" t="n">
        <f aca="false">SUM(CA98:CA101)</f>
        <v>0</v>
      </c>
      <c r="CB102" s="35" t="n">
        <f aca="false">SUM(CB98:CB101)</f>
        <v>0</v>
      </c>
      <c r="CC102" s="35" t="n">
        <f aca="false">SUM(CC98:CC101)</f>
        <v>0</v>
      </c>
      <c r="CD102" s="35" t="n">
        <f aca="false">SUM(CD98:CD101)</f>
        <v>0</v>
      </c>
      <c r="CE102" s="35" t="n">
        <f aca="false">SUM(CE98:CE101)</f>
        <v>0</v>
      </c>
      <c r="CF102" s="35" t="n">
        <f aca="false">SUM(CF98:CF101)</f>
        <v>0</v>
      </c>
      <c r="CG102" s="35" t="n">
        <f aca="false">SUM(CG98:CG101)</f>
        <v>0</v>
      </c>
      <c r="CH102" s="35" t="n">
        <f aca="false">SUM(CH98:CH101)</f>
        <v>0</v>
      </c>
      <c r="CI102" s="35" t="n">
        <f aca="false">SUM(CI98:CI101)</f>
        <v>0</v>
      </c>
      <c r="CJ102" s="35" t="n">
        <f aca="false">SUM(CJ98:CJ101)</f>
        <v>0</v>
      </c>
      <c r="CK102" s="35" t="n">
        <f aca="false">SUM(CK98:CK101)</f>
        <v>0</v>
      </c>
      <c r="CL102" s="35" t="n">
        <f aca="false">SUM(CL98:CL101)</f>
        <v>0</v>
      </c>
      <c r="CM102" s="35" t="n">
        <f aca="false">SUM(CM98:CM101)</f>
        <v>0</v>
      </c>
      <c r="CN102" s="35" t="n">
        <f aca="false">SUM(CN98:CN101)</f>
        <v>0</v>
      </c>
      <c r="CO102" s="35" t="n">
        <f aca="false">SUM(CO98:CO101)</f>
        <v>0</v>
      </c>
      <c r="CP102" s="35" t="n">
        <f aca="false">SUM(CP98:CP101)</f>
        <v>0</v>
      </c>
      <c r="CQ102" s="35" t="n">
        <f aca="false">SUM(CQ98:CQ101)</f>
        <v>0</v>
      </c>
      <c r="CR102" s="35" t="n">
        <f aca="false">SUM(CR98:CR101)</f>
        <v>0</v>
      </c>
      <c r="CS102" s="35" t="n">
        <f aca="false">SUM(CS98:CS101)</f>
        <v>0</v>
      </c>
      <c r="CT102" s="35" t="n">
        <f aca="false">SUM(CT98:CT101)</f>
        <v>0</v>
      </c>
      <c r="CU102" s="35" t="n">
        <f aca="false">SUM(CU98:CU101)</f>
        <v>0</v>
      </c>
      <c r="CV102" s="35" t="n">
        <f aca="false">SUM(CV98:CV101)</f>
        <v>0</v>
      </c>
      <c r="CW102" s="35" t="n">
        <f aca="false">SUM(CW98:CW101)</f>
        <v>0</v>
      </c>
      <c r="CX102" s="35" t="n">
        <f aca="false">SUM(CX98:CX101)</f>
        <v>0</v>
      </c>
      <c r="CY102" s="35" t="n">
        <f aca="false">SUM(CY98:CY101)</f>
        <v>0</v>
      </c>
      <c r="CZ102" s="35" t="n">
        <f aca="false">SUM(CZ98:CZ101)</f>
        <v>0</v>
      </c>
      <c r="DA102" s="35" t="n">
        <f aca="false">SUM(DA98:DA101)</f>
        <v>0</v>
      </c>
      <c r="DB102" s="35" t="n">
        <f aca="false">SUM(DB98:DB101)</f>
        <v>0</v>
      </c>
      <c r="DC102" s="35" t="n">
        <f aca="false">SUM(DC98:DC101)</f>
        <v>0</v>
      </c>
      <c r="DD102" s="35" t="n">
        <f aca="false">SUM(DD98:DD101)</f>
        <v>0</v>
      </c>
      <c r="DE102" s="35" t="n">
        <f aca="false">SUM(DE98:DE101)</f>
        <v>0</v>
      </c>
      <c r="DF102" s="35" t="n">
        <f aca="false">SUM(DF98:DF101)</f>
        <v>0</v>
      </c>
      <c r="DG102" s="35" t="n">
        <f aca="false">SUM(DG98:DG101)</f>
        <v>0</v>
      </c>
      <c r="DH102" s="35" t="n">
        <f aca="false">SUM(DH98:DH101)</f>
        <v>0</v>
      </c>
      <c r="DI102" s="35" t="n">
        <f aca="false">SUM(DI98:DI101)</f>
        <v>0</v>
      </c>
      <c r="DJ102" s="35" t="n">
        <f aca="false">SUM(DJ98:DJ101)</f>
        <v>0</v>
      </c>
      <c r="DK102" s="35" t="n">
        <f aca="false">SUM(DK98:DK101)</f>
        <v>0</v>
      </c>
      <c r="DL102" s="35" t="n">
        <f aca="false">SUM(DL98:DL101)</f>
        <v>0</v>
      </c>
      <c r="DM102" s="35" t="n">
        <f aca="false">SUM(DM98:DM101)</f>
        <v>0</v>
      </c>
      <c r="DN102" s="35" t="n">
        <f aca="false">SUM(DN98:DN101)</f>
        <v>0</v>
      </c>
      <c r="DO102" s="35" t="n">
        <f aca="false">SUM(DO98:DO101)</f>
        <v>0</v>
      </c>
      <c r="DP102" s="35" t="n">
        <f aca="false">SUM(DP98:DP101)</f>
        <v>0</v>
      </c>
      <c r="DQ102" s="35" t="n">
        <f aca="false">SUM(DQ98:DQ101)</f>
        <v>0</v>
      </c>
      <c r="DR102" s="35" t="n">
        <f aca="false">SUM(DR98:DR101)</f>
        <v>0</v>
      </c>
      <c r="DS102" s="35" t="n">
        <f aca="false">SUM(DS98:DS101)</f>
        <v>0</v>
      </c>
      <c r="DT102" s="35" t="n">
        <f aca="false">SUM(DT98:DT101)</f>
        <v>0</v>
      </c>
      <c r="DU102" s="35" t="n">
        <f aca="false">SUM(DU98:DU101)</f>
        <v>0</v>
      </c>
      <c r="DV102" s="35" t="n">
        <f aca="false">SUM(DV98:DV101)</f>
        <v>0</v>
      </c>
      <c r="DW102" s="35" t="n">
        <f aca="false">SUM(DW98:DW101)</f>
        <v>0</v>
      </c>
      <c r="DX102" s="35" t="n">
        <f aca="false">SUM(DX98:DX101)</f>
        <v>0</v>
      </c>
      <c r="DY102" s="35" t="n">
        <f aca="false">SUM(DY98:DY101)</f>
        <v>0</v>
      </c>
      <c r="DZ102" s="35" t="n">
        <f aca="false">SUM(DZ98:DZ101)</f>
        <v>0</v>
      </c>
      <c r="EA102" s="35" t="n">
        <f aca="false">SUM(EA98:EA101)</f>
        <v>0</v>
      </c>
      <c r="EB102" s="35" t="n">
        <f aca="false">SUM(EB98:EB101)</f>
        <v>0</v>
      </c>
      <c r="EC102" s="35" t="n">
        <f aca="false">SUM(EC98:EC101)</f>
        <v>0</v>
      </c>
      <c r="ED102" s="35" t="n">
        <f aca="false">SUM(ED98:ED101)</f>
        <v>0</v>
      </c>
      <c r="EE102" s="35" t="n">
        <f aca="false">SUM(EE98:EE101)</f>
        <v>0</v>
      </c>
      <c r="EF102" s="35" t="n">
        <f aca="false">SUM(EF98:EF101)</f>
        <v>0</v>
      </c>
      <c r="EG102" s="35" t="n">
        <f aca="false">SUM(EG98:EG101)</f>
        <v>0</v>
      </c>
      <c r="EH102" s="35" t="n">
        <f aca="false">SUM(EH98:EH101)</f>
        <v>0</v>
      </c>
      <c r="EI102" s="35" t="n">
        <f aca="false">SUM(EI98:EI101)</f>
        <v>0</v>
      </c>
      <c r="EJ102" s="35" t="n">
        <f aca="false">SUM(EJ98:EJ101)</f>
        <v>0</v>
      </c>
      <c r="EK102" s="35" t="n">
        <f aca="false">SUM(EK98:EK101)</f>
        <v>0</v>
      </c>
      <c r="EL102" s="35" t="n">
        <f aca="false">SUM(EL98:EL101)</f>
        <v>0</v>
      </c>
      <c r="EM102" s="35" t="n">
        <f aca="false">SUM(EM98:EM101)</f>
        <v>0</v>
      </c>
      <c r="EN102" s="35" t="n">
        <f aca="false">SUM(EN98:EN101)</f>
        <v>0</v>
      </c>
      <c r="EO102" s="35" t="n">
        <f aca="false">SUM(EO98:EO101)</f>
        <v>0</v>
      </c>
      <c r="EP102" s="35" t="n">
        <f aca="false">SUM(EP98:EP101)</f>
        <v>0</v>
      </c>
      <c r="EQ102" s="35" t="n">
        <f aca="false">SUM(EQ98:EQ101)</f>
        <v>0</v>
      </c>
      <c r="ER102" s="35" t="n">
        <f aca="false">SUM(ER98:ER101)</f>
        <v>0</v>
      </c>
      <c r="ES102" s="35" t="n">
        <f aca="false">SUM(ES98:ES101)</f>
        <v>0</v>
      </c>
      <c r="ET102" s="35" t="n">
        <f aca="false">SUM(ET98:ET101)</f>
        <v>0</v>
      </c>
    </row>
    <row r="103" customFormat="false" ht="15" hidden="false" customHeight="false" outlineLevel="0" collapsed="false">
      <c r="C103" s="0" t="s">
        <v>559</v>
      </c>
      <c r="D103" s="11" t="s">
        <v>253</v>
      </c>
      <c r="I103" s="33" t="n">
        <f aca="false">SUM(J103:ET103)</f>
        <v>-27501.8393911707</v>
      </c>
      <c r="J103" s="33" t="n">
        <f aca="false">-J98*$F100*(J$4&gt;In_COD)</f>
        <v>-0</v>
      </c>
      <c r="K103" s="33" t="n">
        <f aca="false">-K98*$F100*(K$4&gt;In_COD)</f>
        <v>-0</v>
      </c>
      <c r="L103" s="33" t="n">
        <f aca="false">-L98*$F100*(L$4&gt;In_COD)</f>
        <v>-0</v>
      </c>
      <c r="M103" s="33" t="n">
        <f aca="false">-M98*$F100*(M$4&gt;In_COD)</f>
        <v>-0</v>
      </c>
      <c r="N103" s="33" t="n">
        <f aca="false">-N98*$F100*(N$4&gt;In_COD)</f>
        <v>-0</v>
      </c>
      <c r="O103" s="33" t="n">
        <f aca="false">-O98*$F100*(O$4&gt;In_COD)</f>
        <v>-0</v>
      </c>
      <c r="P103" s="33" t="n">
        <f aca="false">-P98*$F100*(P$4&gt;In_COD)</f>
        <v>-0</v>
      </c>
      <c r="Q103" s="33" t="n">
        <f aca="false">-Q98*$F100*(Q$4&gt;In_COD)</f>
        <v>-0</v>
      </c>
      <c r="R103" s="33" t="n">
        <f aca="false">-R98*$F100*(R$4&gt;In_COD)</f>
        <v>-0</v>
      </c>
      <c r="S103" s="33" t="n">
        <f aca="false">-S98*$F100*(S$4&gt;In_COD)</f>
        <v>-0</v>
      </c>
      <c r="T103" s="33" t="n">
        <f aca="false">-T98*$F100*(T$4&gt;In_COD)</f>
        <v>-0</v>
      </c>
      <c r="U103" s="33" t="n">
        <f aca="false">-U98*$F100*(U$4&gt;In_COD)</f>
        <v>-0</v>
      </c>
      <c r="V103" s="33" t="n">
        <f aca="false">-V98*$F100*(V$4&gt;In_COD)</f>
        <v>-0</v>
      </c>
      <c r="W103" s="33" t="n">
        <f aca="false">-W98*$F100*(W$4&gt;In_COD)</f>
        <v>-0</v>
      </c>
      <c r="X103" s="33" t="n">
        <f aca="false">-X98*$F100*(X$4&gt;In_COD)</f>
        <v>-0</v>
      </c>
      <c r="Y103" s="33" t="n">
        <f aca="false">-Y98*$F100*(Y$4&gt;In_COD)</f>
        <v>-0</v>
      </c>
      <c r="Z103" s="33" t="n">
        <f aca="false">-Z98*$F100*(Z$4&gt;In_COD)</f>
        <v>-0</v>
      </c>
      <c r="AA103" s="33" t="n">
        <f aca="false">-AA98*$F100*(AA$4&gt;In_COD)</f>
        <v>-0</v>
      </c>
      <c r="AB103" s="33" t="n">
        <f aca="false">-AB98*$F100*(AB$4&gt;In_COD)</f>
        <v>-0</v>
      </c>
      <c r="AC103" s="33" t="n">
        <f aca="false">-AC98*$F100*(AC$4&gt;In_COD)</f>
        <v>-0</v>
      </c>
      <c r="AD103" s="33" t="n">
        <f aca="false">-AD98*$F100*(AD$4&gt;In_COD)</f>
        <v>-0</v>
      </c>
      <c r="AE103" s="33" t="n">
        <f aca="false">-AE98*$F100*(AE$4&gt;In_COD)</f>
        <v>-1241.70074543382</v>
      </c>
      <c r="AF103" s="33" t="n">
        <f aca="false">-AF98*$F100*(AF$4&gt;In_COD)</f>
        <v>-1217.58516130616</v>
      </c>
      <c r="AG103" s="33" t="n">
        <f aca="false">-AG98*$F100*(AG$4&gt;In_COD)</f>
        <v>-1193.1681323769</v>
      </c>
      <c r="AH103" s="33" t="n">
        <f aca="false">-AH98*$F100*(AH$4&gt;In_COD)</f>
        <v>-1168.44589058603</v>
      </c>
      <c r="AI103" s="33" t="n">
        <f aca="false">-AI98*$F100*(AI$4&gt;In_COD)</f>
        <v>-1143.41462077276</v>
      </c>
      <c r="AJ103" s="33" t="n">
        <f aca="false">-AJ98*$F100*(AJ$4&gt;In_COD)</f>
        <v>-1118.07046008684</v>
      </c>
      <c r="AK103" s="33" t="n">
        <f aca="false">-AK98*$F100*(AK$4&gt;In_COD)</f>
        <v>-1092.40949739234</v>
      </c>
      <c r="AL103" s="33" t="n">
        <f aca="false">-AL98*$F100*(AL$4&gt;In_COD)</f>
        <v>-1066.42777266415</v>
      </c>
      <c r="AM103" s="33" t="n">
        <f aca="false">-AM98*$F100*(AM$4&gt;In_COD)</f>
        <v>-1040.12127637687</v>
      </c>
      <c r="AN103" s="33" t="n">
        <f aca="false">-AN98*$F100*(AN$4&gt;In_COD)</f>
        <v>-1013.48594888599</v>
      </c>
      <c r="AO103" s="33" t="n">
        <f aca="false">-AO98*$F100*(AO$4&gt;In_COD)</f>
        <v>-986.517679801483</v>
      </c>
      <c r="AP103" s="33" t="n">
        <f aca="false">-AP98*$F100*(AP$4&gt;In_COD)</f>
        <v>-959.212307353415</v>
      </c>
      <c r="AQ103" s="33" t="n">
        <f aca="false">-AQ98*$F100*(AQ$4&gt;In_COD)</f>
        <v>-931.565617749746</v>
      </c>
      <c r="AR103" s="33" t="n">
        <f aca="false">-AR98*$F100*(AR$4&gt;In_COD)</f>
        <v>-903.573344526032</v>
      </c>
      <c r="AS103" s="33" t="n">
        <f aca="false">-AS98*$F100*(AS$4&gt;In_COD)</f>
        <v>-875.23116788702</v>
      </c>
      <c r="AT103" s="33" t="n">
        <f aca="false">-AT98*$F100*(AT$4&gt;In_COD)</f>
        <v>-846.534714040022</v>
      </c>
      <c r="AU103" s="33" t="n">
        <f aca="false">-AU98*$F100*(AU$4&gt;In_COD)</f>
        <v>-817.479554519936</v>
      </c>
      <c r="AV103" s="33" t="n">
        <f aca="false">-AV98*$F100*(AV$4&gt;In_COD)</f>
        <v>-788.061205505848</v>
      </c>
      <c r="AW103" s="33" t="n">
        <f aca="false">-AW98*$F100*(AW$4&gt;In_COD)</f>
        <v>-758.275127129085</v>
      </c>
      <c r="AX103" s="33" t="n">
        <f aca="false">-AX98*$F100*(AX$4&gt;In_COD)</f>
        <v>-728.116722772612</v>
      </c>
      <c r="AY103" s="33" t="n">
        <f aca="false">-AY98*$F100*(AY$4&gt;In_COD)</f>
        <v>-697.581338361684</v>
      </c>
      <c r="AZ103" s="33" t="n">
        <f aca="false">-AZ98*$F100*(AZ$4&gt;In_COD)</f>
        <v>-666.664261645618</v>
      </c>
      <c r="BA103" s="33" t="n">
        <f aca="false">-BA98*$F100*(BA$4&gt;In_COD)</f>
        <v>-635.360721470602</v>
      </c>
      <c r="BB103" s="33" t="n">
        <f aca="false">-BB98*$F100*(BB$4&gt;In_COD)</f>
        <v>-603.665887043398</v>
      </c>
      <c r="BC103" s="33" t="n">
        <f aca="false">-BC98*$F100*(BC$4&gt;In_COD)</f>
        <v>-571.574867185854</v>
      </c>
      <c r="BD103" s="33" t="n">
        <f aca="false">-BD98*$F100*(BD$4&gt;In_COD)</f>
        <v>-539.082709580091</v>
      </c>
      <c r="BE103" s="33" t="n">
        <f aca="false">-BE98*$F100*(BE$4&gt;In_COD)</f>
        <v>-506.184400004255</v>
      </c>
      <c r="BF103" s="33" t="n">
        <f aca="false">-BF98*$F100*(BF$4&gt;In_COD)</f>
        <v>-472.874861558722</v>
      </c>
      <c r="BG103" s="33" t="n">
        <f aca="false">-BG98*$F100*(BG$4&gt;In_COD)</f>
        <v>-439.14895388262</v>
      </c>
      <c r="BH103" s="33" t="n">
        <f aca="false">-BH98*$F100*(BH$4&gt;In_COD)</f>
        <v>-405.001472360566</v>
      </c>
      <c r="BI103" s="33" t="n">
        <f aca="false">-BI98*$F100*(BI$4&gt;In_COD)</f>
        <v>-370.427147319487</v>
      </c>
      <c r="BJ103" s="33" t="n">
        <f aca="false">-BJ98*$F100*(BJ$4&gt;In_COD)</f>
        <v>-335.420643215394</v>
      </c>
      <c r="BK103" s="33" t="n">
        <f aca="false">-BK98*$F100*(BK$4&gt;In_COD)</f>
        <v>-299.97655781</v>
      </c>
      <c r="BL103" s="33" t="n">
        <f aca="false">-BL98*$F100*(BL$4&gt;In_COD)</f>
        <v>-264.089421337039</v>
      </c>
      <c r="BM103" s="33" t="n">
        <f aca="false">-BM98*$F100*(BM$4&gt;In_COD)</f>
        <v>-227.753695658165</v>
      </c>
      <c r="BN103" s="33" t="n">
        <f aca="false">-BN98*$F100*(BN$4&gt;In_COD)</f>
        <v>-190.963773408306</v>
      </c>
      <c r="BO103" s="33" t="n">
        <f aca="false">-BO98*$F100*(BO$4&gt;In_COD)</f>
        <v>-153.713977130323</v>
      </c>
      <c r="BP103" s="33" t="n">
        <f aca="false">-BP98*$F100*(BP$4&gt;In_COD)</f>
        <v>-115.998558398866</v>
      </c>
      <c r="BQ103" s="33" t="n">
        <f aca="false">-BQ98*$F100*(BQ$4&gt;In_COD)</f>
        <v>-77.8116969332652</v>
      </c>
      <c r="BR103" s="33" t="n">
        <f aca="false">-BR98*$F100*(BR$4&gt;In_COD)</f>
        <v>-39.1474996993446</v>
      </c>
      <c r="BS103" s="33" t="n">
        <f aca="false">-BS98*$F100*(BS$4&gt;In_COD)</f>
        <v>-0</v>
      </c>
      <c r="BT103" s="33" t="n">
        <f aca="false">-BT98*$F100*(BT$4&gt;In_COD)</f>
        <v>-0</v>
      </c>
      <c r="BU103" s="33" t="n">
        <f aca="false">-BU98*$F100*(BU$4&gt;In_COD)</f>
        <v>-0</v>
      </c>
      <c r="BV103" s="33" t="n">
        <f aca="false">-BV98*$F100*(BV$4&gt;In_COD)</f>
        <v>-0</v>
      </c>
      <c r="BW103" s="33" t="n">
        <f aca="false">-BW98*$F100*(BW$4&gt;In_COD)</f>
        <v>-0</v>
      </c>
      <c r="BX103" s="33" t="n">
        <f aca="false">-BX98*$F100*(BX$4&gt;In_COD)</f>
        <v>-0</v>
      </c>
      <c r="BY103" s="33" t="n">
        <f aca="false">-BY98*$F100*(BY$4&gt;In_COD)</f>
        <v>-0</v>
      </c>
      <c r="BZ103" s="33" t="n">
        <f aca="false">-BZ98*$F100*(BZ$4&gt;In_COD)</f>
        <v>-0</v>
      </c>
      <c r="CA103" s="33" t="n">
        <f aca="false">-CA98*$F100*(CA$4&gt;In_COD)</f>
        <v>-0</v>
      </c>
      <c r="CB103" s="33" t="n">
        <f aca="false">-CB98*$F100*(CB$4&gt;In_COD)</f>
        <v>-0</v>
      </c>
      <c r="CC103" s="33" t="n">
        <f aca="false">-CC98*$F100*(CC$4&gt;In_COD)</f>
        <v>-0</v>
      </c>
      <c r="CD103" s="33" t="n">
        <f aca="false">-CD98*$F100*(CD$4&gt;In_COD)</f>
        <v>-0</v>
      </c>
      <c r="CE103" s="33" t="n">
        <f aca="false">-CE98*$F100*(CE$4&gt;In_COD)</f>
        <v>-0</v>
      </c>
      <c r="CF103" s="33" t="n">
        <f aca="false">-CF98*$F100*(CF$4&gt;In_COD)</f>
        <v>-0</v>
      </c>
      <c r="CG103" s="33" t="n">
        <f aca="false">-CG98*$F100*(CG$4&gt;In_COD)</f>
        <v>-0</v>
      </c>
      <c r="CH103" s="33" t="n">
        <f aca="false">-CH98*$F100*(CH$4&gt;In_COD)</f>
        <v>-0</v>
      </c>
      <c r="CI103" s="33" t="n">
        <f aca="false">-CI98*$F100*(CI$4&gt;In_COD)</f>
        <v>-0</v>
      </c>
      <c r="CJ103" s="33" t="n">
        <f aca="false">-CJ98*$F100*(CJ$4&gt;In_COD)</f>
        <v>-0</v>
      </c>
      <c r="CK103" s="33" t="n">
        <f aca="false">-CK98*$F100*(CK$4&gt;In_COD)</f>
        <v>-0</v>
      </c>
      <c r="CL103" s="33" t="n">
        <f aca="false">-CL98*$F100*(CL$4&gt;In_COD)</f>
        <v>-0</v>
      </c>
      <c r="CM103" s="33" t="n">
        <f aca="false">-CM98*$F100*(CM$4&gt;In_COD)</f>
        <v>-0</v>
      </c>
      <c r="CN103" s="33" t="n">
        <f aca="false">-CN98*$F100*(CN$4&gt;In_COD)</f>
        <v>-0</v>
      </c>
      <c r="CO103" s="33" t="n">
        <f aca="false">-CO98*$F100*(CO$4&gt;In_COD)</f>
        <v>-0</v>
      </c>
      <c r="CP103" s="33" t="n">
        <f aca="false">-CP98*$F100*(CP$4&gt;In_COD)</f>
        <v>-0</v>
      </c>
      <c r="CQ103" s="33" t="n">
        <f aca="false">-CQ98*$F100*(CQ$4&gt;In_COD)</f>
        <v>-0</v>
      </c>
      <c r="CR103" s="33" t="n">
        <f aca="false">-CR98*$F100*(CR$4&gt;In_COD)</f>
        <v>-0</v>
      </c>
      <c r="CS103" s="33" t="n">
        <f aca="false">-CS98*$F100*(CS$4&gt;In_COD)</f>
        <v>-0</v>
      </c>
      <c r="CT103" s="33" t="n">
        <f aca="false">-CT98*$F100*(CT$4&gt;In_COD)</f>
        <v>-0</v>
      </c>
      <c r="CU103" s="33" t="n">
        <f aca="false">-CU98*$F100*(CU$4&gt;In_COD)</f>
        <v>-0</v>
      </c>
      <c r="CV103" s="33" t="n">
        <f aca="false">-CV98*$F100*(CV$4&gt;In_COD)</f>
        <v>-0</v>
      </c>
      <c r="CW103" s="33" t="n">
        <f aca="false">-CW98*$F100*(CW$4&gt;In_COD)</f>
        <v>-0</v>
      </c>
      <c r="CX103" s="33" t="n">
        <f aca="false">-CX98*$F100*(CX$4&gt;In_COD)</f>
        <v>-0</v>
      </c>
      <c r="CY103" s="33" t="n">
        <f aca="false">-CY98*$F100*(CY$4&gt;In_COD)</f>
        <v>-0</v>
      </c>
      <c r="CZ103" s="33" t="n">
        <f aca="false">-CZ98*$F100*(CZ$4&gt;In_COD)</f>
        <v>-0</v>
      </c>
      <c r="DA103" s="33" t="n">
        <f aca="false">-DA98*$F100*(DA$4&gt;In_COD)</f>
        <v>-0</v>
      </c>
      <c r="DB103" s="33" t="n">
        <f aca="false">-DB98*$F100*(DB$4&gt;In_COD)</f>
        <v>-0</v>
      </c>
      <c r="DC103" s="33" t="n">
        <f aca="false">-DC98*$F100*(DC$4&gt;In_COD)</f>
        <v>-0</v>
      </c>
      <c r="DD103" s="33" t="n">
        <f aca="false">-DD98*$F100*(DD$4&gt;In_COD)</f>
        <v>-0</v>
      </c>
      <c r="DE103" s="33" t="n">
        <f aca="false">-DE98*$F100*(DE$4&gt;In_COD)</f>
        <v>-0</v>
      </c>
      <c r="DF103" s="33" t="n">
        <f aca="false">-DF98*$F100*(DF$4&gt;In_COD)</f>
        <v>-0</v>
      </c>
      <c r="DG103" s="33" t="n">
        <f aca="false">-DG98*$F100*(DG$4&gt;In_COD)</f>
        <v>-0</v>
      </c>
      <c r="DH103" s="33" t="n">
        <f aca="false">-DH98*$F100*(DH$4&gt;In_COD)</f>
        <v>-0</v>
      </c>
      <c r="DI103" s="33" t="n">
        <f aca="false">-DI98*$F100*(DI$4&gt;In_COD)</f>
        <v>-0</v>
      </c>
      <c r="DJ103" s="33" t="n">
        <f aca="false">-DJ98*$F100*(DJ$4&gt;In_COD)</f>
        <v>-0</v>
      </c>
      <c r="DK103" s="33" t="n">
        <f aca="false">-DK98*$F100*(DK$4&gt;In_COD)</f>
        <v>-0</v>
      </c>
      <c r="DL103" s="33" t="n">
        <f aca="false">-DL98*$F100*(DL$4&gt;In_COD)</f>
        <v>-0</v>
      </c>
      <c r="DM103" s="33" t="n">
        <f aca="false">-DM98*$F100*(DM$4&gt;In_COD)</f>
        <v>-0</v>
      </c>
      <c r="DN103" s="33" t="n">
        <f aca="false">-DN98*$F100*(DN$4&gt;In_COD)</f>
        <v>-0</v>
      </c>
      <c r="DO103" s="33" t="n">
        <f aca="false">-DO98*$F100*(DO$4&gt;In_COD)</f>
        <v>-0</v>
      </c>
      <c r="DP103" s="33" t="n">
        <f aca="false">-DP98*$F100*(DP$4&gt;In_COD)</f>
        <v>-0</v>
      </c>
      <c r="DQ103" s="33" t="n">
        <f aca="false">-DQ98*$F100*(DQ$4&gt;In_COD)</f>
        <v>-0</v>
      </c>
      <c r="DR103" s="33" t="n">
        <f aca="false">-DR98*$F100*(DR$4&gt;In_COD)</f>
        <v>-0</v>
      </c>
      <c r="DS103" s="33" t="n">
        <f aca="false">-DS98*$F100*(DS$4&gt;In_COD)</f>
        <v>-0</v>
      </c>
      <c r="DT103" s="33" t="n">
        <f aca="false">-DT98*$F100*(DT$4&gt;In_COD)</f>
        <v>-0</v>
      </c>
      <c r="DU103" s="33" t="n">
        <f aca="false">-DU98*$F100*(DU$4&gt;In_COD)</f>
        <v>-0</v>
      </c>
      <c r="DV103" s="33" t="n">
        <f aca="false">-DV98*$F100*(DV$4&gt;In_COD)</f>
        <v>-0</v>
      </c>
      <c r="DW103" s="33" t="n">
        <f aca="false">-DW98*$F100*(DW$4&gt;In_COD)</f>
        <v>-0</v>
      </c>
      <c r="DX103" s="33" t="n">
        <f aca="false">-DX98*$F100*(DX$4&gt;In_COD)</f>
        <v>-0</v>
      </c>
      <c r="DY103" s="33" t="n">
        <f aca="false">-DY98*$F100*(DY$4&gt;In_COD)</f>
        <v>-0</v>
      </c>
      <c r="DZ103" s="33" t="n">
        <f aca="false">-DZ98*$F100*(DZ$4&gt;In_COD)</f>
        <v>-0</v>
      </c>
      <c r="EA103" s="33" t="n">
        <f aca="false">-EA98*$F100*(EA$4&gt;In_COD)</f>
        <v>-0</v>
      </c>
      <c r="EB103" s="33" t="n">
        <f aca="false">-EB98*$F100*(EB$4&gt;In_COD)</f>
        <v>-0</v>
      </c>
      <c r="EC103" s="33" t="n">
        <f aca="false">-EC98*$F100*(EC$4&gt;In_COD)</f>
        <v>-0</v>
      </c>
      <c r="ED103" s="33" t="n">
        <f aca="false">-ED98*$F100*(ED$4&gt;In_COD)</f>
        <v>-0</v>
      </c>
      <c r="EE103" s="33" t="n">
        <f aca="false">-EE98*$F100*(EE$4&gt;In_COD)</f>
        <v>-0</v>
      </c>
      <c r="EF103" s="33" t="n">
        <f aca="false">-EF98*$F100*(EF$4&gt;In_COD)</f>
        <v>-0</v>
      </c>
      <c r="EG103" s="33" t="n">
        <f aca="false">-EG98*$F100*(EG$4&gt;In_COD)</f>
        <v>-0</v>
      </c>
      <c r="EH103" s="33" t="n">
        <f aca="false">-EH98*$F100*(EH$4&gt;In_COD)</f>
        <v>-0</v>
      </c>
      <c r="EI103" s="33" t="n">
        <f aca="false">-EI98*$F100*(EI$4&gt;In_COD)</f>
        <v>-0</v>
      </c>
      <c r="EJ103" s="33" t="n">
        <f aca="false">-EJ98*$F100*(EJ$4&gt;In_COD)</f>
        <v>-0</v>
      </c>
      <c r="EK103" s="33" t="n">
        <f aca="false">-EK98*$F100*(EK$4&gt;In_COD)</f>
        <v>-0</v>
      </c>
      <c r="EL103" s="33" t="n">
        <f aca="false">-EL98*$F100*(EL$4&gt;In_COD)</f>
        <v>-0</v>
      </c>
      <c r="EM103" s="33" t="n">
        <f aca="false">-EM98*$F100*(EM$4&gt;In_COD)</f>
        <v>-0</v>
      </c>
      <c r="EN103" s="33" t="n">
        <f aca="false">-EN98*$F100*(EN$4&gt;In_COD)</f>
        <v>-0</v>
      </c>
      <c r="EO103" s="33" t="n">
        <f aca="false">-EO98*$F100*(EO$4&gt;In_COD)</f>
        <v>-0</v>
      </c>
      <c r="EP103" s="33" t="n">
        <f aca="false">-EP98*$F100*(EP$4&gt;In_COD)</f>
        <v>-0</v>
      </c>
      <c r="EQ103" s="33" t="n">
        <f aca="false">-EQ98*$F100*(EQ$4&gt;In_COD)</f>
        <v>-0</v>
      </c>
      <c r="ER103" s="33" t="n">
        <f aca="false">-ER98*$F100*(ER$4&gt;In_COD)</f>
        <v>-0</v>
      </c>
      <c r="ES103" s="33" t="n">
        <f aca="false">-ES98*$F100*(ES$4&gt;In_COD)</f>
        <v>-0</v>
      </c>
      <c r="ET103" s="33" t="n">
        <f aca="false">-ET98*$F100*(ET$4&gt;In_COD)</f>
        <v>-0</v>
      </c>
    </row>
    <row r="104" customFormat="false" ht="15" hidden="false" customHeight="false" outlineLevel="0" collapsed="false">
      <c r="C104" s="0" t="s">
        <v>405</v>
      </c>
      <c r="D104" s="11" t="s">
        <v>253</v>
      </c>
      <c r="I104" s="33" t="n">
        <f aca="false">SUM(J104:ET104)</f>
        <v>-1663.7710677863</v>
      </c>
      <c r="J104" s="33" t="n">
        <f aca="false">-In_Upfront_Fee*$E99*(J98=0)*(J99&gt;0)</f>
        <v>-0</v>
      </c>
      <c r="K104" s="33" t="n">
        <f aca="false">-In_Upfront_Fee*$E99*(K98=0)*(K99&gt;0)</f>
        <v>-0</v>
      </c>
      <c r="L104" s="33" t="n">
        <f aca="false">-In_Upfront_Fee*$E99*(L98=0)*(L99&gt;0)</f>
        <v>-0</v>
      </c>
      <c r="M104" s="33" t="n">
        <f aca="false">-In_Upfront_Fee*$E99*(M98=0)*(M99&gt;0)</f>
        <v>-0</v>
      </c>
      <c r="N104" s="33" t="n">
        <f aca="false">-In_Upfront_Fee*$E99*(N98=0)*(N99&gt;0)</f>
        <v>-0</v>
      </c>
      <c r="O104" s="33" t="n">
        <f aca="false">-In_Upfront_Fee*$E99*(O98=0)*(O99&gt;0)</f>
        <v>-0</v>
      </c>
      <c r="P104" s="33" t="n">
        <f aca="false">-In_Upfront_Fee*$E99*(P98=0)*(P99&gt;0)</f>
        <v>-0</v>
      </c>
      <c r="Q104" s="33" t="n">
        <f aca="false">-In_Upfront_Fee*$E99*(Q98=0)*(Q99&gt;0)</f>
        <v>-0</v>
      </c>
      <c r="R104" s="33" t="n">
        <f aca="false">-In_Upfront_Fee*$E99*(R98=0)*(R99&gt;0)</f>
        <v>-0</v>
      </c>
      <c r="S104" s="33" t="n">
        <f aca="false">-In_Upfront_Fee*$E99*(S98=0)*(S99&gt;0)</f>
        <v>-0</v>
      </c>
      <c r="T104" s="33" t="n">
        <f aca="false">-In_Upfront_Fee*$E99*(T98=0)*(T99&gt;0)</f>
        <v>-0</v>
      </c>
      <c r="U104" s="33" t="n">
        <f aca="false">-In_Upfront_Fee*$E99*(U98=0)*(U99&gt;0)</f>
        <v>-0</v>
      </c>
      <c r="V104" s="33" t="n">
        <f aca="false">-In_Upfront_Fee*$E99*(V98=0)*(V99&gt;0)</f>
        <v>-0</v>
      </c>
      <c r="W104" s="33" t="n">
        <f aca="false">-In_Upfront_Fee*$E99*(W98=0)*(W99&gt;0)</f>
        <v>-1663.7710677863</v>
      </c>
      <c r="X104" s="33" t="n">
        <f aca="false">-In_Upfront_Fee*$E99*(X98=0)*(X99&gt;0)</f>
        <v>-0</v>
      </c>
      <c r="Y104" s="33" t="n">
        <f aca="false">-In_Upfront_Fee*$E99*(Y98=0)*(Y99&gt;0)</f>
        <v>-0</v>
      </c>
      <c r="Z104" s="33" t="n">
        <f aca="false">-In_Upfront_Fee*$E99*(Z98=0)*(Z99&gt;0)</f>
        <v>-0</v>
      </c>
      <c r="AA104" s="33" t="n">
        <f aca="false">-In_Upfront_Fee*$E99*(AA98=0)*(AA99&gt;0)</f>
        <v>-0</v>
      </c>
      <c r="AB104" s="33" t="n">
        <f aca="false">-In_Upfront_Fee*$E99*(AB98=0)*(AB99&gt;0)</f>
        <v>-0</v>
      </c>
      <c r="AC104" s="33" t="n">
        <f aca="false">-In_Upfront_Fee*$E99*(AC98=0)*(AC99&gt;0)</f>
        <v>-0</v>
      </c>
      <c r="AD104" s="33" t="n">
        <f aca="false">-In_Upfront_Fee*$E99*(AD98=0)*(AD99&gt;0)</f>
        <v>-0</v>
      </c>
      <c r="AE104" s="33" t="n">
        <f aca="false">-In_Upfront_Fee*$E99*(AE98=0)*(AE99&gt;0)</f>
        <v>-0</v>
      </c>
      <c r="AF104" s="33" t="n">
        <f aca="false">-In_Upfront_Fee*$E99*(AF98=0)*(AF99&gt;0)</f>
        <v>-0</v>
      </c>
      <c r="AG104" s="33" t="n">
        <f aca="false">-In_Upfront_Fee*$E99*(AG98=0)*(AG99&gt;0)</f>
        <v>-0</v>
      </c>
      <c r="AH104" s="33" t="n">
        <f aca="false">-In_Upfront_Fee*$E99*(AH98=0)*(AH99&gt;0)</f>
        <v>-0</v>
      </c>
      <c r="AI104" s="33" t="n">
        <f aca="false">-In_Upfront_Fee*$E99*(AI98=0)*(AI99&gt;0)</f>
        <v>-0</v>
      </c>
      <c r="AJ104" s="33" t="n">
        <f aca="false">-In_Upfront_Fee*$E99*(AJ98=0)*(AJ99&gt;0)</f>
        <v>-0</v>
      </c>
      <c r="AK104" s="33" t="n">
        <f aca="false">-In_Upfront_Fee*$E99*(AK98=0)*(AK99&gt;0)</f>
        <v>-0</v>
      </c>
      <c r="AL104" s="33" t="n">
        <f aca="false">-In_Upfront_Fee*$E99*(AL98=0)*(AL99&gt;0)</f>
        <v>-0</v>
      </c>
      <c r="AM104" s="33" t="n">
        <f aca="false">-In_Upfront_Fee*$E99*(AM98=0)*(AM99&gt;0)</f>
        <v>-0</v>
      </c>
      <c r="AN104" s="33" t="n">
        <f aca="false">-In_Upfront_Fee*$E99*(AN98=0)*(AN99&gt;0)</f>
        <v>-0</v>
      </c>
      <c r="AO104" s="33" t="n">
        <f aca="false">-In_Upfront_Fee*$E99*(AO98=0)*(AO99&gt;0)</f>
        <v>-0</v>
      </c>
      <c r="AP104" s="33" t="n">
        <f aca="false">-In_Upfront_Fee*$E99*(AP98=0)*(AP99&gt;0)</f>
        <v>-0</v>
      </c>
      <c r="AQ104" s="33" t="n">
        <f aca="false">-In_Upfront_Fee*$E99*(AQ98=0)*(AQ99&gt;0)</f>
        <v>-0</v>
      </c>
      <c r="AR104" s="33" t="n">
        <f aca="false">-In_Upfront_Fee*$E99*(AR98=0)*(AR99&gt;0)</f>
        <v>-0</v>
      </c>
      <c r="AS104" s="33" t="n">
        <f aca="false">-In_Upfront_Fee*$E99*(AS98=0)*(AS99&gt;0)</f>
        <v>-0</v>
      </c>
      <c r="AT104" s="33" t="n">
        <f aca="false">-In_Upfront_Fee*$E99*(AT98=0)*(AT99&gt;0)</f>
        <v>-0</v>
      </c>
      <c r="AU104" s="33" t="n">
        <f aca="false">-In_Upfront_Fee*$E99*(AU98=0)*(AU99&gt;0)</f>
        <v>-0</v>
      </c>
      <c r="AV104" s="33" t="n">
        <f aca="false">-In_Upfront_Fee*$E99*(AV98=0)*(AV99&gt;0)</f>
        <v>-0</v>
      </c>
      <c r="AW104" s="33" t="n">
        <f aca="false">-In_Upfront_Fee*$E99*(AW98=0)*(AW99&gt;0)</f>
        <v>-0</v>
      </c>
      <c r="AX104" s="33" t="n">
        <f aca="false">-In_Upfront_Fee*$E99*(AX98=0)*(AX99&gt;0)</f>
        <v>-0</v>
      </c>
      <c r="AY104" s="33" t="n">
        <f aca="false">-In_Upfront_Fee*$E99*(AY98=0)*(AY99&gt;0)</f>
        <v>-0</v>
      </c>
      <c r="AZ104" s="33" t="n">
        <f aca="false">-In_Upfront_Fee*$E99*(AZ98=0)*(AZ99&gt;0)</f>
        <v>-0</v>
      </c>
      <c r="BA104" s="33" t="n">
        <f aca="false">-In_Upfront_Fee*$E99*(BA98=0)*(BA99&gt;0)</f>
        <v>-0</v>
      </c>
      <c r="BB104" s="33" t="n">
        <f aca="false">-In_Upfront_Fee*$E99*(BB98=0)*(BB99&gt;0)</f>
        <v>-0</v>
      </c>
      <c r="BC104" s="33" t="n">
        <f aca="false">-In_Upfront_Fee*$E99*(BC98=0)*(BC99&gt;0)</f>
        <v>-0</v>
      </c>
      <c r="BD104" s="33" t="n">
        <f aca="false">-In_Upfront_Fee*$E99*(BD98=0)*(BD99&gt;0)</f>
        <v>-0</v>
      </c>
      <c r="BE104" s="33" t="n">
        <f aca="false">-In_Upfront_Fee*$E99*(BE98=0)*(BE99&gt;0)</f>
        <v>-0</v>
      </c>
      <c r="BF104" s="33" t="n">
        <f aca="false">-In_Upfront_Fee*$E99*(BF98=0)*(BF99&gt;0)</f>
        <v>-0</v>
      </c>
      <c r="BG104" s="33" t="n">
        <f aca="false">-In_Upfront_Fee*$E99*(BG98=0)*(BG99&gt;0)</f>
        <v>-0</v>
      </c>
      <c r="BH104" s="33" t="n">
        <f aca="false">-In_Upfront_Fee*$E99*(BH98=0)*(BH99&gt;0)</f>
        <v>-0</v>
      </c>
      <c r="BI104" s="33" t="n">
        <f aca="false">-In_Upfront_Fee*$E99*(BI98=0)*(BI99&gt;0)</f>
        <v>-0</v>
      </c>
      <c r="BJ104" s="33" t="n">
        <f aca="false">-In_Upfront_Fee*$E99*(BJ98=0)*(BJ99&gt;0)</f>
        <v>-0</v>
      </c>
      <c r="BK104" s="33" t="n">
        <f aca="false">-In_Upfront_Fee*$E99*(BK98=0)*(BK99&gt;0)</f>
        <v>-0</v>
      </c>
      <c r="BL104" s="33" t="n">
        <f aca="false">-In_Upfront_Fee*$E99*(BL98=0)*(BL99&gt;0)</f>
        <v>-0</v>
      </c>
      <c r="BM104" s="33" t="n">
        <f aca="false">-In_Upfront_Fee*$E99*(BM98=0)*(BM99&gt;0)</f>
        <v>-0</v>
      </c>
      <c r="BN104" s="33" t="n">
        <f aca="false">-In_Upfront_Fee*$E99*(BN98=0)*(BN99&gt;0)</f>
        <v>-0</v>
      </c>
      <c r="BO104" s="33" t="n">
        <f aca="false">-In_Upfront_Fee*$E99*(BO98=0)*(BO99&gt;0)</f>
        <v>-0</v>
      </c>
      <c r="BP104" s="33" t="n">
        <f aca="false">-In_Upfront_Fee*$E99*(BP98=0)*(BP99&gt;0)</f>
        <v>-0</v>
      </c>
      <c r="BQ104" s="33" t="n">
        <f aca="false">-In_Upfront_Fee*$E99*(BQ98=0)*(BQ99&gt;0)</f>
        <v>-0</v>
      </c>
      <c r="BR104" s="33" t="n">
        <f aca="false">-In_Upfront_Fee*$E99*(BR98=0)*(BR99&gt;0)</f>
        <v>-0</v>
      </c>
      <c r="BS104" s="33" t="n">
        <f aca="false">-In_Upfront_Fee*$E99*(BS98=0)*(BS99&gt;0)</f>
        <v>-0</v>
      </c>
      <c r="BT104" s="33" t="n">
        <f aca="false">-In_Upfront_Fee*$E99*(BT98=0)*(BT99&gt;0)</f>
        <v>-0</v>
      </c>
      <c r="BU104" s="33" t="n">
        <f aca="false">-In_Upfront_Fee*$E99*(BU98=0)*(BU99&gt;0)</f>
        <v>-0</v>
      </c>
      <c r="BV104" s="33" t="n">
        <f aca="false">-In_Upfront_Fee*$E99*(BV98=0)*(BV99&gt;0)</f>
        <v>-0</v>
      </c>
      <c r="BW104" s="33" t="n">
        <f aca="false">-In_Upfront_Fee*$E99*(BW98=0)*(BW99&gt;0)</f>
        <v>-0</v>
      </c>
      <c r="BX104" s="33" t="n">
        <f aca="false">-In_Upfront_Fee*$E99*(BX98=0)*(BX99&gt;0)</f>
        <v>-0</v>
      </c>
      <c r="BY104" s="33" t="n">
        <f aca="false">-In_Upfront_Fee*$E99*(BY98=0)*(BY99&gt;0)</f>
        <v>-0</v>
      </c>
      <c r="BZ104" s="33" t="n">
        <f aca="false">-In_Upfront_Fee*$E99*(BZ98=0)*(BZ99&gt;0)</f>
        <v>-0</v>
      </c>
      <c r="CA104" s="33" t="n">
        <f aca="false">-In_Upfront_Fee*$E99*(CA98=0)*(CA99&gt;0)</f>
        <v>-0</v>
      </c>
      <c r="CB104" s="33" t="n">
        <f aca="false">-In_Upfront_Fee*$E99*(CB98=0)*(CB99&gt;0)</f>
        <v>-0</v>
      </c>
      <c r="CC104" s="33" t="n">
        <f aca="false">-In_Upfront_Fee*$E99*(CC98=0)*(CC99&gt;0)</f>
        <v>-0</v>
      </c>
      <c r="CD104" s="33" t="n">
        <f aca="false">-In_Upfront_Fee*$E99*(CD98=0)*(CD99&gt;0)</f>
        <v>-0</v>
      </c>
      <c r="CE104" s="33" t="n">
        <f aca="false">-In_Upfront_Fee*$E99*(CE98=0)*(CE99&gt;0)</f>
        <v>-0</v>
      </c>
      <c r="CF104" s="33" t="n">
        <f aca="false">-In_Upfront_Fee*$E99*(CF98=0)*(CF99&gt;0)</f>
        <v>-0</v>
      </c>
      <c r="CG104" s="33" t="n">
        <f aca="false">-In_Upfront_Fee*$E99*(CG98=0)*(CG99&gt;0)</f>
        <v>-0</v>
      </c>
      <c r="CH104" s="33" t="n">
        <f aca="false">-In_Upfront_Fee*$E99*(CH98=0)*(CH99&gt;0)</f>
        <v>-0</v>
      </c>
      <c r="CI104" s="33" t="n">
        <f aca="false">-In_Upfront_Fee*$E99*(CI98=0)*(CI99&gt;0)</f>
        <v>-0</v>
      </c>
      <c r="CJ104" s="33" t="n">
        <f aca="false">-In_Upfront_Fee*$E99*(CJ98=0)*(CJ99&gt;0)</f>
        <v>-0</v>
      </c>
      <c r="CK104" s="33" t="n">
        <f aca="false">-In_Upfront_Fee*$E99*(CK98=0)*(CK99&gt;0)</f>
        <v>-0</v>
      </c>
      <c r="CL104" s="33" t="n">
        <f aca="false">-In_Upfront_Fee*$E99*(CL98=0)*(CL99&gt;0)</f>
        <v>-0</v>
      </c>
      <c r="CM104" s="33" t="n">
        <f aca="false">-In_Upfront_Fee*$E99*(CM98=0)*(CM99&gt;0)</f>
        <v>-0</v>
      </c>
      <c r="CN104" s="33" t="n">
        <f aca="false">-In_Upfront_Fee*$E99*(CN98=0)*(CN99&gt;0)</f>
        <v>-0</v>
      </c>
      <c r="CO104" s="33" t="n">
        <f aca="false">-In_Upfront_Fee*$E99*(CO98=0)*(CO99&gt;0)</f>
        <v>-0</v>
      </c>
      <c r="CP104" s="33" t="n">
        <f aca="false">-In_Upfront_Fee*$E99*(CP98=0)*(CP99&gt;0)</f>
        <v>-0</v>
      </c>
      <c r="CQ104" s="33" t="n">
        <f aca="false">-In_Upfront_Fee*$E99*(CQ98=0)*(CQ99&gt;0)</f>
        <v>-0</v>
      </c>
      <c r="CR104" s="33" t="n">
        <f aca="false">-In_Upfront_Fee*$E99*(CR98=0)*(CR99&gt;0)</f>
        <v>-0</v>
      </c>
      <c r="CS104" s="33" t="n">
        <f aca="false">-In_Upfront_Fee*$E99*(CS98=0)*(CS99&gt;0)</f>
        <v>-0</v>
      </c>
      <c r="CT104" s="33" t="n">
        <f aca="false">-In_Upfront_Fee*$E99*(CT98=0)*(CT99&gt;0)</f>
        <v>-0</v>
      </c>
      <c r="CU104" s="33" t="n">
        <f aca="false">-In_Upfront_Fee*$E99*(CU98=0)*(CU99&gt;0)</f>
        <v>-0</v>
      </c>
      <c r="CV104" s="33" t="n">
        <f aca="false">-In_Upfront_Fee*$E99*(CV98=0)*(CV99&gt;0)</f>
        <v>-0</v>
      </c>
      <c r="CW104" s="33" t="n">
        <f aca="false">-In_Upfront_Fee*$E99*(CW98=0)*(CW99&gt;0)</f>
        <v>-0</v>
      </c>
      <c r="CX104" s="33" t="n">
        <f aca="false">-In_Upfront_Fee*$E99*(CX98=0)*(CX99&gt;0)</f>
        <v>-0</v>
      </c>
      <c r="CY104" s="33" t="n">
        <f aca="false">-In_Upfront_Fee*$E99*(CY98=0)*(CY99&gt;0)</f>
        <v>-0</v>
      </c>
      <c r="CZ104" s="33" t="n">
        <f aca="false">-In_Upfront_Fee*$E99*(CZ98=0)*(CZ99&gt;0)</f>
        <v>-0</v>
      </c>
      <c r="DA104" s="33" t="n">
        <f aca="false">-In_Upfront_Fee*$E99*(DA98=0)*(DA99&gt;0)</f>
        <v>-0</v>
      </c>
      <c r="DB104" s="33" t="n">
        <f aca="false">-In_Upfront_Fee*$E99*(DB98=0)*(DB99&gt;0)</f>
        <v>-0</v>
      </c>
      <c r="DC104" s="33" t="n">
        <f aca="false">-In_Upfront_Fee*$E99*(DC98=0)*(DC99&gt;0)</f>
        <v>-0</v>
      </c>
      <c r="DD104" s="33" t="n">
        <f aca="false">-In_Upfront_Fee*$E99*(DD98=0)*(DD99&gt;0)</f>
        <v>-0</v>
      </c>
      <c r="DE104" s="33" t="n">
        <f aca="false">-In_Upfront_Fee*$E99*(DE98=0)*(DE99&gt;0)</f>
        <v>-0</v>
      </c>
      <c r="DF104" s="33" t="n">
        <f aca="false">-In_Upfront_Fee*$E99*(DF98=0)*(DF99&gt;0)</f>
        <v>-0</v>
      </c>
      <c r="DG104" s="33" t="n">
        <f aca="false">-In_Upfront_Fee*$E99*(DG98=0)*(DG99&gt;0)</f>
        <v>-0</v>
      </c>
      <c r="DH104" s="33" t="n">
        <f aca="false">-In_Upfront_Fee*$E99*(DH98=0)*(DH99&gt;0)</f>
        <v>-0</v>
      </c>
      <c r="DI104" s="33" t="n">
        <f aca="false">-In_Upfront_Fee*$E99*(DI98=0)*(DI99&gt;0)</f>
        <v>-0</v>
      </c>
      <c r="DJ104" s="33" t="n">
        <f aca="false">-In_Upfront_Fee*$E99*(DJ98=0)*(DJ99&gt;0)</f>
        <v>-0</v>
      </c>
      <c r="DK104" s="33" t="n">
        <f aca="false">-In_Upfront_Fee*$E99*(DK98=0)*(DK99&gt;0)</f>
        <v>-0</v>
      </c>
      <c r="DL104" s="33" t="n">
        <f aca="false">-In_Upfront_Fee*$E99*(DL98=0)*(DL99&gt;0)</f>
        <v>-0</v>
      </c>
      <c r="DM104" s="33" t="n">
        <f aca="false">-In_Upfront_Fee*$E99*(DM98=0)*(DM99&gt;0)</f>
        <v>-0</v>
      </c>
      <c r="DN104" s="33" t="n">
        <f aca="false">-In_Upfront_Fee*$E99*(DN98=0)*(DN99&gt;0)</f>
        <v>-0</v>
      </c>
      <c r="DO104" s="33" t="n">
        <f aca="false">-In_Upfront_Fee*$E99*(DO98=0)*(DO99&gt;0)</f>
        <v>-0</v>
      </c>
      <c r="DP104" s="33" t="n">
        <f aca="false">-In_Upfront_Fee*$E99*(DP98=0)*(DP99&gt;0)</f>
        <v>-0</v>
      </c>
      <c r="DQ104" s="33" t="n">
        <f aca="false">-In_Upfront_Fee*$E99*(DQ98=0)*(DQ99&gt;0)</f>
        <v>-0</v>
      </c>
      <c r="DR104" s="33" t="n">
        <f aca="false">-In_Upfront_Fee*$E99*(DR98=0)*(DR99&gt;0)</f>
        <v>-0</v>
      </c>
      <c r="DS104" s="33" t="n">
        <f aca="false">-In_Upfront_Fee*$E99*(DS98=0)*(DS99&gt;0)</f>
        <v>-0</v>
      </c>
      <c r="DT104" s="33" t="n">
        <f aca="false">-In_Upfront_Fee*$E99*(DT98=0)*(DT99&gt;0)</f>
        <v>-0</v>
      </c>
      <c r="DU104" s="33" t="n">
        <f aca="false">-In_Upfront_Fee*$E99*(DU98=0)*(DU99&gt;0)</f>
        <v>-0</v>
      </c>
      <c r="DV104" s="33" t="n">
        <f aca="false">-In_Upfront_Fee*$E99*(DV98=0)*(DV99&gt;0)</f>
        <v>-0</v>
      </c>
      <c r="DW104" s="33" t="n">
        <f aca="false">-In_Upfront_Fee*$E99*(DW98=0)*(DW99&gt;0)</f>
        <v>-0</v>
      </c>
      <c r="DX104" s="33" t="n">
        <f aca="false">-In_Upfront_Fee*$E99*(DX98=0)*(DX99&gt;0)</f>
        <v>-0</v>
      </c>
      <c r="DY104" s="33" t="n">
        <f aca="false">-In_Upfront_Fee*$E99*(DY98=0)*(DY99&gt;0)</f>
        <v>-0</v>
      </c>
      <c r="DZ104" s="33" t="n">
        <f aca="false">-In_Upfront_Fee*$E99*(DZ98=0)*(DZ99&gt;0)</f>
        <v>-0</v>
      </c>
      <c r="EA104" s="33" t="n">
        <f aca="false">-In_Upfront_Fee*$E99*(EA98=0)*(EA99&gt;0)</f>
        <v>-0</v>
      </c>
      <c r="EB104" s="33" t="n">
        <f aca="false">-In_Upfront_Fee*$E99*(EB98=0)*(EB99&gt;0)</f>
        <v>-0</v>
      </c>
      <c r="EC104" s="33" t="n">
        <f aca="false">-In_Upfront_Fee*$E99*(EC98=0)*(EC99&gt;0)</f>
        <v>-0</v>
      </c>
      <c r="ED104" s="33" t="n">
        <f aca="false">-In_Upfront_Fee*$E99*(ED98=0)*(ED99&gt;0)</f>
        <v>-0</v>
      </c>
      <c r="EE104" s="33" t="n">
        <f aca="false">-In_Upfront_Fee*$E99*(EE98=0)*(EE99&gt;0)</f>
        <v>-0</v>
      </c>
      <c r="EF104" s="33" t="n">
        <f aca="false">-In_Upfront_Fee*$E99*(EF98=0)*(EF99&gt;0)</f>
        <v>-0</v>
      </c>
      <c r="EG104" s="33" t="n">
        <f aca="false">-In_Upfront_Fee*$E99*(EG98=0)*(EG99&gt;0)</f>
        <v>-0</v>
      </c>
      <c r="EH104" s="33" t="n">
        <f aca="false">-In_Upfront_Fee*$E99*(EH98=0)*(EH99&gt;0)</f>
        <v>-0</v>
      </c>
      <c r="EI104" s="33" t="n">
        <f aca="false">-In_Upfront_Fee*$E99*(EI98=0)*(EI99&gt;0)</f>
        <v>-0</v>
      </c>
      <c r="EJ104" s="33" t="n">
        <f aca="false">-In_Upfront_Fee*$E99*(EJ98=0)*(EJ99&gt;0)</f>
        <v>-0</v>
      </c>
      <c r="EK104" s="33" t="n">
        <f aca="false">-In_Upfront_Fee*$E99*(EK98=0)*(EK99&gt;0)</f>
        <v>-0</v>
      </c>
      <c r="EL104" s="33" t="n">
        <f aca="false">-In_Upfront_Fee*$E99*(EL98=0)*(EL99&gt;0)</f>
        <v>-0</v>
      </c>
      <c r="EM104" s="33" t="n">
        <f aca="false">-In_Upfront_Fee*$E99*(EM98=0)*(EM99&gt;0)</f>
        <v>-0</v>
      </c>
      <c r="EN104" s="33" t="n">
        <f aca="false">-In_Upfront_Fee*$E99*(EN98=0)*(EN99&gt;0)</f>
        <v>-0</v>
      </c>
      <c r="EO104" s="33" t="n">
        <f aca="false">-In_Upfront_Fee*$E99*(EO98=0)*(EO99&gt;0)</f>
        <v>-0</v>
      </c>
      <c r="EP104" s="33" t="n">
        <f aca="false">-In_Upfront_Fee*$E99*(EP98=0)*(EP99&gt;0)</f>
        <v>-0</v>
      </c>
      <c r="EQ104" s="33" t="n">
        <f aca="false">-In_Upfront_Fee*$E99*(EQ98=0)*(EQ99&gt;0)</f>
        <v>-0</v>
      </c>
      <c r="ER104" s="33" t="n">
        <f aca="false">-In_Upfront_Fee*$E99*(ER98=0)*(ER99&gt;0)</f>
        <v>-0</v>
      </c>
      <c r="ES104" s="33" t="n">
        <f aca="false">-In_Upfront_Fee*$E99*(ES98=0)*(ES99&gt;0)</f>
        <v>-0</v>
      </c>
      <c r="ET104" s="33" t="n">
        <f aca="false">-In_Upfront_Fee*$E99*(ET98=0)*(ET99&gt;0)</f>
        <v>-0</v>
      </c>
    </row>
    <row r="105" customFormat="false" ht="15" hidden="false" customHeight="false" outlineLevel="0" collapsed="false">
      <c r="C105" s="0" t="s">
        <v>560</v>
      </c>
      <c r="D105" s="11" t="s">
        <v>253</v>
      </c>
      <c r="I105" s="33" t="n">
        <f aca="false">SUM(J105:ET105)</f>
        <v>-962.619234608902</v>
      </c>
      <c r="J105" s="33" t="n">
        <f aca="false">-In_Commitment_Fee*($E99-SUM($J99:J99)+J99)*J$6*(J13&gt;0)</f>
        <v>-0</v>
      </c>
      <c r="K105" s="33" t="n">
        <f aca="false">-In_Commitment_Fee*($E99-SUM($J99:K99)+K99)*K$6*(K13&gt;0)</f>
        <v>-0</v>
      </c>
      <c r="L105" s="33" t="n">
        <f aca="false">-In_Commitment_Fee*($E99-SUM($J99:L99)+L99)*L$6*(L13&gt;0)</f>
        <v>-0</v>
      </c>
      <c r="M105" s="33" t="n">
        <f aca="false">-In_Commitment_Fee*($E99-SUM($J99:M99)+M99)*M$6*(M13&gt;0)</f>
        <v>-0</v>
      </c>
      <c r="N105" s="33" t="n">
        <f aca="false">-In_Commitment_Fee*($E99-SUM($J99:N99)+N99)*N$6*(N13&gt;0)</f>
        <v>-0</v>
      </c>
      <c r="O105" s="33" t="n">
        <f aca="false">-In_Commitment_Fee*($E99-SUM($J99:O99)+O99)*O$6*(O13&gt;0)</f>
        <v>-0</v>
      </c>
      <c r="P105" s="33" t="n">
        <f aca="false">-In_Commitment_Fee*($E99-SUM($J99:P99)+P99)*P$6*(P13&gt;0)</f>
        <v>-0</v>
      </c>
      <c r="Q105" s="33" t="n">
        <f aca="false">-In_Commitment_Fee*($E99-SUM($J99:Q99)+Q99)*Q$6*(Q13&gt;0)</f>
        <v>-0</v>
      </c>
      <c r="R105" s="33" t="n">
        <f aca="false">-In_Commitment_Fee*($E99-SUM($J99:R99)+R99)*R$6*(R13&gt;0)</f>
        <v>-0</v>
      </c>
      <c r="S105" s="33" t="n">
        <f aca="false">-In_Commitment_Fee*($E99-SUM($J99:S99)+S99)*S$6*(S13&gt;0)</f>
        <v>-0</v>
      </c>
      <c r="T105" s="33" t="n">
        <f aca="false">-In_Commitment_Fee*($E99-SUM($J99:T99)+T99)*T$6*(T13&gt;0)</f>
        <v>-0</v>
      </c>
      <c r="U105" s="33" t="n">
        <f aca="false">-In_Commitment_Fee*($E99-SUM($J99:U99)+U99)*U$6*(U13&gt;0)</f>
        <v>-0</v>
      </c>
      <c r="V105" s="33" t="n">
        <f aca="false">-In_Commitment_Fee*($E99-SUM($J99:V99)+V99)*V$6*(V13&gt;0)</f>
        <v>-0</v>
      </c>
      <c r="W105" s="33" t="n">
        <f aca="false">-In_Commitment_Fee*($E99-SUM($J99:W99)+W99)*W$6*(W13&gt;0)</f>
        <v>-215.671615518913</v>
      </c>
      <c r="X105" s="33" t="n">
        <f aca="false">-In_Commitment_Fee*($E99-SUM($J99:X99)+X99)*X$6*(X13&gt;0)</f>
        <v>-184.393450909708</v>
      </c>
      <c r="Y105" s="33" t="n">
        <f aca="false">-In_Commitment_Fee*($E99-SUM($J99:Y99)+Y99)*Y$6*(Y13&gt;0)</f>
        <v>-160.141633750702</v>
      </c>
      <c r="Z105" s="33" t="n">
        <f aca="false">-In_Commitment_Fee*($E99-SUM($J99:Z99)+Z99)*Z$6*(Z13&gt;0)</f>
        <v>-135.016340126224</v>
      </c>
      <c r="AA105" s="33" t="n">
        <f aca="false">-In_Commitment_Fee*($E99-SUM($J99:AA99)+AA99)*AA$6*(AA13&gt;0)</f>
        <v>-107.835807759457</v>
      </c>
      <c r="AB105" s="33" t="n">
        <f aca="false">-In_Commitment_Fee*($E99-SUM($J99:AB99)+AB99)*AB$6*(AB13&gt;0)</f>
        <v>-78.9018998406745</v>
      </c>
      <c r="AC105" s="33" t="n">
        <f aca="false">-In_Commitment_Fee*($E99-SUM($J99:AC99)+AC99)*AC$6*(AC13&gt;0)</f>
        <v>-53.4779543364571</v>
      </c>
      <c r="AD105" s="33" t="n">
        <f aca="false">-In_Commitment_Fee*($E99-SUM($J99:AD99)+AD99)*AD$6*(AD13&gt;0)</f>
        <v>-27.1805323667671</v>
      </c>
      <c r="AE105" s="33" t="n">
        <f aca="false">-In_Commitment_Fee*($E99-SUM($J99:AE99)+AE99)*AE$6*(AE13&gt;0)</f>
        <v>-0</v>
      </c>
      <c r="AF105" s="33" t="n">
        <f aca="false">-In_Commitment_Fee*($E99-SUM($J99:AF99)+AF99)*AF$6*(AF13&gt;0)</f>
        <v>-0</v>
      </c>
      <c r="AG105" s="33" t="n">
        <f aca="false">-In_Commitment_Fee*($E99-SUM($J99:AG99)+AG99)*AG$6*(AG13&gt;0)</f>
        <v>-0</v>
      </c>
      <c r="AH105" s="33" t="n">
        <f aca="false">-In_Commitment_Fee*($E99-SUM($J99:AH99)+AH99)*AH$6*(AH13&gt;0)</f>
        <v>-0</v>
      </c>
      <c r="AI105" s="33" t="n">
        <f aca="false">-In_Commitment_Fee*($E99-SUM($J99:AI99)+AI99)*AI$6*(AI13&gt;0)</f>
        <v>-0</v>
      </c>
      <c r="AJ105" s="33" t="n">
        <f aca="false">-In_Commitment_Fee*($E99-SUM($J99:AJ99)+AJ99)*AJ$6*(AJ13&gt;0)</f>
        <v>-0</v>
      </c>
      <c r="AK105" s="33" t="n">
        <f aca="false">-In_Commitment_Fee*($E99-SUM($J99:AK99)+AK99)*AK$6*(AK13&gt;0)</f>
        <v>-0</v>
      </c>
      <c r="AL105" s="33" t="n">
        <f aca="false">-In_Commitment_Fee*($E99-SUM($J99:AL99)+AL99)*AL$6*(AL13&gt;0)</f>
        <v>-0</v>
      </c>
      <c r="AM105" s="33" t="n">
        <f aca="false">-In_Commitment_Fee*($E99-SUM($J99:AM99)+AM99)*AM$6*(AM13&gt;0)</f>
        <v>-0</v>
      </c>
      <c r="AN105" s="33" t="n">
        <f aca="false">-In_Commitment_Fee*($E99-SUM($J99:AN99)+AN99)*AN$6*(AN13&gt;0)</f>
        <v>-0</v>
      </c>
      <c r="AO105" s="33" t="n">
        <f aca="false">-In_Commitment_Fee*($E99-SUM($J99:AO99)+AO99)*AO$6*(AO13&gt;0)</f>
        <v>-0</v>
      </c>
      <c r="AP105" s="33" t="n">
        <f aca="false">-In_Commitment_Fee*($E99-SUM($J99:AP99)+AP99)*AP$6*(AP13&gt;0)</f>
        <v>-0</v>
      </c>
      <c r="AQ105" s="33" t="n">
        <f aca="false">-In_Commitment_Fee*($E99-SUM($J99:AQ99)+AQ99)*AQ$6*(AQ13&gt;0)</f>
        <v>-0</v>
      </c>
      <c r="AR105" s="33" t="n">
        <f aca="false">-In_Commitment_Fee*($E99-SUM($J99:AR99)+AR99)*AR$6*(AR13&gt;0)</f>
        <v>-0</v>
      </c>
      <c r="AS105" s="33" t="n">
        <f aca="false">-In_Commitment_Fee*($E99-SUM($J99:AS99)+AS99)*AS$6*(AS13&gt;0)</f>
        <v>-0</v>
      </c>
      <c r="AT105" s="33" t="n">
        <f aca="false">-In_Commitment_Fee*($E99-SUM($J99:AT99)+AT99)*AT$6*(AT13&gt;0)</f>
        <v>-0</v>
      </c>
      <c r="AU105" s="33" t="n">
        <f aca="false">-In_Commitment_Fee*($E99-SUM($J99:AU99)+AU99)*AU$6*(AU13&gt;0)</f>
        <v>-0</v>
      </c>
      <c r="AV105" s="33" t="n">
        <f aca="false">-In_Commitment_Fee*($E99-SUM($J99:AV99)+AV99)*AV$6*(AV13&gt;0)</f>
        <v>-0</v>
      </c>
      <c r="AW105" s="33" t="n">
        <f aca="false">-In_Commitment_Fee*($E99-SUM($J99:AW99)+AW99)*AW$6*(AW13&gt;0)</f>
        <v>-0</v>
      </c>
      <c r="AX105" s="33" t="n">
        <f aca="false">-In_Commitment_Fee*($E99-SUM($J99:AX99)+AX99)*AX$6*(AX13&gt;0)</f>
        <v>-0</v>
      </c>
      <c r="AY105" s="33" t="n">
        <f aca="false">-In_Commitment_Fee*($E99-SUM($J99:AY99)+AY99)*AY$6*(AY13&gt;0)</f>
        <v>-0</v>
      </c>
      <c r="AZ105" s="33" t="n">
        <f aca="false">-In_Commitment_Fee*($E99-SUM($J99:AZ99)+AZ99)*AZ$6*(AZ13&gt;0)</f>
        <v>-0</v>
      </c>
      <c r="BA105" s="33" t="n">
        <f aca="false">-In_Commitment_Fee*($E99-SUM($J99:BA99)+BA99)*BA$6*(BA13&gt;0)</f>
        <v>-0</v>
      </c>
      <c r="BB105" s="33" t="n">
        <f aca="false">-In_Commitment_Fee*($E99-SUM($J99:BB99)+BB99)*BB$6*(BB13&gt;0)</f>
        <v>-0</v>
      </c>
      <c r="BC105" s="33" t="n">
        <f aca="false">-In_Commitment_Fee*($E99-SUM($J99:BC99)+BC99)*BC$6*(BC13&gt;0)</f>
        <v>-0</v>
      </c>
      <c r="BD105" s="33" t="n">
        <f aca="false">-In_Commitment_Fee*($E99-SUM($J99:BD99)+BD99)*BD$6*(BD13&gt;0)</f>
        <v>-0</v>
      </c>
      <c r="BE105" s="33" t="n">
        <f aca="false">-In_Commitment_Fee*($E99-SUM($J99:BE99)+BE99)*BE$6*(BE13&gt;0)</f>
        <v>-0</v>
      </c>
      <c r="BF105" s="33" t="n">
        <f aca="false">-In_Commitment_Fee*($E99-SUM($J99:BF99)+BF99)*BF$6*(BF13&gt;0)</f>
        <v>-0</v>
      </c>
      <c r="BG105" s="33" t="n">
        <f aca="false">-In_Commitment_Fee*($E99-SUM($J99:BG99)+BG99)*BG$6*(BG13&gt;0)</f>
        <v>-0</v>
      </c>
      <c r="BH105" s="33" t="n">
        <f aca="false">-In_Commitment_Fee*($E99-SUM($J99:BH99)+BH99)*BH$6*(BH13&gt;0)</f>
        <v>-0</v>
      </c>
      <c r="BI105" s="33" t="n">
        <f aca="false">-In_Commitment_Fee*($E99-SUM($J99:BI99)+BI99)*BI$6*(BI13&gt;0)</f>
        <v>-0</v>
      </c>
      <c r="BJ105" s="33" t="n">
        <f aca="false">-In_Commitment_Fee*($E99-SUM($J99:BJ99)+BJ99)*BJ$6*(BJ13&gt;0)</f>
        <v>-0</v>
      </c>
      <c r="BK105" s="33" t="n">
        <f aca="false">-In_Commitment_Fee*($E99-SUM($J99:BK99)+BK99)*BK$6*(BK13&gt;0)</f>
        <v>-0</v>
      </c>
      <c r="BL105" s="33" t="n">
        <f aca="false">-In_Commitment_Fee*($E99-SUM($J99:BL99)+BL99)*BL$6*(BL13&gt;0)</f>
        <v>-0</v>
      </c>
      <c r="BM105" s="33" t="n">
        <f aca="false">-In_Commitment_Fee*($E99-SUM($J99:BM99)+BM99)*BM$6*(BM13&gt;0)</f>
        <v>-0</v>
      </c>
      <c r="BN105" s="33" t="n">
        <f aca="false">-In_Commitment_Fee*($E99-SUM($J99:BN99)+BN99)*BN$6*(BN13&gt;0)</f>
        <v>-0</v>
      </c>
      <c r="BO105" s="33" t="n">
        <f aca="false">-In_Commitment_Fee*($E99-SUM($J99:BO99)+BO99)*BO$6*(BO13&gt;0)</f>
        <v>-0</v>
      </c>
      <c r="BP105" s="33" t="n">
        <f aca="false">-In_Commitment_Fee*($E99-SUM($J99:BP99)+BP99)*BP$6*(BP13&gt;0)</f>
        <v>-0</v>
      </c>
      <c r="BQ105" s="33" t="n">
        <f aca="false">-In_Commitment_Fee*($E99-SUM($J99:BQ99)+BQ99)*BQ$6*(BQ13&gt;0)</f>
        <v>-0</v>
      </c>
      <c r="BR105" s="33" t="n">
        <f aca="false">-In_Commitment_Fee*($E99-SUM($J99:BR99)+BR99)*BR$6*(BR13&gt;0)</f>
        <v>-0</v>
      </c>
      <c r="BS105" s="33" t="n">
        <f aca="false">-In_Commitment_Fee*($E99-SUM($J99:BS99)+BS99)*BS$6*(BS13&gt;0)</f>
        <v>-0</v>
      </c>
      <c r="BT105" s="33" t="n">
        <f aca="false">-In_Commitment_Fee*($E99-SUM($J99:BT99)+BT99)*BT$6*(BT13&gt;0)</f>
        <v>-0</v>
      </c>
      <c r="BU105" s="33" t="n">
        <f aca="false">-In_Commitment_Fee*($E99-SUM($J99:BU99)+BU99)*BU$6*(BU13&gt;0)</f>
        <v>-0</v>
      </c>
      <c r="BV105" s="33" t="n">
        <f aca="false">-In_Commitment_Fee*($E99-SUM($J99:BV99)+BV99)*BV$6*(BV13&gt;0)</f>
        <v>-0</v>
      </c>
      <c r="BW105" s="33" t="n">
        <f aca="false">-In_Commitment_Fee*($E99-SUM($J99:BW99)+BW99)*BW$6*(BW13&gt;0)</f>
        <v>-0</v>
      </c>
      <c r="BX105" s="33" t="n">
        <f aca="false">-In_Commitment_Fee*($E99-SUM($J99:BX99)+BX99)*BX$6*(BX13&gt;0)</f>
        <v>-0</v>
      </c>
      <c r="BY105" s="33" t="n">
        <f aca="false">-In_Commitment_Fee*($E99-SUM($J99:BY99)+BY99)*BY$6*(BY13&gt;0)</f>
        <v>-0</v>
      </c>
      <c r="BZ105" s="33" t="n">
        <f aca="false">-In_Commitment_Fee*($E99-SUM($J99:BZ99)+BZ99)*BZ$6*(BZ13&gt;0)</f>
        <v>-0</v>
      </c>
      <c r="CA105" s="33" t="n">
        <f aca="false">-In_Commitment_Fee*($E99-SUM($J99:CA99)+CA99)*CA$6*(CA13&gt;0)</f>
        <v>-0</v>
      </c>
      <c r="CB105" s="33" t="n">
        <f aca="false">-In_Commitment_Fee*($E99-SUM($J99:CB99)+CB99)*CB$6*(CB13&gt;0)</f>
        <v>-0</v>
      </c>
      <c r="CC105" s="33" t="n">
        <f aca="false">-In_Commitment_Fee*($E99-SUM($J99:CC99)+CC99)*CC$6*(CC13&gt;0)</f>
        <v>-0</v>
      </c>
      <c r="CD105" s="33" t="n">
        <f aca="false">-In_Commitment_Fee*($E99-SUM($J99:CD99)+CD99)*CD$6*(CD13&gt;0)</f>
        <v>-0</v>
      </c>
      <c r="CE105" s="33" t="n">
        <f aca="false">-In_Commitment_Fee*($E99-SUM($J99:CE99)+CE99)*CE$6*(CE13&gt;0)</f>
        <v>-0</v>
      </c>
      <c r="CF105" s="33" t="n">
        <f aca="false">-In_Commitment_Fee*($E99-SUM($J99:CF99)+CF99)*CF$6*(CF13&gt;0)</f>
        <v>-0</v>
      </c>
      <c r="CG105" s="33" t="n">
        <f aca="false">-In_Commitment_Fee*($E99-SUM($J99:CG99)+CG99)*CG$6*(CG13&gt;0)</f>
        <v>-0</v>
      </c>
      <c r="CH105" s="33" t="n">
        <f aca="false">-In_Commitment_Fee*($E99-SUM($J99:CH99)+CH99)*CH$6*(CH13&gt;0)</f>
        <v>-0</v>
      </c>
      <c r="CI105" s="33" t="n">
        <f aca="false">-In_Commitment_Fee*($E99-SUM($J99:CI99)+CI99)*CI$6*(CI13&gt;0)</f>
        <v>-0</v>
      </c>
      <c r="CJ105" s="33" t="n">
        <f aca="false">-In_Commitment_Fee*($E99-SUM($J99:CJ99)+CJ99)*CJ$6*(CJ13&gt;0)</f>
        <v>-0</v>
      </c>
      <c r="CK105" s="33" t="n">
        <f aca="false">-In_Commitment_Fee*($E99-SUM($J99:CK99)+CK99)*CK$6*(CK13&gt;0)</f>
        <v>-0</v>
      </c>
      <c r="CL105" s="33" t="n">
        <f aca="false">-In_Commitment_Fee*($E99-SUM($J99:CL99)+CL99)*CL$6*(CL13&gt;0)</f>
        <v>-0</v>
      </c>
      <c r="CM105" s="33" t="n">
        <f aca="false">-In_Commitment_Fee*($E99-SUM($J99:CM99)+CM99)*CM$6*(CM13&gt;0)</f>
        <v>-0</v>
      </c>
      <c r="CN105" s="33" t="n">
        <f aca="false">-In_Commitment_Fee*($E99-SUM($J99:CN99)+CN99)*CN$6*(CN13&gt;0)</f>
        <v>-0</v>
      </c>
      <c r="CO105" s="33" t="n">
        <f aca="false">-In_Commitment_Fee*($E99-SUM($J99:CO99)+CO99)*CO$6*(CO13&gt;0)</f>
        <v>-0</v>
      </c>
      <c r="CP105" s="33" t="n">
        <f aca="false">-In_Commitment_Fee*($E99-SUM($J99:CP99)+CP99)*CP$6*(CP13&gt;0)</f>
        <v>-0</v>
      </c>
      <c r="CQ105" s="33" t="n">
        <f aca="false">-In_Commitment_Fee*($E99-SUM($J99:CQ99)+CQ99)*CQ$6*(CQ13&gt;0)</f>
        <v>-0</v>
      </c>
      <c r="CR105" s="33" t="n">
        <f aca="false">-In_Commitment_Fee*($E99-SUM($J99:CR99)+CR99)*CR$6*(CR13&gt;0)</f>
        <v>-0</v>
      </c>
      <c r="CS105" s="33" t="n">
        <f aca="false">-In_Commitment_Fee*($E99-SUM($J99:CS99)+CS99)*CS$6*(CS13&gt;0)</f>
        <v>-0</v>
      </c>
      <c r="CT105" s="33" t="n">
        <f aca="false">-In_Commitment_Fee*($E99-SUM($J99:CT99)+CT99)*CT$6*(CT13&gt;0)</f>
        <v>-0</v>
      </c>
      <c r="CU105" s="33" t="n">
        <f aca="false">-In_Commitment_Fee*($E99-SUM($J99:CU99)+CU99)*CU$6*(CU13&gt;0)</f>
        <v>-0</v>
      </c>
      <c r="CV105" s="33" t="n">
        <f aca="false">-In_Commitment_Fee*($E99-SUM($J99:CV99)+CV99)*CV$6*(CV13&gt;0)</f>
        <v>-0</v>
      </c>
      <c r="CW105" s="33" t="n">
        <f aca="false">-In_Commitment_Fee*($E99-SUM($J99:CW99)+CW99)*CW$6*(CW13&gt;0)</f>
        <v>-0</v>
      </c>
      <c r="CX105" s="33" t="n">
        <f aca="false">-In_Commitment_Fee*($E99-SUM($J99:CX99)+CX99)*CX$6*(CX13&gt;0)</f>
        <v>-0</v>
      </c>
      <c r="CY105" s="33" t="n">
        <f aca="false">-In_Commitment_Fee*($E99-SUM($J99:CY99)+CY99)*CY$6*(CY13&gt;0)</f>
        <v>-0</v>
      </c>
      <c r="CZ105" s="33" t="n">
        <f aca="false">-In_Commitment_Fee*($E99-SUM($J99:CZ99)+CZ99)*CZ$6*(CZ13&gt;0)</f>
        <v>-0</v>
      </c>
      <c r="DA105" s="33" t="n">
        <f aca="false">-In_Commitment_Fee*($E99-SUM($J99:DA99)+DA99)*DA$6*(DA13&gt;0)</f>
        <v>-0</v>
      </c>
      <c r="DB105" s="33" t="n">
        <f aca="false">-In_Commitment_Fee*($E99-SUM($J99:DB99)+DB99)*DB$6*(DB13&gt;0)</f>
        <v>-0</v>
      </c>
      <c r="DC105" s="33" t="n">
        <f aca="false">-In_Commitment_Fee*($E99-SUM($J99:DC99)+DC99)*DC$6*(DC13&gt;0)</f>
        <v>-0</v>
      </c>
      <c r="DD105" s="33" t="n">
        <f aca="false">-In_Commitment_Fee*($E99-SUM($J99:DD99)+DD99)*DD$6*(DD13&gt;0)</f>
        <v>-0</v>
      </c>
      <c r="DE105" s="33" t="n">
        <f aca="false">-In_Commitment_Fee*($E99-SUM($J99:DE99)+DE99)*DE$6*(DE13&gt;0)</f>
        <v>-0</v>
      </c>
      <c r="DF105" s="33" t="n">
        <f aca="false">-In_Commitment_Fee*($E99-SUM($J99:DF99)+DF99)*DF$6*(DF13&gt;0)</f>
        <v>-0</v>
      </c>
      <c r="DG105" s="33" t="n">
        <f aca="false">-In_Commitment_Fee*($E99-SUM($J99:DG99)+DG99)*DG$6*(DG13&gt;0)</f>
        <v>-0</v>
      </c>
      <c r="DH105" s="33" t="n">
        <f aca="false">-In_Commitment_Fee*($E99-SUM($J99:DH99)+DH99)*DH$6*(DH13&gt;0)</f>
        <v>-0</v>
      </c>
      <c r="DI105" s="33" t="n">
        <f aca="false">-In_Commitment_Fee*($E99-SUM($J99:DI99)+DI99)*DI$6*(DI13&gt;0)</f>
        <v>-0</v>
      </c>
      <c r="DJ105" s="33" t="n">
        <f aca="false">-In_Commitment_Fee*($E99-SUM($J99:DJ99)+DJ99)*DJ$6*(DJ13&gt;0)</f>
        <v>-0</v>
      </c>
      <c r="DK105" s="33" t="n">
        <f aca="false">-In_Commitment_Fee*($E99-SUM($J99:DK99)+DK99)*DK$6*(DK13&gt;0)</f>
        <v>-0</v>
      </c>
      <c r="DL105" s="33" t="n">
        <f aca="false">-In_Commitment_Fee*($E99-SUM($J99:DL99)+DL99)*DL$6*(DL13&gt;0)</f>
        <v>-0</v>
      </c>
      <c r="DM105" s="33" t="n">
        <f aca="false">-In_Commitment_Fee*($E99-SUM($J99:DM99)+DM99)*DM$6*(DM13&gt;0)</f>
        <v>-0</v>
      </c>
      <c r="DN105" s="33" t="n">
        <f aca="false">-In_Commitment_Fee*($E99-SUM($J99:DN99)+DN99)*DN$6*(DN13&gt;0)</f>
        <v>-0</v>
      </c>
      <c r="DO105" s="33" t="n">
        <f aca="false">-In_Commitment_Fee*($E99-SUM($J99:DO99)+DO99)*DO$6*(DO13&gt;0)</f>
        <v>-0</v>
      </c>
      <c r="DP105" s="33" t="n">
        <f aca="false">-In_Commitment_Fee*($E99-SUM($J99:DP99)+DP99)*DP$6*(DP13&gt;0)</f>
        <v>-0</v>
      </c>
      <c r="DQ105" s="33" t="n">
        <f aca="false">-In_Commitment_Fee*($E99-SUM($J99:DQ99)+DQ99)*DQ$6*(DQ13&gt;0)</f>
        <v>-0</v>
      </c>
      <c r="DR105" s="33" t="n">
        <f aca="false">-In_Commitment_Fee*($E99-SUM($J99:DR99)+DR99)*DR$6*(DR13&gt;0)</f>
        <v>-0</v>
      </c>
      <c r="DS105" s="33" t="n">
        <f aca="false">-In_Commitment_Fee*($E99-SUM($J99:DS99)+DS99)*DS$6*(DS13&gt;0)</f>
        <v>-0</v>
      </c>
      <c r="DT105" s="33" t="n">
        <f aca="false">-In_Commitment_Fee*($E99-SUM($J99:DT99)+DT99)*DT$6*(DT13&gt;0)</f>
        <v>-0</v>
      </c>
      <c r="DU105" s="33" t="n">
        <f aca="false">-In_Commitment_Fee*($E99-SUM($J99:DU99)+DU99)*DU$6*(DU13&gt;0)</f>
        <v>-0</v>
      </c>
      <c r="DV105" s="33" t="n">
        <f aca="false">-In_Commitment_Fee*($E99-SUM($J99:DV99)+DV99)*DV$6*(DV13&gt;0)</f>
        <v>-0</v>
      </c>
      <c r="DW105" s="33" t="n">
        <f aca="false">-In_Commitment_Fee*($E99-SUM($J99:DW99)+DW99)*DW$6*(DW13&gt;0)</f>
        <v>-0</v>
      </c>
      <c r="DX105" s="33" t="n">
        <f aca="false">-In_Commitment_Fee*($E99-SUM($J99:DX99)+DX99)*DX$6*(DX13&gt;0)</f>
        <v>-0</v>
      </c>
      <c r="DY105" s="33" t="n">
        <f aca="false">-In_Commitment_Fee*($E99-SUM($J99:DY99)+DY99)*DY$6*(DY13&gt;0)</f>
        <v>-0</v>
      </c>
      <c r="DZ105" s="33" t="n">
        <f aca="false">-In_Commitment_Fee*($E99-SUM($J99:DZ99)+DZ99)*DZ$6*(DZ13&gt;0)</f>
        <v>-0</v>
      </c>
      <c r="EA105" s="33" t="n">
        <f aca="false">-In_Commitment_Fee*($E99-SUM($J99:EA99)+EA99)*EA$6*(EA13&gt;0)</f>
        <v>-0</v>
      </c>
      <c r="EB105" s="33" t="n">
        <f aca="false">-In_Commitment_Fee*($E99-SUM($J99:EB99)+EB99)*EB$6*(EB13&gt;0)</f>
        <v>-0</v>
      </c>
      <c r="EC105" s="33" t="n">
        <f aca="false">-In_Commitment_Fee*($E99-SUM($J99:EC99)+EC99)*EC$6*(EC13&gt;0)</f>
        <v>-0</v>
      </c>
      <c r="ED105" s="33" t="n">
        <f aca="false">-In_Commitment_Fee*($E99-SUM($J99:ED99)+ED99)*ED$6*(ED13&gt;0)</f>
        <v>-0</v>
      </c>
      <c r="EE105" s="33" t="n">
        <f aca="false">-In_Commitment_Fee*($E99-SUM($J99:EE99)+EE99)*EE$6*(EE13&gt;0)</f>
        <v>-0</v>
      </c>
      <c r="EF105" s="33" t="n">
        <f aca="false">-In_Commitment_Fee*($E99-SUM($J99:EF99)+EF99)*EF$6*(EF13&gt;0)</f>
        <v>-0</v>
      </c>
      <c r="EG105" s="33" t="n">
        <f aca="false">-In_Commitment_Fee*($E99-SUM($J99:EG99)+EG99)*EG$6*(EG13&gt;0)</f>
        <v>-0</v>
      </c>
      <c r="EH105" s="33" t="n">
        <f aca="false">-In_Commitment_Fee*($E99-SUM($J99:EH99)+EH99)*EH$6*(EH13&gt;0)</f>
        <v>-0</v>
      </c>
      <c r="EI105" s="33" t="n">
        <f aca="false">-In_Commitment_Fee*($E99-SUM($J99:EI99)+EI99)*EI$6*(EI13&gt;0)</f>
        <v>-0</v>
      </c>
      <c r="EJ105" s="33" t="n">
        <f aca="false">-In_Commitment_Fee*($E99-SUM($J99:EJ99)+EJ99)*EJ$6*(EJ13&gt;0)</f>
        <v>-0</v>
      </c>
      <c r="EK105" s="33" t="n">
        <f aca="false">-In_Commitment_Fee*($E99-SUM($J99:EK99)+EK99)*EK$6*(EK13&gt;0)</f>
        <v>-0</v>
      </c>
      <c r="EL105" s="33" t="n">
        <f aca="false">-In_Commitment_Fee*($E99-SUM($J99:EL99)+EL99)*EL$6*(EL13&gt;0)</f>
        <v>-0</v>
      </c>
      <c r="EM105" s="33" t="n">
        <f aca="false">-In_Commitment_Fee*($E99-SUM($J99:EM99)+EM99)*EM$6*(EM13&gt;0)</f>
        <v>-0</v>
      </c>
      <c r="EN105" s="33" t="n">
        <f aca="false">-In_Commitment_Fee*($E99-SUM($J99:EN99)+EN99)*EN$6*(EN13&gt;0)</f>
        <v>-0</v>
      </c>
      <c r="EO105" s="33" t="n">
        <f aca="false">-In_Commitment_Fee*($E99-SUM($J99:EO99)+EO99)*EO$6*(EO13&gt;0)</f>
        <v>-0</v>
      </c>
      <c r="EP105" s="33" t="n">
        <f aca="false">-In_Commitment_Fee*($E99-SUM($J99:EP99)+EP99)*EP$6*(EP13&gt;0)</f>
        <v>-0</v>
      </c>
      <c r="EQ105" s="33" t="n">
        <f aca="false">-In_Commitment_Fee*($E99-SUM($J99:EQ99)+EQ99)*EQ$6*(EQ13&gt;0)</f>
        <v>-0</v>
      </c>
      <c r="ER105" s="33" t="n">
        <f aca="false">-In_Commitment_Fee*($E99-SUM($J99:ER99)+ER99)*ER$6*(ER13&gt;0)</f>
        <v>-0</v>
      </c>
      <c r="ES105" s="33" t="n">
        <f aca="false">-In_Commitment_Fee*($E99-SUM($J99:ES99)+ES99)*ES$6*(ES13&gt;0)</f>
        <v>-0</v>
      </c>
      <c r="ET105" s="33" t="n">
        <f aca="false">-In_Commitment_Fee*($E99-SUM($J99:ET99)+ET99)*ET$6*(ET13&gt;0)</f>
        <v>-0</v>
      </c>
    </row>
    <row r="106" customFormat="false" ht="15" hidden="false" customHeight="false" outlineLevel="0" collapsed="false">
      <c r="C106" s="30" t="s">
        <v>561</v>
      </c>
      <c r="D106" s="11" t="s">
        <v>253</v>
      </c>
      <c r="I106" s="35" t="n">
        <f aca="false">SUM(J106:ET106)</f>
        <v>-161080.777710614</v>
      </c>
      <c r="J106" s="35" t="n">
        <f aca="false">J95+J53+J96+J104+J105</f>
        <v>-0</v>
      </c>
      <c r="K106" s="35" t="n">
        <f aca="false">K95+K53+K96+K104+K105</f>
        <v>-0</v>
      </c>
      <c r="L106" s="35" t="n">
        <f aca="false">L95+L53+L96+L104+L105</f>
        <v>-0</v>
      </c>
      <c r="M106" s="35" t="n">
        <f aca="false">M95+M53+M96+M104+M105</f>
        <v>-0</v>
      </c>
      <c r="N106" s="35" t="n">
        <f aca="false">N95+N53+N96+N104+N105</f>
        <v>-0</v>
      </c>
      <c r="O106" s="35" t="n">
        <f aca="false">O95+O53+O96+O104+O105</f>
        <v>-0</v>
      </c>
      <c r="P106" s="35" t="n">
        <f aca="false">P95+P53+P96+P104+P105</f>
        <v>-0</v>
      </c>
      <c r="Q106" s="35" t="n">
        <f aca="false">Q95+Q53+Q96+Q104+Q105</f>
        <v>-0</v>
      </c>
      <c r="R106" s="35" t="n">
        <f aca="false">R95+R53+R96+R104+R105</f>
        <v>-0</v>
      </c>
      <c r="S106" s="35" t="n">
        <f aca="false">S95+S53+S96+S104+S105</f>
        <v>-0</v>
      </c>
      <c r="T106" s="35" t="n">
        <f aca="false">T95+T53+T96+T104+T105</f>
        <v>-20179.3874082192</v>
      </c>
      <c r="U106" s="35" t="n">
        <f aca="false">U95+U53+U96+U104+U105</f>
        <v>-0</v>
      </c>
      <c r="V106" s="35" t="n">
        <f aca="false">V95+V53+V96+V104+V105</f>
        <v>-0</v>
      </c>
      <c r="W106" s="35" t="n">
        <f aca="false">W95+W53+W96+W104+W105</f>
        <v>-18675.7440531682</v>
      </c>
      <c r="X106" s="35" t="n">
        <f aca="false">X95+X53+X96+X104+X105</f>
        <v>-16615.5578344714</v>
      </c>
      <c r="Y106" s="35" t="n">
        <f aca="false">Y95+Y53+Y96+Y104+Y105</f>
        <v>-16773.874510463</v>
      </c>
      <c r="Z106" s="35" t="n">
        <f aca="false">Z95+Z53+Z96+Z104+Z105</f>
        <v>-16931.3177099892</v>
      </c>
      <c r="AA106" s="35" t="n">
        <f aca="false">AA95+AA53+AA96+AA104+AA105</f>
        <v>-16904.1371776225</v>
      </c>
      <c r="AB106" s="35" t="n">
        <f aca="false">AB95+AB53+AB96+AB104+AB105</f>
        <v>-16510.0662834023</v>
      </c>
      <c r="AC106" s="35" t="n">
        <f aca="false">AC95+AC53+AC96+AC104+AC105</f>
        <v>-16667.2108310488</v>
      </c>
      <c r="AD106" s="35" t="n">
        <f aca="false">AD95+AD53+AD96+AD104+AD105</f>
        <v>-21823.4819022298</v>
      </c>
      <c r="AE106" s="35" t="n">
        <f aca="false">AE95+AE53+AE96+AE104+AE105</f>
        <v>-0</v>
      </c>
      <c r="AF106" s="35" t="n">
        <f aca="false">AF95+AF53+AF96+AF104+AF105</f>
        <v>-0</v>
      </c>
      <c r="AG106" s="35" t="n">
        <f aca="false">AG95+AG53+AG96+AG104+AG105</f>
        <v>-0</v>
      </c>
      <c r="AH106" s="35" t="n">
        <f aca="false">AH95+AH53+AH96+AH104+AH105</f>
        <v>-0</v>
      </c>
      <c r="AI106" s="35" t="n">
        <f aca="false">AI95+AI53+AI96+AI104+AI105</f>
        <v>-0</v>
      </c>
      <c r="AJ106" s="35" t="n">
        <f aca="false">AJ95+AJ53+AJ96+AJ104+AJ105</f>
        <v>-0</v>
      </c>
      <c r="AK106" s="35" t="n">
        <f aca="false">AK95+AK53+AK96+AK104+AK105</f>
        <v>-0</v>
      </c>
      <c r="AL106" s="35" t="n">
        <f aca="false">AL95+AL53+AL96+AL104+AL105</f>
        <v>-0</v>
      </c>
      <c r="AM106" s="35" t="n">
        <f aca="false">AM95+AM53+AM96+AM104+AM105</f>
        <v>-0</v>
      </c>
      <c r="AN106" s="35" t="n">
        <f aca="false">AN95+AN53+AN96+AN104+AN105</f>
        <v>-0</v>
      </c>
      <c r="AO106" s="35" t="n">
        <f aca="false">AO95+AO53+AO96+AO104+AO105</f>
        <v>-0</v>
      </c>
      <c r="AP106" s="35" t="n">
        <f aca="false">AP95+AP53+AP96+AP104+AP105</f>
        <v>-0</v>
      </c>
      <c r="AQ106" s="35" t="n">
        <f aca="false">AQ95+AQ53+AQ96+AQ104+AQ105</f>
        <v>-0</v>
      </c>
      <c r="AR106" s="35" t="n">
        <f aca="false">AR95+AR53+AR96+AR104+AR105</f>
        <v>-0</v>
      </c>
      <c r="AS106" s="35" t="n">
        <f aca="false">AS95+AS53+AS96+AS104+AS105</f>
        <v>-0</v>
      </c>
      <c r="AT106" s="35" t="n">
        <f aca="false">AT95+AT53+AT96+AT104+AT105</f>
        <v>-0</v>
      </c>
      <c r="AU106" s="35" t="n">
        <f aca="false">AU95+AU53+AU96+AU104+AU105</f>
        <v>-0</v>
      </c>
      <c r="AV106" s="35" t="n">
        <f aca="false">AV95+AV53+AV96+AV104+AV105</f>
        <v>-0</v>
      </c>
      <c r="AW106" s="35" t="n">
        <f aca="false">AW95+AW53+AW96+AW104+AW105</f>
        <v>-0</v>
      </c>
      <c r="AX106" s="35" t="n">
        <f aca="false">AX95+AX53+AX96+AX104+AX105</f>
        <v>-0</v>
      </c>
      <c r="AY106" s="35" t="n">
        <f aca="false">AY95+AY53+AY96+AY104+AY105</f>
        <v>-0</v>
      </c>
      <c r="AZ106" s="35" t="n">
        <f aca="false">AZ95+AZ53+AZ96+AZ104+AZ105</f>
        <v>-0</v>
      </c>
      <c r="BA106" s="35" t="n">
        <f aca="false">BA95+BA53+BA96+BA104+BA105</f>
        <v>-0</v>
      </c>
      <c r="BB106" s="35" t="n">
        <f aca="false">BB95+BB53+BB96+BB104+BB105</f>
        <v>-0</v>
      </c>
      <c r="BC106" s="35" t="n">
        <f aca="false">BC95+BC53+BC96+BC104+BC105</f>
        <v>-0</v>
      </c>
      <c r="BD106" s="35" t="n">
        <f aca="false">BD95+BD53+BD96+BD104+BD105</f>
        <v>-0</v>
      </c>
      <c r="BE106" s="35" t="n">
        <f aca="false">BE95+BE53+BE96+BE104+BE105</f>
        <v>-0</v>
      </c>
      <c r="BF106" s="35" t="n">
        <f aca="false">BF95+BF53+BF96+BF104+BF105</f>
        <v>-0</v>
      </c>
      <c r="BG106" s="35" t="n">
        <f aca="false">BG95+BG53+BG96+BG104+BG105</f>
        <v>-0</v>
      </c>
      <c r="BH106" s="35" t="n">
        <f aca="false">BH95+BH53+BH96+BH104+BH105</f>
        <v>-0</v>
      </c>
      <c r="BI106" s="35" t="n">
        <f aca="false">BI95+BI53+BI96+BI104+BI105</f>
        <v>-0</v>
      </c>
      <c r="BJ106" s="35" t="n">
        <f aca="false">BJ95+BJ53+BJ96+BJ104+BJ105</f>
        <v>-0</v>
      </c>
      <c r="BK106" s="35" t="n">
        <f aca="false">BK95+BK53+BK96+BK104+BK105</f>
        <v>-0</v>
      </c>
      <c r="BL106" s="35" t="n">
        <f aca="false">BL95+BL53+BL96+BL104+BL105</f>
        <v>-0</v>
      </c>
      <c r="BM106" s="35" t="n">
        <f aca="false">BM95+BM53+BM96+BM104+BM105</f>
        <v>-0</v>
      </c>
      <c r="BN106" s="35" t="n">
        <f aca="false">BN95+BN53+BN96+BN104+BN105</f>
        <v>-0</v>
      </c>
      <c r="BO106" s="35" t="n">
        <f aca="false">BO95+BO53+BO96+BO104+BO105</f>
        <v>-0</v>
      </c>
      <c r="BP106" s="35" t="n">
        <f aca="false">BP95+BP53+BP96+BP104+BP105</f>
        <v>-0</v>
      </c>
      <c r="BQ106" s="35" t="n">
        <f aca="false">BQ95+BQ53+BQ96+BQ104+BQ105</f>
        <v>-0</v>
      </c>
      <c r="BR106" s="35" t="n">
        <f aca="false">BR95+BR53+BR96+BR104+BR105</f>
        <v>-0</v>
      </c>
      <c r="BS106" s="35" t="n">
        <f aca="false">BS95+BS53+BS96+BS104+BS105</f>
        <v>-0</v>
      </c>
      <c r="BT106" s="35" t="n">
        <f aca="false">BT95+BT53+BT96+BT104+BT105</f>
        <v>-0</v>
      </c>
      <c r="BU106" s="35" t="n">
        <f aca="false">BU95+BU53+BU96+BU104+BU105</f>
        <v>-0</v>
      </c>
      <c r="BV106" s="35" t="n">
        <f aca="false">BV95+BV53+BV96+BV104+BV105</f>
        <v>-0</v>
      </c>
      <c r="BW106" s="35" t="n">
        <f aca="false">BW95+BW53+BW96+BW104+BW105</f>
        <v>-0</v>
      </c>
      <c r="BX106" s="35" t="n">
        <f aca="false">BX95+BX53+BX96+BX104+BX105</f>
        <v>-0</v>
      </c>
      <c r="BY106" s="35" t="n">
        <f aca="false">BY95+BY53+BY96+BY104+BY105</f>
        <v>-0</v>
      </c>
      <c r="BZ106" s="35" t="n">
        <f aca="false">BZ95+BZ53+BZ96+BZ104+BZ105</f>
        <v>-0</v>
      </c>
      <c r="CA106" s="35" t="n">
        <f aca="false">CA95+CA53+CA96+CA104+CA105</f>
        <v>-0</v>
      </c>
      <c r="CB106" s="35" t="n">
        <f aca="false">CB95+CB53+CB96+CB104+CB105</f>
        <v>-0</v>
      </c>
      <c r="CC106" s="35" t="n">
        <f aca="false">CC95+CC53+CC96+CC104+CC105</f>
        <v>-0</v>
      </c>
      <c r="CD106" s="35" t="n">
        <f aca="false">CD95+CD53+CD96+CD104+CD105</f>
        <v>-0</v>
      </c>
      <c r="CE106" s="35" t="n">
        <f aca="false">CE95+CE53+CE96+CE104+CE105</f>
        <v>-0</v>
      </c>
      <c r="CF106" s="35" t="n">
        <f aca="false">CF95+CF53+CF96+CF104+CF105</f>
        <v>-0</v>
      </c>
      <c r="CG106" s="35" t="n">
        <f aca="false">CG95+CG53+CG96+CG104+CG105</f>
        <v>-0</v>
      </c>
      <c r="CH106" s="35" t="n">
        <f aca="false">CH95+CH53+CH96+CH104+CH105</f>
        <v>-0</v>
      </c>
      <c r="CI106" s="35" t="n">
        <f aca="false">CI95+CI53+CI96+CI104+CI105</f>
        <v>-0</v>
      </c>
      <c r="CJ106" s="35" t="n">
        <f aca="false">CJ95+CJ53+CJ96+CJ104+CJ105</f>
        <v>-0</v>
      </c>
      <c r="CK106" s="35" t="n">
        <f aca="false">CK95+CK53+CK96+CK104+CK105</f>
        <v>-0</v>
      </c>
      <c r="CL106" s="35" t="n">
        <f aca="false">CL95+CL53+CL96+CL104+CL105</f>
        <v>-0</v>
      </c>
      <c r="CM106" s="35" t="n">
        <f aca="false">CM95+CM53+CM96+CM104+CM105</f>
        <v>-0</v>
      </c>
      <c r="CN106" s="35" t="n">
        <f aca="false">CN95+CN53+CN96+CN104+CN105</f>
        <v>-0</v>
      </c>
      <c r="CO106" s="35" t="n">
        <f aca="false">CO95+CO53+CO96+CO104+CO105</f>
        <v>-0</v>
      </c>
      <c r="CP106" s="35" t="n">
        <f aca="false">CP95+CP53+CP96+CP104+CP105</f>
        <v>-0</v>
      </c>
      <c r="CQ106" s="35" t="n">
        <f aca="false">CQ95+CQ53+CQ96+CQ104+CQ105</f>
        <v>-0</v>
      </c>
      <c r="CR106" s="35" t="n">
        <f aca="false">CR95+CR53+CR96+CR104+CR105</f>
        <v>-0</v>
      </c>
      <c r="CS106" s="35" t="n">
        <f aca="false">CS95+CS53+CS96+CS104+CS105</f>
        <v>-0</v>
      </c>
      <c r="CT106" s="35" t="n">
        <f aca="false">CT95+CT53+CT96+CT104+CT105</f>
        <v>-0</v>
      </c>
      <c r="CU106" s="35" t="n">
        <f aca="false">CU95+CU53+CU96+CU104+CU105</f>
        <v>-0</v>
      </c>
      <c r="CV106" s="35" t="n">
        <f aca="false">CV95+CV53+CV96+CV104+CV105</f>
        <v>-0</v>
      </c>
      <c r="CW106" s="35" t="n">
        <f aca="false">CW95+CW53+CW96+CW104+CW105</f>
        <v>-0</v>
      </c>
      <c r="CX106" s="35" t="n">
        <f aca="false">CX95+CX53+CX96+CX104+CX105</f>
        <v>-0</v>
      </c>
      <c r="CY106" s="35" t="n">
        <f aca="false">CY95+CY53+CY96+CY104+CY105</f>
        <v>-0</v>
      </c>
      <c r="CZ106" s="35" t="n">
        <f aca="false">CZ95+CZ53+CZ96+CZ104+CZ105</f>
        <v>-0</v>
      </c>
      <c r="DA106" s="35" t="n">
        <f aca="false">DA95+DA53+DA96+DA104+DA105</f>
        <v>-0</v>
      </c>
      <c r="DB106" s="35" t="n">
        <f aca="false">DB95+DB53+DB96+DB104+DB105</f>
        <v>-0</v>
      </c>
      <c r="DC106" s="35" t="n">
        <f aca="false">DC95+DC53+DC96+DC104+DC105</f>
        <v>-0</v>
      </c>
      <c r="DD106" s="35" t="n">
        <f aca="false">DD95+DD53+DD96+DD104+DD105</f>
        <v>-0</v>
      </c>
      <c r="DE106" s="35" t="n">
        <f aca="false">DE95+DE53+DE96+DE104+DE105</f>
        <v>-0</v>
      </c>
      <c r="DF106" s="35" t="n">
        <f aca="false">DF95+DF53+DF96+DF104+DF105</f>
        <v>-0</v>
      </c>
      <c r="DG106" s="35" t="n">
        <f aca="false">DG95+DG53+DG96+DG104+DG105</f>
        <v>-0</v>
      </c>
      <c r="DH106" s="35" t="n">
        <f aca="false">DH95+DH53+DH96+DH104+DH105</f>
        <v>-0</v>
      </c>
      <c r="DI106" s="35" t="n">
        <f aca="false">DI95+DI53+DI96+DI104+DI105</f>
        <v>-0</v>
      </c>
      <c r="DJ106" s="35" t="n">
        <f aca="false">DJ95+DJ53+DJ96+DJ104+DJ105</f>
        <v>-0</v>
      </c>
      <c r="DK106" s="35" t="n">
        <f aca="false">DK95+DK53+DK96+DK104+DK105</f>
        <v>-0</v>
      </c>
      <c r="DL106" s="35" t="n">
        <f aca="false">DL95+DL53+DL96+DL104+DL105</f>
        <v>-0</v>
      </c>
      <c r="DM106" s="35" t="n">
        <f aca="false">DM95+DM53+DM96+DM104+DM105</f>
        <v>-0</v>
      </c>
      <c r="DN106" s="35" t="n">
        <f aca="false">DN95+DN53+DN96+DN104+DN105</f>
        <v>-0</v>
      </c>
      <c r="DO106" s="35" t="n">
        <f aca="false">DO95+DO53+DO96+DO104+DO105</f>
        <v>-0</v>
      </c>
      <c r="DP106" s="35" t="n">
        <f aca="false">DP95+DP53+DP96+DP104+DP105</f>
        <v>-0</v>
      </c>
      <c r="DQ106" s="35" t="n">
        <f aca="false">DQ95+DQ53+DQ96+DQ104+DQ105</f>
        <v>-0</v>
      </c>
      <c r="DR106" s="35" t="n">
        <f aca="false">DR95+DR53+DR96+DR104+DR105</f>
        <v>-0</v>
      </c>
      <c r="DS106" s="35" t="n">
        <f aca="false">DS95+DS53+DS96+DS104+DS105</f>
        <v>-0</v>
      </c>
      <c r="DT106" s="35" t="n">
        <f aca="false">DT95+DT53+DT96+DT104+DT105</f>
        <v>-0</v>
      </c>
      <c r="DU106" s="35" t="n">
        <f aca="false">DU95+DU53+DU96+DU104+DU105</f>
        <v>-0</v>
      </c>
      <c r="DV106" s="35" t="n">
        <f aca="false">DV95+DV53+DV96+DV104+DV105</f>
        <v>-0</v>
      </c>
      <c r="DW106" s="35" t="n">
        <f aca="false">DW95+DW53+DW96+DW104+DW105</f>
        <v>-0</v>
      </c>
      <c r="DX106" s="35" t="n">
        <f aca="false">DX95+DX53+DX96+DX104+DX105</f>
        <v>-0</v>
      </c>
      <c r="DY106" s="35" t="n">
        <f aca="false">DY95+DY53+DY96+DY104+DY105</f>
        <v>-0</v>
      </c>
      <c r="DZ106" s="35" t="n">
        <f aca="false">DZ95+DZ53+DZ96+DZ104+DZ105</f>
        <v>-0</v>
      </c>
      <c r="EA106" s="35" t="n">
        <f aca="false">EA95+EA53+EA96+EA104+EA105</f>
        <v>-0</v>
      </c>
      <c r="EB106" s="35" t="n">
        <f aca="false">EB95+EB53+EB96+EB104+EB105</f>
        <v>-0</v>
      </c>
      <c r="EC106" s="35" t="n">
        <f aca="false">EC95+EC53+EC96+EC104+EC105</f>
        <v>-0</v>
      </c>
      <c r="ED106" s="35" t="n">
        <f aca="false">ED95+ED53+ED96+ED104+ED105</f>
        <v>-0</v>
      </c>
      <c r="EE106" s="35" t="n">
        <f aca="false">EE95+EE53+EE96+EE104+EE105</f>
        <v>-0</v>
      </c>
      <c r="EF106" s="35" t="n">
        <f aca="false">EF95+EF53+EF96+EF104+EF105</f>
        <v>-0</v>
      </c>
      <c r="EG106" s="35" t="n">
        <f aca="false">EG95+EG53+EG96+EG104+EG105</f>
        <v>-0</v>
      </c>
      <c r="EH106" s="35" t="n">
        <f aca="false">EH95+EH53+EH96+EH104+EH105</f>
        <v>-0</v>
      </c>
      <c r="EI106" s="35" t="n">
        <f aca="false">EI95+EI53+EI96+EI104+EI105</f>
        <v>-0</v>
      </c>
      <c r="EJ106" s="35" t="n">
        <f aca="false">EJ95+EJ53+EJ96+EJ104+EJ105</f>
        <v>-0</v>
      </c>
      <c r="EK106" s="35" t="n">
        <f aca="false">EK95+EK53+EK96+EK104+EK105</f>
        <v>-0</v>
      </c>
      <c r="EL106" s="35" t="n">
        <f aca="false">EL95+EL53+EL96+EL104+EL105</f>
        <v>-0</v>
      </c>
      <c r="EM106" s="35" t="n">
        <f aca="false">EM95+EM53+EM96+EM104+EM105</f>
        <v>-0</v>
      </c>
      <c r="EN106" s="35" t="n">
        <f aca="false">EN95+EN53+EN96+EN104+EN105</f>
        <v>-0</v>
      </c>
      <c r="EO106" s="35" t="n">
        <f aca="false">EO95+EO53+EO96+EO104+EO105</f>
        <v>-0</v>
      </c>
      <c r="EP106" s="35" t="n">
        <f aca="false">EP95+EP53+EP96+EP104+EP105</f>
        <v>-0</v>
      </c>
      <c r="EQ106" s="35" t="n">
        <f aca="false">EQ95+EQ53+EQ96+EQ104+EQ105</f>
        <v>-0</v>
      </c>
      <c r="ER106" s="35" t="n">
        <f aca="false">ER95+ER53+ER96+ER104+ER105</f>
        <v>-0</v>
      </c>
      <c r="ES106" s="35" t="n">
        <f aca="false">ES95+ES53+ES96+ES104+ES105</f>
        <v>-0</v>
      </c>
      <c r="ET106" s="35" t="n">
        <f aca="false">ET95+ET53+ET96+ET104+ET105</f>
        <v>-0</v>
      </c>
    </row>
    <row r="108" customFormat="false" ht="15" hidden="false" customHeight="false" outlineLevel="0" collapsed="false">
      <c r="A108" s="9" t="s">
        <v>13</v>
      </c>
      <c r="B108" s="9"/>
      <c r="C108" s="9" t="s">
        <v>371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</row>
    <row r="109" customFormat="false" ht="15" hidden="false" customHeight="false" outlineLevel="0" collapsed="false">
      <c r="C109" s="0" t="s">
        <v>562</v>
      </c>
      <c r="D109" s="11" t="s">
        <v>211</v>
      </c>
      <c r="J109" s="42" t="n">
        <f aca="false">ROUNDUP(YEARFRAC(In_COD,J$4),0)*(J$4&gt;In_COD)</f>
        <v>0</v>
      </c>
      <c r="K109" s="42" t="n">
        <f aca="false">ROUNDUP(YEARFRAC(In_COD,K$4),0)*(K$4&gt;In_COD)</f>
        <v>0</v>
      </c>
      <c r="L109" s="42" t="n">
        <f aca="false">ROUNDUP(YEARFRAC(In_COD,L$4),0)*(L$4&gt;In_COD)</f>
        <v>0</v>
      </c>
      <c r="M109" s="42" t="n">
        <f aca="false">ROUNDUP(YEARFRAC(In_COD,M$4),0)*(M$4&gt;In_COD)</f>
        <v>0</v>
      </c>
      <c r="N109" s="42" t="n">
        <f aca="false">ROUNDUP(YEARFRAC(In_COD,N$4),0)*(N$4&gt;In_COD)</f>
        <v>0</v>
      </c>
      <c r="O109" s="42" t="n">
        <f aca="false">ROUNDUP(YEARFRAC(In_COD,O$4),0)*(O$4&gt;In_COD)</f>
        <v>0</v>
      </c>
      <c r="P109" s="42" t="n">
        <f aca="false">ROUNDUP(YEARFRAC(In_COD,P$4),0)*(P$4&gt;In_COD)</f>
        <v>0</v>
      </c>
      <c r="Q109" s="42" t="n">
        <f aca="false">ROUNDUP(YEARFRAC(In_COD,Q$4),0)*(Q$4&gt;In_COD)</f>
        <v>0</v>
      </c>
      <c r="R109" s="42" t="n">
        <f aca="false">ROUNDUP(YEARFRAC(In_COD,R$4),0)*(R$4&gt;In_COD)</f>
        <v>0</v>
      </c>
      <c r="S109" s="42" t="n">
        <f aca="false">ROUNDUP(YEARFRAC(In_COD,S$4),0)*(S$4&gt;In_COD)</f>
        <v>0</v>
      </c>
      <c r="T109" s="42" t="n">
        <f aca="false">ROUNDUP(YEARFRAC(In_COD,T$4),0)*(T$4&gt;In_COD)</f>
        <v>0</v>
      </c>
      <c r="U109" s="42" t="n">
        <f aca="false">ROUNDUP(YEARFRAC(In_COD,U$4),0)*(U$4&gt;In_COD)</f>
        <v>0</v>
      </c>
      <c r="V109" s="42" t="n">
        <f aca="false">ROUNDUP(YEARFRAC(In_COD,V$4),0)*(V$4&gt;In_COD)</f>
        <v>0</v>
      </c>
      <c r="W109" s="42" t="n">
        <f aca="false">ROUNDUP(YEARFRAC(In_COD,W$4),0)*(W$4&gt;In_COD)</f>
        <v>0</v>
      </c>
      <c r="X109" s="42" t="n">
        <f aca="false">ROUNDUP(YEARFRAC(In_COD,X$4),0)*(X$4&gt;In_COD)</f>
        <v>0</v>
      </c>
      <c r="Y109" s="42" t="n">
        <f aca="false">ROUNDUP(YEARFRAC(In_COD,Y$4),0)*(Y$4&gt;In_COD)</f>
        <v>0</v>
      </c>
      <c r="Z109" s="42" t="n">
        <f aca="false">ROUNDUP(YEARFRAC(In_COD,Z$4),0)*(Z$4&gt;In_COD)</f>
        <v>0</v>
      </c>
      <c r="AA109" s="42" t="n">
        <f aca="false">ROUNDUP(YEARFRAC(In_COD,AA$4),0)*(AA$4&gt;In_COD)</f>
        <v>0</v>
      </c>
      <c r="AB109" s="42" t="n">
        <f aca="false">ROUNDUP(YEARFRAC(In_COD,AB$4),0)*(AB$4&gt;In_COD)</f>
        <v>0</v>
      </c>
      <c r="AC109" s="42" t="n">
        <f aca="false">ROUNDUP(YEARFRAC(In_COD,AC$4),0)*(AC$4&gt;In_COD)</f>
        <v>0</v>
      </c>
      <c r="AD109" s="42" t="n">
        <f aca="false">ROUNDUP(YEARFRAC(In_COD,AD$4),0)*(AD$4&gt;In_COD)</f>
        <v>0</v>
      </c>
      <c r="AE109" s="42" t="n">
        <f aca="false">ROUNDUP(YEARFRAC(In_COD,AE$4),0)*(AE$4&gt;In_COD)</f>
        <v>1</v>
      </c>
      <c r="AF109" s="42" t="n">
        <f aca="false">ROUNDUP(YEARFRAC(In_COD,AF$4),0)*(AF$4&gt;In_COD)</f>
        <v>1</v>
      </c>
      <c r="AG109" s="42" t="n">
        <f aca="false">ROUNDUP(YEARFRAC(In_COD,AG$4),0)*(AG$4&gt;In_COD)</f>
        <v>1</v>
      </c>
      <c r="AH109" s="42" t="n">
        <f aca="false">ROUNDUP(YEARFRAC(In_COD,AH$4),0)*(AH$4&gt;In_COD)</f>
        <v>1</v>
      </c>
      <c r="AI109" s="42" t="n">
        <f aca="false">ROUNDUP(YEARFRAC(In_COD,AI$4),0)*(AI$4&gt;In_COD)</f>
        <v>2</v>
      </c>
      <c r="AJ109" s="42" t="n">
        <f aca="false">ROUNDUP(YEARFRAC(In_COD,AJ$4),0)*(AJ$4&gt;In_COD)</f>
        <v>2</v>
      </c>
      <c r="AK109" s="42" t="n">
        <f aca="false">ROUNDUP(YEARFRAC(In_COD,AK$4),0)*(AK$4&gt;In_COD)</f>
        <v>2</v>
      </c>
      <c r="AL109" s="42" t="n">
        <f aca="false">ROUNDUP(YEARFRAC(In_COD,AL$4),0)*(AL$4&gt;In_COD)</f>
        <v>2</v>
      </c>
      <c r="AM109" s="42" t="n">
        <f aca="false">ROUNDUP(YEARFRAC(In_COD,AM$4),0)*(AM$4&gt;In_COD)</f>
        <v>3</v>
      </c>
      <c r="AN109" s="42" t="n">
        <f aca="false">ROUNDUP(YEARFRAC(In_COD,AN$4),0)*(AN$4&gt;In_COD)</f>
        <v>3</v>
      </c>
      <c r="AO109" s="42" t="n">
        <f aca="false">ROUNDUP(YEARFRAC(In_COD,AO$4),0)*(AO$4&gt;In_COD)</f>
        <v>3</v>
      </c>
      <c r="AP109" s="42" t="n">
        <f aca="false">ROUNDUP(YEARFRAC(In_COD,AP$4),0)*(AP$4&gt;In_COD)</f>
        <v>3</v>
      </c>
      <c r="AQ109" s="42" t="n">
        <f aca="false">ROUNDUP(YEARFRAC(In_COD,AQ$4),0)*(AQ$4&gt;In_COD)</f>
        <v>4</v>
      </c>
      <c r="AR109" s="42" t="n">
        <f aca="false">ROUNDUP(YEARFRAC(In_COD,AR$4),0)*(AR$4&gt;In_COD)</f>
        <v>4</v>
      </c>
      <c r="AS109" s="42" t="n">
        <f aca="false">ROUNDUP(YEARFRAC(In_COD,AS$4),0)*(AS$4&gt;In_COD)</f>
        <v>4</v>
      </c>
      <c r="AT109" s="42" t="n">
        <f aca="false">ROUNDUP(YEARFRAC(In_COD,AT$4),0)*(AT$4&gt;In_COD)</f>
        <v>4</v>
      </c>
      <c r="AU109" s="42" t="n">
        <f aca="false">ROUNDUP(YEARFRAC(In_COD,AU$4),0)*(AU$4&gt;In_COD)</f>
        <v>5</v>
      </c>
      <c r="AV109" s="42" t="n">
        <f aca="false">ROUNDUP(YEARFRAC(In_COD,AV$4),0)*(AV$4&gt;In_COD)</f>
        <v>5</v>
      </c>
      <c r="AW109" s="42" t="n">
        <f aca="false">ROUNDUP(YEARFRAC(In_COD,AW$4),0)*(AW$4&gt;In_COD)</f>
        <v>5</v>
      </c>
      <c r="AX109" s="42" t="n">
        <f aca="false">ROUNDUP(YEARFRAC(In_COD,AX$4),0)*(AX$4&gt;In_COD)</f>
        <v>5</v>
      </c>
      <c r="AY109" s="42" t="n">
        <f aca="false">ROUNDUP(YEARFRAC(In_COD,AY$4),0)*(AY$4&gt;In_COD)</f>
        <v>6</v>
      </c>
      <c r="AZ109" s="42" t="n">
        <f aca="false">ROUNDUP(YEARFRAC(In_COD,AZ$4),0)*(AZ$4&gt;In_COD)</f>
        <v>6</v>
      </c>
      <c r="BA109" s="42" t="n">
        <f aca="false">ROUNDUP(YEARFRAC(In_COD,BA$4),0)*(BA$4&gt;In_COD)</f>
        <v>6</v>
      </c>
      <c r="BB109" s="42" t="n">
        <f aca="false">ROUNDUP(YEARFRAC(In_COD,BB$4),0)*(BB$4&gt;In_COD)</f>
        <v>6</v>
      </c>
      <c r="BC109" s="42" t="n">
        <f aca="false">ROUNDUP(YEARFRAC(In_COD,BC$4),0)*(BC$4&gt;In_COD)</f>
        <v>7</v>
      </c>
      <c r="BD109" s="42" t="n">
        <f aca="false">ROUNDUP(YEARFRAC(In_COD,BD$4),0)*(BD$4&gt;In_COD)</f>
        <v>7</v>
      </c>
      <c r="BE109" s="42" t="n">
        <f aca="false">ROUNDUP(YEARFRAC(In_COD,BE$4),0)*(BE$4&gt;In_COD)</f>
        <v>7</v>
      </c>
      <c r="BF109" s="42" t="n">
        <f aca="false">ROUNDUP(YEARFRAC(In_COD,BF$4),0)*(BF$4&gt;In_COD)</f>
        <v>7</v>
      </c>
      <c r="BG109" s="42" t="n">
        <f aca="false">ROUNDUP(YEARFRAC(In_COD,BG$4),0)*(BG$4&gt;In_COD)</f>
        <v>8</v>
      </c>
      <c r="BH109" s="42" t="n">
        <f aca="false">ROUNDUP(YEARFRAC(In_COD,BH$4),0)*(BH$4&gt;In_COD)</f>
        <v>8</v>
      </c>
      <c r="BI109" s="42" t="n">
        <f aca="false">ROUNDUP(YEARFRAC(In_COD,BI$4),0)*(BI$4&gt;In_COD)</f>
        <v>8</v>
      </c>
      <c r="BJ109" s="42" t="n">
        <f aca="false">ROUNDUP(YEARFRAC(In_COD,BJ$4),0)*(BJ$4&gt;In_COD)</f>
        <v>8</v>
      </c>
      <c r="BK109" s="42" t="n">
        <f aca="false">ROUNDUP(YEARFRAC(In_COD,BK$4),0)*(BK$4&gt;In_COD)</f>
        <v>9</v>
      </c>
      <c r="BL109" s="42" t="n">
        <f aca="false">ROUNDUP(YEARFRAC(In_COD,BL$4),0)*(BL$4&gt;In_COD)</f>
        <v>9</v>
      </c>
      <c r="BM109" s="42" t="n">
        <f aca="false">ROUNDUP(YEARFRAC(In_COD,BM$4),0)*(BM$4&gt;In_COD)</f>
        <v>9</v>
      </c>
      <c r="BN109" s="42" t="n">
        <f aca="false">ROUNDUP(YEARFRAC(In_COD,BN$4),0)*(BN$4&gt;In_COD)</f>
        <v>9</v>
      </c>
      <c r="BO109" s="42" t="n">
        <f aca="false">ROUNDUP(YEARFRAC(In_COD,BO$4),0)*(BO$4&gt;In_COD)</f>
        <v>10</v>
      </c>
      <c r="BP109" s="42" t="n">
        <f aca="false">ROUNDUP(YEARFRAC(In_COD,BP$4),0)*(BP$4&gt;In_COD)</f>
        <v>10</v>
      </c>
      <c r="BQ109" s="42" t="n">
        <f aca="false">ROUNDUP(YEARFRAC(In_COD,BQ$4),0)*(BQ$4&gt;In_COD)</f>
        <v>10</v>
      </c>
      <c r="BR109" s="42" t="n">
        <f aca="false">ROUNDUP(YEARFRAC(In_COD,BR$4),0)*(BR$4&gt;In_COD)</f>
        <v>10</v>
      </c>
      <c r="BS109" s="42" t="n">
        <f aca="false">ROUNDUP(YEARFRAC(In_COD,BS$4),0)*(BS$4&gt;In_COD)</f>
        <v>11</v>
      </c>
      <c r="BT109" s="42" t="n">
        <f aca="false">ROUNDUP(YEARFRAC(In_COD,BT$4),0)*(BT$4&gt;In_COD)</f>
        <v>11</v>
      </c>
      <c r="BU109" s="42" t="n">
        <f aca="false">ROUNDUP(YEARFRAC(In_COD,BU$4),0)*(BU$4&gt;In_COD)</f>
        <v>11</v>
      </c>
      <c r="BV109" s="42" t="n">
        <f aca="false">ROUNDUP(YEARFRAC(In_COD,BV$4),0)*(BV$4&gt;In_COD)</f>
        <v>11</v>
      </c>
      <c r="BW109" s="42" t="n">
        <f aca="false">ROUNDUP(YEARFRAC(In_COD,BW$4),0)*(BW$4&gt;In_COD)</f>
        <v>12</v>
      </c>
      <c r="BX109" s="42" t="n">
        <f aca="false">ROUNDUP(YEARFRAC(In_COD,BX$4),0)*(BX$4&gt;In_COD)</f>
        <v>12</v>
      </c>
      <c r="BY109" s="42" t="n">
        <f aca="false">ROUNDUP(YEARFRAC(In_COD,BY$4),0)*(BY$4&gt;In_COD)</f>
        <v>12</v>
      </c>
      <c r="BZ109" s="42" t="n">
        <f aca="false">ROUNDUP(YEARFRAC(In_COD,BZ$4),0)*(BZ$4&gt;In_COD)</f>
        <v>12</v>
      </c>
      <c r="CA109" s="42" t="n">
        <f aca="false">ROUNDUP(YEARFRAC(In_COD,CA$4),0)*(CA$4&gt;In_COD)</f>
        <v>13</v>
      </c>
      <c r="CB109" s="42" t="n">
        <f aca="false">ROUNDUP(YEARFRAC(In_COD,CB$4),0)*(CB$4&gt;In_COD)</f>
        <v>13</v>
      </c>
      <c r="CC109" s="42" t="n">
        <f aca="false">ROUNDUP(YEARFRAC(In_COD,CC$4),0)*(CC$4&gt;In_COD)</f>
        <v>13</v>
      </c>
      <c r="CD109" s="42" t="n">
        <f aca="false">ROUNDUP(YEARFRAC(In_COD,CD$4),0)*(CD$4&gt;In_COD)</f>
        <v>13</v>
      </c>
      <c r="CE109" s="42" t="n">
        <f aca="false">ROUNDUP(YEARFRAC(In_COD,CE$4),0)*(CE$4&gt;In_COD)</f>
        <v>14</v>
      </c>
      <c r="CF109" s="42" t="n">
        <f aca="false">ROUNDUP(YEARFRAC(In_COD,CF$4),0)*(CF$4&gt;In_COD)</f>
        <v>14</v>
      </c>
      <c r="CG109" s="42" t="n">
        <f aca="false">ROUNDUP(YEARFRAC(In_COD,CG$4),0)*(CG$4&gt;In_COD)</f>
        <v>14</v>
      </c>
      <c r="CH109" s="42" t="n">
        <f aca="false">ROUNDUP(YEARFRAC(In_COD,CH$4),0)*(CH$4&gt;In_COD)</f>
        <v>14</v>
      </c>
      <c r="CI109" s="42" t="n">
        <f aca="false">ROUNDUP(YEARFRAC(In_COD,CI$4),0)*(CI$4&gt;In_COD)</f>
        <v>15</v>
      </c>
      <c r="CJ109" s="42" t="n">
        <f aca="false">ROUNDUP(YEARFRAC(In_COD,CJ$4),0)*(CJ$4&gt;In_COD)</f>
        <v>15</v>
      </c>
      <c r="CK109" s="42" t="n">
        <f aca="false">ROUNDUP(YEARFRAC(In_COD,CK$4),0)*(CK$4&gt;In_COD)</f>
        <v>15</v>
      </c>
      <c r="CL109" s="42" t="n">
        <f aca="false">ROUNDUP(YEARFRAC(In_COD,CL$4),0)*(CL$4&gt;In_COD)</f>
        <v>15</v>
      </c>
      <c r="CM109" s="42" t="n">
        <f aca="false">ROUNDUP(YEARFRAC(In_COD,CM$4),0)*(CM$4&gt;In_COD)</f>
        <v>16</v>
      </c>
      <c r="CN109" s="42" t="n">
        <f aca="false">ROUNDUP(YEARFRAC(In_COD,CN$4),0)*(CN$4&gt;In_COD)</f>
        <v>16</v>
      </c>
      <c r="CO109" s="42" t="n">
        <f aca="false">ROUNDUP(YEARFRAC(In_COD,CO$4),0)*(CO$4&gt;In_COD)</f>
        <v>16</v>
      </c>
      <c r="CP109" s="42" t="n">
        <f aca="false">ROUNDUP(YEARFRAC(In_COD,CP$4),0)*(CP$4&gt;In_COD)</f>
        <v>16</v>
      </c>
      <c r="CQ109" s="42" t="n">
        <f aca="false">ROUNDUP(YEARFRAC(In_COD,CQ$4),0)*(CQ$4&gt;In_COD)</f>
        <v>17</v>
      </c>
      <c r="CR109" s="42" t="n">
        <f aca="false">ROUNDUP(YEARFRAC(In_COD,CR$4),0)*(CR$4&gt;In_COD)</f>
        <v>17</v>
      </c>
      <c r="CS109" s="42" t="n">
        <f aca="false">ROUNDUP(YEARFRAC(In_COD,CS$4),0)*(CS$4&gt;In_COD)</f>
        <v>17</v>
      </c>
      <c r="CT109" s="42" t="n">
        <f aca="false">ROUNDUP(YEARFRAC(In_COD,CT$4),0)*(CT$4&gt;In_COD)</f>
        <v>17</v>
      </c>
      <c r="CU109" s="42" t="n">
        <f aca="false">ROUNDUP(YEARFRAC(In_COD,CU$4),0)*(CU$4&gt;In_COD)</f>
        <v>18</v>
      </c>
      <c r="CV109" s="42" t="n">
        <f aca="false">ROUNDUP(YEARFRAC(In_COD,CV$4),0)*(CV$4&gt;In_COD)</f>
        <v>18</v>
      </c>
      <c r="CW109" s="42" t="n">
        <f aca="false">ROUNDUP(YEARFRAC(In_COD,CW$4),0)*(CW$4&gt;In_COD)</f>
        <v>18</v>
      </c>
      <c r="CX109" s="42" t="n">
        <f aca="false">ROUNDUP(YEARFRAC(In_COD,CX$4),0)*(CX$4&gt;In_COD)</f>
        <v>18</v>
      </c>
      <c r="CY109" s="42" t="n">
        <f aca="false">ROUNDUP(YEARFRAC(In_COD,CY$4),0)*(CY$4&gt;In_COD)</f>
        <v>19</v>
      </c>
      <c r="CZ109" s="42" t="n">
        <f aca="false">ROUNDUP(YEARFRAC(In_COD,CZ$4),0)*(CZ$4&gt;In_COD)</f>
        <v>19</v>
      </c>
      <c r="DA109" s="42" t="n">
        <f aca="false">ROUNDUP(YEARFRAC(In_COD,DA$4),0)*(DA$4&gt;In_COD)</f>
        <v>19</v>
      </c>
      <c r="DB109" s="42" t="n">
        <f aca="false">ROUNDUP(YEARFRAC(In_COD,DB$4),0)*(DB$4&gt;In_COD)</f>
        <v>19</v>
      </c>
      <c r="DC109" s="42" t="n">
        <f aca="false">ROUNDUP(YEARFRAC(In_COD,DC$4),0)*(DC$4&gt;In_COD)</f>
        <v>20</v>
      </c>
      <c r="DD109" s="42" t="n">
        <f aca="false">ROUNDUP(YEARFRAC(In_COD,DD$4),0)*(DD$4&gt;In_COD)</f>
        <v>20</v>
      </c>
      <c r="DE109" s="42" t="n">
        <f aca="false">ROUNDUP(YEARFRAC(In_COD,DE$4),0)*(DE$4&gt;In_COD)</f>
        <v>20</v>
      </c>
      <c r="DF109" s="42" t="n">
        <f aca="false">ROUNDUP(YEARFRAC(In_COD,DF$4),0)*(DF$4&gt;In_COD)</f>
        <v>20</v>
      </c>
      <c r="DG109" s="42" t="n">
        <f aca="false">ROUNDUP(YEARFRAC(In_COD,DG$4),0)*(DG$4&gt;In_COD)</f>
        <v>21</v>
      </c>
      <c r="DH109" s="42" t="n">
        <f aca="false">ROUNDUP(YEARFRAC(In_COD,DH$4),0)*(DH$4&gt;In_COD)</f>
        <v>21</v>
      </c>
      <c r="DI109" s="42" t="n">
        <f aca="false">ROUNDUP(YEARFRAC(In_COD,DI$4),0)*(DI$4&gt;In_COD)</f>
        <v>21</v>
      </c>
      <c r="DJ109" s="42" t="n">
        <f aca="false">ROUNDUP(YEARFRAC(In_COD,DJ$4),0)*(DJ$4&gt;In_COD)</f>
        <v>21</v>
      </c>
      <c r="DK109" s="42" t="n">
        <f aca="false">ROUNDUP(YEARFRAC(In_COD,DK$4),0)*(DK$4&gt;In_COD)</f>
        <v>22</v>
      </c>
      <c r="DL109" s="42" t="n">
        <f aca="false">ROUNDUP(YEARFRAC(In_COD,DL$4),0)*(DL$4&gt;In_COD)</f>
        <v>22</v>
      </c>
      <c r="DM109" s="42" t="n">
        <f aca="false">ROUNDUP(YEARFRAC(In_COD,DM$4),0)*(DM$4&gt;In_COD)</f>
        <v>22</v>
      </c>
      <c r="DN109" s="42" t="n">
        <f aca="false">ROUNDUP(YEARFRAC(In_COD,DN$4),0)*(DN$4&gt;In_COD)</f>
        <v>22</v>
      </c>
      <c r="DO109" s="42" t="n">
        <f aca="false">ROUNDUP(YEARFRAC(In_COD,DO$4),0)*(DO$4&gt;In_COD)</f>
        <v>23</v>
      </c>
      <c r="DP109" s="42" t="n">
        <f aca="false">ROUNDUP(YEARFRAC(In_COD,DP$4),0)*(DP$4&gt;In_COD)</f>
        <v>23</v>
      </c>
      <c r="DQ109" s="42" t="n">
        <f aca="false">ROUNDUP(YEARFRAC(In_COD,DQ$4),0)*(DQ$4&gt;In_COD)</f>
        <v>23</v>
      </c>
      <c r="DR109" s="42" t="n">
        <f aca="false">ROUNDUP(YEARFRAC(In_COD,DR$4),0)*(DR$4&gt;In_COD)</f>
        <v>23</v>
      </c>
      <c r="DS109" s="42" t="n">
        <f aca="false">ROUNDUP(YEARFRAC(In_COD,DS$4),0)*(DS$4&gt;In_COD)</f>
        <v>24</v>
      </c>
      <c r="DT109" s="42" t="n">
        <f aca="false">ROUNDUP(YEARFRAC(In_COD,DT$4),0)*(DT$4&gt;In_COD)</f>
        <v>24</v>
      </c>
      <c r="DU109" s="42" t="n">
        <f aca="false">ROUNDUP(YEARFRAC(In_COD,DU$4),0)*(DU$4&gt;In_COD)</f>
        <v>24</v>
      </c>
      <c r="DV109" s="42" t="n">
        <f aca="false">ROUNDUP(YEARFRAC(In_COD,DV$4),0)*(DV$4&gt;In_COD)</f>
        <v>24</v>
      </c>
      <c r="DW109" s="42" t="n">
        <f aca="false">ROUNDUP(YEARFRAC(In_COD,DW$4),0)*(DW$4&gt;In_COD)</f>
        <v>25</v>
      </c>
      <c r="DX109" s="42" t="n">
        <f aca="false">ROUNDUP(YEARFRAC(In_COD,DX$4),0)*(DX$4&gt;In_COD)</f>
        <v>25</v>
      </c>
      <c r="DY109" s="42" t="n">
        <f aca="false">ROUNDUP(YEARFRAC(In_COD,DY$4),0)*(DY$4&gt;In_COD)</f>
        <v>25</v>
      </c>
      <c r="DZ109" s="42" t="n">
        <f aca="false">ROUNDUP(YEARFRAC(In_COD,DZ$4),0)*(DZ$4&gt;In_COD)</f>
        <v>25</v>
      </c>
      <c r="EA109" s="42" t="n">
        <f aca="false">ROUNDUP(YEARFRAC(In_COD,EA$4),0)*(EA$4&gt;In_COD)</f>
        <v>26</v>
      </c>
      <c r="EB109" s="42" t="n">
        <f aca="false">ROUNDUP(YEARFRAC(In_COD,EB$4),0)*(EB$4&gt;In_COD)</f>
        <v>26</v>
      </c>
      <c r="EC109" s="42" t="n">
        <f aca="false">ROUNDUP(YEARFRAC(In_COD,EC$4),0)*(EC$4&gt;In_COD)</f>
        <v>26</v>
      </c>
      <c r="ED109" s="42" t="n">
        <f aca="false">ROUNDUP(YEARFRAC(In_COD,ED$4),0)*(ED$4&gt;In_COD)</f>
        <v>26</v>
      </c>
      <c r="EE109" s="42" t="n">
        <f aca="false">ROUNDUP(YEARFRAC(In_COD,EE$4),0)*(EE$4&gt;In_COD)</f>
        <v>27</v>
      </c>
      <c r="EF109" s="42" t="n">
        <f aca="false">ROUNDUP(YEARFRAC(In_COD,EF$4),0)*(EF$4&gt;In_COD)</f>
        <v>27</v>
      </c>
      <c r="EG109" s="42" t="n">
        <f aca="false">ROUNDUP(YEARFRAC(In_COD,EG$4),0)*(EG$4&gt;In_COD)</f>
        <v>27</v>
      </c>
      <c r="EH109" s="42" t="n">
        <f aca="false">ROUNDUP(YEARFRAC(In_COD,EH$4),0)*(EH$4&gt;In_COD)</f>
        <v>27</v>
      </c>
      <c r="EI109" s="42" t="n">
        <f aca="false">ROUNDUP(YEARFRAC(In_COD,EI$4),0)*(EI$4&gt;In_COD)</f>
        <v>28</v>
      </c>
      <c r="EJ109" s="42" t="n">
        <f aca="false">ROUNDUP(YEARFRAC(In_COD,EJ$4),0)*(EJ$4&gt;In_COD)</f>
        <v>28</v>
      </c>
      <c r="EK109" s="42" t="n">
        <f aca="false">ROUNDUP(YEARFRAC(In_COD,EK$4),0)*(EK$4&gt;In_COD)</f>
        <v>28</v>
      </c>
      <c r="EL109" s="42" t="n">
        <f aca="false">ROUNDUP(YEARFRAC(In_COD,EL$4),0)*(EL$4&gt;In_COD)</f>
        <v>28</v>
      </c>
      <c r="EM109" s="42" t="n">
        <f aca="false">ROUNDUP(YEARFRAC(In_COD,EM$4),0)*(EM$4&gt;In_COD)</f>
        <v>29</v>
      </c>
      <c r="EN109" s="42" t="n">
        <f aca="false">ROUNDUP(YEARFRAC(In_COD,EN$4),0)*(EN$4&gt;In_COD)</f>
        <v>29</v>
      </c>
      <c r="EO109" s="42" t="n">
        <f aca="false">ROUNDUP(YEARFRAC(In_COD,EO$4),0)*(EO$4&gt;In_COD)</f>
        <v>29</v>
      </c>
      <c r="EP109" s="42" t="n">
        <f aca="false">ROUNDUP(YEARFRAC(In_COD,EP$4),0)*(EP$4&gt;In_COD)</f>
        <v>29</v>
      </c>
      <c r="EQ109" s="42" t="n">
        <f aca="false">ROUNDUP(YEARFRAC(In_COD,EQ$4),0)*(EQ$4&gt;In_COD)</f>
        <v>30</v>
      </c>
      <c r="ER109" s="42" t="n">
        <f aca="false">ROUNDUP(YEARFRAC(In_COD,ER$4),0)*(ER$4&gt;In_COD)</f>
        <v>30</v>
      </c>
      <c r="ES109" s="42" t="n">
        <f aca="false">ROUNDUP(YEARFRAC(In_COD,ES$4),0)*(ES$4&gt;In_COD)</f>
        <v>30</v>
      </c>
      <c r="ET109" s="42" t="n">
        <f aca="false">ROUNDUP(YEARFRAC(In_COD,ET$4),0)*(ET$4&gt;In_COD)</f>
        <v>30</v>
      </c>
    </row>
    <row r="110" customFormat="false" ht="15" hidden="false" customHeight="false" outlineLevel="0" collapsed="false">
      <c r="C110" s="0" t="s">
        <v>563</v>
      </c>
      <c r="D110" s="11" t="s">
        <v>482</v>
      </c>
      <c r="J110" s="52" t="n">
        <f aca="false">(1+In_Opex_Esc)^(J$7-YEAR(In_COD))</f>
        <v>0.883854287609517</v>
      </c>
      <c r="K110" s="52" t="n">
        <f aca="false">(1+In_Opex_Esc)^(K$7-YEAR(In_COD))</f>
        <v>0.883854287609517</v>
      </c>
      <c r="L110" s="52" t="n">
        <f aca="false">(1+In_Opex_Esc)^(L$7-YEAR(In_COD))</f>
        <v>0.905950644799755</v>
      </c>
      <c r="M110" s="52" t="n">
        <f aca="false">(1+In_Opex_Esc)^(M$7-YEAR(In_COD))</f>
        <v>0.905950644799755</v>
      </c>
      <c r="N110" s="52" t="n">
        <f aca="false">(1+In_Opex_Esc)^(N$7-YEAR(In_COD))</f>
        <v>0.905950644799755</v>
      </c>
      <c r="O110" s="52" t="n">
        <f aca="false">(1+In_Opex_Esc)^(O$7-YEAR(In_COD))</f>
        <v>0.905950644799755</v>
      </c>
      <c r="P110" s="52" t="n">
        <f aca="false">(1+In_Opex_Esc)^(P$7-YEAR(In_COD))</f>
        <v>0.928599410919749</v>
      </c>
      <c r="Q110" s="52" t="n">
        <f aca="false">(1+In_Opex_Esc)^(Q$7-YEAR(In_COD))</f>
        <v>0.928599410919749</v>
      </c>
      <c r="R110" s="52" t="n">
        <f aca="false">(1+In_Opex_Esc)^(R$7-YEAR(In_COD))</f>
        <v>0.928599410919749</v>
      </c>
      <c r="S110" s="52" t="n">
        <f aca="false">(1+In_Opex_Esc)^(S$7-YEAR(In_COD))</f>
        <v>0.928599410919749</v>
      </c>
      <c r="T110" s="52" t="n">
        <f aca="false">(1+In_Opex_Esc)^(T$7-YEAR(In_COD))</f>
        <v>0.951814396192743</v>
      </c>
      <c r="U110" s="52" t="n">
        <f aca="false">(1+In_Opex_Esc)^(U$7-YEAR(In_COD))</f>
        <v>0.951814396192743</v>
      </c>
      <c r="V110" s="52" t="n">
        <f aca="false">(1+In_Opex_Esc)^(V$7-YEAR(In_COD))</f>
        <v>0.951814396192743</v>
      </c>
      <c r="W110" s="52" t="n">
        <f aca="false">(1+In_Opex_Esc)^(W$7-YEAR(In_COD))</f>
        <v>0.951814396192743</v>
      </c>
      <c r="X110" s="52" t="n">
        <f aca="false">(1+In_Opex_Esc)^(X$7-YEAR(In_COD))</f>
        <v>0.975609756097561</v>
      </c>
      <c r="Y110" s="52" t="n">
        <f aca="false">(1+In_Opex_Esc)^(Y$7-YEAR(In_COD))</f>
        <v>0.975609756097561</v>
      </c>
      <c r="Z110" s="52" t="n">
        <f aca="false">(1+In_Opex_Esc)^(Z$7-YEAR(In_COD))</f>
        <v>0.975609756097561</v>
      </c>
      <c r="AA110" s="52" t="n">
        <f aca="false">(1+In_Opex_Esc)^(AA$7-YEAR(In_COD))</f>
        <v>0.975609756097561</v>
      </c>
      <c r="AB110" s="52" t="n">
        <f aca="false">(1+In_Opex_Esc)^(AB$7-YEAR(In_COD))</f>
        <v>1</v>
      </c>
      <c r="AC110" s="52" t="n">
        <f aca="false">(1+In_Opex_Esc)^(AC$7-YEAR(In_COD))</f>
        <v>1</v>
      </c>
      <c r="AD110" s="52" t="n">
        <f aca="false">(1+In_Opex_Esc)^(AD$7-YEAR(In_COD))</f>
        <v>1</v>
      </c>
      <c r="AE110" s="52" t="n">
        <f aca="false">(1+In_Opex_Esc)^(AE$7-YEAR(In_COD))</f>
        <v>1</v>
      </c>
      <c r="AF110" s="52" t="n">
        <f aca="false">(1+In_Opex_Esc)^(AF$7-YEAR(In_COD))</f>
        <v>1.025</v>
      </c>
      <c r="AG110" s="52" t="n">
        <f aca="false">(1+In_Opex_Esc)^(AG$7-YEAR(In_COD))</f>
        <v>1.025</v>
      </c>
      <c r="AH110" s="52" t="n">
        <f aca="false">(1+In_Opex_Esc)^(AH$7-YEAR(In_COD))</f>
        <v>1.025</v>
      </c>
      <c r="AI110" s="52" t="n">
        <f aca="false">(1+In_Opex_Esc)^(AI$7-YEAR(In_COD))</f>
        <v>1.025</v>
      </c>
      <c r="AJ110" s="52" t="n">
        <f aca="false">(1+In_Opex_Esc)^(AJ$7-YEAR(In_COD))</f>
        <v>1.050625</v>
      </c>
      <c r="AK110" s="52" t="n">
        <f aca="false">(1+In_Opex_Esc)^(AK$7-YEAR(In_COD))</f>
        <v>1.050625</v>
      </c>
      <c r="AL110" s="52" t="n">
        <f aca="false">(1+In_Opex_Esc)^(AL$7-YEAR(In_COD))</f>
        <v>1.050625</v>
      </c>
      <c r="AM110" s="52" t="n">
        <f aca="false">(1+In_Opex_Esc)^(AM$7-YEAR(In_COD))</f>
        <v>1.050625</v>
      </c>
      <c r="AN110" s="52" t="n">
        <f aca="false">(1+In_Opex_Esc)^(AN$7-YEAR(In_COD))</f>
        <v>1.076890625</v>
      </c>
      <c r="AO110" s="52" t="n">
        <f aca="false">(1+In_Opex_Esc)^(AO$7-YEAR(In_COD))</f>
        <v>1.076890625</v>
      </c>
      <c r="AP110" s="52" t="n">
        <f aca="false">(1+In_Opex_Esc)^(AP$7-YEAR(In_COD))</f>
        <v>1.076890625</v>
      </c>
      <c r="AQ110" s="52" t="n">
        <f aca="false">(1+In_Opex_Esc)^(AQ$7-YEAR(In_COD))</f>
        <v>1.076890625</v>
      </c>
      <c r="AR110" s="52" t="n">
        <f aca="false">(1+In_Opex_Esc)^(AR$7-YEAR(In_COD))</f>
        <v>1.103812890625</v>
      </c>
      <c r="AS110" s="52" t="n">
        <f aca="false">(1+In_Opex_Esc)^(AS$7-YEAR(In_COD))</f>
        <v>1.103812890625</v>
      </c>
      <c r="AT110" s="52" t="n">
        <f aca="false">(1+In_Opex_Esc)^(AT$7-YEAR(In_COD))</f>
        <v>1.103812890625</v>
      </c>
      <c r="AU110" s="52" t="n">
        <f aca="false">(1+In_Opex_Esc)^(AU$7-YEAR(In_COD))</f>
        <v>1.103812890625</v>
      </c>
      <c r="AV110" s="52" t="n">
        <f aca="false">(1+In_Opex_Esc)^(AV$7-YEAR(In_COD))</f>
        <v>1.13140821289062</v>
      </c>
      <c r="AW110" s="52" t="n">
        <f aca="false">(1+In_Opex_Esc)^(AW$7-YEAR(In_COD))</f>
        <v>1.13140821289062</v>
      </c>
      <c r="AX110" s="52" t="n">
        <f aca="false">(1+In_Opex_Esc)^(AX$7-YEAR(In_COD))</f>
        <v>1.13140821289062</v>
      </c>
      <c r="AY110" s="52" t="n">
        <f aca="false">(1+In_Opex_Esc)^(AY$7-YEAR(In_COD))</f>
        <v>1.13140821289062</v>
      </c>
      <c r="AZ110" s="52" t="n">
        <f aca="false">(1+In_Opex_Esc)^(AZ$7-YEAR(In_COD))</f>
        <v>1.15969341821289</v>
      </c>
      <c r="BA110" s="52" t="n">
        <f aca="false">(1+In_Opex_Esc)^(BA$7-YEAR(In_COD))</f>
        <v>1.15969341821289</v>
      </c>
      <c r="BB110" s="52" t="n">
        <f aca="false">(1+In_Opex_Esc)^(BB$7-YEAR(In_COD))</f>
        <v>1.15969341821289</v>
      </c>
      <c r="BC110" s="52" t="n">
        <f aca="false">(1+In_Opex_Esc)^(BC$7-YEAR(In_COD))</f>
        <v>1.15969341821289</v>
      </c>
      <c r="BD110" s="52" t="n">
        <f aca="false">(1+In_Opex_Esc)^(BD$7-YEAR(In_COD))</f>
        <v>1.18868575366821</v>
      </c>
      <c r="BE110" s="52" t="n">
        <f aca="false">(1+In_Opex_Esc)^(BE$7-YEAR(In_COD))</f>
        <v>1.18868575366821</v>
      </c>
      <c r="BF110" s="52" t="n">
        <f aca="false">(1+In_Opex_Esc)^(BF$7-YEAR(In_COD))</f>
        <v>1.18868575366821</v>
      </c>
      <c r="BG110" s="52" t="n">
        <f aca="false">(1+In_Opex_Esc)^(BG$7-YEAR(In_COD))</f>
        <v>1.18868575366821</v>
      </c>
      <c r="BH110" s="52" t="n">
        <f aca="false">(1+In_Opex_Esc)^(BH$7-YEAR(In_COD))</f>
        <v>1.21840289750992</v>
      </c>
      <c r="BI110" s="52" t="n">
        <f aca="false">(1+In_Opex_Esc)^(BI$7-YEAR(In_COD))</f>
        <v>1.21840289750992</v>
      </c>
      <c r="BJ110" s="52" t="n">
        <f aca="false">(1+In_Opex_Esc)^(BJ$7-YEAR(In_COD))</f>
        <v>1.21840289750992</v>
      </c>
      <c r="BK110" s="52" t="n">
        <f aca="false">(1+In_Opex_Esc)^(BK$7-YEAR(In_COD))</f>
        <v>1.21840289750992</v>
      </c>
      <c r="BL110" s="52" t="n">
        <f aca="false">(1+In_Opex_Esc)^(BL$7-YEAR(In_COD))</f>
        <v>1.24886296994767</v>
      </c>
      <c r="BM110" s="52" t="n">
        <f aca="false">(1+In_Opex_Esc)^(BM$7-YEAR(In_COD))</f>
        <v>1.24886296994767</v>
      </c>
      <c r="BN110" s="52" t="n">
        <f aca="false">(1+In_Opex_Esc)^(BN$7-YEAR(In_COD))</f>
        <v>1.24886296994767</v>
      </c>
      <c r="BO110" s="52" t="n">
        <f aca="false">(1+In_Opex_Esc)^(BO$7-YEAR(In_COD))</f>
        <v>1.24886296994767</v>
      </c>
      <c r="BP110" s="52" t="n">
        <f aca="false">(1+In_Opex_Esc)^(BP$7-YEAR(In_COD))</f>
        <v>1.28008454419636</v>
      </c>
      <c r="BQ110" s="52" t="n">
        <f aca="false">(1+In_Opex_Esc)^(BQ$7-YEAR(In_COD))</f>
        <v>1.28008454419636</v>
      </c>
      <c r="BR110" s="52" t="n">
        <f aca="false">(1+In_Opex_Esc)^(BR$7-YEAR(In_COD))</f>
        <v>1.28008454419636</v>
      </c>
      <c r="BS110" s="52" t="n">
        <f aca="false">(1+In_Opex_Esc)^(BS$7-YEAR(In_COD))</f>
        <v>1.28008454419636</v>
      </c>
      <c r="BT110" s="52" t="n">
        <f aca="false">(1+In_Opex_Esc)^(BT$7-YEAR(In_COD))</f>
        <v>1.31208665780127</v>
      </c>
      <c r="BU110" s="52" t="n">
        <f aca="false">(1+In_Opex_Esc)^(BU$7-YEAR(In_COD))</f>
        <v>1.31208665780127</v>
      </c>
      <c r="BV110" s="52" t="n">
        <f aca="false">(1+In_Opex_Esc)^(BV$7-YEAR(In_COD))</f>
        <v>1.31208665780127</v>
      </c>
      <c r="BW110" s="52" t="n">
        <f aca="false">(1+In_Opex_Esc)^(BW$7-YEAR(In_COD))</f>
        <v>1.31208665780127</v>
      </c>
      <c r="BX110" s="52" t="n">
        <f aca="false">(1+In_Opex_Esc)^(BX$7-YEAR(In_COD))</f>
        <v>1.3448888242463</v>
      </c>
      <c r="BY110" s="52" t="n">
        <f aca="false">(1+In_Opex_Esc)^(BY$7-YEAR(In_COD))</f>
        <v>1.3448888242463</v>
      </c>
      <c r="BZ110" s="52" t="n">
        <f aca="false">(1+In_Opex_Esc)^(BZ$7-YEAR(In_COD))</f>
        <v>1.3448888242463</v>
      </c>
      <c r="CA110" s="52" t="n">
        <f aca="false">(1+In_Opex_Esc)^(CA$7-YEAR(In_COD))</f>
        <v>1.3448888242463</v>
      </c>
      <c r="CB110" s="52" t="n">
        <f aca="false">(1+In_Opex_Esc)^(CB$7-YEAR(In_COD))</f>
        <v>1.37851104485245</v>
      </c>
      <c r="CC110" s="52" t="n">
        <f aca="false">(1+In_Opex_Esc)^(CC$7-YEAR(In_COD))</f>
        <v>1.37851104485245</v>
      </c>
      <c r="CD110" s="52" t="n">
        <f aca="false">(1+In_Opex_Esc)^(CD$7-YEAR(In_COD))</f>
        <v>1.37851104485245</v>
      </c>
      <c r="CE110" s="52" t="n">
        <f aca="false">(1+In_Opex_Esc)^(CE$7-YEAR(In_COD))</f>
        <v>1.37851104485245</v>
      </c>
      <c r="CF110" s="52" t="n">
        <f aca="false">(1+In_Opex_Esc)^(CF$7-YEAR(In_COD))</f>
        <v>1.41297382097377</v>
      </c>
      <c r="CG110" s="52" t="n">
        <f aca="false">(1+In_Opex_Esc)^(CG$7-YEAR(In_COD))</f>
        <v>1.41297382097377</v>
      </c>
      <c r="CH110" s="52" t="n">
        <f aca="false">(1+In_Opex_Esc)^(CH$7-YEAR(In_COD))</f>
        <v>1.41297382097377</v>
      </c>
      <c r="CI110" s="52" t="n">
        <f aca="false">(1+In_Opex_Esc)^(CI$7-YEAR(In_COD))</f>
        <v>1.41297382097377</v>
      </c>
      <c r="CJ110" s="52" t="n">
        <f aca="false">(1+In_Opex_Esc)^(CJ$7-YEAR(In_COD))</f>
        <v>1.44829816649811</v>
      </c>
      <c r="CK110" s="52" t="n">
        <f aca="false">(1+In_Opex_Esc)^(CK$7-YEAR(In_COD))</f>
        <v>1.44829816649811</v>
      </c>
      <c r="CL110" s="52" t="n">
        <f aca="false">(1+In_Opex_Esc)^(CL$7-YEAR(In_COD))</f>
        <v>1.44829816649811</v>
      </c>
      <c r="CM110" s="52" t="n">
        <f aca="false">(1+In_Opex_Esc)^(CM$7-YEAR(In_COD))</f>
        <v>1.44829816649811</v>
      </c>
      <c r="CN110" s="52" t="n">
        <f aca="false">(1+In_Opex_Esc)^(CN$7-YEAR(In_COD))</f>
        <v>1.48450562066056</v>
      </c>
      <c r="CO110" s="52" t="n">
        <f aca="false">(1+In_Opex_Esc)^(CO$7-YEAR(In_COD))</f>
        <v>1.48450562066056</v>
      </c>
      <c r="CP110" s="52" t="n">
        <f aca="false">(1+In_Opex_Esc)^(CP$7-YEAR(In_COD))</f>
        <v>1.48450562066056</v>
      </c>
      <c r="CQ110" s="52" t="n">
        <f aca="false">(1+In_Opex_Esc)^(CQ$7-YEAR(In_COD))</f>
        <v>1.48450562066056</v>
      </c>
      <c r="CR110" s="52" t="n">
        <f aca="false">(1+In_Opex_Esc)^(CR$7-YEAR(In_COD))</f>
        <v>1.52161826117708</v>
      </c>
      <c r="CS110" s="52" t="n">
        <f aca="false">(1+In_Opex_Esc)^(CS$7-YEAR(In_COD))</f>
        <v>1.52161826117708</v>
      </c>
      <c r="CT110" s="52" t="n">
        <f aca="false">(1+In_Opex_Esc)^(CT$7-YEAR(In_COD))</f>
        <v>1.52161826117708</v>
      </c>
      <c r="CU110" s="52" t="n">
        <f aca="false">(1+In_Opex_Esc)^(CU$7-YEAR(In_COD))</f>
        <v>1.52161826117708</v>
      </c>
      <c r="CV110" s="52" t="n">
        <f aca="false">(1+In_Opex_Esc)^(CV$7-YEAR(In_COD))</f>
        <v>1.5596587177065</v>
      </c>
      <c r="CW110" s="52" t="n">
        <f aca="false">(1+In_Opex_Esc)^(CW$7-YEAR(In_COD))</f>
        <v>1.5596587177065</v>
      </c>
      <c r="CX110" s="52" t="n">
        <f aca="false">(1+In_Opex_Esc)^(CX$7-YEAR(In_COD))</f>
        <v>1.5596587177065</v>
      </c>
      <c r="CY110" s="52" t="n">
        <f aca="false">(1+In_Opex_Esc)^(CY$7-YEAR(In_COD))</f>
        <v>1.5596587177065</v>
      </c>
      <c r="CZ110" s="52" t="n">
        <f aca="false">(1+In_Opex_Esc)^(CZ$7-YEAR(In_COD))</f>
        <v>1.59865018564917</v>
      </c>
      <c r="DA110" s="52" t="n">
        <f aca="false">(1+In_Opex_Esc)^(DA$7-YEAR(In_COD))</f>
        <v>1.59865018564917</v>
      </c>
      <c r="DB110" s="52" t="n">
        <f aca="false">(1+In_Opex_Esc)^(DB$7-YEAR(In_COD))</f>
        <v>1.59865018564917</v>
      </c>
      <c r="DC110" s="52" t="n">
        <f aca="false">(1+In_Opex_Esc)^(DC$7-YEAR(In_COD))</f>
        <v>1.59865018564917</v>
      </c>
      <c r="DD110" s="52" t="n">
        <f aca="false">(1+In_Opex_Esc)^(DD$7-YEAR(In_COD))</f>
        <v>1.63861644029039</v>
      </c>
      <c r="DE110" s="52" t="n">
        <f aca="false">(1+In_Opex_Esc)^(DE$7-YEAR(In_COD))</f>
        <v>1.63861644029039</v>
      </c>
      <c r="DF110" s="52" t="n">
        <f aca="false">(1+In_Opex_Esc)^(DF$7-YEAR(In_COD))</f>
        <v>1.63861644029039</v>
      </c>
      <c r="DG110" s="52" t="n">
        <f aca="false">(1+In_Opex_Esc)^(DG$7-YEAR(In_COD))</f>
        <v>1.63861644029039</v>
      </c>
      <c r="DH110" s="52" t="n">
        <f aca="false">(1+In_Opex_Esc)^(DH$7-YEAR(In_COD))</f>
        <v>1.67958185129765</v>
      </c>
      <c r="DI110" s="52" t="n">
        <f aca="false">(1+In_Opex_Esc)^(DI$7-YEAR(In_COD))</f>
        <v>1.67958185129765</v>
      </c>
      <c r="DJ110" s="52" t="n">
        <f aca="false">(1+In_Opex_Esc)^(DJ$7-YEAR(In_COD))</f>
        <v>1.67958185129765</v>
      </c>
      <c r="DK110" s="52" t="n">
        <f aca="false">(1+In_Opex_Esc)^(DK$7-YEAR(In_COD))</f>
        <v>1.67958185129765</v>
      </c>
      <c r="DL110" s="52" t="n">
        <f aca="false">(1+In_Opex_Esc)^(DL$7-YEAR(In_COD))</f>
        <v>1.7215713975801</v>
      </c>
      <c r="DM110" s="52" t="n">
        <f aca="false">(1+In_Opex_Esc)^(DM$7-YEAR(In_COD))</f>
        <v>1.7215713975801</v>
      </c>
      <c r="DN110" s="52" t="n">
        <f aca="false">(1+In_Opex_Esc)^(DN$7-YEAR(In_COD))</f>
        <v>1.7215713975801</v>
      </c>
      <c r="DO110" s="52" t="n">
        <f aca="false">(1+In_Opex_Esc)^(DO$7-YEAR(In_COD))</f>
        <v>1.7215713975801</v>
      </c>
      <c r="DP110" s="52" t="n">
        <f aca="false">(1+In_Opex_Esc)^(DP$7-YEAR(In_COD))</f>
        <v>1.7646106825196</v>
      </c>
      <c r="DQ110" s="52" t="n">
        <f aca="false">(1+In_Opex_Esc)^(DQ$7-YEAR(In_COD))</f>
        <v>1.7646106825196</v>
      </c>
      <c r="DR110" s="52" t="n">
        <f aca="false">(1+In_Opex_Esc)^(DR$7-YEAR(In_COD))</f>
        <v>1.7646106825196</v>
      </c>
      <c r="DS110" s="52" t="n">
        <f aca="false">(1+In_Opex_Esc)^(DS$7-YEAR(In_COD))</f>
        <v>1.7646106825196</v>
      </c>
      <c r="DT110" s="52" t="n">
        <f aca="false">(1+In_Opex_Esc)^(DT$7-YEAR(In_COD))</f>
        <v>1.80872594958259</v>
      </c>
      <c r="DU110" s="52" t="n">
        <f aca="false">(1+In_Opex_Esc)^(DU$7-YEAR(In_COD))</f>
        <v>1.80872594958259</v>
      </c>
      <c r="DV110" s="52" t="n">
        <f aca="false">(1+In_Opex_Esc)^(DV$7-YEAR(In_COD))</f>
        <v>1.80872594958259</v>
      </c>
      <c r="DW110" s="52" t="n">
        <f aca="false">(1+In_Opex_Esc)^(DW$7-YEAR(In_COD))</f>
        <v>1.80872594958259</v>
      </c>
      <c r="DX110" s="52" t="n">
        <f aca="false">(1+In_Opex_Esc)^(DX$7-YEAR(In_COD))</f>
        <v>1.85394409832215</v>
      </c>
      <c r="DY110" s="52" t="n">
        <f aca="false">(1+In_Opex_Esc)^(DY$7-YEAR(In_COD))</f>
        <v>1.85394409832215</v>
      </c>
      <c r="DZ110" s="52" t="n">
        <f aca="false">(1+In_Opex_Esc)^(DZ$7-YEAR(In_COD))</f>
        <v>1.85394409832215</v>
      </c>
      <c r="EA110" s="52" t="n">
        <f aca="false">(1+In_Opex_Esc)^(EA$7-YEAR(In_COD))</f>
        <v>1.85394409832215</v>
      </c>
      <c r="EB110" s="52" t="n">
        <f aca="false">(1+In_Opex_Esc)^(EB$7-YEAR(In_COD))</f>
        <v>1.90029270078021</v>
      </c>
      <c r="EC110" s="52" t="n">
        <f aca="false">(1+In_Opex_Esc)^(EC$7-YEAR(In_COD))</f>
        <v>1.90029270078021</v>
      </c>
      <c r="ED110" s="52" t="n">
        <f aca="false">(1+In_Opex_Esc)^(ED$7-YEAR(In_COD))</f>
        <v>1.90029270078021</v>
      </c>
      <c r="EE110" s="52" t="n">
        <f aca="false">(1+In_Opex_Esc)^(EE$7-YEAR(In_COD))</f>
        <v>1.90029270078021</v>
      </c>
      <c r="EF110" s="52" t="n">
        <f aca="false">(1+In_Opex_Esc)^(EF$7-YEAR(In_COD))</f>
        <v>1.94780001829971</v>
      </c>
      <c r="EG110" s="52" t="n">
        <f aca="false">(1+In_Opex_Esc)^(EG$7-YEAR(In_COD))</f>
        <v>1.94780001829971</v>
      </c>
      <c r="EH110" s="52" t="n">
        <f aca="false">(1+In_Opex_Esc)^(EH$7-YEAR(In_COD))</f>
        <v>1.94780001829971</v>
      </c>
      <c r="EI110" s="52" t="n">
        <f aca="false">(1+In_Opex_Esc)^(EI$7-YEAR(In_COD))</f>
        <v>1.94780001829971</v>
      </c>
      <c r="EJ110" s="52" t="n">
        <f aca="false">(1+In_Opex_Esc)^(EJ$7-YEAR(In_COD))</f>
        <v>1.9964950187572</v>
      </c>
      <c r="EK110" s="52" t="n">
        <f aca="false">(1+In_Opex_Esc)^(EK$7-YEAR(In_COD))</f>
        <v>1.9964950187572</v>
      </c>
      <c r="EL110" s="52" t="n">
        <f aca="false">(1+In_Opex_Esc)^(EL$7-YEAR(In_COD))</f>
        <v>1.9964950187572</v>
      </c>
      <c r="EM110" s="52" t="n">
        <f aca="false">(1+In_Opex_Esc)^(EM$7-YEAR(In_COD))</f>
        <v>1.9964950187572</v>
      </c>
      <c r="EN110" s="52" t="n">
        <f aca="false">(1+In_Opex_Esc)^(EN$7-YEAR(In_COD))</f>
        <v>2.04640739422613</v>
      </c>
      <c r="EO110" s="52" t="n">
        <f aca="false">(1+In_Opex_Esc)^(EO$7-YEAR(In_COD))</f>
        <v>2.04640739422613</v>
      </c>
      <c r="EP110" s="52" t="n">
        <f aca="false">(1+In_Opex_Esc)^(EP$7-YEAR(In_COD))</f>
        <v>2.04640739422613</v>
      </c>
      <c r="EQ110" s="52" t="n">
        <f aca="false">(1+In_Opex_Esc)^(EQ$7-YEAR(In_COD))</f>
        <v>2.04640739422613</v>
      </c>
      <c r="ER110" s="52" t="n">
        <f aca="false">(1+In_Opex_Esc)^(ER$7-YEAR(In_COD))</f>
        <v>2.09756757908179</v>
      </c>
      <c r="ES110" s="52" t="n">
        <f aca="false">(1+In_Opex_Esc)^(ES$7-YEAR(In_COD))</f>
        <v>2.09756757908179</v>
      </c>
      <c r="ET110" s="52" t="n">
        <f aca="false">(1+In_Opex_Esc)^(ET$7-YEAR(In_COD))</f>
        <v>2.09756757908179</v>
      </c>
    </row>
    <row r="111" customFormat="false" ht="15" hidden="false" customHeight="false" outlineLevel="0" collapsed="false">
      <c r="C111" s="0" t="s">
        <v>564</v>
      </c>
      <c r="D111" s="11" t="s">
        <v>32</v>
      </c>
      <c r="J111" s="28" t="n">
        <f aca="false">In_PPA_Price*(1+In_PPA_Esc)^(J$7-YEAR(In_COD))</f>
        <v>85.6319118846074</v>
      </c>
      <c r="K111" s="28" t="n">
        <f aca="false">In_PPA_Price*(1+In_PPA_Esc)^(K$7-YEAR(In_COD))</f>
        <v>85.6319118846074</v>
      </c>
      <c r="L111" s="28" t="n">
        <f aca="false">In_PPA_Price*(1+In_PPA_Esc)^(L$7-YEAR(In_COD))</f>
        <v>86.4882310034535</v>
      </c>
      <c r="M111" s="28" t="n">
        <f aca="false">In_PPA_Price*(1+In_PPA_Esc)^(M$7-YEAR(In_COD))</f>
        <v>86.4882310034535</v>
      </c>
      <c r="N111" s="28" t="n">
        <f aca="false">In_PPA_Price*(1+In_PPA_Esc)^(N$7-YEAR(In_COD))</f>
        <v>86.4882310034535</v>
      </c>
      <c r="O111" s="28" t="n">
        <f aca="false">In_PPA_Price*(1+In_PPA_Esc)^(O$7-YEAR(In_COD))</f>
        <v>86.4882310034535</v>
      </c>
      <c r="P111" s="28" t="n">
        <f aca="false">In_PPA_Price*(1+In_PPA_Esc)^(P$7-YEAR(In_COD))</f>
        <v>87.353113313488</v>
      </c>
      <c r="Q111" s="28" t="n">
        <f aca="false">In_PPA_Price*(1+In_PPA_Esc)^(Q$7-YEAR(In_COD))</f>
        <v>87.353113313488</v>
      </c>
      <c r="R111" s="28" t="n">
        <f aca="false">In_PPA_Price*(1+In_PPA_Esc)^(R$7-YEAR(In_COD))</f>
        <v>87.353113313488</v>
      </c>
      <c r="S111" s="28" t="n">
        <f aca="false">In_PPA_Price*(1+In_PPA_Esc)^(S$7-YEAR(In_COD))</f>
        <v>87.353113313488</v>
      </c>
      <c r="T111" s="28" t="n">
        <f aca="false">In_PPA_Price*(1+In_PPA_Esc)^(T$7-YEAR(In_COD))</f>
        <v>88.2266444466229</v>
      </c>
      <c r="U111" s="28" t="n">
        <f aca="false">In_PPA_Price*(1+In_PPA_Esc)^(U$7-YEAR(In_COD))</f>
        <v>88.2266444466229</v>
      </c>
      <c r="V111" s="28" t="n">
        <f aca="false">In_PPA_Price*(1+In_PPA_Esc)^(V$7-YEAR(In_COD))</f>
        <v>88.2266444466229</v>
      </c>
      <c r="W111" s="28" t="n">
        <f aca="false">In_PPA_Price*(1+In_PPA_Esc)^(W$7-YEAR(In_COD))</f>
        <v>88.2266444466229</v>
      </c>
      <c r="X111" s="28" t="n">
        <f aca="false">In_PPA_Price*(1+In_PPA_Esc)^(X$7-YEAR(In_COD))</f>
        <v>89.1089108910891</v>
      </c>
      <c r="Y111" s="28" t="n">
        <f aca="false">In_PPA_Price*(1+In_PPA_Esc)^(Y$7-YEAR(In_COD))</f>
        <v>89.1089108910891</v>
      </c>
      <c r="Z111" s="28" t="n">
        <f aca="false">In_PPA_Price*(1+In_PPA_Esc)^(Z$7-YEAR(In_COD))</f>
        <v>89.1089108910891</v>
      </c>
      <c r="AA111" s="28" t="n">
        <f aca="false">In_PPA_Price*(1+In_PPA_Esc)^(AA$7-YEAR(In_COD))</f>
        <v>89.1089108910891</v>
      </c>
      <c r="AB111" s="28" t="n">
        <f aca="false">In_PPA_Price*(1+In_PPA_Esc)^(AB$7-YEAR(In_COD))</f>
        <v>90</v>
      </c>
      <c r="AC111" s="28" t="n">
        <f aca="false">In_PPA_Price*(1+In_PPA_Esc)^(AC$7-YEAR(In_COD))</f>
        <v>90</v>
      </c>
      <c r="AD111" s="28" t="n">
        <f aca="false">In_PPA_Price*(1+In_PPA_Esc)^(AD$7-YEAR(In_COD))</f>
        <v>90</v>
      </c>
      <c r="AE111" s="28" t="n">
        <f aca="false">In_PPA_Price*(1+In_PPA_Esc)^(AE$7-YEAR(In_COD))</f>
        <v>90</v>
      </c>
      <c r="AF111" s="28" t="n">
        <f aca="false">In_PPA_Price*(1+In_PPA_Esc)^(AF$7-YEAR(In_COD))</f>
        <v>90.9</v>
      </c>
      <c r="AG111" s="28" t="n">
        <f aca="false">In_PPA_Price*(1+In_PPA_Esc)^(AG$7-YEAR(In_COD))</f>
        <v>90.9</v>
      </c>
      <c r="AH111" s="28" t="n">
        <f aca="false">In_PPA_Price*(1+In_PPA_Esc)^(AH$7-YEAR(In_COD))</f>
        <v>90.9</v>
      </c>
      <c r="AI111" s="28" t="n">
        <f aca="false">In_PPA_Price*(1+In_PPA_Esc)^(AI$7-YEAR(In_COD))</f>
        <v>90.9</v>
      </c>
      <c r="AJ111" s="28" t="n">
        <f aca="false">In_PPA_Price*(1+In_PPA_Esc)^(AJ$7-YEAR(In_COD))</f>
        <v>91.809</v>
      </c>
      <c r="AK111" s="28" t="n">
        <f aca="false">In_PPA_Price*(1+In_PPA_Esc)^(AK$7-YEAR(In_COD))</f>
        <v>91.809</v>
      </c>
      <c r="AL111" s="28" t="n">
        <f aca="false">In_PPA_Price*(1+In_PPA_Esc)^(AL$7-YEAR(In_COD))</f>
        <v>91.809</v>
      </c>
      <c r="AM111" s="28" t="n">
        <f aca="false">In_PPA_Price*(1+In_PPA_Esc)^(AM$7-YEAR(In_COD))</f>
        <v>91.809</v>
      </c>
      <c r="AN111" s="28" t="n">
        <f aca="false">In_PPA_Price*(1+In_PPA_Esc)^(AN$7-YEAR(In_COD))</f>
        <v>92.72709</v>
      </c>
      <c r="AO111" s="28" t="n">
        <f aca="false">In_PPA_Price*(1+In_PPA_Esc)^(AO$7-YEAR(In_COD))</f>
        <v>92.72709</v>
      </c>
      <c r="AP111" s="28" t="n">
        <f aca="false">In_PPA_Price*(1+In_PPA_Esc)^(AP$7-YEAR(In_COD))</f>
        <v>92.72709</v>
      </c>
      <c r="AQ111" s="28" t="n">
        <f aca="false">In_PPA_Price*(1+In_PPA_Esc)^(AQ$7-YEAR(In_COD))</f>
        <v>92.72709</v>
      </c>
      <c r="AR111" s="28" t="n">
        <f aca="false">In_PPA_Price*(1+In_PPA_Esc)^(AR$7-YEAR(In_COD))</f>
        <v>93.6543609</v>
      </c>
      <c r="AS111" s="28" t="n">
        <f aca="false">In_PPA_Price*(1+In_PPA_Esc)^(AS$7-YEAR(In_COD))</f>
        <v>93.6543609</v>
      </c>
      <c r="AT111" s="28" t="n">
        <f aca="false">In_PPA_Price*(1+In_PPA_Esc)^(AT$7-YEAR(In_COD))</f>
        <v>93.6543609</v>
      </c>
      <c r="AU111" s="28" t="n">
        <f aca="false">In_PPA_Price*(1+In_PPA_Esc)^(AU$7-YEAR(In_COD))</f>
        <v>93.6543609</v>
      </c>
      <c r="AV111" s="28" t="n">
        <f aca="false">In_PPA_Price*(1+In_PPA_Esc)^(AV$7-YEAR(In_COD))</f>
        <v>94.590904509</v>
      </c>
      <c r="AW111" s="28" t="n">
        <f aca="false">In_PPA_Price*(1+In_PPA_Esc)^(AW$7-YEAR(In_COD))</f>
        <v>94.590904509</v>
      </c>
      <c r="AX111" s="28" t="n">
        <f aca="false">In_PPA_Price*(1+In_PPA_Esc)^(AX$7-YEAR(In_COD))</f>
        <v>94.590904509</v>
      </c>
      <c r="AY111" s="28" t="n">
        <f aca="false">In_PPA_Price*(1+In_PPA_Esc)^(AY$7-YEAR(In_COD))</f>
        <v>94.590904509</v>
      </c>
      <c r="AZ111" s="28" t="n">
        <f aca="false">In_PPA_Price*(1+In_PPA_Esc)^(AZ$7-YEAR(In_COD))</f>
        <v>95.53681355409</v>
      </c>
      <c r="BA111" s="28" t="n">
        <f aca="false">In_PPA_Price*(1+In_PPA_Esc)^(BA$7-YEAR(In_COD))</f>
        <v>95.53681355409</v>
      </c>
      <c r="BB111" s="28" t="n">
        <f aca="false">In_PPA_Price*(1+In_PPA_Esc)^(BB$7-YEAR(In_COD))</f>
        <v>95.53681355409</v>
      </c>
      <c r="BC111" s="28" t="n">
        <f aca="false">In_PPA_Price*(1+In_PPA_Esc)^(BC$7-YEAR(In_COD))</f>
        <v>95.53681355409</v>
      </c>
      <c r="BD111" s="28" t="n">
        <f aca="false">In_PPA_Price*(1+In_PPA_Esc)^(BD$7-YEAR(In_COD))</f>
        <v>96.4921816896309</v>
      </c>
      <c r="BE111" s="28" t="n">
        <f aca="false">In_PPA_Price*(1+In_PPA_Esc)^(BE$7-YEAR(In_COD))</f>
        <v>96.4921816896309</v>
      </c>
      <c r="BF111" s="28" t="n">
        <f aca="false">In_PPA_Price*(1+In_PPA_Esc)^(BF$7-YEAR(In_COD))</f>
        <v>96.4921816896309</v>
      </c>
      <c r="BG111" s="28" t="n">
        <f aca="false">In_PPA_Price*(1+In_PPA_Esc)^(BG$7-YEAR(In_COD))</f>
        <v>96.4921816896309</v>
      </c>
      <c r="BH111" s="28" t="n">
        <f aca="false">In_PPA_Price*(1+In_PPA_Esc)^(BH$7-YEAR(In_COD))</f>
        <v>97.4571035065272</v>
      </c>
      <c r="BI111" s="28" t="n">
        <f aca="false">In_PPA_Price*(1+In_PPA_Esc)^(BI$7-YEAR(In_COD))</f>
        <v>97.4571035065272</v>
      </c>
      <c r="BJ111" s="28" t="n">
        <f aca="false">In_PPA_Price*(1+In_PPA_Esc)^(BJ$7-YEAR(In_COD))</f>
        <v>97.4571035065272</v>
      </c>
      <c r="BK111" s="28" t="n">
        <f aca="false">In_PPA_Price*(1+In_PPA_Esc)^(BK$7-YEAR(In_COD))</f>
        <v>97.4571035065272</v>
      </c>
      <c r="BL111" s="28" t="n">
        <f aca="false">In_PPA_Price*(1+In_PPA_Esc)^(BL$7-YEAR(In_COD))</f>
        <v>98.4316745415925</v>
      </c>
      <c r="BM111" s="28" t="n">
        <f aca="false">In_PPA_Price*(1+In_PPA_Esc)^(BM$7-YEAR(In_COD))</f>
        <v>98.4316745415925</v>
      </c>
      <c r="BN111" s="28" t="n">
        <f aca="false">In_PPA_Price*(1+In_PPA_Esc)^(BN$7-YEAR(In_COD))</f>
        <v>98.4316745415925</v>
      </c>
      <c r="BO111" s="28" t="n">
        <f aca="false">In_PPA_Price*(1+In_PPA_Esc)^(BO$7-YEAR(In_COD))</f>
        <v>98.4316745415925</v>
      </c>
      <c r="BP111" s="28" t="n">
        <f aca="false">In_PPA_Price*(1+In_PPA_Esc)^(BP$7-YEAR(In_COD))</f>
        <v>99.4159912870084</v>
      </c>
      <c r="BQ111" s="28" t="n">
        <f aca="false">In_PPA_Price*(1+In_PPA_Esc)^(BQ$7-YEAR(In_COD))</f>
        <v>99.4159912870084</v>
      </c>
      <c r="BR111" s="28" t="n">
        <f aca="false">In_PPA_Price*(1+In_PPA_Esc)^(BR$7-YEAR(In_COD))</f>
        <v>99.4159912870084</v>
      </c>
      <c r="BS111" s="28" t="n">
        <f aca="false">In_PPA_Price*(1+In_PPA_Esc)^(BS$7-YEAR(In_COD))</f>
        <v>99.4159912870084</v>
      </c>
      <c r="BT111" s="28" t="n">
        <f aca="false">In_PPA_Price*(1+In_PPA_Esc)^(BT$7-YEAR(In_COD))</f>
        <v>100.410151199878</v>
      </c>
      <c r="BU111" s="28" t="n">
        <f aca="false">In_PPA_Price*(1+In_PPA_Esc)^(BU$7-YEAR(In_COD))</f>
        <v>100.410151199878</v>
      </c>
      <c r="BV111" s="28" t="n">
        <f aca="false">In_PPA_Price*(1+In_PPA_Esc)^(BV$7-YEAR(In_COD))</f>
        <v>100.410151199878</v>
      </c>
      <c r="BW111" s="28" t="n">
        <f aca="false">In_PPA_Price*(1+In_PPA_Esc)^(BW$7-YEAR(In_COD))</f>
        <v>100.410151199878</v>
      </c>
      <c r="BX111" s="28" t="n">
        <f aca="false">In_PPA_Price*(1+In_PPA_Esc)^(BX$7-YEAR(In_COD))</f>
        <v>101.414252711877</v>
      </c>
      <c r="BY111" s="28" t="n">
        <f aca="false">In_PPA_Price*(1+In_PPA_Esc)^(BY$7-YEAR(In_COD))</f>
        <v>101.414252711877</v>
      </c>
      <c r="BZ111" s="28" t="n">
        <f aca="false">In_PPA_Price*(1+In_PPA_Esc)^(BZ$7-YEAR(In_COD))</f>
        <v>101.414252711877</v>
      </c>
      <c r="CA111" s="28" t="n">
        <f aca="false">In_PPA_Price*(1+In_PPA_Esc)^(CA$7-YEAR(In_COD))</f>
        <v>101.414252711877</v>
      </c>
      <c r="CB111" s="28" t="n">
        <f aca="false">In_PPA_Price*(1+In_PPA_Esc)^(CB$7-YEAR(In_COD))</f>
        <v>102.428395238996</v>
      </c>
      <c r="CC111" s="28" t="n">
        <f aca="false">In_PPA_Price*(1+In_PPA_Esc)^(CC$7-YEAR(In_COD))</f>
        <v>102.428395238996</v>
      </c>
      <c r="CD111" s="28" t="n">
        <f aca="false">In_PPA_Price*(1+In_PPA_Esc)^(CD$7-YEAR(In_COD))</f>
        <v>102.428395238996</v>
      </c>
      <c r="CE111" s="28" t="n">
        <f aca="false">In_PPA_Price*(1+In_PPA_Esc)^(CE$7-YEAR(In_COD))</f>
        <v>102.428395238996</v>
      </c>
      <c r="CF111" s="28" t="n">
        <f aca="false">In_PPA_Price*(1+In_PPA_Esc)^(CF$7-YEAR(In_COD))</f>
        <v>103.452679191386</v>
      </c>
      <c r="CG111" s="28" t="n">
        <f aca="false">In_PPA_Price*(1+In_PPA_Esc)^(CG$7-YEAR(In_COD))</f>
        <v>103.452679191386</v>
      </c>
      <c r="CH111" s="28" t="n">
        <f aca="false">In_PPA_Price*(1+In_PPA_Esc)^(CH$7-YEAR(In_COD))</f>
        <v>103.452679191386</v>
      </c>
      <c r="CI111" s="28" t="n">
        <f aca="false">In_PPA_Price*(1+In_PPA_Esc)^(CI$7-YEAR(In_COD))</f>
        <v>103.452679191386</v>
      </c>
      <c r="CJ111" s="28" t="n">
        <f aca="false">In_PPA_Price*(1+In_PPA_Esc)^(CJ$7-YEAR(In_COD))</f>
        <v>104.4872059833</v>
      </c>
      <c r="CK111" s="28" t="n">
        <f aca="false">In_PPA_Price*(1+In_PPA_Esc)^(CK$7-YEAR(In_COD))</f>
        <v>104.4872059833</v>
      </c>
      <c r="CL111" s="28" t="n">
        <f aca="false">In_PPA_Price*(1+In_PPA_Esc)^(CL$7-YEAR(In_COD))</f>
        <v>104.4872059833</v>
      </c>
      <c r="CM111" s="28" t="n">
        <f aca="false">In_PPA_Price*(1+In_PPA_Esc)^(CM$7-YEAR(In_COD))</f>
        <v>104.4872059833</v>
      </c>
      <c r="CN111" s="28" t="n">
        <f aca="false">In_PPA_Price*(1+In_PPA_Esc)^(CN$7-YEAR(In_COD))</f>
        <v>105.532078043133</v>
      </c>
      <c r="CO111" s="28" t="n">
        <f aca="false">In_PPA_Price*(1+In_PPA_Esc)^(CO$7-YEAR(In_COD))</f>
        <v>105.532078043133</v>
      </c>
      <c r="CP111" s="28" t="n">
        <f aca="false">In_PPA_Price*(1+In_PPA_Esc)^(CP$7-YEAR(In_COD))</f>
        <v>105.532078043133</v>
      </c>
      <c r="CQ111" s="28" t="n">
        <f aca="false">In_PPA_Price*(1+In_PPA_Esc)^(CQ$7-YEAR(In_COD))</f>
        <v>105.532078043133</v>
      </c>
      <c r="CR111" s="28" t="n">
        <f aca="false">In_PPA_Price*(1+In_PPA_Esc)^(CR$7-YEAR(In_COD))</f>
        <v>106.587398823564</v>
      </c>
      <c r="CS111" s="28" t="n">
        <f aca="false">In_PPA_Price*(1+In_PPA_Esc)^(CS$7-YEAR(In_COD))</f>
        <v>106.587398823564</v>
      </c>
      <c r="CT111" s="28" t="n">
        <f aca="false">In_PPA_Price*(1+In_PPA_Esc)^(CT$7-YEAR(In_COD))</f>
        <v>106.587398823564</v>
      </c>
      <c r="CU111" s="28" t="n">
        <f aca="false">In_PPA_Price*(1+In_PPA_Esc)^(CU$7-YEAR(In_COD))</f>
        <v>106.587398823564</v>
      </c>
      <c r="CV111" s="28" t="n">
        <f aca="false">In_PPA_Price*(1+In_PPA_Esc)^(CV$7-YEAR(In_COD))</f>
        <v>107.6532728118</v>
      </c>
      <c r="CW111" s="28" t="n">
        <f aca="false">In_PPA_Price*(1+In_PPA_Esc)^(CW$7-YEAR(In_COD))</f>
        <v>107.6532728118</v>
      </c>
      <c r="CX111" s="28" t="n">
        <f aca="false">In_PPA_Price*(1+In_PPA_Esc)^(CX$7-YEAR(In_COD))</f>
        <v>107.6532728118</v>
      </c>
      <c r="CY111" s="28" t="n">
        <f aca="false">In_PPA_Price*(1+In_PPA_Esc)^(CY$7-YEAR(In_COD))</f>
        <v>107.6532728118</v>
      </c>
      <c r="CZ111" s="28" t="n">
        <f aca="false">In_PPA_Price*(1+In_PPA_Esc)^(CZ$7-YEAR(In_COD))</f>
        <v>108.729805539918</v>
      </c>
      <c r="DA111" s="28" t="n">
        <f aca="false">In_PPA_Price*(1+In_PPA_Esc)^(DA$7-YEAR(In_COD))</f>
        <v>108.729805539918</v>
      </c>
      <c r="DB111" s="28" t="n">
        <f aca="false">In_PPA_Price*(1+In_PPA_Esc)^(DB$7-YEAR(In_COD))</f>
        <v>108.729805539918</v>
      </c>
      <c r="DC111" s="28" t="n">
        <f aca="false">In_PPA_Price*(1+In_PPA_Esc)^(DC$7-YEAR(In_COD))</f>
        <v>108.729805539918</v>
      </c>
      <c r="DD111" s="28" t="n">
        <f aca="false">In_PPA_Price*(1+In_PPA_Esc)^(DD$7-YEAR(In_COD))</f>
        <v>109.817103595317</v>
      </c>
      <c r="DE111" s="28" t="n">
        <f aca="false">In_PPA_Price*(1+In_PPA_Esc)^(DE$7-YEAR(In_COD))</f>
        <v>109.817103595317</v>
      </c>
      <c r="DF111" s="28" t="n">
        <f aca="false">In_PPA_Price*(1+In_PPA_Esc)^(DF$7-YEAR(In_COD))</f>
        <v>109.817103595317</v>
      </c>
      <c r="DG111" s="28" t="n">
        <f aca="false">In_PPA_Price*(1+In_PPA_Esc)^(DG$7-YEAR(In_COD))</f>
        <v>109.817103595317</v>
      </c>
      <c r="DH111" s="28" t="n">
        <f aca="false">In_PPA_Price*(1+In_PPA_Esc)^(DH$7-YEAR(In_COD))</f>
        <v>110.91527463127</v>
      </c>
      <c r="DI111" s="28" t="n">
        <f aca="false">In_PPA_Price*(1+In_PPA_Esc)^(DI$7-YEAR(In_COD))</f>
        <v>110.91527463127</v>
      </c>
      <c r="DJ111" s="28" t="n">
        <f aca="false">In_PPA_Price*(1+In_PPA_Esc)^(DJ$7-YEAR(In_COD))</f>
        <v>110.91527463127</v>
      </c>
      <c r="DK111" s="28" t="n">
        <f aca="false">In_PPA_Price*(1+In_PPA_Esc)^(DK$7-YEAR(In_COD))</f>
        <v>110.91527463127</v>
      </c>
      <c r="DL111" s="28" t="n">
        <f aca="false">In_PPA_Price*(1+In_PPA_Esc)^(DL$7-YEAR(In_COD))</f>
        <v>112.024427377583</v>
      </c>
      <c r="DM111" s="28" t="n">
        <f aca="false">In_PPA_Price*(1+In_PPA_Esc)^(DM$7-YEAR(In_COD))</f>
        <v>112.024427377583</v>
      </c>
      <c r="DN111" s="28" t="n">
        <f aca="false">In_PPA_Price*(1+In_PPA_Esc)^(DN$7-YEAR(In_COD))</f>
        <v>112.024427377583</v>
      </c>
      <c r="DO111" s="28" t="n">
        <f aca="false">In_PPA_Price*(1+In_PPA_Esc)^(DO$7-YEAR(In_COD))</f>
        <v>112.024427377583</v>
      </c>
      <c r="DP111" s="28" t="n">
        <f aca="false">In_PPA_Price*(1+In_PPA_Esc)^(DP$7-YEAR(In_COD))</f>
        <v>113.144671651359</v>
      </c>
      <c r="DQ111" s="28" t="n">
        <f aca="false">In_PPA_Price*(1+In_PPA_Esc)^(DQ$7-YEAR(In_COD))</f>
        <v>113.144671651359</v>
      </c>
      <c r="DR111" s="28" t="n">
        <f aca="false">In_PPA_Price*(1+In_PPA_Esc)^(DR$7-YEAR(In_COD))</f>
        <v>113.144671651359</v>
      </c>
      <c r="DS111" s="28" t="n">
        <f aca="false">In_PPA_Price*(1+In_PPA_Esc)^(DS$7-YEAR(In_COD))</f>
        <v>113.144671651359</v>
      </c>
      <c r="DT111" s="28" t="n">
        <f aca="false">In_PPA_Price*(1+In_PPA_Esc)^(DT$7-YEAR(In_COD))</f>
        <v>114.276118367872</v>
      </c>
      <c r="DU111" s="28" t="n">
        <f aca="false">In_PPA_Price*(1+In_PPA_Esc)^(DU$7-YEAR(In_COD))</f>
        <v>114.276118367872</v>
      </c>
      <c r="DV111" s="28" t="n">
        <f aca="false">In_PPA_Price*(1+In_PPA_Esc)^(DV$7-YEAR(In_COD))</f>
        <v>114.276118367872</v>
      </c>
      <c r="DW111" s="28" t="n">
        <f aca="false">In_PPA_Price*(1+In_PPA_Esc)^(DW$7-YEAR(In_COD))</f>
        <v>114.276118367872</v>
      </c>
      <c r="DX111" s="28" t="n">
        <f aca="false">In_PPA_Price*(1+In_PPA_Esc)^(DX$7-YEAR(In_COD))</f>
        <v>115.418879551551</v>
      </c>
      <c r="DY111" s="28" t="n">
        <f aca="false">In_PPA_Price*(1+In_PPA_Esc)^(DY$7-YEAR(In_COD))</f>
        <v>115.418879551551</v>
      </c>
      <c r="DZ111" s="28" t="n">
        <f aca="false">In_PPA_Price*(1+In_PPA_Esc)^(DZ$7-YEAR(In_COD))</f>
        <v>115.418879551551</v>
      </c>
      <c r="EA111" s="28" t="n">
        <f aca="false">In_PPA_Price*(1+In_PPA_Esc)^(EA$7-YEAR(In_COD))</f>
        <v>115.418879551551</v>
      </c>
      <c r="EB111" s="28" t="n">
        <f aca="false">In_PPA_Price*(1+In_PPA_Esc)^(EB$7-YEAR(In_COD))</f>
        <v>116.573068347067</v>
      </c>
      <c r="EC111" s="28" t="n">
        <f aca="false">In_PPA_Price*(1+In_PPA_Esc)^(EC$7-YEAR(In_COD))</f>
        <v>116.573068347067</v>
      </c>
      <c r="ED111" s="28" t="n">
        <f aca="false">In_PPA_Price*(1+In_PPA_Esc)^(ED$7-YEAR(In_COD))</f>
        <v>116.573068347067</v>
      </c>
      <c r="EE111" s="28" t="n">
        <f aca="false">In_PPA_Price*(1+In_PPA_Esc)^(EE$7-YEAR(In_COD))</f>
        <v>116.573068347067</v>
      </c>
      <c r="EF111" s="28" t="n">
        <f aca="false">In_PPA_Price*(1+In_PPA_Esc)^(EF$7-YEAR(In_COD))</f>
        <v>117.738799030537</v>
      </c>
      <c r="EG111" s="28" t="n">
        <f aca="false">In_PPA_Price*(1+In_PPA_Esc)^(EG$7-YEAR(In_COD))</f>
        <v>117.738799030537</v>
      </c>
      <c r="EH111" s="28" t="n">
        <f aca="false">In_PPA_Price*(1+In_PPA_Esc)^(EH$7-YEAR(In_COD))</f>
        <v>117.738799030537</v>
      </c>
      <c r="EI111" s="28" t="n">
        <f aca="false">In_PPA_Price*(1+In_PPA_Esc)^(EI$7-YEAR(In_COD))</f>
        <v>117.738799030537</v>
      </c>
      <c r="EJ111" s="28" t="n">
        <f aca="false">In_PPA_Price*(1+In_PPA_Esc)^(EJ$7-YEAR(In_COD))</f>
        <v>118.916187020843</v>
      </c>
      <c r="EK111" s="28" t="n">
        <f aca="false">In_PPA_Price*(1+In_PPA_Esc)^(EK$7-YEAR(In_COD))</f>
        <v>118.916187020843</v>
      </c>
      <c r="EL111" s="28" t="n">
        <f aca="false">In_PPA_Price*(1+In_PPA_Esc)^(EL$7-YEAR(In_COD))</f>
        <v>118.916187020843</v>
      </c>
      <c r="EM111" s="28" t="n">
        <f aca="false">In_PPA_Price*(1+In_PPA_Esc)^(EM$7-YEAR(In_COD))</f>
        <v>118.916187020843</v>
      </c>
      <c r="EN111" s="28" t="n">
        <f aca="false">In_PPA_Price*(1+In_PPA_Esc)^(EN$7-YEAR(In_COD))</f>
        <v>120.105348891051</v>
      </c>
      <c r="EO111" s="28" t="n">
        <f aca="false">In_PPA_Price*(1+In_PPA_Esc)^(EO$7-YEAR(In_COD))</f>
        <v>120.105348891051</v>
      </c>
      <c r="EP111" s="28" t="n">
        <f aca="false">In_PPA_Price*(1+In_PPA_Esc)^(EP$7-YEAR(In_COD))</f>
        <v>120.105348891051</v>
      </c>
      <c r="EQ111" s="28" t="n">
        <f aca="false">In_PPA_Price*(1+In_PPA_Esc)^(EQ$7-YEAR(In_COD))</f>
        <v>120.105348891051</v>
      </c>
      <c r="ER111" s="28" t="n">
        <f aca="false">In_PPA_Price*(1+In_PPA_Esc)^(ER$7-YEAR(In_COD))</f>
        <v>121.306402379962</v>
      </c>
      <c r="ES111" s="28" t="n">
        <f aca="false">In_PPA_Price*(1+In_PPA_Esc)^(ES$7-YEAR(In_COD))</f>
        <v>121.306402379962</v>
      </c>
      <c r="ET111" s="28" t="n">
        <f aca="false">In_PPA_Price*(1+In_PPA_Esc)^(ET$7-YEAR(In_COD))</f>
        <v>121.306402379962</v>
      </c>
    </row>
    <row r="112" customFormat="false" ht="15" hidden="false" customHeight="false" outlineLevel="0" collapsed="false">
      <c r="C112" s="0" t="s">
        <v>565</v>
      </c>
      <c r="D112" s="11" t="s">
        <v>499</v>
      </c>
      <c r="I112" s="33" t="n">
        <f aca="false">SUM(J112:ET112)</f>
        <v>6931492.24461103</v>
      </c>
      <c r="J112" s="33" t="n">
        <f aca="false">$F24*In_P50_Hours*(1-In_Curtailment)*(1-$E27)*(1-In_Degradation)^(J109-1)*J15*J$6</f>
        <v>0</v>
      </c>
      <c r="K112" s="33" t="n">
        <f aca="false">$F24*In_P50_Hours*(1-In_Curtailment)*(1-$E27)*(1-In_Degradation)^(K109-1)*K15*K$6</f>
        <v>0</v>
      </c>
      <c r="L112" s="33" t="n">
        <f aca="false">$F24*In_P50_Hours*(1-In_Curtailment)*(1-$E27)*(1-In_Degradation)^(L109-1)*L15*L$6</f>
        <v>0</v>
      </c>
      <c r="M112" s="33" t="n">
        <f aca="false">$F24*In_P50_Hours*(1-In_Curtailment)*(1-$E27)*(1-In_Degradation)^(M109-1)*M15*M$6</f>
        <v>0</v>
      </c>
      <c r="N112" s="33" t="n">
        <f aca="false">$F24*In_P50_Hours*(1-In_Curtailment)*(1-$E27)*(1-In_Degradation)^(N109-1)*N15*N$6</f>
        <v>0</v>
      </c>
      <c r="O112" s="33" t="n">
        <f aca="false">$F24*In_P50_Hours*(1-In_Curtailment)*(1-$E27)*(1-In_Degradation)^(O109-1)*O15*O$6</f>
        <v>0</v>
      </c>
      <c r="P112" s="33" t="n">
        <f aca="false">$F24*In_P50_Hours*(1-In_Curtailment)*(1-$E27)*(1-In_Degradation)^(P109-1)*P15*P$6</f>
        <v>0</v>
      </c>
      <c r="Q112" s="33" t="n">
        <f aca="false">$F24*In_P50_Hours*(1-In_Curtailment)*(1-$E27)*(1-In_Degradation)^(Q109-1)*Q15*Q$6</f>
        <v>0</v>
      </c>
      <c r="R112" s="33" t="n">
        <f aca="false">$F24*In_P50_Hours*(1-In_Curtailment)*(1-$E27)*(1-In_Degradation)^(R109-1)*R15*R$6</f>
        <v>0</v>
      </c>
      <c r="S112" s="33" t="n">
        <f aca="false">$F24*In_P50_Hours*(1-In_Curtailment)*(1-$E27)*(1-In_Degradation)^(S109-1)*S15*S$6</f>
        <v>0</v>
      </c>
      <c r="T112" s="33" t="n">
        <f aca="false">$F24*In_P50_Hours*(1-In_Curtailment)*(1-$E27)*(1-In_Degradation)^(T109-1)*T15*T$6</f>
        <v>0</v>
      </c>
      <c r="U112" s="33" t="n">
        <f aca="false">$F24*In_P50_Hours*(1-In_Curtailment)*(1-$E27)*(1-In_Degradation)^(U109-1)*U15*U$6</f>
        <v>0</v>
      </c>
      <c r="V112" s="33" t="n">
        <f aca="false">$F24*In_P50_Hours*(1-In_Curtailment)*(1-$E27)*(1-In_Degradation)^(V109-1)*V15*V$6</f>
        <v>0</v>
      </c>
      <c r="W112" s="33" t="n">
        <f aca="false">$F24*In_P50_Hours*(1-In_Curtailment)*(1-$E27)*(1-In_Degradation)^(W109-1)*W15*W$6</f>
        <v>0</v>
      </c>
      <c r="X112" s="33" t="n">
        <f aca="false">$F24*In_P50_Hours*(1-In_Curtailment)*(1-$E27)*(1-In_Degradation)^(X109-1)*X15*X$6</f>
        <v>0</v>
      </c>
      <c r="Y112" s="33" t="n">
        <f aca="false">$F24*In_P50_Hours*(1-In_Curtailment)*(1-$E27)*(1-In_Degradation)^(Y109-1)*Y15*Y$6</f>
        <v>0</v>
      </c>
      <c r="Z112" s="33" t="n">
        <f aca="false">$F24*In_P50_Hours*(1-In_Curtailment)*(1-$E27)*(1-In_Degradation)^(Z109-1)*Z15*Z$6</f>
        <v>0</v>
      </c>
      <c r="AA112" s="33" t="n">
        <f aca="false">$F24*In_P50_Hours*(1-In_Curtailment)*(1-$E27)*(1-In_Degradation)^(AA109-1)*AA15*AA$6</f>
        <v>0</v>
      </c>
      <c r="AB112" s="33" t="n">
        <f aca="false">$F24*In_P50_Hours*(1-In_Curtailment)*(1-$E27)*(1-In_Degradation)^(AB109-1)*AB15*AB$6</f>
        <v>0</v>
      </c>
      <c r="AC112" s="33" t="n">
        <f aca="false">$F24*In_P50_Hours*(1-In_Curtailment)*(1-$E27)*(1-In_Degradation)^(AC109-1)*AC15*AC$6</f>
        <v>0</v>
      </c>
      <c r="AD112" s="33" t="n">
        <f aca="false">$F24*In_P50_Hours*(1-In_Curtailment)*(1-$E27)*(1-In_Degradation)^(AD109-1)*AD15*AD$6</f>
        <v>0</v>
      </c>
      <c r="AE112" s="33" t="n">
        <f aca="false">$F24*In_P50_Hours*(1-In_Curtailment)*(1-$E27)*(1-In_Degradation)^(AE109-1)*AE15*AE$6</f>
        <v>60765.3698630137</v>
      </c>
      <c r="AF112" s="33" t="n">
        <f aca="false">$F24*In_P50_Hours*(1-In_Curtailment)*(1-$E27)*(1-In_Degradation)^(AF109-1)*AF15*AF$6</f>
        <v>60104.8767123288</v>
      </c>
      <c r="AG112" s="33" t="n">
        <f aca="false">$F24*In_P50_Hours*(1-In_Curtailment)*(1-$E27)*(1-In_Degradation)^(AG109-1)*AG15*AG$6</f>
        <v>60104.8767123288</v>
      </c>
      <c r="AH112" s="33" t="n">
        <f aca="false">$F24*In_P50_Hours*(1-In_Curtailment)*(1-$E27)*(1-In_Degradation)^(AH109-1)*AH15*AH$6</f>
        <v>60765.3698630137</v>
      </c>
      <c r="AI112" s="33" t="n">
        <f aca="false">$F24*In_P50_Hours*(1-In_Curtailment)*(1-$E27)*(1-In_Degradation)^(AI109-1)*AI15*AI$6</f>
        <v>60583.0737534247</v>
      </c>
      <c r="AJ112" s="33" t="n">
        <f aca="false">$F24*In_P50_Hours*(1-In_Curtailment)*(1-$E27)*(1-In_Degradation)^(AJ109-1)*AJ15*AJ$6</f>
        <v>59266.0504109589</v>
      </c>
      <c r="AK112" s="33" t="n">
        <f aca="false">$F24*In_P50_Hours*(1-In_Curtailment)*(1-$E27)*(1-In_Degradation)^(AK109-1)*AK15*AK$6</f>
        <v>59924.5620821918</v>
      </c>
      <c r="AL112" s="33" t="n">
        <f aca="false">$F24*In_P50_Hours*(1-In_Curtailment)*(1-$E27)*(1-In_Degradation)^(AL109-1)*AL15*AL$6</f>
        <v>60583.0737534247</v>
      </c>
      <c r="AM112" s="33" t="n">
        <f aca="false">$F24*In_P50_Hours*(1-In_Curtailment)*(1-$E27)*(1-In_Degradation)^(AM109-1)*AM15*AM$6</f>
        <v>60401.3245321644</v>
      </c>
      <c r="AN112" s="33" t="n">
        <f aca="false">$F24*In_P50_Hours*(1-In_Curtailment)*(1-$E27)*(1-In_Degradation)^(AN109-1)*AN15*AN$6</f>
        <v>59088.252259726</v>
      </c>
      <c r="AO112" s="33" t="n">
        <f aca="false">$F24*In_P50_Hours*(1-In_Curtailment)*(1-$E27)*(1-In_Degradation)^(AO109-1)*AO15*AO$6</f>
        <v>59744.7883959452</v>
      </c>
      <c r="AP112" s="33" t="n">
        <f aca="false">$F24*In_P50_Hours*(1-In_Curtailment)*(1-$E27)*(1-In_Degradation)^(AP109-1)*AP15*AP$6</f>
        <v>60401.3245321644</v>
      </c>
      <c r="AQ112" s="33" t="n">
        <f aca="false">$F24*In_P50_Hours*(1-In_Curtailment)*(1-$E27)*(1-In_Degradation)^(AQ109-1)*AQ15*AQ$6</f>
        <v>60220.1205585679</v>
      </c>
      <c r="AR112" s="33" t="n">
        <f aca="false">$F24*In_P50_Hours*(1-In_Curtailment)*(1-$E27)*(1-In_Degradation)^(AR109-1)*AR15*AR$6</f>
        <v>58910.9875029468</v>
      </c>
      <c r="AS112" s="33" t="n">
        <f aca="false">$F24*In_P50_Hours*(1-In_Curtailment)*(1-$E27)*(1-In_Degradation)^(AS109-1)*AS15*AS$6</f>
        <v>59565.5540307574</v>
      </c>
      <c r="AT112" s="33" t="n">
        <f aca="false">$F24*In_P50_Hours*(1-In_Curtailment)*(1-$E27)*(1-In_Degradation)^(AT109-1)*AT15*AT$6</f>
        <v>60220.1205585679</v>
      </c>
      <c r="AU112" s="33" t="n">
        <f aca="false">$F24*In_P50_Hours*(1-In_Curtailment)*(1-$E27)*(1-In_Degradation)^(AU109-1)*AU15*AU$6</f>
        <v>60039.4601968922</v>
      </c>
      <c r="AV112" s="33" t="n">
        <f aca="false">$F24*In_P50_Hours*(1-In_Curtailment)*(1-$E27)*(1-In_Degradation)^(AV109-1)*AV15*AV$6</f>
        <v>59386.8573686651</v>
      </c>
      <c r="AW112" s="33" t="n">
        <f aca="false">$F24*In_P50_Hours*(1-In_Curtailment)*(1-$E27)*(1-In_Degradation)^(AW109-1)*AW15*AW$6</f>
        <v>59386.8573686651</v>
      </c>
      <c r="AX112" s="33" t="n">
        <f aca="false">$F24*In_P50_Hours*(1-In_Curtailment)*(1-$E27)*(1-In_Degradation)^(AX109-1)*AX15*AX$6</f>
        <v>60039.4601968922</v>
      </c>
      <c r="AY112" s="33" t="n">
        <f aca="false">$F24*In_P50_Hours*(1-In_Curtailment)*(1-$E27)*(1-In_Degradation)^(AY109-1)*AY15*AY$6</f>
        <v>59859.3418163015</v>
      </c>
      <c r="AZ112" s="33" t="n">
        <f aca="false">$F24*In_P50_Hours*(1-In_Curtailment)*(1-$E27)*(1-In_Degradation)^(AZ109-1)*AZ15*AZ$6</f>
        <v>58558.0517768167</v>
      </c>
      <c r="BA112" s="33" t="n">
        <f aca="false">$F24*In_P50_Hours*(1-In_Curtailment)*(1-$E27)*(1-In_Degradation)^(BA109-1)*BA15*BA$6</f>
        <v>59208.6967965591</v>
      </c>
      <c r="BB112" s="33" t="n">
        <f aca="false">$F24*In_P50_Hours*(1-In_Curtailment)*(1-$E27)*(1-In_Degradation)^(BB109-1)*BB15*BB$6</f>
        <v>59859.3418163015</v>
      </c>
      <c r="BC112" s="33" t="n">
        <f aca="false">$F24*In_P50_Hours*(1-In_Curtailment)*(1-$E27)*(1-In_Degradation)^(BC109-1)*BC15*BC$6</f>
        <v>59679.7637908526</v>
      </c>
      <c r="BD112" s="33" t="n">
        <f aca="false">$F24*In_P50_Hours*(1-In_Curtailment)*(1-$E27)*(1-In_Degradation)^(BD109-1)*BD15*BD$6</f>
        <v>58382.3776214862</v>
      </c>
      <c r="BE112" s="33" t="n">
        <f aca="false">$F24*In_P50_Hours*(1-In_Curtailment)*(1-$E27)*(1-In_Degradation)^(BE109-1)*BE15*BE$6</f>
        <v>59031.0707061694</v>
      </c>
      <c r="BF112" s="33" t="n">
        <f aca="false">$F24*In_P50_Hours*(1-In_Curtailment)*(1-$E27)*(1-In_Degradation)^(BF109-1)*BF15*BF$6</f>
        <v>59679.7637908526</v>
      </c>
      <c r="BG112" s="33" t="n">
        <f aca="false">$F24*In_P50_Hours*(1-In_Curtailment)*(1-$E27)*(1-In_Degradation)^(BG109-1)*BG15*BG$6</f>
        <v>59500.7244994801</v>
      </c>
      <c r="BH112" s="33" t="n">
        <f aca="false">$F24*In_P50_Hours*(1-In_Curtailment)*(1-$E27)*(1-In_Degradation)^(BH109-1)*BH15*BH$6</f>
        <v>58207.2304886218</v>
      </c>
      <c r="BI112" s="33" t="n">
        <f aca="false">$F24*In_P50_Hours*(1-In_Curtailment)*(1-$E27)*(1-In_Degradation)^(BI109-1)*BI15*BI$6</f>
        <v>58853.9774940509</v>
      </c>
      <c r="BJ112" s="33" t="n">
        <f aca="false">$F24*In_P50_Hours*(1-In_Curtailment)*(1-$E27)*(1-In_Degradation)^(BJ109-1)*BJ15*BJ$6</f>
        <v>59500.7244994801</v>
      </c>
      <c r="BK112" s="33" t="n">
        <f aca="false">$F24*In_P50_Hours*(1-In_Curtailment)*(1-$E27)*(1-In_Degradation)^(BK109-1)*BK15*BK$6</f>
        <v>59322.2223259816</v>
      </c>
      <c r="BL112" s="33" t="n">
        <f aca="false">$F24*In_P50_Hours*(1-In_Curtailment)*(1-$E27)*(1-In_Degradation)^(BL109-1)*BL15*BL$6</f>
        <v>58677.4155615688</v>
      </c>
      <c r="BM112" s="33" t="n">
        <f aca="false">$F24*In_P50_Hours*(1-In_Curtailment)*(1-$E27)*(1-In_Degradation)^(BM109-1)*BM15*BM$6</f>
        <v>58677.4155615688</v>
      </c>
      <c r="BN112" s="33" t="n">
        <f aca="false">$F24*In_P50_Hours*(1-In_Curtailment)*(1-$E27)*(1-In_Degradation)^(BN109-1)*BN15*BN$6</f>
        <v>59322.2223259816</v>
      </c>
      <c r="BO112" s="33" t="n">
        <f aca="false">$F24*In_P50_Hours*(1-In_Curtailment)*(1-$E27)*(1-In_Degradation)^(BO109-1)*BO15*BO$6</f>
        <v>59144.2556590037</v>
      </c>
      <c r="BP112" s="33" t="n">
        <f aca="false">$F24*In_P50_Hours*(1-In_Curtailment)*(1-$E27)*(1-In_Degradation)^(BP109-1)*BP15*BP$6</f>
        <v>57858.5109707644</v>
      </c>
      <c r="BQ112" s="33" t="n">
        <f aca="false">$F24*In_P50_Hours*(1-In_Curtailment)*(1-$E27)*(1-In_Degradation)^(BQ109-1)*BQ15*BQ$6</f>
        <v>58501.3833148841</v>
      </c>
      <c r="BR112" s="33" t="n">
        <f aca="false">$F24*In_P50_Hours*(1-In_Curtailment)*(1-$E27)*(1-In_Degradation)^(BR109-1)*BR15*BR$6</f>
        <v>59144.2556590037</v>
      </c>
      <c r="BS112" s="33" t="n">
        <f aca="false">$F24*In_P50_Hours*(1-In_Curtailment)*(1-$E27)*(1-In_Degradation)^(BS109-1)*BS15*BS$6</f>
        <v>58966.8228920267</v>
      </c>
      <c r="BT112" s="33" t="n">
        <f aca="false">$F24*In_P50_Hours*(1-In_Curtailment)*(1-$E27)*(1-In_Degradation)^(BT109-1)*BT15*BT$6</f>
        <v>57684.9354378522</v>
      </c>
      <c r="BU112" s="33" t="n">
        <f aca="false">$F24*In_P50_Hours*(1-In_Curtailment)*(1-$E27)*(1-In_Degradation)^(BU109-1)*BU15*BU$6</f>
        <v>58325.8791649394</v>
      </c>
      <c r="BV112" s="33" t="n">
        <f aca="false">$F24*In_P50_Hours*(1-In_Curtailment)*(1-$E27)*(1-In_Degradation)^(BV109-1)*BV15*BV$6</f>
        <v>58966.8228920267</v>
      </c>
      <c r="BW112" s="33" t="n">
        <f aca="false">$F24*In_P50_Hours*(1-In_Curtailment)*(1-$E27)*(1-In_Degradation)^(BW109-1)*BW15*BW$6</f>
        <v>58789.9224233506</v>
      </c>
      <c r="BX112" s="33" t="n">
        <f aca="false">$F24*In_P50_Hours*(1-In_Curtailment)*(1-$E27)*(1-In_Degradation)^(BX109-1)*BX15*BX$6</f>
        <v>57511.8806315386</v>
      </c>
      <c r="BY112" s="33" t="n">
        <f aca="false">$F24*In_P50_Hours*(1-In_Curtailment)*(1-$E27)*(1-In_Degradation)^(BY109-1)*BY15*BY$6</f>
        <v>58150.9015274446</v>
      </c>
      <c r="BZ112" s="33" t="n">
        <f aca="false">$F24*In_P50_Hours*(1-In_Curtailment)*(1-$E27)*(1-In_Degradation)^(BZ109-1)*BZ15*BZ$6</f>
        <v>58789.9224233506</v>
      </c>
      <c r="CA112" s="33" t="n">
        <f aca="false">$F24*In_P50_Hours*(1-In_Curtailment)*(1-$E27)*(1-In_Degradation)^(CA109-1)*CA15*CA$6</f>
        <v>58613.5526560805</v>
      </c>
      <c r="CB112" s="33" t="n">
        <f aca="false">$F24*In_P50_Hours*(1-In_Curtailment)*(1-$E27)*(1-In_Degradation)^(CB109-1)*CB15*CB$6</f>
        <v>57976.4488228623</v>
      </c>
      <c r="CC112" s="33" t="n">
        <f aca="false">$F24*In_P50_Hours*(1-In_Curtailment)*(1-$E27)*(1-In_Degradation)^(CC109-1)*CC15*CC$6</f>
        <v>57976.4488228623</v>
      </c>
      <c r="CD112" s="33" t="n">
        <f aca="false">$F24*In_P50_Hours*(1-In_Curtailment)*(1-$E27)*(1-In_Degradation)^(CD109-1)*CD15*CD$6</f>
        <v>58613.5526560805</v>
      </c>
      <c r="CE112" s="33" t="n">
        <f aca="false">$F24*In_P50_Hours*(1-In_Curtailment)*(1-$E27)*(1-In_Degradation)^(CE109-1)*CE15*CE$6</f>
        <v>58437.7119981123</v>
      </c>
      <c r="CF112" s="33" t="n">
        <f aca="false">$F24*In_P50_Hours*(1-In_Curtailment)*(1-$E27)*(1-In_Degradation)^(CF109-1)*CF15*CF$6</f>
        <v>57167.326954675</v>
      </c>
      <c r="CG112" s="33" t="n">
        <f aca="false">$F24*In_P50_Hours*(1-In_Curtailment)*(1-$E27)*(1-In_Degradation)^(CG109-1)*CG15*CG$6</f>
        <v>57802.5194763937</v>
      </c>
      <c r="CH112" s="33" t="n">
        <f aca="false">$F24*In_P50_Hours*(1-In_Curtailment)*(1-$E27)*(1-In_Degradation)^(CH109-1)*CH15*CH$6</f>
        <v>58437.7119981123</v>
      </c>
      <c r="CI112" s="33" t="n">
        <f aca="false">$F24*In_P50_Hours*(1-In_Curtailment)*(1-$E27)*(1-In_Degradation)^(CI109-1)*CI15*CI$6</f>
        <v>58262.398862118</v>
      </c>
      <c r="CJ112" s="33" t="n">
        <f aca="false">$F24*In_P50_Hours*(1-In_Curtailment)*(1-$E27)*(1-In_Degradation)^(CJ109-1)*CJ15*CJ$6</f>
        <v>56995.824973811</v>
      </c>
      <c r="CK112" s="33" t="n">
        <f aca="false">$F24*In_P50_Hours*(1-In_Curtailment)*(1-$E27)*(1-In_Degradation)^(CK109-1)*CK15*CK$6</f>
        <v>57629.1119179645</v>
      </c>
      <c r="CL112" s="33" t="n">
        <f aca="false">$F24*In_P50_Hours*(1-In_Curtailment)*(1-$E27)*(1-In_Degradation)^(CL109-1)*CL15*CL$6</f>
        <v>58262.398862118</v>
      </c>
      <c r="CM112" s="33" t="n">
        <f aca="false">$F24*In_P50_Hours*(1-In_Curtailment)*(1-$E27)*(1-In_Degradation)^(CM109-1)*CM15*CM$6</f>
        <v>58087.6116655316</v>
      </c>
      <c r="CN112" s="33" t="n">
        <f aca="false">$F24*In_P50_Hours*(1-In_Curtailment)*(1-$E27)*(1-In_Degradation)^(CN109-1)*CN15*CN$6</f>
        <v>56824.8374988896</v>
      </c>
      <c r="CO112" s="33" t="n">
        <f aca="false">$F24*In_P50_Hours*(1-In_Curtailment)*(1-$E27)*(1-In_Degradation)^(CO109-1)*CO15*CO$6</f>
        <v>57456.2245822106</v>
      </c>
      <c r="CP112" s="33" t="n">
        <f aca="false">$F24*In_P50_Hours*(1-In_Curtailment)*(1-$E27)*(1-In_Degradation)^(CP109-1)*CP15*CP$6</f>
        <v>58087.6116655316</v>
      </c>
      <c r="CQ112" s="33" t="n">
        <f aca="false">$F24*In_P50_Hours*(1-In_Curtailment)*(1-$E27)*(1-In_Degradation)^(CQ109-1)*CQ15*CQ$6</f>
        <v>57913.348830535</v>
      </c>
      <c r="CR112" s="33" t="n">
        <f aca="false">$F24*In_P50_Hours*(1-In_Curtailment)*(1-$E27)*(1-In_Degradation)^(CR109-1)*CR15*CR$6</f>
        <v>57283.855908464</v>
      </c>
      <c r="CS112" s="33" t="n">
        <f aca="false">$F24*In_P50_Hours*(1-In_Curtailment)*(1-$E27)*(1-In_Degradation)^(CS109-1)*CS15*CS$6</f>
        <v>57283.855908464</v>
      </c>
      <c r="CT112" s="33" t="n">
        <f aca="false">$F24*In_P50_Hours*(1-In_Curtailment)*(1-$E27)*(1-In_Degradation)^(CT109-1)*CT15*CT$6</f>
        <v>57913.348830535</v>
      </c>
      <c r="CU112" s="33" t="n">
        <f aca="false">$F24*In_P50_Hours*(1-In_Curtailment)*(1-$E27)*(1-In_Degradation)^(CU109-1)*CU15*CU$6</f>
        <v>57739.6087840434</v>
      </c>
      <c r="CV112" s="33" t="n">
        <f aca="false">$F24*In_P50_Hours*(1-In_Curtailment)*(1-$E27)*(1-In_Degradation)^(CV109-1)*CV15*CV$6</f>
        <v>56484.3998974337</v>
      </c>
      <c r="CW112" s="33" t="n">
        <f aca="false">$F24*In_P50_Hours*(1-In_Curtailment)*(1-$E27)*(1-In_Degradation)^(CW109-1)*CW15*CW$6</f>
        <v>57112.0043407386</v>
      </c>
      <c r="CX112" s="33" t="n">
        <f aca="false">$F24*In_P50_Hours*(1-In_Curtailment)*(1-$E27)*(1-In_Degradation)^(CX109-1)*CX15*CX$6</f>
        <v>57739.6087840434</v>
      </c>
      <c r="CY112" s="33" t="n">
        <f aca="false">$F24*In_P50_Hours*(1-In_Curtailment)*(1-$E27)*(1-In_Degradation)^(CY109-1)*CY15*CY$6</f>
        <v>57566.3899576913</v>
      </c>
      <c r="CZ112" s="33" t="n">
        <f aca="false">$F24*In_P50_Hours*(1-In_Curtailment)*(1-$E27)*(1-In_Degradation)^(CZ109-1)*CZ15*CZ$6</f>
        <v>56314.9466977414</v>
      </c>
      <c r="DA112" s="33" t="n">
        <f aca="false">$F24*In_P50_Hours*(1-In_Curtailment)*(1-$E27)*(1-In_Degradation)^(DA109-1)*DA15*DA$6</f>
        <v>56940.6683277164</v>
      </c>
      <c r="DB112" s="33" t="n">
        <f aca="false">$F24*In_P50_Hours*(1-In_Curtailment)*(1-$E27)*(1-In_Degradation)^(DB109-1)*DB15*DB$6</f>
        <v>57566.3899576913</v>
      </c>
      <c r="DC112" s="33" t="n">
        <f aca="false">$F24*In_P50_Hours*(1-In_Curtailment)*(1-$E27)*(1-In_Degradation)^(DC109-1)*DC15*DC$6</f>
        <v>57393.6907878182</v>
      </c>
      <c r="DD112" s="33" t="n">
        <f aca="false">$F24*In_P50_Hours*(1-In_Curtailment)*(1-$E27)*(1-In_Degradation)^(DD109-1)*DD15*DD$6</f>
        <v>56146.0018576482</v>
      </c>
      <c r="DE112" s="33" t="n">
        <f aca="false">$F24*In_P50_Hours*(1-In_Curtailment)*(1-$E27)*(1-In_Degradation)^(DE109-1)*DE15*DE$6</f>
        <v>56769.8463227332</v>
      </c>
      <c r="DF112" s="33" t="n">
        <f aca="false">$F24*In_P50_Hours*(1-In_Curtailment)*(1-$E27)*(1-In_Degradation)^(DF109-1)*DF15*DF$6</f>
        <v>57393.6907878182</v>
      </c>
      <c r="DG112" s="33" t="n">
        <f aca="false">$F24*In_P50_Hours*(1-In_Curtailment)*(1-$E27)*(1-In_Degradation)^(DG109-1)*DG15*DG$6</f>
        <v>57221.5097154547</v>
      </c>
      <c r="DH112" s="33" t="n">
        <f aca="false">$F24*In_P50_Hours*(1-In_Curtailment)*(1-$E27)*(1-In_Degradation)^(DH109-1)*DH15*DH$6</f>
        <v>56599.536783765</v>
      </c>
      <c r="DI112" s="33" t="n">
        <f aca="false">$F24*In_P50_Hours*(1-In_Curtailment)*(1-$E27)*(1-In_Degradation)^(DI109-1)*DI15*DI$6</f>
        <v>56599.536783765</v>
      </c>
      <c r="DJ112" s="33" t="n">
        <f aca="false">$F24*In_P50_Hours*(1-In_Curtailment)*(1-$E27)*(1-In_Degradation)^(DJ109-1)*DJ15*DJ$6</f>
        <v>57221.5097154547</v>
      </c>
      <c r="DK112" s="33" t="n">
        <f aca="false">$F24*In_P50_Hours*(1-In_Curtailment)*(1-$E27)*(1-In_Degradation)^(DK109-1)*DK15*DK$6</f>
        <v>57049.8451863084</v>
      </c>
      <c r="DL112" s="33" t="n">
        <f aca="false">$F24*In_P50_Hours*(1-In_Curtailment)*(1-$E27)*(1-In_Degradation)^(DL109-1)*DL15*DL$6</f>
        <v>55809.6311605191</v>
      </c>
      <c r="DM112" s="33" t="n">
        <f aca="false">$F24*In_P50_Hours*(1-In_Curtailment)*(1-$E27)*(1-In_Degradation)^(DM109-1)*DM15*DM$6</f>
        <v>56429.7381734137</v>
      </c>
      <c r="DN112" s="33" t="n">
        <f aca="false">$F24*In_P50_Hours*(1-In_Curtailment)*(1-$E27)*(1-In_Degradation)^(DN109-1)*DN15*DN$6</f>
        <v>57049.8451863084</v>
      </c>
      <c r="DO112" s="33" t="n">
        <f aca="false">$F24*In_P50_Hours*(1-In_Curtailment)*(1-$E27)*(1-In_Degradation)^(DO109-1)*DO15*DO$6</f>
        <v>56878.6956507494</v>
      </c>
      <c r="DP112" s="33" t="n">
        <f aca="false">$F24*In_P50_Hours*(1-In_Curtailment)*(1-$E27)*(1-In_Degradation)^(DP109-1)*DP15*DP$6</f>
        <v>55642.2022670375</v>
      </c>
      <c r="DQ112" s="33" t="n">
        <f aca="false">$F24*In_P50_Hours*(1-In_Curtailment)*(1-$E27)*(1-In_Degradation)^(DQ109-1)*DQ15*DQ$6</f>
        <v>56260.4489588935</v>
      </c>
      <c r="DR112" s="33" t="n">
        <f aca="false">$F24*In_P50_Hours*(1-In_Curtailment)*(1-$E27)*(1-In_Degradation)^(DR109-1)*DR15*DR$6</f>
        <v>56878.6956507494</v>
      </c>
      <c r="DS112" s="33" t="n">
        <f aca="false">$F24*In_P50_Hours*(1-In_Curtailment)*(1-$E27)*(1-In_Degradation)^(DS109-1)*DS15*DS$6</f>
        <v>56708.0595637972</v>
      </c>
      <c r="DT112" s="33" t="n">
        <f aca="false">$F24*In_P50_Hours*(1-In_Curtailment)*(1-$E27)*(1-In_Degradation)^(DT109-1)*DT15*DT$6</f>
        <v>55475.2756602364</v>
      </c>
      <c r="DU112" s="33" t="n">
        <f aca="false">$F24*In_P50_Hours*(1-In_Curtailment)*(1-$E27)*(1-In_Degradation)^(DU109-1)*DU15*DU$6</f>
        <v>56091.6676120168</v>
      </c>
      <c r="DV112" s="33" t="n">
        <f aca="false">$F24*In_P50_Hours*(1-In_Curtailment)*(1-$E27)*(1-In_Degradation)^(DV109-1)*DV15*DV$6</f>
        <v>56708.0595637972</v>
      </c>
      <c r="DW112" s="33" t="n">
        <f aca="false">$F24*In_P50_Hours*(1-In_Curtailment)*(1-$E27)*(1-In_Degradation)^(DW109-1)*DW15*DW$6</f>
        <v>56537.9353851058</v>
      </c>
      <c r="DX112" s="33" t="n">
        <f aca="false">$F24*In_P50_Hours*(1-In_Curtailment)*(1-$E27)*(1-In_Degradation)^(DX109-1)*DX15*DX$6</f>
        <v>55923.3926091807</v>
      </c>
      <c r="DY112" s="33" t="n">
        <f aca="false">$F24*In_P50_Hours*(1-In_Curtailment)*(1-$E27)*(1-In_Degradation)^(DY109-1)*DY15*DY$6</f>
        <v>55923.3926091807</v>
      </c>
      <c r="DZ112" s="33" t="n">
        <f aca="false">$F24*In_P50_Hours*(1-In_Curtailment)*(1-$E27)*(1-In_Degradation)^(DZ109-1)*DZ15*DZ$6</f>
        <v>56537.9353851058</v>
      </c>
      <c r="EA112" s="33" t="n">
        <f aca="false">$F24*In_P50_Hours*(1-In_Curtailment)*(1-$E27)*(1-In_Degradation)^(EA109-1)*EA15*EA$6</f>
        <v>56368.3215789505</v>
      </c>
      <c r="EB112" s="33" t="n">
        <f aca="false">$F24*In_P50_Hours*(1-In_Curtailment)*(1-$E27)*(1-In_Degradation)^(EB109-1)*EB15*EB$6</f>
        <v>55142.9232837559</v>
      </c>
      <c r="EC112" s="33" t="n">
        <f aca="false">$F24*In_P50_Hours*(1-In_Curtailment)*(1-$E27)*(1-In_Degradation)^(EC109-1)*EC15*EC$6</f>
        <v>55755.6224313532</v>
      </c>
      <c r="ED112" s="33" t="n">
        <f aca="false">$F24*In_P50_Hours*(1-In_Curtailment)*(1-$E27)*(1-In_Degradation)^(ED109-1)*ED15*ED$6</f>
        <v>56368.3215789505</v>
      </c>
      <c r="EE112" s="33" t="n">
        <f aca="false">$F24*In_P50_Hours*(1-In_Curtailment)*(1-$E27)*(1-In_Degradation)^(EE109-1)*EE15*EE$6</f>
        <v>56199.2166142136</v>
      </c>
      <c r="EF112" s="33" t="n">
        <f aca="false">$F24*In_P50_Hours*(1-In_Curtailment)*(1-$E27)*(1-In_Degradation)^(EF109-1)*EF15*EF$6</f>
        <v>54977.4945139046</v>
      </c>
      <c r="EG112" s="33" t="n">
        <f aca="false">$F24*In_P50_Hours*(1-In_Curtailment)*(1-$E27)*(1-In_Degradation)^(EG109-1)*EG15*EG$6</f>
        <v>55588.3555640591</v>
      </c>
      <c r="EH112" s="33" t="n">
        <f aca="false">$F24*In_P50_Hours*(1-In_Curtailment)*(1-$E27)*(1-In_Degradation)^(EH109-1)*EH15*EH$6</f>
        <v>56199.2166142136</v>
      </c>
      <c r="EI112" s="33" t="n">
        <f aca="false">$F24*In_P50_Hours*(1-In_Curtailment)*(1-$E27)*(1-In_Degradation)^(EI109-1)*EI15*EI$6</f>
        <v>56030.618964371</v>
      </c>
      <c r="EJ112" s="33" t="n">
        <f aca="false">$F24*In_P50_Hours*(1-In_Curtailment)*(1-$E27)*(1-In_Degradation)^(EJ109-1)*EJ15*EJ$6</f>
        <v>54812.5620303629</v>
      </c>
      <c r="EK112" s="33" t="n">
        <f aca="false">$F24*In_P50_Hours*(1-In_Curtailment)*(1-$E27)*(1-In_Degradation)^(EK109-1)*EK15*EK$6</f>
        <v>55421.590497367</v>
      </c>
      <c r="EL112" s="33" t="n">
        <f aca="false">$F24*In_P50_Hours*(1-In_Curtailment)*(1-$E27)*(1-In_Degradation)^(EL109-1)*EL15*EL$6</f>
        <v>56030.618964371</v>
      </c>
      <c r="EM112" s="33" t="n">
        <f aca="false">$F24*In_P50_Hours*(1-In_Curtailment)*(1-$E27)*(1-In_Degradation)^(EM109-1)*EM15*EM$6</f>
        <v>55862.5271074779</v>
      </c>
      <c r="EN112" s="33" t="n">
        <f aca="false">$F24*In_P50_Hours*(1-In_Curtailment)*(1-$E27)*(1-In_Degradation)^(EN109-1)*EN15*EN$6</f>
        <v>55255.3257258749</v>
      </c>
      <c r="EO112" s="33" t="n">
        <f aca="false">$F24*In_P50_Hours*(1-In_Curtailment)*(1-$E27)*(1-In_Degradation)^(EO109-1)*EO15*EO$6</f>
        <v>55255.3257258749</v>
      </c>
      <c r="EP112" s="33" t="n">
        <f aca="false">$F24*In_P50_Hours*(1-In_Curtailment)*(1-$E27)*(1-In_Degradation)^(EP109-1)*EP15*EP$6</f>
        <v>55862.5271074779</v>
      </c>
      <c r="EQ112" s="33" t="n">
        <f aca="false">$F24*In_P50_Hours*(1-In_Curtailment)*(1-$E27)*(1-In_Degradation)^(EQ109-1)*EQ15*EQ$6</f>
        <v>55694.9395261554</v>
      </c>
      <c r="ER112" s="33" t="n">
        <f aca="false">$F24*In_P50_Hours*(1-In_Curtailment)*(1-$E27)*(1-In_Degradation)^(ER109-1)*ER15*ER$6</f>
        <v>54484.179971239</v>
      </c>
      <c r="ES112" s="33" t="n">
        <f aca="false">$F24*In_P50_Hours*(1-In_Curtailment)*(1-$E27)*(1-In_Degradation)^(ES109-1)*ES15*ES$6</f>
        <v>55089.5597486972</v>
      </c>
      <c r="ET112" s="33" t="n">
        <f aca="false">$F24*In_P50_Hours*(1-In_Curtailment)*(1-$E27)*(1-In_Degradation)^(ET109-1)*ET15*ET$6</f>
        <v>55694.9395261554</v>
      </c>
    </row>
    <row r="113" customFormat="false" ht="15" hidden="false" customHeight="false" outlineLevel="0" collapsed="false">
      <c r="C113" s="0" t="s">
        <v>566</v>
      </c>
      <c r="D113" s="11" t="s">
        <v>253</v>
      </c>
      <c r="I113" s="33" t="n">
        <f aca="false">SUM(J113:ET113)</f>
        <v>727113.739439716</v>
      </c>
      <c r="J113" s="33" t="n">
        <f aca="false">J112*J111/Thousand</f>
        <v>0</v>
      </c>
      <c r="K113" s="33" t="n">
        <f aca="false">K112*K111/Thousand</f>
        <v>0</v>
      </c>
      <c r="L113" s="33" t="n">
        <f aca="false">L112*L111/Thousand</f>
        <v>0</v>
      </c>
      <c r="M113" s="33" t="n">
        <f aca="false">M112*M111/Thousand</f>
        <v>0</v>
      </c>
      <c r="N113" s="33" t="n">
        <f aca="false">N112*N111/Thousand</f>
        <v>0</v>
      </c>
      <c r="O113" s="33" t="n">
        <f aca="false">O112*O111/Thousand</f>
        <v>0</v>
      </c>
      <c r="P113" s="33" t="n">
        <f aca="false">P112*P111/Thousand</f>
        <v>0</v>
      </c>
      <c r="Q113" s="33" t="n">
        <f aca="false">Q112*Q111/Thousand</f>
        <v>0</v>
      </c>
      <c r="R113" s="33" t="n">
        <f aca="false">R112*R111/Thousand</f>
        <v>0</v>
      </c>
      <c r="S113" s="33" t="n">
        <f aca="false">S112*S111/Thousand</f>
        <v>0</v>
      </c>
      <c r="T113" s="33" t="n">
        <f aca="false">T112*T111/Thousand</f>
        <v>0</v>
      </c>
      <c r="U113" s="33" t="n">
        <f aca="false">U112*U111/Thousand</f>
        <v>0</v>
      </c>
      <c r="V113" s="33" t="n">
        <f aca="false">V112*V111/Thousand</f>
        <v>0</v>
      </c>
      <c r="W113" s="33" t="n">
        <f aca="false">W112*W111/Thousand</f>
        <v>0</v>
      </c>
      <c r="X113" s="33" t="n">
        <f aca="false">X112*X111/Thousand</f>
        <v>0</v>
      </c>
      <c r="Y113" s="33" t="n">
        <f aca="false">Y112*Y111/Thousand</f>
        <v>0</v>
      </c>
      <c r="Z113" s="33" t="n">
        <f aca="false">Z112*Z111/Thousand</f>
        <v>0</v>
      </c>
      <c r="AA113" s="33" t="n">
        <f aca="false">AA112*AA111/Thousand</f>
        <v>0</v>
      </c>
      <c r="AB113" s="33" t="n">
        <f aca="false">AB112*AB111/Thousand</f>
        <v>0</v>
      </c>
      <c r="AC113" s="33" t="n">
        <f aca="false">AC112*AC111/Thousand</f>
        <v>0</v>
      </c>
      <c r="AD113" s="33" t="n">
        <f aca="false">AD112*AD111/Thousand</f>
        <v>0</v>
      </c>
      <c r="AE113" s="33" t="n">
        <f aca="false">AE112*AE111/Thousand</f>
        <v>5468.88328767123</v>
      </c>
      <c r="AF113" s="33" t="n">
        <f aca="false">AF112*AF111/Thousand</f>
        <v>5463.53329315069</v>
      </c>
      <c r="AG113" s="33" t="n">
        <f aca="false">AG112*AG111/Thousand</f>
        <v>5463.53329315069</v>
      </c>
      <c r="AH113" s="33" t="n">
        <f aca="false">AH112*AH111/Thousand</f>
        <v>5523.57212054795</v>
      </c>
      <c r="AI113" s="33" t="n">
        <f aca="false">AI112*AI111/Thousand</f>
        <v>5507.0014041863</v>
      </c>
      <c r="AJ113" s="33" t="n">
        <f aca="false">AJ112*AJ111/Thousand</f>
        <v>5441.15682217973</v>
      </c>
      <c r="AK113" s="33" t="n">
        <f aca="false">AK112*AK111/Thousand</f>
        <v>5501.61412020395</v>
      </c>
      <c r="AL113" s="33" t="n">
        <f aca="false">AL112*AL111/Thousand</f>
        <v>5562.07141822817</v>
      </c>
      <c r="AM113" s="33" t="n">
        <f aca="false">AM112*AM111/Thousand</f>
        <v>5545.38520397348</v>
      </c>
      <c r="AN113" s="33" t="n">
        <f aca="false">AN112*AN111/Thousand</f>
        <v>5479.08168523032</v>
      </c>
      <c r="AO113" s="33" t="n">
        <f aca="false">AO112*AO111/Thousand</f>
        <v>5539.96037062177</v>
      </c>
      <c r="AP113" s="33" t="n">
        <f aca="false">AP112*AP111/Thousand</f>
        <v>5600.83905601322</v>
      </c>
      <c r="AQ113" s="33" t="n">
        <f aca="false">AQ112*AQ111/Thousand</f>
        <v>5584.03653884518</v>
      </c>
      <c r="AR113" s="33" t="n">
        <f aca="false">AR112*AR111/Thousand</f>
        <v>5517.27088457637</v>
      </c>
      <c r="AS113" s="33" t="n">
        <f aca="false">AS112*AS111/Thousand</f>
        <v>5578.573894405</v>
      </c>
      <c r="AT113" s="33" t="n">
        <f aca="false">AT112*AT111/Thousand</f>
        <v>5639.87690423363</v>
      </c>
      <c r="AU113" s="33" t="n">
        <f aca="false">AU112*AU111/Thousand</f>
        <v>5622.95727352093</v>
      </c>
      <c r="AV113" s="33" t="n">
        <f aca="false">AV112*AV111/Thousand</f>
        <v>5617.456554449</v>
      </c>
      <c r="AW113" s="33" t="n">
        <f aca="false">AW112*AW111/Thousand</f>
        <v>5617.456554449</v>
      </c>
      <c r="AX113" s="33" t="n">
        <f aca="false">AX112*AX111/Thousand</f>
        <v>5679.18684625614</v>
      </c>
      <c r="AY113" s="33" t="n">
        <f aca="false">AY112*AY111/Thousand</f>
        <v>5662.14928571737</v>
      </c>
      <c r="AZ113" s="33" t="n">
        <f aca="false">AZ112*AZ111/Thousand</f>
        <v>5594.44967469249</v>
      </c>
      <c r="BA113" s="33" t="n">
        <f aca="false">BA112*BA111/Thousand</f>
        <v>5656.61022663352</v>
      </c>
      <c r="BB113" s="33" t="n">
        <f aca="false">BB112*BB111/Thousand</f>
        <v>5718.77077857454</v>
      </c>
      <c r="BC113" s="33" t="n">
        <f aca="false">BC112*BC111/Thousand</f>
        <v>5701.61446623882</v>
      </c>
      <c r="BD113" s="33" t="n">
        <f aca="false">BD112*BD111/Thousand</f>
        <v>5633.44298892509</v>
      </c>
      <c r="BE113" s="33" t="n">
        <f aca="false">BE112*BE111/Thousand</f>
        <v>5696.03679991315</v>
      </c>
      <c r="BF113" s="33" t="n">
        <f aca="false">BF112*BF111/Thousand</f>
        <v>5758.63061090121</v>
      </c>
      <c r="BG113" s="33" t="n">
        <f aca="false">BG112*BG111/Thousand</f>
        <v>5741.3547190685</v>
      </c>
      <c r="BH113" s="33" t="n">
        <f aca="false">BH112*BH111/Thousand</f>
        <v>5672.7080865579</v>
      </c>
      <c r="BI113" s="33" t="n">
        <f aca="false">BI112*BI111/Thousand</f>
        <v>5735.73817640854</v>
      </c>
      <c r="BJ113" s="33" t="n">
        <f aca="false">BJ112*BJ111/Thousand</f>
        <v>5798.76826625919</v>
      </c>
      <c r="BK113" s="33" t="n">
        <f aca="false">BK112*BK111/Thousand</f>
        <v>5781.37196146041</v>
      </c>
      <c r="BL113" s="33" t="n">
        <f aca="false">BL112*BL111/Thousand</f>
        <v>5775.71627149811</v>
      </c>
      <c r="BM113" s="33" t="n">
        <f aca="false">BM112*BM111/Thousand</f>
        <v>5775.71627149811</v>
      </c>
      <c r="BN113" s="33" t="n">
        <f aca="false">BN112*BN111/Thousand</f>
        <v>5839.18568107501</v>
      </c>
      <c r="BO113" s="33" t="n">
        <f aca="false">BO112*BO111/Thousand</f>
        <v>5821.66812403179</v>
      </c>
      <c r="BP113" s="33" t="n">
        <f aca="false">BP112*BP111/Thousand</f>
        <v>5752.0612225488</v>
      </c>
      <c r="BQ113" s="33" t="n">
        <f aca="false">BQ112*BQ111/Thousand</f>
        <v>5815.97301391045</v>
      </c>
      <c r="BR113" s="33" t="n">
        <f aca="false">BR112*BR111/Thousand</f>
        <v>5879.88480527211</v>
      </c>
      <c r="BS113" s="33" t="n">
        <f aca="false">BS112*BS111/Thousand</f>
        <v>5862.24515085629</v>
      </c>
      <c r="BT113" s="33" t="n">
        <f aca="false">BT112*BT111/Thousand</f>
        <v>5792.15308926996</v>
      </c>
      <c r="BU113" s="33" t="n">
        <f aca="false">BU112*BU111/Thousand</f>
        <v>5856.51034581741</v>
      </c>
      <c r="BV113" s="33" t="n">
        <f aca="false">BV112*BV111/Thousand</f>
        <v>5920.86760236485</v>
      </c>
      <c r="BW113" s="33" t="n">
        <f aca="false">BW112*BW111/Thousand</f>
        <v>5903.10499955776</v>
      </c>
      <c r="BX113" s="33" t="n">
        <f aca="false">BX112*BX111/Thousand</f>
        <v>5832.52439630218</v>
      </c>
      <c r="BY113" s="33" t="n">
        <f aca="false">BY112*BY111/Thousand</f>
        <v>5897.33022292776</v>
      </c>
      <c r="BZ113" s="33" t="n">
        <f aca="false">BZ112*BZ111/Thousand</f>
        <v>5962.13604955334</v>
      </c>
      <c r="CA113" s="33" t="n">
        <f aca="false">CA112*CA111/Thousand</f>
        <v>5944.24964140468</v>
      </c>
      <c r="CB113" s="33" t="n">
        <f aca="false">CB112*CB111/Thousand</f>
        <v>5938.43461458156</v>
      </c>
      <c r="CC113" s="33" t="n">
        <f aca="false">CC112*CC111/Thousand</f>
        <v>5938.43461458156</v>
      </c>
      <c r="CD113" s="33" t="n">
        <f aca="false">CD112*CD111/Thousand</f>
        <v>6003.69213781872</v>
      </c>
      <c r="CE113" s="33" t="n">
        <f aca="false">CE112*CE111/Thousand</f>
        <v>5985.68106140527</v>
      </c>
      <c r="CF113" s="33" t="n">
        <f aca="false">CF112*CF111/Thousand</f>
        <v>5914.11313567107</v>
      </c>
      <c r="CG113" s="33" t="n">
        <f aca="false">CG112*CG111/Thousand</f>
        <v>5979.8255038452</v>
      </c>
      <c r="CH113" s="33" t="n">
        <f aca="false">CH112*CH111/Thousand</f>
        <v>6045.53787201932</v>
      </c>
      <c r="CI113" s="33" t="n">
        <f aca="false">CI112*CI111/Thousand</f>
        <v>6027.40125840326</v>
      </c>
      <c r="CJ113" s="33" t="n">
        <f aca="false">CJ112*CJ111/Thousand</f>
        <v>5955.3345042267</v>
      </c>
      <c r="CK113" s="33" t="n">
        <f aca="false">CK112*CK111/Thousand</f>
        <v>6021.504887607</v>
      </c>
      <c r="CL113" s="33" t="n">
        <f aca="false">CL112*CL111/Thousand</f>
        <v>6087.67527098729</v>
      </c>
      <c r="CM113" s="33" t="n">
        <f aca="false">CM112*CM111/Thousand</f>
        <v>6069.41224517433</v>
      </c>
      <c r="CN113" s="33" t="n">
        <f aca="false">CN112*CN111/Thousand</f>
        <v>5996.84318572116</v>
      </c>
      <c r="CO113" s="33" t="n">
        <f aca="false">CO112*CO111/Thousand</f>
        <v>6063.47477667362</v>
      </c>
      <c r="CP113" s="33" t="n">
        <f aca="false">CP112*CP111/Thousand</f>
        <v>6130.10636762608</v>
      </c>
      <c r="CQ113" s="33" t="n">
        <f aca="false">CQ112*CQ111/Thousand</f>
        <v>6111.7160485232</v>
      </c>
      <c r="CR113" s="33" t="n">
        <f aca="false">CR112*CR111/Thousand</f>
        <v>6105.73719586703</v>
      </c>
      <c r="CS113" s="33" t="n">
        <f aca="false">CS112*CS111/Thousand</f>
        <v>6105.73719586703</v>
      </c>
      <c r="CT113" s="33" t="n">
        <f aca="false">CT112*CT111/Thousand</f>
        <v>6172.83320900843</v>
      </c>
      <c r="CU113" s="33" t="n">
        <f aca="false">CU112*CU111/Thousand</f>
        <v>6154.3147093814</v>
      </c>
      <c r="CV113" s="33" t="n">
        <f aca="false">CV112*CV111/Thousand</f>
        <v>6080.73051176923</v>
      </c>
      <c r="CW113" s="33" t="n">
        <f aca="false">CW112*CW111/Thousand</f>
        <v>6148.29418412223</v>
      </c>
      <c r="CX113" s="33" t="n">
        <f aca="false">CX112*CX111/Thousand</f>
        <v>6215.85785647522</v>
      </c>
      <c r="CY113" s="33" t="n">
        <f aca="false">CY112*CY111/Thousand</f>
        <v>6197.21028290579</v>
      </c>
      <c r="CZ113" s="33" t="n">
        <f aca="false">CZ112*CZ111/Thousand</f>
        <v>6123.11320343627</v>
      </c>
      <c r="DA113" s="33" t="n">
        <f aca="false">DA112*DA111/Thousand</f>
        <v>6191.14779458556</v>
      </c>
      <c r="DB113" s="33" t="n">
        <f aca="false">DB112*DB111/Thousand</f>
        <v>6259.18238573485</v>
      </c>
      <c r="DC113" s="33" t="n">
        <f aca="false">DC112*DC111/Thousand</f>
        <v>6240.40483857765</v>
      </c>
      <c r="DD113" s="33" t="n">
        <f aca="false">DD112*DD111/Thousand</f>
        <v>6165.79130246422</v>
      </c>
      <c r="DE113" s="33" t="n">
        <f aca="false">DE112*DE111/Thousand</f>
        <v>6234.30009471382</v>
      </c>
      <c r="DF113" s="33" t="n">
        <f aca="false">DF112*DF111/Thousand</f>
        <v>6302.80888696342</v>
      </c>
      <c r="DG113" s="33" t="n">
        <f aca="false">DG112*DG111/Thousand</f>
        <v>6283.90046030253</v>
      </c>
      <c r="DH113" s="33" t="n">
        <f aca="false">DH112*DH111/Thousand</f>
        <v>6277.75316637398</v>
      </c>
      <c r="DI113" s="33" t="n">
        <f aca="false">DI112*DI111/Thousand</f>
        <v>6277.75316637398</v>
      </c>
      <c r="DJ113" s="33" t="n">
        <f aca="false">DJ112*DJ111/Thousand</f>
        <v>6346.73946490556</v>
      </c>
      <c r="DK113" s="33" t="n">
        <f aca="false">DK112*DK111/Thousand</f>
        <v>6327.69924651084</v>
      </c>
      <c r="DL113" s="33" t="n">
        <f aca="false">DL112*DL111/Thousand</f>
        <v>6252.04197291125</v>
      </c>
      <c r="DM113" s="33" t="n">
        <f aca="false">DM112*DM111/Thousand</f>
        <v>6321.5091059436</v>
      </c>
      <c r="DN113" s="33" t="n">
        <f aca="false">DN112*DN111/Thousand</f>
        <v>6390.97623897595</v>
      </c>
      <c r="DO113" s="33" t="n">
        <f aca="false">DO112*DO111/Thousand</f>
        <v>6371.80331025902</v>
      </c>
      <c r="DP113" s="33" t="n">
        <f aca="false">DP112*DP111/Thousand</f>
        <v>6295.61870546244</v>
      </c>
      <c r="DQ113" s="33" t="n">
        <f aca="false">DQ112*DQ111/Thousand</f>
        <v>6365.57002441203</v>
      </c>
      <c r="DR113" s="33" t="n">
        <f aca="false">DR112*DR111/Thousand</f>
        <v>6435.52134336161</v>
      </c>
      <c r="DS113" s="33" t="n">
        <f aca="false">DS112*DS111/Thousand</f>
        <v>6416.21477933153</v>
      </c>
      <c r="DT113" s="33" t="n">
        <f aca="false">DT112*DT111/Thousand</f>
        <v>6339.49916783952</v>
      </c>
      <c r="DU113" s="33" t="n">
        <f aca="false">DU112*DU111/Thousand</f>
        <v>6409.93804748218</v>
      </c>
      <c r="DV113" s="33" t="n">
        <f aca="false">DV112*DV111/Thousand</f>
        <v>6480.37692712484</v>
      </c>
      <c r="DW113" s="33" t="n">
        <f aca="false">DW112*DW111/Thousand</f>
        <v>6460.93579634347</v>
      </c>
      <c r="DX113" s="33" t="n">
        <f aca="false">DX112*DX111/Thousand</f>
        <v>6454.61531567313</v>
      </c>
      <c r="DY113" s="33" t="n">
        <f aca="false">DY112*DY111/Thousand</f>
        <v>6454.61531567313</v>
      </c>
      <c r="DZ113" s="33" t="n">
        <f aca="false">DZ112*DZ111/Thousand</f>
        <v>6525.5451543069</v>
      </c>
      <c r="EA113" s="33" t="n">
        <f aca="false">EA112*EA111/Thousand</f>
        <v>6505.96851884398</v>
      </c>
      <c r="EB113" s="33" t="n">
        <f aca="false">EB112*EB111/Thousand</f>
        <v>6428.17976481433</v>
      </c>
      <c r="EC113" s="33" t="n">
        <f aca="false">EC112*EC111/Thousand</f>
        <v>6499.60398442337</v>
      </c>
      <c r="ED113" s="33" t="n">
        <f aca="false">ED112*ED111/Thousand</f>
        <v>6571.02820403242</v>
      </c>
      <c r="EE113" s="33" t="n">
        <f aca="false">EE112*EE111/Thousand</f>
        <v>6551.31511942033</v>
      </c>
      <c r="EF113" s="33" t="n">
        <f aca="false">EF112*EF111/Thousand</f>
        <v>6472.98417777508</v>
      </c>
      <c r="EG113" s="33" t="n">
        <f aca="false">EG112*EG111/Thousand</f>
        <v>6544.90622419481</v>
      </c>
      <c r="EH113" s="33" t="n">
        <f aca="false">EH112*EH111/Thousand</f>
        <v>6616.82827061453</v>
      </c>
      <c r="EI113" s="33" t="n">
        <f aca="false">EI112*EI111/Thousand</f>
        <v>6596.97778580269</v>
      </c>
      <c r="EJ113" s="33" t="n">
        <f aca="false">EJ112*EJ111/Thousand</f>
        <v>6518.10087749417</v>
      </c>
      <c r="EK113" s="33" t="n">
        <f aca="false">EK112*EK111/Thousand</f>
        <v>6590.52422057744</v>
      </c>
      <c r="EL113" s="33" t="n">
        <f aca="false">EL112*EL111/Thousand</f>
        <v>6662.94756366071</v>
      </c>
      <c r="EM113" s="33" t="n">
        <f aca="false">EM112*EM111/Thousand</f>
        <v>6642.95872096973</v>
      </c>
      <c r="EN113" s="33" t="n">
        <f aca="false">EN112*EN111/Thousand</f>
        <v>6636.46017439487</v>
      </c>
      <c r="EO113" s="33" t="n">
        <f aca="false">EO112*EO111/Thousand</f>
        <v>6636.46017439487</v>
      </c>
      <c r="EP113" s="33" t="n">
        <f aca="false">EP112*EP111/Thousand</f>
        <v>6709.38830817943</v>
      </c>
      <c r="EQ113" s="33" t="n">
        <f aca="false">EQ112*EQ111/Thousand</f>
        <v>6689.26014325489</v>
      </c>
      <c r="ER113" s="33" t="n">
        <f aca="false">ER112*ER111/Thousand</f>
        <v>6609.27985893336</v>
      </c>
      <c r="ES113" s="33" t="n">
        <f aca="false">ES112*ES111/Thousand</f>
        <v>6682.7163018104</v>
      </c>
      <c r="ET113" s="33" t="n">
        <f aca="false">ET112*ET111/Thousand</f>
        <v>6756.15274468744</v>
      </c>
    </row>
    <row r="114" customFormat="false" ht="15" hidden="false" customHeight="false" outlineLevel="0" collapsed="false">
      <c r="C114" s="0" t="s">
        <v>567</v>
      </c>
      <c r="D114" s="11" t="s">
        <v>253</v>
      </c>
      <c r="I114" s="33" t="n">
        <f aca="false">SUM(J114:ET114)</f>
        <v>-51382.5373327149</v>
      </c>
      <c r="J114" s="33" t="n">
        <f aca="false">-In_Var_Opex*J112*J110/Thousand</f>
        <v>-0</v>
      </c>
      <c r="K114" s="33" t="n">
        <f aca="false">-In_Var_Opex*K112*K110/Thousand</f>
        <v>-0</v>
      </c>
      <c r="L114" s="33" t="n">
        <f aca="false">-In_Var_Opex*L112*L110/Thousand</f>
        <v>-0</v>
      </c>
      <c r="M114" s="33" t="n">
        <f aca="false">-In_Var_Opex*M112*M110/Thousand</f>
        <v>-0</v>
      </c>
      <c r="N114" s="33" t="n">
        <f aca="false">-In_Var_Opex*N112*N110/Thousand</f>
        <v>-0</v>
      </c>
      <c r="O114" s="33" t="n">
        <f aca="false">-In_Var_Opex*O112*O110/Thousand</f>
        <v>-0</v>
      </c>
      <c r="P114" s="33" t="n">
        <f aca="false">-In_Var_Opex*P112*P110/Thousand</f>
        <v>-0</v>
      </c>
      <c r="Q114" s="33" t="n">
        <f aca="false">-In_Var_Opex*Q112*Q110/Thousand</f>
        <v>-0</v>
      </c>
      <c r="R114" s="33" t="n">
        <f aca="false">-In_Var_Opex*R112*R110/Thousand</f>
        <v>-0</v>
      </c>
      <c r="S114" s="33" t="n">
        <f aca="false">-In_Var_Opex*S112*S110/Thousand</f>
        <v>-0</v>
      </c>
      <c r="T114" s="33" t="n">
        <f aca="false">-In_Var_Opex*T112*T110/Thousand</f>
        <v>-0</v>
      </c>
      <c r="U114" s="33" t="n">
        <f aca="false">-In_Var_Opex*U112*U110/Thousand</f>
        <v>-0</v>
      </c>
      <c r="V114" s="33" t="n">
        <f aca="false">-In_Var_Opex*V112*V110/Thousand</f>
        <v>-0</v>
      </c>
      <c r="W114" s="33" t="n">
        <f aca="false">-In_Var_Opex*W112*W110/Thousand</f>
        <v>-0</v>
      </c>
      <c r="X114" s="33" t="n">
        <f aca="false">-In_Var_Opex*X112*X110/Thousand</f>
        <v>-0</v>
      </c>
      <c r="Y114" s="33" t="n">
        <f aca="false">-In_Var_Opex*Y112*Y110/Thousand</f>
        <v>-0</v>
      </c>
      <c r="Z114" s="33" t="n">
        <f aca="false">-In_Var_Opex*Z112*Z110/Thousand</f>
        <v>-0</v>
      </c>
      <c r="AA114" s="33" t="n">
        <f aca="false">-In_Var_Opex*AA112*AA110/Thousand</f>
        <v>-0</v>
      </c>
      <c r="AB114" s="33" t="n">
        <f aca="false">-In_Var_Opex*AB112*AB110/Thousand</f>
        <v>-0</v>
      </c>
      <c r="AC114" s="33" t="n">
        <f aca="false">-In_Var_Opex*AC112*AC110/Thousand</f>
        <v>-0</v>
      </c>
      <c r="AD114" s="33" t="n">
        <f aca="false">-In_Var_Opex*AD112*AD110/Thousand</f>
        <v>-0</v>
      </c>
      <c r="AE114" s="33" t="n">
        <f aca="false">-In_Var_Opex*AE112*AE110/Thousand</f>
        <v>-303.826849315069</v>
      </c>
      <c r="AF114" s="33" t="n">
        <f aca="false">-In_Var_Opex*AF112*AF110/Thousand</f>
        <v>-308.037493150685</v>
      </c>
      <c r="AG114" s="33" t="n">
        <f aca="false">-In_Var_Opex*AG112*AG110/Thousand</f>
        <v>-308.037493150685</v>
      </c>
      <c r="AH114" s="33" t="n">
        <f aca="false">-In_Var_Opex*AH112*AH110/Thousand</f>
        <v>-311.422520547945</v>
      </c>
      <c r="AI114" s="33" t="n">
        <f aca="false">-In_Var_Opex*AI112*AI110/Thousand</f>
        <v>-310.488252986301</v>
      </c>
      <c r="AJ114" s="33" t="n">
        <f aca="false">-In_Var_Opex*AJ112*AJ110/Thousand</f>
        <v>-311.331971065068</v>
      </c>
      <c r="AK114" s="33" t="n">
        <f aca="false">-In_Var_Opex*AK112*AK110/Thousand</f>
        <v>-314.791215188014</v>
      </c>
      <c r="AL114" s="33" t="n">
        <f aca="false">-In_Var_Opex*AL112*AL110/Thousand</f>
        <v>-318.250459310959</v>
      </c>
      <c r="AM114" s="33" t="n">
        <f aca="false">-In_Var_Opex*AM112*AM110/Thousand</f>
        <v>-317.295707933026</v>
      </c>
      <c r="AN114" s="33" t="n">
        <f aca="false">-In_Var_Opex*AN112*AN110/Thousand</f>
        <v>-318.15792453067</v>
      </c>
      <c r="AO114" s="33" t="n">
        <f aca="false">-In_Var_Opex*AO112*AO110/Thousand</f>
        <v>-321.693012581011</v>
      </c>
      <c r="AP114" s="33" t="n">
        <f aca="false">-In_Var_Opex*AP112*AP110/Thousand</f>
        <v>-325.228100631352</v>
      </c>
      <c r="AQ114" s="33" t="n">
        <f aca="false">-In_Var_Opex*AQ112*AQ110/Thousand</f>
        <v>-324.252416329458</v>
      </c>
      <c r="AR114" s="33" t="n">
        <f aca="false">-In_Var_Opex*AR112*AR110/Thousand</f>
        <v>-325.133537026005</v>
      </c>
      <c r="AS114" s="33" t="n">
        <f aca="false">-In_Var_Opex*AS112*AS110/Thousand</f>
        <v>-328.746131881849</v>
      </c>
      <c r="AT114" s="33" t="n">
        <f aca="false">-In_Var_Opex*AT112*AT110/Thousand</f>
        <v>-332.358726737694</v>
      </c>
      <c r="AU114" s="33" t="n">
        <f aca="false">-In_Var_Opex*AU112*AU110/Thousand</f>
        <v>-331.361650557481</v>
      </c>
      <c r="AV114" s="33" t="n">
        <f aca="false">-In_Var_Opex*AV112*AV110/Thousand</f>
        <v>-335.953890823359</v>
      </c>
      <c r="AW114" s="33" t="n">
        <f aca="false">-In_Var_Opex*AW112*AW110/Thousand</f>
        <v>-335.953890823359</v>
      </c>
      <c r="AX114" s="33" t="n">
        <f aca="false">-In_Var_Opex*AX112*AX110/Thousand</f>
        <v>-339.645691821418</v>
      </c>
      <c r="AY114" s="33" t="n">
        <f aca="false">-In_Var_Opex*AY112*AY110/Thousand</f>
        <v>-338.626754745954</v>
      </c>
      <c r="AZ114" s="33" t="n">
        <f aca="false">-In_Var_Opex*AZ112*AZ110/Thousand</f>
        <v>-339.54693614472</v>
      </c>
      <c r="BA114" s="33" t="n">
        <f aca="false">-In_Var_Opex*BA112*BA110/Thousand</f>
        <v>-343.319679879661</v>
      </c>
      <c r="BB114" s="33" t="n">
        <f aca="false">-In_Var_Opex*BB112*BB110/Thousand</f>
        <v>-347.092423614602</v>
      </c>
      <c r="BC114" s="33" t="n">
        <f aca="false">-In_Var_Opex*BC112*BC110/Thousand</f>
        <v>-346.051146343759</v>
      </c>
      <c r="BD114" s="33" t="n">
        <f aca="false">-In_Var_Opex*BD112*BD110/Thousand</f>
        <v>-346.991502719693</v>
      </c>
      <c r="BE114" s="33" t="n">
        <f aca="false">-In_Var_Opex*BE112*BE110/Thousand</f>
        <v>-350.846963861023</v>
      </c>
      <c r="BF114" s="33" t="n">
        <f aca="false">-In_Var_Opex*BF112*BF110/Thousand</f>
        <v>-354.702425002353</v>
      </c>
      <c r="BG114" s="33" t="n">
        <f aca="false">-In_Var_Opex*BG112*BG110/Thousand</f>
        <v>-353.638317727346</v>
      </c>
      <c r="BH114" s="33" t="n">
        <f aca="false">-In_Var_Opex*BH112*BH110/Thousand</f>
        <v>-354.599291416822</v>
      </c>
      <c r="BI114" s="33" t="n">
        <f aca="false">-In_Var_Opex*BI112*BI110/Thousand</f>
        <v>-358.539283543675</v>
      </c>
      <c r="BJ114" s="33" t="n">
        <f aca="false">-In_Var_Opex*BJ112*BJ110/Thousand</f>
        <v>-362.479275670529</v>
      </c>
      <c r="BK114" s="33" t="n">
        <f aca="false">-In_Var_Opex*BK112*BK110/Thousand</f>
        <v>-361.391837843517</v>
      </c>
      <c r="BL114" s="33" t="n">
        <f aca="false">-In_Var_Opex*BL112*BL110/Thousand</f>
        <v>-366.400257335371</v>
      </c>
      <c r="BM114" s="33" t="n">
        <f aca="false">-In_Var_Opex*BM112*BM110/Thousand</f>
        <v>-366.400257335371</v>
      </c>
      <c r="BN114" s="33" t="n">
        <f aca="false">-In_Var_Opex*BN112*BN110/Thousand</f>
        <v>-370.426633789605</v>
      </c>
      <c r="BO114" s="33" t="n">
        <f aca="false">-In_Var_Opex*BO112*BO110/Thousand</f>
        <v>-369.315353888237</v>
      </c>
      <c r="BP114" s="33" t="n">
        <f aca="false">-In_Var_Opex*BP112*BP110/Thousand</f>
        <v>-370.318928219455</v>
      </c>
      <c r="BQ114" s="33" t="n">
        <f aca="false">-In_Var_Opex*BQ112*BQ110/Thousand</f>
        <v>-374.433582977449</v>
      </c>
      <c r="BR114" s="33" t="n">
        <f aca="false">-In_Var_Opex*BR112*BR110/Thousand</f>
        <v>-378.548237735442</v>
      </c>
      <c r="BS114" s="33" t="n">
        <f aca="false">-In_Var_Opex*BS112*BS110/Thousand</f>
        <v>-377.412593022236</v>
      </c>
      <c r="BT114" s="33" t="n">
        <f aca="false">-In_Var_Opex*BT112*BT110/Thousand</f>
        <v>-378.438170720666</v>
      </c>
      <c r="BU114" s="33" t="n">
        <f aca="false">-In_Var_Opex*BU112*BU110/Thousand</f>
        <v>-382.643039284229</v>
      </c>
      <c r="BV114" s="33" t="n">
        <f aca="false">-In_Var_Opex*BV112*BV110/Thousand</f>
        <v>-386.847907847792</v>
      </c>
      <c r="BW114" s="33" t="n">
        <f aca="false">-In_Var_Opex*BW112*BW110/Thousand</f>
        <v>-385.687364124249</v>
      </c>
      <c r="BX114" s="33" t="n">
        <f aca="false">-In_Var_Opex*BX112*BX110/Thousand</f>
        <v>-386.735427613717</v>
      </c>
      <c r="BY114" s="33" t="n">
        <f aca="false">-In_Var_Opex*BY112*BY110/Thousand</f>
        <v>-391.032487920536</v>
      </c>
      <c r="BZ114" s="33" t="n">
        <f aca="false">-In_Var_Opex*BZ112*BZ110/Thousand</f>
        <v>-395.329548227355</v>
      </c>
      <c r="CA114" s="33" t="n">
        <f aca="false">-In_Var_Opex*CA112*CA110/Thousand</f>
        <v>-394.143559582673</v>
      </c>
      <c r="CB114" s="33" t="n">
        <f aca="false">-In_Var_Opex*CB112*CB110/Thousand</f>
        <v>-399.605875218193</v>
      </c>
      <c r="CC114" s="33" t="n">
        <f aca="false">-In_Var_Opex*CC112*CC110/Thousand</f>
        <v>-399.605875218193</v>
      </c>
      <c r="CD114" s="33" t="n">
        <f aca="false">-In_Var_Opex*CD112*CD110/Thousand</f>
        <v>-403.99714857224</v>
      </c>
      <c r="CE114" s="33" t="n">
        <f aca="false">-In_Var_Opex*CE112*CE110/Thousand</f>
        <v>-402.785157126523</v>
      </c>
      <c r="CF114" s="33" t="n">
        <f aca="false">-In_Var_Opex*CF112*CF110/Thousand</f>
        <v>-403.879682010019</v>
      </c>
      <c r="CG114" s="33" t="n">
        <f aca="false">-In_Var_Opex*CG112*CG110/Thousand</f>
        <v>-408.367234032352</v>
      </c>
      <c r="CH114" s="33" t="n">
        <f aca="false">-In_Var_Opex*CH112*CH110/Thousand</f>
        <v>-412.854786054686</v>
      </c>
      <c r="CI114" s="33" t="n">
        <f aca="false">-In_Var_Opex*CI112*CI110/Thousand</f>
        <v>-411.616221696522</v>
      </c>
      <c r="CJ114" s="33" t="n">
        <f aca="false">-In_Var_Opex*CJ112*CJ110/Thousand</f>
        <v>-412.734744038088</v>
      </c>
      <c r="CK114" s="33" t="n">
        <f aca="false">-In_Var_Opex*CK112*CK110/Thousand</f>
        <v>-417.320685638512</v>
      </c>
      <c r="CL114" s="33" t="n">
        <f aca="false">-In_Var_Opex*CL112*CL110/Thousand</f>
        <v>-421.906627238935</v>
      </c>
      <c r="CM114" s="33" t="n">
        <f aca="false">-In_Var_Opex*CM112*CM110/Thousand</f>
        <v>-420.640907357218</v>
      </c>
      <c r="CN114" s="33" t="n">
        <f aca="false">-In_Var_Opex*CN112*CN110/Thousand</f>
        <v>-421.783953301123</v>
      </c>
      <c r="CO114" s="33" t="n">
        <f aca="false">-In_Var_Opex*CO112*CO110/Thousand</f>
        <v>-426.470441671136</v>
      </c>
      <c r="CP114" s="33" t="n">
        <f aca="false">-In_Var_Opex*CP112*CP110/Thousand</f>
        <v>-431.156930041149</v>
      </c>
      <c r="CQ114" s="33" t="n">
        <f aca="false">-In_Var_Opex*CQ112*CQ110/Thousand</f>
        <v>-429.863459251025</v>
      </c>
      <c r="CR114" s="33" t="n">
        <f aca="false">-In_Var_Opex*CR112*CR110/Thousand</f>
        <v>-435.820806104776</v>
      </c>
      <c r="CS114" s="33" t="n">
        <f aca="false">-In_Var_Opex*CS112*CS110/Thousand</f>
        <v>-435.820806104776</v>
      </c>
      <c r="CT114" s="33" t="n">
        <f aca="false">-In_Var_Opex*CT112*CT110/Thousand</f>
        <v>-440.610045732301</v>
      </c>
      <c r="CU114" s="33" t="n">
        <f aca="false">-In_Var_Opex*CU112*CU110/Thousand</f>
        <v>-439.288215595104</v>
      </c>
      <c r="CV114" s="33" t="n">
        <f aca="false">-In_Var_Opex*CV112*CV110/Thousand</f>
        <v>-440.481933572264</v>
      </c>
      <c r="CW114" s="33" t="n">
        <f aca="false">-In_Var_Opex*CW112*CW110/Thousand</f>
        <v>-445.376177278623</v>
      </c>
      <c r="CX114" s="33" t="n">
        <f aca="false">-In_Var_Opex*CX112*CX110/Thousand</f>
        <v>-450.270420984981</v>
      </c>
      <c r="CY114" s="33" t="n">
        <f aca="false">-In_Var_Opex*CY112*CY110/Thousand</f>
        <v>-448.919609722026</v>
      </c>
      <c r="CZ114" s="33" t="n">
        <f aca="false">-In_Var_Opex*CZ112*CZ110/Thousand</f>
        <v>-450.139499965836</v>
      </c>
      <c r="DA114" s="33" t="n">
        <f aca="false">-In_Var_Opex*DA112*DA110/Thousand</f>
        <v>-455.141049965457</v>
      </c>
      <c r="DB114" s="33" t="n">
        <f aca="false">-In_Var_Opex*DB112*DB110/Thousand</f>
        <v>-460.142599965077</v>
      </c>
      <c r="DC114" s="33" t="n">
        <f aca="false">-In_Var_Opex*DC112*DC110/Thousand</f>
        <v>-458.762172165182</v>
      </c>
      <c r="DD114" s="33" t="n">
        <f aca="false">-In_Var_Opex*DD112*DD110/Thousand</f>
        <v>-460.008808502587</v>
      </c>
      <c r="DE114" s="33" t="n">
        <f aca="false">-In_Var_Opex*DE112*DE110/Thousand</f>
        <v>-465.120017485949</v>
      </c>
      <c r="DF114" s="33" t="n">
        <f aca="false">-In_Var_Opex*DF112*DF110/Thousand</f>
        <v>-470.231226469311</v>
      </c>
      <c r="DG114" s="33" t="n">
        <f aca="false">-In_Var_Opex*DG112*DG110/Thousand</f>
        <v>-468.820532789903</v>
      </c>
      <c r="DH114" s="33" t="n">
        <f aca="false">-In_Var_Opex*DH112*DH110/Thousand</f>
        <v>-475.317773869328</v>
      </c>
      <c r="DI114" s="33" t="n">
        <f aca="false">-In_Var_Opex*DI112*DI110/Thousand</f>
        <v>-475.317773869328</v>
      </c>
      <c r="DJ114" s="33" t="n">
        <f aca="false">-In_Var_Opex*DJ112*DJ110/Thousand</f>
        <v>-480.541046109651</v>
      </c>
      <c r="DK114" s="33" t="n">
        <f aca="false">-In_Var_Opex*DK112*DK110/Thousand</f>
        <v>-479.099422971322</v>
      </c>
      <c r="DL114" s="33" t="n">
        <f aca="false">-In_Var_Opex*DL112*DL110/Thousand</f>
        <v>-480.401323577222</v>
      </c>
      <c r="DM114" s="33" t="n">
        <f aca="false">-In_Var_Opex*DM112*DM110/Thousand</f>
        <v>-485.739116061413</v>
      </c>
      <c r="DN114" s="33" t="n">
        <f aca="false">-In_Var_Opex*DN112*DN110/Thousand</f>
        <v>-491.076908545605</v>
      </c>
      <c r="DO114" s="33" t="n">
        <f aca="false">-In_Var_Opex*DO112*DO110/Thousand</f>
        <v>-489.603677819968</v>
      </c>
      <c r="DP114" s="33" t="n">
        <f aca="false">-In_Var_Opex*DP112*DP110/Thousand</f>
        <v>-490.934122596653</v>
      </c>
      <c r="DQ114" s="33" t="n">
        <f aca="false">-In_Var_Opex*DQ112*DQ110/Thousand</f>
        <v>-496.38894618106</v>
      </c>
      <c r="DR114" s="33" t="n">
        <f aca="false">-In_Var_Opex*DR112*DR110/Thousand</f>
        <v>-501.843769765467</v>
      </c>
      <c r="DS114" s="33" t="n">
        <f aca="false">-In_Var_Opex*DS112*DS110/Thousand</f>
        <v>-500.338238456171</v>
      </c>
      <c r="DT114" s="33" t="n">
        <f aca="false">-In_Var_Opex*DT112*DT110/Thousand</f>
        <v>-501.697853234584</v>
      </c>
      <c r="DU114" s="33" t="n">
        <f aca="false">-In_Var_Opex*DU112*DU110/Thousand</f>
        <v>-507.27227382608</v>
      </c>
      <c r="DV114" s="33" t="n">
        <f aca="false">-In_Var_Opex*DV112*DV110/Thousand</f>
        <v>-512.846694417575</v>
      </c>
      <c r="DW114" s="33" t="n">
        <f aca="false">-In_Var_Opex*DW112*DW110/Thousand</f>
        <v>-511.308154334322</v>
      </c>
      <c r="DX114" s="33" t="n">
        <f aca="false">-In_Var_Opex*DX112*DX110/Thousand</f>
        <v>-518.394218429716</v>
      </c>
      <c r="DY114" s="33" t="n">
        <f aca="false">-In_Var_Opex*DY112*DY110/Thousand</f>
        <v>-518.394218429716</v>
      </c>
      <c r="DZ114" s="33" t="n">
        <f aca="false">-In_Var_Opex*DZ112*DZ110/Thousand</f>
        <v>-524.09085819268</v>
      </c>
      <c r="EA114" s="33" t="n">
        <f aca="false">-In_Var_Opex*EA112*EA110/Thousand</f>
        <v>-522.518585618102</v>
      </c>
      <c r="EB114" s="33" t="n">
        <f aca="false">-In_Var_Opex*EB112*EB110/Thousand</f>
        <v>-523.938473079021</v>
      </c>
      <c r="EC114" s="33" t="n">
        <f aca="false">-In_Var_Opex*EC112*EC110/Thousand</f>
        <v>-529.760011668788</v>
      </c>
      <c r="ED114" s="33" t="n">
        <f aca="false">-In_Var_Opex*ED112*ED110/Thousand</f>
        <v>-535.581550258555</v>
      </c>
      <c r="EE114" s="33" t="n">
        <f aca="false">-In_Var_Opex*EE112*EE110/Thousand</f>
        <v>-533.974805607779</v>
      </c>
      <c r="EF114" s="33" t="n">
        <f aca="false">-In_Var_Opex*EF112*EF110/Thousand</f>
        <v>-535.425824101278</v>
      </c>
      <c r="EG114" s="33" t="n">
        <f aca="false">-In_Var_Opex*EG112*EG110/Thousand</f>
        <v>-541.374999924626</v>
      </c>
      <c r="EH114" s="33" t="n">
        <f aca="false">-In_Var_Opex*EH112*EH110/Thousand</f>
        <v>-547.324175747974</v>
      </c>
      <c r="EI114" s="33" t="n">
        <f aca="false">-In_Var_Opex*EI112*EI110/Thousand</f>
        <v>-545.68220322073</v>
      </c>
      <c r="EJ114" s="33" t="n">
        <f aca="false">-In_Var_Opex*EJ112*EJ110/Thousand</f>
        <v>-547.165035294699</v>
      </c>
      <c r="EK114" s="33" t="n">
        <f aca="false">-In_Var_Opex*EK112*EK110/Thousand</f>
        <v>-553.244646797973</v>
      </c>
      <c r="EL114" s="33" t="n">
        <f aca="false">-In_Var_Opex*EL112*EL110/Thousand</f>
        <v>-559.324258301248</v>
      </c>
      <c r="EM114" s="33" t="n">
        <f aca="false">-In_Var_Opex*EM112*EM110/Thousand</f>
        <v>-557.646285526344</v>
      </c>
      <c r="EN114" s="33" t="n">
        <f aca="false">-In_Var_Opex*EN112*EN110/Thousand</f>
        <v>-565.374535679019</v>
      </c>
      <c r="EO114" s="33" t="n">
        <f aca="false">-In_Var_Opex*EO112*EO110/Thousand</f>
        <v>-565.374535679019</v>
      </c>
      <c r="EP114" s="33" t="n">
        <f aca="false">-In_Var_Opex*EP112*EP110/Thousand</f>
        <v>-571.587442664503</v>
      </c>
      <c r="EQ114" s="33" t="n">
        <f aca="false">-In_Var_Opex*EQ112*EQ110/Thousand</f>
        <v>-569.872680336509</v>
      </c>
      <c r="ER114" s="33" t="n">
        <f aca="false">-In_Var_Opex*ER112*ER110/Thousand</f>
        <v>-571.421247402641</v>
      </c>
      <c r="ES114" s="33" t="n">
        <f aca="false">-In_Var_Opex*ES112*ES110/Thousand</f>
        <v>-577.770372373781</v>
      </c>
      <c r="ET114" s="33" t="n">
        <f aca="false">-In_Var_Opex*ET112*ET110/Thousand</f>
        <v>-584.119497344922</v>
      </c>
    </row>
    <row r="115" customFormat="false" ht="15" hidden="false" customHeight="false" outlineLevel="0" collapsed="false">
      <c r="C115" s="0" t="s">
        <v>568</v>
      </c>
      <c r="D115" s="11" t="s">
        <v>253</v>
      </c>
      <c r="I115" s="33" t="n">
        <f aca="false">SUM(J115:ET115)</f>
        <v>-105177.037405926</v>
      </c>
      <c r="J115" s="33" t="n">
        <f aca="false">-(In_Fixed_Opex*$F24+In_Admin)*J110*J15*J$6</f>
        <v>-0</v>
      </c>
      <c r="K115" s="33" t="n">
        <f aca="false">-(In_Fixed_Opex*$F24+In_Admin)*K110*K15*K$6</f>
        <v>-0</v>
      </c>
      <c r="L115" s="33" t="n">
        <f aca="false">-(In_Fixed_Opex*$F24+In_Admin)*L110*L15*L$6</f>
        <v>-0</v>
      </c>
      <c r="M115" s="33" t="n">
        <f aca="false">-(In_Fixed_Opex*$F24+In_Admin)*M110*M15*M$6</f>
        <v>-0</v>
      </c>
      <c r="N115" s="33" t="n">
        <f aca="false">-(In_Fixed_Opex*$F24+In_Admin)*N110*N15*N$6</f>
        <v>-0</v>
      </c>
      <c r="O115" s="33" t="n">
        <f aca="false">-(In_Fixed_Opex*$F24+In_Admin)*O110*O15*O$6</f>
        <v>-0</v>
      </c>
      <c r="P115" s="33" t="n">
        <f aca="false">-(In_Fixed_Opex*$F24+In_Admin)*P110*P15*P$6</f>
        <v>-0</v>
      </c>
      <c r="Q115" s="33" t="n">
        <f aca="false">-(In_Fixed_Opex*$F24+In_Admin)*Q110*Q15*Q$6</f>
        <v>-0</v>
      </c>
      <c r="R115" s="33" t="n">
        <f aca="false">-(In_Fixed_Opex*$F24+In_Admin)*R110*R15*R$6</f>
        <v>-0</v>
      </c>
      <c r="S115" s="33" t="n">
        <f aca="false">-(In_Fixed_Opex*$F24+In_Admin)*S110*S15*S$6</f>
        <v>-0</v>
      </c>
      <c r="T115" s="33" t="n">
        <f aca="false">-(In_Fixed_Opex*$F24+In_Admin)*T110*T15*T$6</f>
        <v>-0</v>
      </c>
      <c r="U115" s="33" t="n">
        <f aca="false">-(In_Fixed_Opex*$F24+In_Admin)*U110*U15*U$6</f>
        <v>-0</v>
      </c>
      <c r="V115" s="33" t="n">
        <f aca="false">-(In_Fixed_Opex*$F24+In_Admin)*V110*V15*V$6</f>
        <v>-0</v>
      </c>
      <c r="W115" s="33" t="n">
        <f aca="false">-(In_Fixed_Opex*$F24+In_Admin)*W110*W15*W$6</f>
        <v>-0</v>
      </c>
      <c r="X115" s="33" t="n">
        <f aca="false">-(In_Fixed_Opex*$F24+In_Admin)*X110*X15*X$6</f>
        <v>-0</v>
      </c>
      <c r="Y115" s="33" t="n">
        <f aca="false">-(In_Fixed_Opex*$F24+In_Admin)*Y110*Y15*Y$6</f>
        <v>-0</v>
      </c>
      <c r="Z115" s="33" t="n">
        <f aca="false">-(In_Fixed_Opex*$F24+In_Admin)*Z110*Z15*Z$6</f>
        <v>-0</v>
      </c>
      <c r="AA115" s="33" t="n">
        <f aca="false">-(In_Fixed_Opex*$F24+In_Admin)*AA110*AA15*AA$6</f>
        <v>-0</v>
      </c>
      <c r="AB115" s="33" t="n">
        <f aca="false">-(In_Fixed_Opex*$F24+In_Admin)*AB110*AB15*AB$6</f>
        <v>-0</v>
      </c>
      <c r="AC115" s="33" t="n">
        <f aca="false">-(In_Fixed_Opex*$F24+In_Admin)*AC110*AC15*AC$6</f>
        <v>-0</v>
      </c>
      <c r="AD115" s="33" t="n">
        <f aca="false">-(In_Fixed_Opex*$F24+In_Admin)*AD110*AD15*AD$6</f>
        <v>-0</v>
      </c>
      <c r="AE115" s="33" t="n">
        <f aca="false">-(In_Fixed_Opex*$F24+In_Admin)*AE110*AE15*AE$6</f>
        <v>-592.328767123288</v>
      </c>
      <c r="AF115" s="33" t="n">
        <f aca="false">-(In_Fixed_Opex*$F24+In_Admin)*AF110*AF15*AF$6</f>
        <v>-600.537671232877</v>
      </c>
      <c r="AG115" s="33" t="n">
        <f aca="false">-(In_Fixed_Opex*$F24+In_Admin)*AG110*AG15*AG$6</f>
        <v>-600.537671232877</v>
      </c>
      <c r="AH115" s="33" t="n">
        <f aca="false">-(In_Fixed_Opex*$F24+In_Admin)*AH110*AH15*AH$6</f>
        <v>-607.13698630137</v>
      </c>
      <c r="AI115" s="33" t="n">
        <f aca="false">-(In_Fixed_Opex*$F24+In_Admin)*AI110*AI15*AI$6</f>
        <v>-607.13698630137</v>
      </c>
      <c r="AJ115" s="33" t="n">
        <f aca="false">-(In_Fixed_Opex*$F24+In_Admin)*AJ110*AJ15*AJ$6</f>
        <v>-608.786815068493</v>
      </c>
      <c r="AK115" s="33" t="n">
        <f aca="false">-(In_Fixed_Opex*$F24+In_Admin)*AK110*AK15*AK$6</f>
        <v>-615.551113013699</v>
      </c>
      <c r="AL115" s="33" t="n">
        <f aca="false">-(In_Fixed_Opex*$F24+In_Admin)*AL110*AL15*AL$6</f>
        <v>-622.315410958904</v>
      </c>
      <c r="AM115" s="33" t="n">
        <f aca="false">-(In_Fixed_Opex*$F24+In_Admin)*AM110*AM15*AM$6</f>
        <v>-622.315410958904</v>
      </c>
      <c r="AN115" s="33" t="n">
        <f aca="false">-(In_Fixed_Opex*$F24+In_Admin)*AN110*AN15*AN$6</f>
        <v>-624.006485445205</v>
      </c>
      <c r="AO115" s="33" t="n">
        <f aca="false">-(In_Fixed_Opex*$F24+In_Admin)*AO110*AO15*AO$6</f>
        <v>-630.939890839041</v>
      </c>
      <c r="AP115" s="33" t="n">
        <f aca="false">-(In_Fixed_Opex*$F24+In_Admin)*AP110*AP15*AP$6</f>
        <v>-637.873296232877</v>
      </c>
      <c r="AQ115" s="33" t="n">
        <f aca="false">-(In_Fixed_Opex*$F24+In_Admin)*AQ110*AQ15*AQ$6</f>
        <v>-637.873296232877</v>
      </c>
      <c r="AR115" s="33" t="n">
        <f aca="false">-(In_Fixed_Opex*$F24+In_Admin)*AR110*AR15*AR$6</f>
        <v>-639.606647581335</v>
      </c>
      <c r="AS115" s="33" t="n">
        <f aca="false">-(In_Fixed_Opex*$F24+In_Admin)*AS110*AS15*AS$6</f>
        <v>-646.713388110017</v>
      </c>
      <c r="AT115" s="33" t="n">
        <f aca="false">-(In_Fixed_Opex*$F24+In_Admin)*AT110*AT15*AT$6</f>
        <v>-653.820128638698</v>
      </c>
      <c r="AU115" s="33" t="n">
        <f aca="false">-(In_Fixed_Opex*$F24+In_Admin)*AU110*AU15*AU$6</f>
        <v>-653.820128638698</v>
      </c>
      <c r="AV115" s="33" t="n">
        <f aca="false">-(In_Fixed_Opex*$F24+In_Admin)*AV110*AV15*AV$6</f>
        <v>-662.881222812767</v>
      </c>
      <c r="AW115" s="33" t="n">
        <f aca="false">-(In_Fixed_Opex*$F24+In_Admin)*AW110*AW15*AW$6</f>
        <v>-662.881222812767</v>
      </c>
      <c r="AX115" s="33" t="n">
        <f aca="false">-(In_Fixed_Opex*$F24+In_Admin)*AX110*AX15*AX$6</f>
        <v>-670.165631854666</v>
      </c>
      <c r="AY115" s="33" t="n">
        <f aca="false">-(In_Fixed_Opex*$F24+In_Admin)*AY110*AY15*AY$6</f>
        <v>-670.165631854666</v>
      </c>
      <c r="AZ115" s="33" t="n">
        <f aca="false">-(In_Fixed_Opex*$F24+In_Admin)*AZ110*AZ15*AZ$6</f>
        <v>-671.98673411514</v>
      </c>
      <c r="BA115" s="33" t="n">
        <f aca="false">-(In_Fixed_Opex*$F24+In_Admin)*BA110*BA15*BA$6</f>
        <v>-679.453253383086</v>
      </c>
      <c r="BB115" s="33" t="n">
        <f aca="false">-(In_Fixed_Opex*$F24+In_Admin)*BB110*BB15*BB$6</f>
        <v>-686.919772651032</v>
      </c>
      <c r="BC115" s="33" t="n">
        <f aca="false">-(In_Fixed_Opex*$F24+In_Admin)*BC110*BC15*BC$6</f>
        <v>-686.919772651032</v>
      </c>
      <c r="BD115" s="33" t="n">
        <f aca="false">-(In_Fixed_Opex*$F24+In_Admin)*BD110*BD15*BD$6</f>
        <v>-688.786402468019</v>
      </c>
      <c r="BE115" s="33" t="n">
        <f aca="false">-(In_Fixed_Opex*$F24+In_Admin)*BE110*BE15*BE$6</f>
        <v>-696.439584717664</v>
      </c>
      <c r="BF115" s="33" t="n">
        <f aca="false">-(In_Fixed_Opex*$F24+In_Admin)*BF110*BF15*BF$6</f>
        <v>-704.092766967308</v>
      </c>
      <c r="BG115" s="33" t="n">
        <f aca="false">-(In_Fixed_Opex*$F24+In_Admin)*BG110*BG15*BG$6</f>
        <v>-704.092766967308</v>
      </c>
      <c r="BH115" s="33" t="n">
        <f aca="false">-(In_Fixed_Opex*$F24+In_Admin)*BH110*BH15*BH$6</f>
        <v>-706.006062529719</v>
      </c>
      <c r="BI115" s="33" t="n">
        <f aca="false">-(In_Fixed_Opex*$F24+In_Admin)*BI110*BI15*BI$6</f>
        <v>-713.850574335605</v>
      </c>
      <c r="BJ115" s="33" t="n">
        <f aca="false">-(In_Fixed_Opex*$F24+In_Admin)*BJ110*BJ15*BJ$6</f>
        <v>-721.695086141491</v>
      </c>
      <c r="BK115" s="33" t="n">
        <f aca="false">-(In_Fixed_Opex*$F24+In_Admin)*BK110*BK15*BK$6</f>
        <v>-721.695086141491</v>
      </c>
      <c r="BL115" s="33" t="n">
        <f aca="false">-(In_Fixed_Opex*$F24+In_Admin)*BL110*BL15*BL$6</f>
        <v>-731.696838693995</v>
      </c>
      <c r="BM115" s="33" t="n">
        <f aca="false">-(In_Fixed_Opex*$F24+In_Admin)*BM110*BM15*BM$6</f>
        <v>-731.696838693995</v>
      </c>
      <c r="BN115" s="33" t="n">
        <f aca="false">-(In_Fixed_Opex*$F24+In_Admin)*BN110*BN15*BN$6</f>
        <v>-739.737463295028</v>
      </c>
      <c r="BO115" s="33" t="n">
        <f aca="false">-(In_Fixed_Opex*$F24+In_Admin)*BO110*BO15*BO$6</f>
        <v>-739.737463295028</v>
      </c>
      <c r="BP115" s="33" t="n">
        <f aca="false">-(In_Fixed_Opex*$F24+In_Admin)*BP110*BP15*BP$6</f>
        <v>-741.747619445286</v>
      </c>
      <c r="BQ115" s="33" t="n">
        <f aca="false">-(In_Fixed_Opex*$F24+In_Admin)*BQ110*BQ15*BQ$6</f>
        <v>-749.989259661345</v>
      </c>
      <c r="BR115" s="33" t="n">
        <f aca="false">-(In_Fixed_Opex*$F24+In_Admin)*BR110*BR15*BR$6</f>
        <v>-758.230899877404</v>
      </c>
      <c r="BS115" s="33" t="n">
        <f aca="false">-(In_Fixed_Opex*$F24+In_Admin)*BS110*BS15*BS$6</f>
        <v>-758.230899877404</v>
      </c>
      <c r="BT115" s="33" t="n">
        <f aca="false">-(In_Fixed_Opex*$F24+In_Admin)*BT110*BT15*BT$6</f>
        <v>-760.291309931418</v>
      </c>
      <c r="BU115" s="33" t="n">
        <f aca="false">-(In_Fixed_Opex*$F24+In_Admin)*BU110*BU15*BU$6</f>
        <v>-768.738991152879</v>
      </c>
      <c r="BV115" s="33" t="n">
        <f aca="false">-(In_Fixed_Opex*$F24+In_Admin)*BV110*BV15*BV$6</f>
        <v>-777.186672374339</v>
      </c>
      <c r="BW115" s="33" t="n">
        <f aca="false">-(In_Fixed_Opex*$F24+In_Admin)*BW110*BW15*BW$6</f>
        <v>-777.186672374339</v>
      </c>
      <c r="BX115" s="33" t="n">
        <f aca="false">-(In_Fixed_Opex*$F24+In_Admin)*BX110*BX15*BX$6</f>
        <v>-779.298592679704</v>
      </c>
      <c r="BY115" s="33" t="n">
        <f aca="false">-(In_Fixed_Opex*$F24+In_Admin)*BY110*BY15*BY$6</f>
        <v>-787.9574659317</v>
      </c>
      <c r="BZ115" s="33" t="n">
        <f aca="false">-(In_Fixed_Opex*$F24+In_Admin)*BZ110*BZ15*BZ$6</f>
        <v>-796.616339183697</v>
      </c>
      <c r="CA115" s="33" t="n">
        <f aca="false">-(In_Fixed_Opex*$F24+In_Admin)*CA110*CA15*CA$6</f>
        <v>-796.616339183697</v>
      </c>
      <c r="CB115" s="33" t="n">
        <f aca="false">-(In_Fixed_Opex*$F24+In_Admin)*CB110*CB15*CB$6</f>
        <v>-807.656402579993</v>
      </c>
      <c r="CC115" s="33" t="n">
        <f aca="false">-(In_Fixed_Opex*$F24+In_Admin)*CC110*CC15*CC$6</f>
        <v>-807.656402579993</v>
      </c>
      <c r="CD115" s="33" t="n">
        <f aca="false">-(In_Fixed_Opex*$F24+In_Admin)*CD110*CD15*CD$6</f>
        <v>-816.53174766329</v>
      </c>
      <c r="CE115" s="33" t="n">
        <f aca="false">-(In_Fixed_Opex*$F24+In_Admin)*CE110*CE15*CE$6</f>
        <v>-816.53174766329</v>
      </c>
      <c r="CF115" s="33" t="n">
        <f aca="false">-(In_Fixed_Opex*$F24+In_Admin)*CF110*CF15*CF$6</f>
        <v>-818.750583934114</v>
      </c>
      <c r="CG115" s="33" t="n">
        <f aca="false">-(In_Fixed_Opex*$F24+In_Admin)*CG110*CG15*CG$6</f>
        <v>-827.847812644493</v>
      </c>
      <c r="CH115" s="33" t="n">
        <f aca="false">-(In_Fixed_Opex*$F24+In_Admin)*CH110*CH15*CH$6</f>
        <v>-836.945041354872</v>
      </c>
      <c r="CI115" s="33" t="n">
        <f aca="false">-(In_Fixed_Opex*$F24+In_Admin)*CI110*CI15*CI$6</f>
        <v>-836.945041354872</v>
      </c>
      <c r="CJ115" s="33" t="n">
        <f aca="false">-(In_Fixed_Opex*$F24+In_Admin)*CJ110*CJ15*CJ$6</f>
        <v>-839.219348532466</v>
      </c>
      <c r="CK115" s="33" t="n">
        <f aca="false">-(In_Fixed_Opex*$F24+In_Admin)*CK110*CK15*CK$6</f>
        <v>-848.544007960605</v>
      </c>
      <c r="CL115" s="33" t="n">
        <f aca="false">-(In_Fixed_Opex*$F24+In_Admin)*CL110*CL15*CL$6</f>
        <v>-857.868667388743</v>
      </c>
      <c r="CM115" s="33" t="n">
        <f aca="false">-(In_Fixed_Opex*$F24+In_Admin)*CM110*CM15*CM$6</f>
        <v>-857.868667388743</v>
      </c>
      <c r="CN115" s="33" t="n">
        <f aca="false">-(In_Fixed_Opex*$F24+In_Admin)*CN110*CN15*CN$6</f>
        <v>-860.199832245778</v>
      </c>
      <c r="CO115" s="33" t="n">
        <f aca="false">-(In_Fixed_Opex*$F24+In_Admin)*CO110*CO15*CO$6</f>
        <v>-869.75760815962</v>
      </c>
      <c r="CP115" s="33" t="n">
        <f aca="false">-(In_Fixed_Opex*$F24+In_Admin)*CP110*CP15*CP$6</f>
        <v>-879.315384073462</v>
      </c>
      <c r="CQ115" s="33" t="n">
        <f aca="false">-(In_Fixed_Opex*$F24+In_Admin)*CQ110*CQ15*CQ$6</f>
        <v>-879.315384073462</v>
      </c>
      <c r="CR115" s="33" t="n">
        <f aca="false">-(In_Fixed_Opex*$F24+In_Admin)*CR110*CR15*CR$6</f>
        <v>-891.50154836361</v>
      </c>
      <c r="CS115" s="33" t="n">
        <f aca="false">-(In_Fixed_Opex*$F24+In_Admin)*CS110*CS15*CS$6</f>
        <v>-891.50154836361</v>
      </c>
      <c r="CT115" s="33" t="n">
        <f aca="false">-(In_Fixed_Opex*$F24+In_Admin)*CT110*CT15*CT$6</f>
        <v>-901.298268675298</v>
      </c>
      <c r="CU115" s="33" t="n">
        <f aca="false">-(In_Fixed_Opex*$F24+In_Admin)*CU110*CU15*CU$6</f>
        <v>-901.298268675298</v>
      </c>
      <c r="CV115" s="33" t="n">
        <f aca="false">-(In_Fixed_Opex*$F24+In_Admin)*CV110*CV15*CV$6</f>
        <v>-903.74744875322</v>
      </c>
      <c r="CW115" s="33" t="n">
        <f aca="false">-(In_Fixed_Opex*$F24+In_Admin)*CW110*CW15*CW$6</f>
        <v>-913.789087072701</v>
      </c>
      <c r="CX115" s="33" t="n">
        <f aca="false">-(In_Fixed_Opex*$F24+In_Admin)*CX110*CX15*CX$6</f>
        <v>-923.830725392181</v>
      </c>
      <c r="CY115" s="33" t="n">
        <f aca="false">-(In_Fixed_Opex*$F24+In_Admin)*CY110*CY15*CY$6</f>
        <v>-923.830725392181</v>
      </c>
      <c r="CZ115" s="33" t="n">
        <f aca="false">-(In_Fixed_Opex*$F24+In_Admin)*CZ110*CZ15*CZ$6</f>
        <v>-926.341134972051</v>
      </c>
      <c r="DA115" s="33" t="n">
        <f aca="false">-(In_Fixed_Opex*$F24+In_Admin)*DA110*DA15*DA$6</f>
        <v>-936.633814249518</v>
      </c>
      <c r="DB115" s="33" t="n">
        <f aca="false">-(In_Fixed_Opex*$F24+In_Admin)*DB110*DB15*DB$6</f>
        <v>-946.926493526985</v>
      </c>
      <c r="DC115" s="33" t="n">
        <f aca="false">-(In_Fixed_Opex*$F24+In_Admin)*DC110*DC15*DC$6</f>
        <v>-946.926493526985</v>
      </c>
      <c r="DD115" s="33" t="n">
        <f aca="false">-(In_Fixed_Opex*$F24+In_Admin)*DD110*DD15*DD$6</f>
        <v>-949.499663346352</v>
      </c>
      <c r="DE115" s="33" t="n">
        <f aca="false">-(In_Fixed_Opex*$F24+In_Admin)*DE110*DE15*DE$6</f>
        <v>-960.049659605756</v>
      </c>
      <c r="DF115" s="33" t="n">
        <f aca="false">-(In_Fixed_Opex*$F24+In_Admin)*DF110*DF15*DF$6</f>
        <v>-970.59965586516</v>
      </c>
      <c r="DG115" s="33" t="n">
        <f aca="false">-(In_Fixed_Opex*$F24+In_Admin)*DG110*DG15*DG$6</f>
        <v>-970.59965586516</v>
      </c>
      <c r="DH115" s="33" t="n">
        <f aca="false">-(In_Fixed_Opex*$F24+In_Admin)*DH110*DH15*DH$6</f>
        <v>-984.0509010959</v>
      </c>
      <c r="DI115" s="33" t="n">
        <f aca="false">-(In_Fixed_Opex*$F24+In_Admin)*DI110*DI15*DI$6</f>
        <v>-984.0509010959</v>
      </c>
      <c r="DJ115" s="33" t="n">
        <f aca="false">-(In_Fixed_Opex*$F24+In_Admin)*DJ110*DJ15*DJ$6</f>
        <v>-994.864647261789</v>
      </c>
      <c r="DK115" s="33" t="n">
        <f aca="false">-(In_Fixed_Opex*$F24+In_Admin)*DK110*DK15*DK$6</f>
        <v>-994.864647261789</v>
      </c>
      <c r="DL115" s="33" t="n">
        <f aca="false">-(In_Fixed_Opex*$F24+In_Admin)*DL110*DL15*DL$6</f>
        <v>-997.568083803261</v>
      </c>
      <c r="DM115" s="33" t="n">
        <f aca="false">-(In_Fixed_Opex*$F24+In_Admin)*DM110*DM15*DM$6</f>
        <v>-1008.6521736233</v>
      </c>
      <c r="DN115" s="33" t="n">
        <f aca="false">-(In_Fixed_Opex*$F24+In_Admin)*DN110*DN15*DN$6</f>
        <v>-1019.73626344333</v>
      </c>
      <c r="DO115" s="33" t="n">
        <f aca="false">-(In_Fixed_Opex*$F24+In_Admin)*DO110*DO15*DO$6</f>
        <v>-1019.73626344333</v>
      </c>
      <c r="DP115" s="33" t="n">
        <f aca="false">-(In_Fixed_Opex*$F24+In_Admin)*DP110*DP15*DP$6</f>
        <v>-1022.50728589834</v>
      </c>
      <c r="DQ115" s="33" t="n">
        <f aca="false">-(In_Fixed_Opex*$F24+In_Admin)*DQ110*DQ15*DQ$6</f>
        <v>-1033.86847796388</v>
      </c>
      <c r="DR115" s="33" t="n">
        <f aca="false">-(In_Fixed_Opex*$F24+In_Admin)*DR110*DR15*DR$6</f>
        <v>-1045.22967002942</v>
      </c>
      <c r="DS115" s="33" t="n">
        <f aca="false">-(In_Fixed_Opex*$F24+In_Admin)*DS110*DS15*DS$6</f>
        <v>-1045.22967002942</v>
      </c>
      <c r="DT115" s="33" t="n">
        <f aca="false">-(In_Fixed_Opex*$F24+In_Admin)*DT110*DT15*DT$6</f>
        <v>-1048.0699680458</v>
      </c>
      <c r="DU115" s="33" t="n">
        <f aca="false">-(In_Fixed_Opex*$F24+In_Admin)*DU110*DU15*DU$6</f>
        <v>-1059.71518991298</v>
      </c>
      <c r="DV115" s="33" t="n">
        <f aca="false">-(In_Fixed_Opex*$F24+In_Admin)*DV110*DV15*DV$6</f>
        <v>-1071.36041178015</v>
      </c>
      <c r="DW115" s="33" t="n">
        <f aca="false">-(In_Fixed_Opex*$F24+In_Admin)*DW110*DW15*DW$6</f>
        <v>-1071.36041178015</v>
      </c>
      <c r="DX115" s="33" t="n">
        <f aca="false">-(In_Fixed_Opex*$F24+In_Admin)*DX110*DX15*DX$6</f>
        <v>-1086.2080696608</v>
      </c>
      <c r="DY115" s="33" t="n">
        <f aca="false">-(In_Fixed_Opex*$F24+In_Admin)*DY110*DY15*DY$6</f>
        <v>-1086.2080696608</v>
      </c>
      <c r="DZ115" s="33" t="n">
        <f aca="false">-(In_Fixed_Opex*$F24+In_Admin)*DZ110*DZ15*DZ$6</f>
        <v>-1098.14442207466</v>
      </c>
      <c r="EA115" s="33" t="n">
        <f aca="false">-(In_Fixed_Opex*$F24+In_Admin)*EA110*EA15*EA$6</f>
        <v>-1098.14442207466</v>
      </c>
      <c r="EB115" s="33" t="n">
        <f aca="false">-(In_Fixed_Opex*$F24+In_Admin)*EB110*EB15*EB$6</f>
        <v>-1101.12851017812</v>
      </c>
      <c r="EC115" s="33" t="n">
        <f aca="false">-(In_Fixed_Opex*$F24+In_Admin)*EC110*EC15*EC$6</f>
        <v>-1113.36327140232</v>
      </c>
      <c r="ED115" s="33" t="n">
        <f aca="false">-(In_Fixed_Opex*$F24+In_Admin)*ED110*ED15*ED$6</f>
        <v>-1125.59803262652</v>
      </c>
      <c r="EE115" s="33" t="n">
        <f aca="false">-(In_Fixed_Opex*$F24+In_Admin)*EE110*EE15*EE$6</f>
        <v>-1125.59803262652</v>
      </c>
      <c r="EF115" s="33" t="n">
        <f aca="false">-(In_Fixed_Opex*$F24+In_Admin)*EF110*EF15*EF$6</f>
        <v>-1128.65672293257</v>
      </c>
      <c r="EG115" s="33" t="n">
        <f aca="false">-(In_Fixed_Opex*$F24+In_Admin)*EG110*EG15*EG$6</f>
        <v>-1141.19735318738</v>
      </c>
      <c r="EH115" s="33" t="n">
        <f aca="false">-(In_Fixed_Opex*$F24+In_Admin)*EH110*EH15*EH$6</f>
        <v>-1153.73798344218</v>
      </c>
      <c r="EI115" s="33" t="n">
        <f aca="false">-(In_Fixed_Opex*$F24+In_Admin)*EI110*EI15*EI$6</f>
        <v>-1153.73798344218</v>
      </c>
      <c r="EJ115" s="33" t="n">
        <f aca="false">-(In_Fixed_Opex*$F24+In_Admin)*EJ110*EJ15*EJ$6</f>
        <v>-1156.87314100589</v>
      </c>
      <c r="EK115" s="33" t="n">
        <f aca="false">-(In_Fixed_Opex*$F24+In_Admin)*EK110*EK15*EK$6</f>
        <v>-1169.72728701706</v>
      </c>
      <c r="EL115" s="33" t="n">
        <f aca="false">-(In_Fixed_Opex*$F24+In_Admin)*EL110*EL15*EL$6</f>
        <v>-1182.58143302824</v>
      </c>
      <c r="EM115" s="33" t="n">
        <f aca="false">-(In_Fixed_Opex*$F24+In_Admin)*EM110*EM15*EM$6</f>
        <v>-1182.58143302824</v>
      </c>
      <c r="EN115" s="33" t="n">
        <f aca="false">-(In_Fixed_Opex*$F24+In_Admin)*EN110*EN15*EN$6</f>
        <v>-1198.97046919249</v>
      </c>
      <c r="EO115" s="33" t="n">
        <f aca="false">-(In_Fixed_Opex*$F24+In_Admin)*EO110*EO15*EO$6</f>
        <v>-1198.97046919249</v>
      </c>
      <c r="EP115" s="33" t="n">
        <f aca="false">-(In_Fixed_Opex*$F24+In_Admin)*EP110*EP15*EP$6</f>
        <v>-1212.14596885395</v>
      </c>
      <c r="EQ115" s="33" t="n">
        <f aca="false">-(In_Fixed_Opex*$F24+In_Admin)*EQ110*EQ15*EQ$6</f>
        <v>-1212.14596885395</v>
      </c>
      <c r="ER115" s="33" t="n">
        <f aca="false">-(In_Fixed_Opex*$F24+In_Admin)*ER110*ER15*ER$6</f>
        <v>-1215.43984376931</v>
      </c>
      <c r="ES115" s="33" t="n">
        <f aca="false">-(In_Fixed_Opex*$F24+In_Admin)*ES110*ES15*ES$6</f>
        <v>-1228.9447309223</v>
      </c>
      <c r="ET115" s="33" t="n">
        <f aca="false">-(In_Fixed_Opex*$F24+In_Admin)*ET110*ET15*ET$6</f>
        <v>-1242.44961807529</v>
      </c>
    </row>
    <row r="116" customFormat="false" ht="15" hidden="false" customHeight="false" outlineLevel="0" collapsed="false">
      <c r="C116" s="0" t="s">
        <v>569</v>
      </c>
      <c r="D116" s="11" t="s">
        <v>253</v>
      </c>
      <c r="I116" s="33" t="n">
        <f aca="false">SUM(J116:ET116)</f>
        <v>-14015.8951421437</v>
      </c>
      <c r="J116" s="33" t="n">
        <f aca="false">-In_Lease*$F24*J110*J16*J$6</f>
        <v>-0</v>
      </c>
      <c r="K116" s="33" t="n">
        <f aca="false">-In_Lease*$F24*K110*K16*K$6</f>
        <v>-0</v>
      </c>
      <c r="L116" s="33" t="n">
        <f aca="false">-In_Lease*$F24*L110*L16*L$6</f>
        <v>-0</v>
      </c>
      <c r="M116" s="33" t="n">
        <f aca="false">-In_Lease*$F24*M110*M16*M$6</f>
        <v>-0</v>
      </c>
      <c r="N116" s="33" t="n">
        <f aca="false">-In_Lease*$F24*N110*N16*N$6</f>
        <v>-0</v>
      </c>
      <c r="O116" s="33" t="n">
        <f aca="false">-In_Lease*$F24*O110*O16*O$6</f>
        <v>-0</v>
      </c>
      <c r="P116" s="33" t="n">
        <f aca="false">-In_Lease*$F24*P110*P16*P$6</f>
        <v>-0</v>
      </c>
      <c r="Q116" s="33" t="n">
        <f aca="false">-In_Lease*$F24*Q110*Q16*Q$6</f>
        <v>-0</v>
      </c>
      <c r="R116" s="33" t="n">
        <f aca="false">-In_Lease*$F24*R110*R16*R$6</f>
        <v>-0</v>
      </c>
      <c r="S116" s="33" t="n">
        <f aca="false">-In_Lease*$F24*S110*S16*S$6</f>
        <v>-0</v>
      </c>
      <c r="T116" s="33" t="n">
        <f aca="false">-In_Lease*$F24*T110*T16*T$6</f>
        <v>-0</v>
      </c>
      <c r="U116" s="33" t="n">
        <f aca="false">-In_Lease*$F24*U110*U16*U$6</f>
        <v>-0</v>
      </c>
      <c r="V116" s="33" t="n">
        <f aca="false">-In_Lease*$F24*V110*V16*V$6</f>
        <v>-0</v>
      </c>
      <c r="W116" s="33" t="n">
        <f aca="false">-In_Lease*$F24*W110*W16*W$6</f>
        <v>-71.9728146162183</v>
      </c>
      <c r="X116" s="33" t="n">
        <f aca="false">-In_Lease*$F24*X110*X16*X$6</f>
        <v>-72.1683929168059</v>
      </c>
      <c r="Y116" s="33" t="n">
        <f aca="false">-In_Lease*$F24*Y110*Y16*Y$6</f>
        <v>-72.9702639492148</v>
      </c>
      <c r="Z116" s="33" t="n">
        <f aca="false">-In_Lease*$F24*Z110*Z16*Z$6</f>
        <v>-73.7721349816238</v>
      </c>
      <c r="AA116" s="33" t="n">
        <f aca="false">-In_Lease*$F24*AA110*AA16*AA$6</f>
        <v>-73.7721349816238</v>
      </c>
      <c r="AB116" s="33" t="n">
        <f aca="false">-In_Lease*$F24*AB110*AB16*AB$6</f>
        <v>-73.972602739726</v>
      </c>
      <c r="AC116" s="33" t="n">
        <f aca="false">-In_Lease*$F24*AC110*AC16*AC$6</f>
        <v>-74.7945205479452</v>
      </c>
      <c r="AD116" s="33" t="n">
        <f aca="false">-In_Lease*$F24*AD110*AD16*AD$6</f>
        <v>-75.6164383561644</v>
      </c>
      <c r="AE116" s="33" t="n">
        <f aca="false">-In_Lease*$F24*AE110*AE16*AE$6</f>
        <v>-75.6164383561644</v>
      </c>
      <c r="AF116" s="33" t="n">
        <f aca="false">-In_Lease*$F24*AF110*AF16*AF$6</f>
        <v>-76.6643835616438</v>
      </c>
      <c r="AG116" s="33" t="n">
        <f aca="false">-In_Lease*$F24*AG110*AG16*AG$6</f>
        <v>-76.6643835616438</v>
      </c>
      <c r="AH116" s="33" t="n">
        <f aca="false">-In_Lease*$F24*AH110*AH16*AH$6</f>
        <v>-77.5068493150685</v>
      </c>
      <c r="AI116" s="33" t="n">
        <f aca="false">-In_Lease*$F24*AI110*AI16*AI$6</f>
        <v>-77.5068493150685</v>
      </c>
      <c r="AJ116" s="33" t="n">
        <f aca="false">-In_Lease*$F24*AJ110*AJ16*AJ$6</f>
        <v>-77.7174657534247</v>
      </c>
      <c r="AK116" s="33" t="n">
        <f aca="false">-In_Lease*$F24*AK110*AK16*AK$6</f>
        <v>-78.5809931506849</v>
      </c>
      <c r="AL116" s="33" t="n">
        <f aca="false">-In_Lease*$F24*AL110*AL16*AL$6</f>
        <v>-79.4445205479452</v>
      </c>
      <c r="AM116" s="33" t="n">
        <f aca="false">-In_Lease*$F24*AM110*AM16*AM$6</f>
        <v>-79.4445205479452</v>
      </c>
      <c r="AN116" s="33" t="n">
        <f aca="false">-In_Lease*$F24*AN110*AN16*AN$6</f>
        <v>-79.6604023972602</v>
      </c>
      <c r="AO116" s="33" t="n">
        <f aca="false">-In_Lease*$F24*AO110*AO16*AO$6</f>
        <v>-80.545517979452</v>
      </c>
      <c r="AP116" s="33" t="n">
        <f aca="false">-In_Lease*$F24*AP110*AP16*AP$6</f>
        <v>-81.4306335616438</v>
      </c>
      <c r="AQ116" s="33" t="n">
        <f aca="false">-In_Lease*$F24*AQ110*AQ16*AQ$6</f>
        <v>-81.4306335616438</v>
      </c>
      <c r="AR116" s="33" t="n">
        <f aca="false">-In_Lease*$F24*AR110*AR16*AR$6</f>
        <v>-81.6519124571917</v>
      </c>
      <c r="AS116" s="33" t="n">
        <f aca="false">-In_Lease*$F24*AS110*AS16*AS$6</f>
        <v>-82.5591559289383</v>
      </c>
      <c r="AT116" s="33" t="n">
        <f aca="false">-In_Lease*$F24*AT110*AT16*AT$6</f>
        <v>-83.4663994006849</v>
      </c>
      <c r="AU116" s="33" t="n">
        <f aca="false">-In_Lease*$F24*AU110*AU16*AU$6</f>
        <v>-83.4663994006849</v>
      </c>
      <c r="AV116" s="33" t="n">
        <f aca="false">-In_Lease*$F24*AV110*AV16*AV$6</f>
        <v>-84.6231348271618</v>
      </c>
      <c r="AW116" s="33" t="n">
        <f aca="false">-In_Lease*$F24*AW110*AW16*AW$6</f>
        <v>-84.6231348271618</v>
      </c>
      <c r="AX116" s="33" t="n">
        <f aca="false">-In_Lease*$F24*AX110*AX16*AX$6</f>
        <v>-85.553059385702</v>
      </c>
      <c r="AY116" s="33" t="n">
        <f aca="false">-In_Lease*$F24*AY110*AY16*AY$6</f>
        <v>-85.553059385702</v>
      </c>
      <c r="AZ116" s="33" t="n">
        <f aca="false">-In_Lease*$F24*AZ110*AZ16*AZ$6</f>
        <v>-85.7855405253371</v>
      </c>
      <c r="BA116" s="33" t="n">
        <f aca="false">-In_Lease*$F24*BA110*BA16*BA$6</f>
        <v>-86.7387131978408</v>
      </c>
      <c r="BB116" s="33" t="n">
        <f aca="false">-In_Lease*$F24*BB110*BB16*BB$6</f>
        <v>-87.6918858703446</v>
      </c>
      <c r="BC116" s="33" t="n">
        <f aca="false">-In_Lease*$F24*BC110*BC16*BC$6</f>
        <v>-87.6918858703446</v>
      </c>
      <c r="BD116" s="33" t="n">
        <f aca="false">-In_Lease*$F24*BD110*BD16*BD$6</f>
        <v>-87.9301790384705</v>
      </c>
      <c r="BE116" s="33" t="n">
        <f aca="false">-In_Lease*$F24*BE110*BE16*BE$6</f>
        <v>-88.9071810277869</v>
      </c>
      <c r="BF116" s="33" t="n">
        <f aca="false">-In_Lease*$F24*BF110*BF16*BF$6</f>
        <v>-89.8841830171032</v>
      </c>
      <c r="BG116" s="33" t="n">
        <f aca="false">-In_Lease*$F24*BG110*BG16*BG$6</f>
        <v>-89.8841830171032</v>
      </c>
      <c r="BH116" s="33" t="n">
        <f aca="false">-In_Lease*$F24*BH110*BH16*BH$6</f>
        <v>-90.1284335144322</v>
      </c>
      <c r="BI116" s="33" t="n">
        <f aca="false">-In_Lease*$F24*BI110*BI16*BI$6</f>
        <v>-91.1298605534815</v>
      </c>
      <c r="BJ116" s="33" t="n">
        <f aca="false">-In_Lease*$F24*BJ110*BJ16*BJ$6</f>
        <v>-92.1312875925307</v>
      </c>
      <c r="BK116" s="33" t="n">
        <f aca="false">-In_Lease*$F24*BK110*BK16*BK$6</f>
        <v>-92.1312875925307</v>
      </c>
      <c r="BL116" s="33" t="n">
        <f aca="false">-In_Lease*$F24*BL110*BL16*BL$6</f>
        <v>-93.4081070673185</v>
      </c>
      <c r="BM116" s="33" t="n">
        <f aca="false">-In_Lease*$F24*BM110*BM16*BM$6</f>
        <v>-93.4081070673185</v>
      </c>
      <c r="BN116" s="33" t="n">
        <f aca="false">-In_Lease*$F24*BN110*BN16*BN$6</f>
        <v>-94.434569782344</v>
      </c>
      <c r="BO116" s="33" t="n">
        <f aca="false">-In_Lease*$F24*BO110*BO16*BO$6</f>
        <v>-94.434569782344</v>
      </c>
      <c r="BP116" s="33" t="n">
        <f aca="false">-In_Lease*$F24*BP110*BP16*BP$6</f>
        <v>-94.6911854611004</v>
      </c>
      <c r="BQ116" s="33" t="n">
        <f aca="false">-In_Lease*$F24*BQ110*BQ16*BQ$6</f>
        <v>-95.7433097440015</v>
      </c>
      <c r="BR116" s="33" t="n">
        <f aca="false">-In_Lease*$F24*BR110*BR16*BR$6</f>
        <v>-96.7954340269026</v>
      </c>
      <c r="BS116" s="33" t="n">
        <f aca="false">-In_Lease*$F24*BS110*BS16*BS$6</f>
        <v>-96.7954340269026</v>
      </c>
      <c r="BT116" s="33" t="n">
        <f aca="false">-In_Lease*$F24*BT110*BT16*BT$6</f>
        <v>-97.0584650976279</v>
      </c>
      <c r="BU116" s="33" t="n">
        <f aca="false">-In_Lease*$F24*BU110*BU16*BU$6</f>
        <v>-98.1368924876015</v>
      </c>
      <c r="BV116" s="33" t="n">
        <f aca="false">-In_Lease*$F24*BV110*BV16*BV$6</f>
        <v>-99.2153198775752</v>
      </c>
      <c r="BW116" s="33" t="n">
        <f aca="false">-In_Lease*$F24*BW110*BW16*BW$6</f>
        <v>-99.2153198775752</v>
      </c>
      <c r="BX116" s="33" t="n">
        <f aca="false">-In_Lease*$F24*BX110*BX16*BX$6</f>
        <v>-99.4849267250686</v>
      </c>
      <c r="BY116" s="33" t="n">
        <f aca="false">-In_Lease*$F24*BY110*BY16*BY$6</f>
        <v>-100.590314799792</v>
      </c>
      <c r="BZ116" s="33" t="n">
        <f aca="false">-In_Lease*$F24*BZ110*BZ16*BZ$6</f>
        <v>-101.695702874515</v>
      </c>
      <c r="CA116" s="33" t="n">
        <f aca="false">-In_Lease*$F24*CA110*CA16*CA$6</f>
        <v>-101.695702874515</v>
      </c>
      <c r="CB116" s="33" t="n">
        <f aca="false">-In_Lease*$F24*CB110*CB16*CB$6</f>
        <v>-103.105072669786</v>
      </c>
      <c r="CC116" s="33" t="n">
        <f aca="false">-In_Lease*$F24*CC110*CC16*CC$6</f>
        <v>-103.105072669786</v>
      </c>
      <c r="CD116" s="33" t="n">
        <f aca="false">-In_Lease*$F24*CD110*CD16*CD$6</f>
        <v>-104.238095446377</v>
      </c>
      <c r="CE116" s="33" t="n">
        <f aca="false">-In_Lease*$F24*CE110*CE16*CE$6</f>
        <v>-104.238095446377</v>
      </c>
      <c r="CF116" s="33" t="n">
        <f aca="false">-In_Lease*$F24*CF110*CF16*CF$6</f>
        <v>-104.521351140525</v>
      </c>
      <c r="CG116" s="33" t="n">
        <f aca="false">-In_Lease*$F24*CG110*CG16*CG$6</f>
        <v>-105.682699486531</v>
      </c>
      <c r="CH116" s="33" t="n">
        <f aca="false">-In_Lease*$F24*CH110*CH16*CH$6</f>
        <v>-106.844047832537</v>
      </c>
      <c r="CI116" s="33" t="n">
        <f aca="false">-In_Lease*$F24*CI110*CI16*CI$6</f>
        <v>-106.844047832537</v>
      </c>
      <c r="CJ116" s="33" t="n">
        <f aca="false">-In_Lease*$F24*CJ110*CJ16*CJ$6</f>
        <v>-107.134384919038</v>
      </c>
      <c r="CK116" s="33" t="n">
        <f aca="false">-In_Lease*$F24*CK110*CK16*CK$6</f>
        <v>-108.324766973694</v>
      </c>
      <c r="CL116" s="33" t="n">
        <f aca="false">-In_Lease*$F24*CL110*CL16*CL$6</f>
        <v>-109.51514902835</v>
      </c>
      <c r="CM116" s="33" t="n">
        <f aca="false">-In_Lease*$F24*CM110*CM16*CM$6</f>
        <v>-109.51514902835</v>
      </c>
      <c r="CN116" s="33" t="n">
        <f aca="false">-In_Lease*$F24*CN110*CN16*CN$6</f>
        <v>-109.812744542014</v>
      </c>
      <c r="CO116" s="33" t="n">
        <f aca="false">-In_Lease*$F24*CO110*CO16*CO$6</f>
        <v>-111.032886148037</v>
      </c>
      <c r="CP116" s="33" t="n">
        <f aca="false">-In_Lease*$F24*CP110*CP16*CP$6</f>
        <v>-112.253027754059</v>
      </c>
      <c r="CQ116" s="33" t="n">
        <f aca="false">-In_Lease*$F24*CQ110*CQ16*CQ$6</f>
        <v>-112.253027754059</v>
      </c>
      <c r="CR116" s="33" t="n">
        <f aca="false">-In_Lease*$F24*CR110*CR16*CR$6</f>
        <v>-113.808708301737</v>
      </c>
      <c r="CS116" s="33" t="n">
        <f aca="false">-In_Lease*$F24*CS110*CS16*CS$6</f>
        <v>-113.808708301737</v>
      </c>
      <c r="CT116" s="33" t="n">
        <f aca="false">-In_Lease*$F24*CT110*CT16*CT$6</f>
        <v>-115.05935344791</v>
      </c>
      <c r="CU116" s="33" t="n">
        <f aca="false">-In_Lease*$F24*CU110*CU16*CU$6</f>
        <v>-115.05935344791</v>
      </c>
      <c r="CV116" s="33" t="n">
        <f aca="false">-In_Lease*$F24*CV110*CV16*CV$6</f>
        <v>-115.372014734454</v>
      </c>
      <c r="CW116" s="33" t="n">
        <f aca="false">-In_Lease*$F24*CW110*CW16*CW$6</f>
        <v>-116.653926009281</v>
      </c>
      <c r="CX116" s="33" t="n">
        <f aca="false">-In_Lease*$F24*CX110*CX16*CX$6</f>
        <v>-117.935837284108</v>
      </c>
      <c r="CY116" s="33" t="n">
        <f aca="false">-In_Lease*$F24*CY110*CY16*CY$6</f>
        <v>-117.935837284108</v>
      </c>
      <c r="CZ116" s="33" t="n">
        <f aca="false">-In_Lease*$F24*CZ110*CZ16*CZ$6</f>
        <v>-118.256315102815</v>
      </c>
      <c r="DA116" s="33" t="n">
        <f aca="false">-In_Lease*$F24*DA110*DA16*DA$6</f>
        <v>-119.570274159513</v>
      </c>
      <c r="DB116" s="33" t="n">
        <f aca="false">-In_Lease*$F24*DB110*DB16*DB$6</f>
        <v>-120.884233216211</v>
      </c>
      <c r="DC116" s="33" t="n">
        <f aca="false">-In_Lease*$F24*DC110*DC16*DC$6</f>
        <v>-120.884233216211</v>
      </c>
      <c r="DD116" s="33" t="n">
        <f aca="false">-In_Lease*$F24*DD110*DD16*DD$6</f>
        <v>-121.212722980385</v>
      </c>
      <c r="DE116" s="33" t="n">
        <f aca="false">-In_Lease*$F24*DE110*DE16*DE$6</f>
        <v>-122.559531013501</v>
      </c>
      <c r="DF116" s="33" t="n">
        <f aca="false">-In_Lease*$F24*DF110*DF16*DF$6</f>
        <v>-123.906339046616</v>
      </c>
      <c r="DG116" s="33" t="n">
        <f aca="false">-In_Lease*$F24*DG110*DG16*DG$6</f>
        <v>-123.906339046616</v>
      </c>
      <c r="DH116" s="33" t="n">
        <f aca="false">-In_Lease*$F24*DH110*DH16*DH$6</f>
        <v>-125.623519288838</v>
      </c>
      <c r="DI116" s="33" t="n">
        <f aca="false">-In_Lease*$F24*DI110*DI16*DI$6</f>
        <v>-125.623519288838</v>
      </c>
      <c r="DJ116" s="33" t="n">
        <f aca="false">-In_Lease*$F24*DJ110*DJ16*DJ$6</f>
        <v>-127.003997522782</v>
      </c>
      <c r="DK116" s="33" t="n">
        <f aca="false">-In_Lease*$F24*DK110*DK16*DK$6</f>
        <v>-127.003997522782</v>
      </c>
      <c r="DL116" s="33" t="n">
        <f aca="false">-In_Lease*$F24*DL110*DL16*DL$6</f>
        <v>-127.349117081267</v>
      </c>
      <c r="DM116" s="33" t="n">
        <f aca="false">-In_Lease*$F24*DM110*DM16*DM$6</f>
        <v>-128.764107271059</v>
      </c>
      <c r="DN116" s="33" t="n">
        <f aca="false">-In_Lease*$F24*DN110*DN16*DN$6</f>
        <v>-130.179097460851</v>
      </c>
      <c r="DO116" s="33" t="n">
        <f aca="false">-In_Lease*$F24*DO110*DO16*DO$6</f>
        <v>-130.179097460851</v>
      </c>
      <c r="DP116" s="33" t="n">
        <f aca="false">-In_Lease*$F24*DP110*DP16*DP$6</f>
        <v>-130.532845008299</v>
      </c>
      <c r="DQ116" s="33" t="n">
        <f aca="false">-In_Lease*$F24*DQ110*DQ16*DQ$6</f>
        <v>-131.983209952836</v>
      </c>
      <c r="DR116" s="33" t="n">
        <f aca="false">-In_Lease*$F24*DR110*DR16*DR$6</f>
        <v>-133.433574897372</v>
      </c>
      <c r="DS116" s="33" t="n">
        <f aca="false">-In_Lease*$F24*DS110*DS16*DS$6</f>
        <v>-133.433574897372</v>
      </c>
      <c r="DT116" s="33" t="n">
        <f aca="false">-In_Lease*$F24*DT110*DT16*DT$6</f>
        <v>-133.796166133506</v>
      </c>
      <c r="DU116" s="33" t="n">
        <f aca="false">-In_Lease*$F24*DU110*DU16*DU$6</f>
        <v>-135.282790201657</v>
      </c>
      <c r="DV116" s="33" t="n">
        <f aca="false">-In_Lease*$F24*DV110*DV16*DV$6</f>
        <v>-136.769414269807</v>
      </c>
      <c r="DW116" s="33" t="n">
        <f aca="false">-In_Lease*$F24*DW110*DW16*DW$6</f>
        <v>-136.769414269807</v>
      </c>
      <c r="DX116" s="33" t="n">
        <f aca="false">-In_Lease*$F24*DX110*DX16*DX$6</f>
        <v>-138.664859956698</v>
      </c>
      <c r="DY116" s="33" t="n">
        <f aca="false">-In_Lease*$F24*DY110*DY16*DY$6</f>
        <v>-138.664859956698</v>
      </c>
      <c r="DZ116" s="33" t="n">
        <f aca="false">-In_Lease*$F24*DZ110*DZ16*DZ$6</f>
        <v>-140.188649626552</v>
      </c>
      <c r="EA116" s="33" t="n">
        <f aca="false">-In_Lease*$F24*EA110*EA16*EA$6</f>
        <v>-140.188649626552</v>
      </c>
      <c r="EB116" s="33" t="n">
        <f aca="false">-In_Lease*$F24*EB110*EB16*EB$6</f>
        <v>-140.569597044015</v>
      </c>
      <c r="EC116" s="33" t="n">
        <f aca="false">-In_Lease*$F24*EC110*EC16*EC$6</f>
        <v>-142.131481455615</v>
      </c>
      <c r="ED116" s="33" t="n">
        <f aca="false">-In_Lease*$F24*ED110*ED16*ED$6</f>
        <v>-143.693365867216</v>
      </c>
      <c r="EE116" s="33" t="n">
        <f aca="false">-In_Lease*$F24*EE110*EE16*EE$6</f>
        <v>-143.693365867216</v>
      </c>
      <c r="EF116" s="33" t="n">
        <f aca="false">-In_Lease*$F24*EF110*EF16*EF$6</f>
        <v>-144.083836970116</v>
      </c>
      <c r="EG116" s="33" t="n">
        <f aca="false">-In_Lease*$F24*EG110*EG16*EG$6</f>
        <v>-145.684768492006</v>
      </c>
      <c r="EH116" s="33" t="n">
        <f aca="false">-In_Lease*$F24*EH110*EH16*EH$6</f>
        <v>-147.285700013896</v>
      </c>
      <c r="EI116" s="33" t="n">
        <f aca="false">-In_Lease*$F24*EI110*EI16*EI$6</f>
        <v>-147.285700013896</v>
      </c>
      <c r="EJ116" s="33" t="n">
        <f aca="false">-In_Lease*$F24*EJ110*EJ16*EJ$6</f>
        <v>-147.685932894368</v>
      </c>
      <c r="EK116" s="33" t="n">
        <f aca="false">-In_Lease*$F24*EK110*EK16*EK$6</f>
        <v>-149.326887704306</v>
      </c>
      <c r="EL116" s="33" t="n">
        <f aca="false">-In_Lease*$F24*EL110*EL16*EL$6</f>
        <v>-150.967842514243</v>
      </c>
      <c r="EM116" s="33" t="n">
        <f aca="false">-In_Lease*$F24*EM110*EM16*EM$6</f>
        <v>-150.967842514243</v>
      </c>
      <c r="EN116" s="33" t="n">
        <f aca="false">-In_Lease*$F24*EN110*EN16*EN$6</f>
        <v>-153.060059896914</v>
      </c>
      <c r="EO116" s="33" t="n">
        <f aca="false">-In_Lease*$F24*EO110*EO16*EO$6</f>
        <v>-153.060059896914</v>
      </c>
      <c r="EP116" s="33" t="n">
        <f aca="false">-In_Lease*$F24*EP110*EP16*EP$6</f>
        <v>-154.742038577099</v>
      </c>
      <c r="EQ116" s="33" t="n">
        <f aca="false">-In_Lease*$F24*EQ110*EQ16*EQ$6</f>
        <v>-154.742038577099</v>
      </c>
      <c r="ER116" s="33" t="n">
        <f aca="false">-In_Lease*$F24*ER110*ER16*ER$6</f>
        <v>-155.162533247146</v>
      </c>
      <c r="ES116" s="33" t="n">
        <f aca="false">-In_Lease*$F24*ES110*ES16*ES$6</f>
        <v>-156.886561394336</v>
      </c>
      <c r="ET116" s="33" t="n">
        <f aca="false">-In_Lease*$F24*ET110*ET16*ET$6</f>
        <v>-158.610589541527</v>
      </c>
    </row>
    <row r="117" customFormat="false" ht="15" hidden="false" customHeight="false" outlineLevel="0" collapsed="false">
      <c r="C117" s="0" t="s">
        <v>570</v>
      </c>
      <c r="D117" s="11" t="s">
        <v>253</v>
      </c>
      <c r="I117" s="33" t="n">
        <f aca="false">SUM(J117:ET117)</f>
        <v>-15269.388528234</v>
      </c>
      <c r="J117" s="33" t="n">
        <f aca="false">-J113*(In_MEKH+In_HIPA)</f>
        <v>-0</v>
      </c>
      <c r="K117" s="33" t="n">
        <f aca="false">-K113*(In_MEKH+In_HIPA)</f>
        <v>-0</v>
      </c>
      <c r="L117" s="33" t="n">
        <f aca="false">-L113*(In_MEKH+In_HIPA)</f>
        <v>-0</v>
      </c>
      <c r="M117" s="33" t="n">
        <f aca="false">-M113*(In_MEKH+In_HIPA)</f>
        <v>-0</v>
      </c>
      <c r="N117" s="33" t="n">
        <f aca="false">-N113*(In_MEKH+In_HIPA)</f>
        <v>-0</v>
      </c>
      <c r="O117" s="33" t="n">
        <f aca="false">-O113*(In_MEKH+In_HIPA)</f>
        <v>-0</v>
      </c>
      <c r="P117" s="33" t="n">
        <f aca="false">-P113*(In_MEKH+In_HIPA)</f>
        <v>-0</v>
      </c>
      <c r="Q117" s="33" t="n">
        <f aca="false">-Q113*(In_MEKH+In_HIPA)</f>
        <v>-0</v>
      </c>
      <c r="R117" s="33" t="n">
        <f aca="false">-R113*(In_MEKH+In_HIPA)</f>
        <v>-0</v>
      </c>
      <c r="S117" s="33" t="n">
        <f aca="false">-S113*(In_MEKH+In_HIPA)</f>
        <v>-0</v>
      </c>
      <c r="T117" s="33" t="n">
        <f aca="false">-T113*(In_MEKH+In_HIPA)</f>
        <v>-0</v>
      </c>
      <c r="U117" s="33" t="n">
        <f aca="false">-U113*(In_MEKH+In_HIPA)</f>
        <v>-0</v>
      </c>
      <c r="V117" s="33" t="n">
        <f aca="false">-V113*(In_MEKH+In_HIPA)</f>
        <v>-0</v>
      </c>
      <c r="W117" s="33" t="n">
        <f aca="false">-W113*(In_MEKH+In_HIPA)</f>
        <v>-0</v>
      </c>
      <c r="X117" s="33" t="n">
        <f aca="false">-X113*(In_MEKH+In_HIPA)</f>
        <v>-0</v>
      </c>
      <c r="Y117" s="33" t="n">
        <f aca="false">-Y113*(In_MEKH+In_HIPA)</f>
        <v>-0</v>
      </c>
      <c r="Z117" s="33" t="n">
        <f aca="false">-Z113*(In_MEKH+In_HIPA)</f>
        <v>-0</v>
      </c>
      <c r="AA117" s="33" t="n">
        <f aca="false">-AA113*(In_MEKH+In_HIPA)</f>
        <v>-0</v>
      </c>
      <c r="AB117" s="33" t="n">
        <f aca="false">-AB113*(In_MEKH+In_HIPA)</f>
        <v>-0</v>
      </c>
      <c r="AC117" s="33" t="n">
        <f aca="false">-AC113*(In_MEKH+In_HIPA)</f>
        <v>-0</v>
      </c>
      <c r="AD117" s="33" t="n">
        <f aca="false">-AD113*(In_MEKH+In_HIPA)</f>
        <v>-0</v>
      </c>
      <c r="AE117" s="33" t="n">
        <f aca="false">-AE113*(In_MEKH+In_HIPA)</f>
        <v>-114.846549041096</v>
      </c>
      <c r="AF117" s="33" t="n">
        <f aca="false">-AF113*(In_MEKH+In_HIPA)</f>
        <v>-114.734199156164</v>
      </c>
      <c r="AG117" s="33" t="n">
        <f aca="false">-AG113*(In_MEKH+In_HIPA)</f>
        <v>-114.734199156164</v>
      </c>
      <c r="AH117" s="33" t="n">
        <f aca="false">-AH113*(In_MEKH+In_HIPA)</f>
        <v>-115.995014531507</v>
      </c>
      <c r="AI117" s="33" t="n">
        <f aca="false">-AI113*(In_MEKH+In_HIPA)</f>
        <v>-115.647029487912</v>
      </c>
      <c r="AJ117" s="33" t="n">
        <f aca="false">-AJ113*(In_MEKH+In_HIPA)</f>
        <v>-114.264293265774</v>
      </c>
      <c r="AK117" s="33" t="n">
        <f aca="false">-AK113*(In_MEKH+In_HIPA)</f>
        <v>-115.533896524283</v>
      </c>
      <c r="AL117" s="33" t="n">
        <f aca="false">-AL113*(In_MEKH+In_HIPA)</f>
        <v>-116.803499782791</v>
      </c>
      <c r="AM117" s="33" t="n">
        <f aca="false">-AM113*(In_MEKH+In_HIPA)</f>
        <v>-116.453089283443</v>
      </c>
      <c r="AN117" s="33" t="n">
        <f aca="false">-AN113*(In_MEKH+In_HIPA)</f>
        <v>-115.060715389837</v>
      </c>
      <c r="AO117" s="33" t="n">
        <f aca="false">-AO113*(In_MEKH+In_HIPA)</f>
        <v>-116.339167783057</v>
      </c>
      <c r="AP117" s="33" t="n">
        <f aca="false">-AP113*(In_MEKH+In_HIPA)</f>
        <v>-117.617620176278</v>
      </c>
      <c r="AQ117" s="33" t="n">
        <f aca="false">-AQ113*(In_MEKH+In_HIPA)</f>
        <v>-117.264767315749</v>
      </c>
      <c r="AR117" s="33" t="n">
        <f aca="false">-AR113*(In_MEKH+In_HIPA)</f>
        <v>-115.862688576104</v>
      </c>
      <c r="AS117" s="33" t="n">
        <f aca="false">-AS113*(In_MEKH+In_HIPA)</f>
        <v>-117.150051782505</v>
      </c>
      <c r="AT117" s="33" t="n">
        <f aca="false">-AT113*(In_MEKH+In_HIPA)</f>
        <v>-118.437414988906</v>
      </c>
      <c r="AU117" s="33" t="n">
        <f aca="false">-AU113*(In_MEKH+In_HIPA)</f>
        <v>-118.082102743939</v>
      </c>
      <c r="AV117" s="33" t="n">
        <f aca="false">-AV113*(In_MEKH+In_HIPA)</f>
        <v>-117.966587643429</v>
      </c>
      <c r="AW117" s="33" t="n">
        <f aca="false">-AW113*(In_MEKH+In_HIPA)</f>
        <v>-117.966587643429</v>
      </c>
      <c r="AX117" s="33" t="n">
        <f aca="false">-AX113*(In_MEKH+In_HIPA)</f>
        <v>-119.262923771379</v>
      </c>
      <c r="AY117" s="33" t="n">
        <f aca="false">-AY113*(In_MEKH+In_HIPA)</f>
        <v>-118.905135000065</v>
      </c>
      <c r="AZ117" s="33" t="n">
        <f aca="false">-AZ113*(In_MEKH+In_HIPA)</f>
        <v>-117.483443168542</v>
      </c>
      <c r="BA117" s="33" t="n">
        <f aca="false">-BA113*(In_MEKH+In_HIPA)</f>
        <v>-118.788814759304</v>
      </c>
      <c r="BB117" s="33" t="n">
        <f aca="false">-BB113*(In_MEKH+In_HIPA)</f>
        <v>-120.094186350065</v>
      </c>
      <c r="BC117" s="33" t="n">
        <f aca="false">-BC113*(In_MEKH+In_HIPA)</f>
        <v>-119.733903791015</v>
      </c>
      <c r="BD117" s="33" t="n">
        <f aca="false">-BD113*(In_MEKH+In_HIPA)</f>
        <v>-118.302302767427</v>
      </c>
      <c r="BE117" s="33" t="n">
        <f aca="false">-BE113*(In_MEKH+In_HIPA)</f>
        <v>-119.616772798176</v>
      </c>
      <c r="BF117" s="33" t="n">
        <f aca="false">-BF113*(In_MEKH+In_HIPA)</f>
        <v>-120.931242828925</v>
      </c>
      <c r="BG117" s="33" t="n">
        <f aca="false">-BG113*(In_MEKH+In_HIPA)</f>
        <v>-120.568449100439</v>
      </c>
      <c r="BH117" s="33" t="n">
        <f aca="false">-BH113*(In_MEKH+In_HIPA)</f>
        <v>-119.126869817716</v>
      </c>
      <c r="BI117" s="33" t="n">
        <f aca="false">-BI113*(In_MEKH+In_HIPA)</f>
        <v>-120.450501704579</v>
      </c>
      <c r="BJ117" s="33" t="n">
        <f aca="false">-BJ113*(In_MEKH+In_HIPA)</f>
        <v>-121.774133591443</v>
      </c>
      <c r="BK117" s="33" t="n">
        <f aca="false">-BK113*(In_MEKH+In_HIPA)</f>
        <v>-121.408811190669</v>
      </c>
      <c r="BL117" s="33" t="n">
        <f aca="false">-BL113*(In_MEKH+In_HIPA)</f>
        <v>-121.29004170146</v>
      </c>
      <c r="BM117" s="33" t="n">
        <f aca="false">-BM113*(In_MEKH+In_HIPA)</f>
        <v>-121.29004170146</v>
      </c>
      <c r="BN117" s="33" t="n">
        <f aca="false">-BN113*(In_MEKH+In_HIPA)</f>
        <v>-122.622899302575</v>
      </c>
      <c r="BO117" s="33" t="n">
        <f aca="false">-BO113*(In_MEKH+In_HIPA)</f>
        <v>-122.255030604668</v>
      </c>
      <c r="BP117" s="33" t="n">
        <f aca="false">-BP113*(In_MEKH+In_HIPA)</f>
        <v>-120.793285673525</v>
      </c>
      <c r="BQ117" s="33" t="n">
        <f aca="false">-BQ113*(In_MEKH+In_HIPA)</f>
        <v>-122.13543329212</v>
      </c>
      <c r="BR117" s="33" t="n">
        <f aca="false">-BR113*(In_MEKH+In_HIPA)</f>
        <v>-123.477580910714</v>
      </c>
      <c r="BS117" s="33" t="n">
        <f aca="false">-BS113*(In_MEKH+In_HIPA)</f>
        <v>-123.107148167982</v>
      </c>
      <c r="BT117" s="33" t="n">
        <f aca="false">-BT113*(In_MEKH+In_HIPA)</f>
        <v>-121.635214874669</v>
      </c>
      <c r="BU117" s="33" t="n">
        <f aca="false">-BU113*(In_MEKH+In_HIPA)</f>
        <v>-122.986717262166</v>
      </c>
      <c r="BV117" s="33" t="n">
        <f aca="false">-BV113*(In_MEKH+In_HIPA)</f>
        <v>-124.338219649662</v>
      </c>
      <c r="BW117" s="33" t="n">
        <f aca="false">-BW113*(In_MEKH+In_HIPA)</f>
        <v>-123.965204990713</v>
      </c>
      <c r="BX117" s="33" t="n">
        <f aca="false">-BX113*(In_MEKH+In_HIPA)</f>
        <v>-122.483012322346</v>
      </c>
      <c r="BY117" s="33" t="n">
        <f aca="false">-BY113*(In_MEKH+In_HIPA)</f>
        <v>-123.843934681483</v>
      </c>
      <c r="BZ117" s="33" t="n">
        <f aca="false">-BZ113*(In_MEKH+In_HIPA)</f>
        <v>-125.20485704062</v>
      </c>
      <c r="CA117" s="33" t="n">
        <f aca="false">-CA113*(In_MEKH+In_HIPA)</f>
        <v>-124.829242469498</v>
      </c>
      <c r="CB117" s="33" t="n">
        <f aca="false">-CB113*(In_MEKH+In_HIPA)</f>
        <v>-124.707126906213</v>
      </c>
      <c r="CC117" s="33" t="n">
        <f aca="false">-CC113*(In_MEKH+In_HIPA)</f>
        <v>-124.707126906213</v>
      </c>
      <c r="CD117" s="33" t="n">
        <f aca="false">-CD113*(In_MEKH+In_HIPA)</f>
        <v>-126.077534894193</v>
      </c>
      <c r="CE117" s="33" t="n">
        <f aca="false">-CE113*(In_MEKH+In_HIPA)</f>
        <v>-125.699302289511</v>
      </c>
      <c r="CF117" s="33" t="n">
        <f aca="false">-CF113*(In_MEKH+In_HIPA)</f>
        <v>-124.196375849093</v>
      </c>
      <c r="CG117" s="33" t="n">
        <f aca="false">-CG113*(In_MEKH+In_HIPA)</f>
        <v>-125.576335580749</v>
      </c>
      <c r="CH117" s="33" t="n">
        <f aca="false">-CH113*(In_MEKH+In_HIPA)</f>
        <v>-126.956295312406</v>
      </c>
      <c r="CI117" s="33" t="n">
        <f aca="false">-CI113*(In_MEKH+In_HIPA)</f>
        <v>-126.575426426469</v>
      </c>
      <c r="CJ117" s="33" t="n">
        <f aca="false">-CJ113*(In_MEKH+In_HIPA)</f>
        <v>-125.062024588761</v>
      </c>
      <c r="CK117" s="33" t="n">
        <f aca="false">-CK113*(In_MEKH+In_HIPA)</f>
        <v>-126.451602639747</v>
      </c>
      <c r="CL117" s="33" t="n">
        <f aca="false">-CL113*(In_MEKH+In_HIPA)</f>
        <v>-127.841180690733</v>
      </c>
      <c r="CM117" s="33" t="n">
        <f aca="false">-CM113*(In_MEKH+In_HIPA)</f>
        <v>-127.457657148661</v>
      </c>
      <c r="CN117" s="33" t="n">
        <f aca="false">-CN113*(In_MEKH+In_HIPA)</f>
        <v>-125.933706900144</v>
      </c>
      <c r="CO117" s="33" t="n">
        <f aca="false">-CO113*(In_MEKH+In_HIPA)</f>
        <v>-127.332970310146</v>
      </c>
      <c r="CP117" s="33" t="n">
        <f aca="false">-CP113*(In_MEKH+In_HIPA)</f>
        <v>-128.732233720148</v>
      </c>
      <c r="CQ117" s="33" t="n">
        <f aca="false">-CQ113*(In_MEKH+In_HIPA)</f>
        <v>-128.346037018987</v>
      </c>
      <c r="CR117" s="33" t="n">
        <f aca="false">-CR113*(In_MEKH+In_HIPA)</f>
        <v>-128.220481113208</v>
      </c>
      <c r="CS117" s="33" t="n">
        <f aca="false">-CS113*(In_MEKH+In_HIPA)</f>
        <v>-128.220481113208</v>
      </c>
      <c r="CT117" s="33" t="n">
        <f aca="false">-CT113*(In_MEKH+In_HIPA)</f>
        <v>-129.629497389177</v>
      </c>
      <c r="CU117" s="33" t="n">
        <f aca="false">-CU113*(In_MEKH+In_HIPA)</f>
        <v>-129.240608897009</v>
      </c>
      <c r="CV117" s="33" t="n">
        <f aca="false">-CV113*(In_MEKH+In_HIPA)</f>
        <v>-127.695340747154</v>
      </c>
      <c r="CW117" s="33" t="n">
        <f aca="false">-CW113*(In_MEKH+In_HIPA)</f>
        <v>-129.114177866567</v>
      </c>
      <c r="CX117" s="33" t="n">
        <f aca="false">-CX113*(In_MEKH+In_HIPA)</f>
        <v>-130.53301498598</v>
      </c>
      <c r="CY117" s="33" t="n">
        <f aca="false">-CY113*(In_MEKH+In_HIPA)</f>
        <v>-130.141415941022</v>
      </c>
      <c r="CZ117" s="33" t="n">
        <f aca="false">-CZ113*(In_MEKH+In_HIPA)</f>
        <v>-128.585377272162</v>
      </c>
      <c r="DA117" s="33" t="n">
        <f aca="false">-DA113*(In_MEKH+In_HIPA)</f>
        <v>-130.014103686297</v>
      </c>
      <c r="DB117" s="33" t="n">
        <f aca="false">-DB113*(In_MEKH+In_HIPA)</f>
        <v>-131.442830100432</v>
      </c>
      <c r="DC117" s="33" t="n">
        <f aca="false">-DC113*(In_MEKH+In_HIPA)</f>
        <v>-131.048501610131</v>
      </c>
      <c r="DD117" s="33" t="n">
        <f aca="false">-DD113*(In_MEKH+In_HIPA)</f>
        <v>-129.481617351749</v>
      </c>
      <c r="DE117" s="33" t="n">
        <f aca="false">-DE113*(In_MEKH+In_HIPA)</f>
        <v>-130.92030198899</v>
      </c>
      <c r="DF117" s="33" t="n">
        <f aca="false">-DF113*(In_MEKH+In_HIPA)</f>
        <v>-132.358986626232</v>
      </c>
      <c r="DG117" s="33" t="n">
        <f aca="false">-DG113*(In_MEKH+In_HIPA)</f>
        <v>-131.961909666353</v>
      </c>
      <c r="DH117" s="33" t="n">
        <f aca="false">-DH113*(In_MEKH+In_HIPA)</f>
        <v>-131.832816493854</v>
      </c>
      <c r="DI117" s="33" t="n">
        <f aca="false">-DI113*(In_MEKH+In_HIPA)</f>
        <v>-131.832816493854</v>
      </c>
      <c r="DJ117" s="33" t="n">
        <f aca="false">-DJ113*(In_MEKH+In_HIPA)</f>
        <v>-133.281528763017</v>
      </c>
      <c r="DK117" s="33" t="n">
        <f aca="false">-DK113*(In_MEKH+In_HIPA)</f>
        <v>-132.881684176728</v>
      </c>
      <c r="DL117" s="33" t="n">
        <f aca="false">-DL113*(In_MEKH+In_HIPA)</f>
        <v>-131.292881431136</v>
      </c>
      <c r="DM117" s="33" t="n">
        <f aca="false">-DM113*(In_MEKH+In_HIPA)</f>
        <v>-132.751691224816</v>
      </c>
      <c r="DN117" s="33" t="n">
        <f aca="false">-DN113*(In_MEKH+In_HIPA)</f>
        <v>-134.210501018495</v>
      </c>
      <c r="DO117" s="33" t="n">
        <f aca="false">-DO113*(In_MEKH+In_HIPA)</f>
        <v>-133.807869515439</v>
      </c>
      <c r="DP117" s="33" t="n">
        <f aca="false">-DP113*(In_MEKH+In_HIPA)</f>
        <v>-132.207992814711</v>
      </c>
      <c r="DQ117" s="33" t="n">
        <f aca="false">-DQ113*(In_MEKH+In_HIPA)</f>
        <v>-133.676970512653</v>
      </c>
      <c r="DR117" s="33" t="n">
        <f aca="false">-DR113*(In_MEKH+In_HIPA)</f>
        <v>-135.145948210594</v>
      </c>
      <c r="DS117" s="33" t="n">
        <f aca="false">-DS113*(In_MEKH+In_HIPA)</f>
        <v>-134.740510365962</v>
      </c>
      <c r="DT117" s="33" t="n">
        <f aca="false">-DT113*(In_MEKH+In_HIPA)</f>
        <v>-133.12948252463</v>
      </c>
      <c r="DU117" s="33" t="n">
        <f aca="false">-DU113*(In_MEKH+In_HIPA)</f>
        <v>-134.608698997126</v>
      </c>
      <c r="DV117" s="33" t="n">
        <f aca="false">-DV113*(In_MEKH+In_HIPA)</f>
        <v>-136.087915469622</v>
      </c>
      <c r="DW117" s="33" t="n">
        <f aca="false">-DW113*(In_MEKH+In_HIPA)</f>
        <v>-135.679651723213</v>
      </c>
      <c r="DX117" s="33" t="n">
        <f aca="false">-DX113*(In_MEKH+In_HIPA)</f>
        <v>-135.546921629136</v>
      </c>
      <c r="DY117" s="33" t="n">
        <f aca="false">-DY113*(In_MEKH+In_HIPA)</f>
        <v>-135.546921629136</v>
      </c>
      <c r="DZ117" s="33" t="n">
        <f aca="false">-DZ113*(In_MEKH+In_HIPA)</f>
        <v>-137.036448240445</v>
      </c>
      <c r="EA117" s="33" t="n">
        <f aca="false">-EA113*(In_MEKH+In_HIPA)</f>
        <v>-136.625338895724</v>
      </c>
      <c r="EB117" s="33" t="n">
        <f aca="false">-EB113*(In_MEKH+In_HIPA)</f>
        <v>-134.991775061101</v>
      </c>
      <c r="EC117" s="33" t="n">
        <f aca="false">-EC113*(In_MEKH+In_HIPA)</f>
        <v>-136.491683672891</v>
      </c>
      <c r="ED117" s="33" t="n">
        <f aca="false">-ED113*(In_MEKH+In_HIPA)</f>
        <v>-137.991592284681</v>
      </c>
      <c r="EE117" s="33" t="n">
        <f aca="false">-EE113*(In_MEKH+In_HIPA)</f>
        <v>-137.577617507827</v>
      </c>
      <c r="EF117" s="33" t="n">
        <f aca="false">-EF113*(In_MEKH+In_HIPA)</f>
        <v>-135.932667733277</v>
      </c>
      <c r="EG117" s="33" t="n">
        <f aca="false">-EG113*(In_MEKH+In_HIPA)</f>
        <v>-137.443030708091</v>
      </c>
      <c r="EH117" s="33" t="n">
        <f aca="false">-EH113*(In_MEKH+In_HIPA)</f>
        <v>-138.953393682905</v>
      </c>
      <c r="EI117" s="33" t="n">
        <f aca="false">-EI113*(In_MEKH+In_HIPA)</f>
        <v>-138.536533501856</v>
      </c>
      <c r="EJ117" s="33" t="n">
        <f aca="false">-EJ113*(In_MEKH+In_HIPA)</f>
        <v>-136.880118427378</v>
      </c>
      <c r="EK117" s="33" t="n">
        <f aca="false">-EK113*(In_MEKH+In_HIPA)</f>
        <v>-138.401008632126</v>
      </c>
      <c r="EL117" s="33" t="n">
        <f aca="false">-EL113*(In_MEKH+In_HIPA)</f>
        <v>-139.921898836875</v>
      </c>
      <c r="EM117" s="33" t="n">
        <f aca="false">-EM113*(In_MEKH+In_HIPA)</f>
        <v>-139.502133140364</v>
      </c>
      <c r="EN117" s="33" t="n">
        <f aca="false">-EN113*(In_MEKH+In_HIPA)</f>
        <v>-139.365663662292</v>
      </c>
      <c r="EO117" s="33" t="n">
        <f aca="false">-EO113*(In_MEKH+In_HIPA)</f>
        <v>-139.365663662292</v>
      </c>
      <c r="EP117" s="33" t="n">
        <f aca="false">-EP113*(In_MEKH+In_HIPA)</f>
        <v>-140.897154471768</v>
      </c>
      <c r="EQ117" s="33" t="n">
        <f aca="false">-EQ113*(In_MEKH+In_HIPA)</f>
        <v>-140.474463008353</v>
      </c>
      <c r="ER117" s="33" t="n">
        <f aca="false">-ER113*(In_MEKH+In_HIPA)</f>
        <v>-138.794877037601</v>
      </c>
      <c r="ES117" s="33" t="n">
        <f aca="false">-ES113*(In_MEKH+In_HIPA)</f>
        <v>-140.337042338018</v>
      </c>
      <c r="ET117" s="33" t="n">
        <f aca="false">-ET113*(In_MEKH+In_HIPA)</f>
        <v>-141.879207638436</v>
      </c>
    </row>
    <row r="118" customFormat="false" ht="15" hidden="false" customHeight="false" outlineLevel="0" collapsed="false">
      <c r="C118" s="0" t="s">
        <v>390</v>
      </c>
      <c r="D118" s="11" t="s">
        <v>253</v>
      </c>
      <c r="I118" s="33" t="n">
        <f aca="false">SUM(J118:ET118)</f>
        <v>-8565.12918101122</v>
      </c>
      <c r="J118" s="33" t="n">
        <f aca="false">In_Opex_Contingency*(J114+J115+J116-J113*In_MEKH)</f>
        <v>-0</v>
      </c>
      <c r="K118" s="33" t="n">
        <f aca="false">In_Opex_Contingency*(K114+K115+K116-K113*In_MEKH)</f>
        <v>-0</v>
      </c>
      <c r="L118" s="33" t="n">
        <f aca="false">In_Opex_Contingency*(L114+L115+L116-L113*In_MEKH)</f>
        <v>-0</v>
      </c>
      <c r="M118" s="33" t="n">
        <f aca="false">In_Opex_Contingency*(M114+M115+M116-M113*In_MEKH)</f>
        <v>-0</v>
      </c>
      <c r="N118" s="33" t="n">
        <f aca="false">In_Opex_Contingency*(N114+N115+N116-N113*In_MEKH)</f>
        <v>-0</v>
      </c>
      <c r="O118" s="33" t="n">
        <f aca="false">In_Opex_Contingency*(O114+O115+O116-O113*In_MEKH)</f>
        <v>-0</v>
      </c>
      <c r="P118" s="33" t="n">
        <f aca="false">In_Opex_Contingency*(P114+P115+P116-P113*In_MEKH)</f>
        <v>-0</v>
      </c>
      <c r="Q118" s="33" t="n">
        <f aca="false">In_Opex_Contingency*(Q114+Q115+Q116-Q113*In_MEKH)</f>
        <v>-0</v>
      </c>
      <c r="R118" s="33" t="n">
        <f aca="false">In_Opex_Contingency*(R114+R115+R116-R113*In_MEKH)</f>
        <v>-0</v>
      </c>
      <c r="S118" s="33" t="n">
        <f aca="false">In_Opex_Contingency*(S114+S115+S116-S113*In_MEKH)</f>
        <v>-0</v>
      </c>
      <c r="T118" s="33" t="n">
        <f aca="false">In_Opex_Contingency*(T114+T115+T116-T113*In_MEKH)</f>
        <v>-0</v>
      </c>
      <c r="U118" s="33" t="n">
        <f aca="false">In_Opex_Contingency*(U114+U115+U116-U113*In_MEKH)</f>
        <v>-0</v>
      </c>
      <c r="V118" s="33" t="n">
        <f aca="false">In_Opex_Contingency*(V114+V115+V116-V113*In_MEKH)</f>
        <v>-0</v>
      </c>
      <c r="W118" s="33" t="n">
        <f aca="false">In_Opex_Contingency*(W114+W115+W116-W113*In_MEKH)</f>
        <v>-3.59864073081092</v>
      </c>
      <c r="X118" s="33" t="n">
        <f aca="false">In_Opex_Contingency*(X114+X115+X116-X113*In_MEKH)</f>
        <v>-3.60841964584029</v>
      </c>
      <c r="Y118" s="33" t="n">
        <f aca="false">In_Opex_Contingency*(Y114+Y115+Y116-Y113*In_MEKH)</f>
        <v>-3.64851319746074</v>
      </c>
      <c r="Z118" s="33" t="n">
        <f aca="false">In_Opex_Contingency*(Z114+Z115+Z116-Z113*In_MEKH)</f>
        <v>-3.68860674908119</v>
      </c>
      <c r="AA118" s="33" t="n">
        <f aca="false">In_Opex_Contingency*(AA114+AA115+AA116-AA113*In_MEKH)</f>
        <v>-3.68860674908119</v>
      </c>
      <c r="AB118" s="33" t="n">
        <f aca="false">In_Opex_Contingency*(AB114+AB115+AB116-AB113*In_MEKH)</f>
        <v>-3.6986301369863</v>
      </c>
      <c r="AC118" s="33" t="n">
        <f aca="false">In_Opex_Contingency*(AC114+AC115+AC116-AC113*In_MEKH)</f>
        <v>-3.73972602739726</v>
      </c>
      <c r="AD118" s="33" t="n">
        <f aca="false">In_Opex_Contingency*(AD114+AD115+AD116-AD113*In_MEKH)</f>
        <v>-3.78082191780822</v>
      </c>
      <c r="AE118" s="33" t="n">
        <f aca="false">In_Opex_Contingency*(AE114+AE115+AE116-AE113*In_MEKH)</f>
        <v>-48.8620469041096</v>
      </c>
      <c r="AF118" s="33" t="n">
        <f aca="false">In_Opex_Contingency*(AF114+AF115+AF116-AF113*In_MEKH)</f>
        <v>-49.5351540619178</v>
      </c>
      <c r="AG118" s="33" t="n">
        <f aca="false">In_Opex_Contingency*(AG114+AG115+AG116-AG113*In_MEKH)</f>
        <v>-49.5351540619178</v>
      </c>
      <c r="AH118" s="33" t="n">
        <f aca="false">In_Opex_Contingency*(AH114+AH115+AH116-AH113*In_MEKH)</f>
        <v>-50.0794964142466</v>
      </c>
      <c r="AI118" s="33" t="n">
        <f aca="false">In_Opex_Contingency*(AI114+AI115+AI116-AI113*In_MEKH)</f>
        <v>-50.0319545003463</v>
      </c>
      <c r="AJ118" s="33" t="n">
        <f aca="false">In_Opex_Contingency*(AJ114+AJ115+AJ116-AJ113*In_MEKH)</f>
        <v>-50.1638704354583</v>
      </c>
      <c r="AK118" s="33" t="n">
        <f aca="false">In_Opex_Contingency*(AK114+AK115+AK116-AK113*In_MEKH)</f>
        <v>-50.7212467736301</v>
      </c>
      <c r="AL118" s="33" t="n">
        <f aca="false">In_Opex_Contingency*(AL114+AL115+AL116-AL113*In_MEKH)</f>
        <v>-51.2786231118018</v>
      </c>
      <c r="AM118" s="33" t="n">
        <f aca="false">In_Opex_Contingency*(AM114+AM115+AM116-AM113*In_MEKH)</f>
        <v>-51.2300512321924</v>
      </c>
      <c r="AN118" s="33" t="n">
        <f aca="false">In_Opex_Contingency*(AN114+AN115+AN116-AN113*In_MEKH)</f>
        <v>-51.3651947029183</v>
      </c>
      <c r="AO118" s="33" t="n">
        <f aca="false">In_Opex_Contingency*(AO114+AO115+AO116-AO113*In_MEKH)</f>
        <v>-51.9359190885063</v>
      </c>
      <c r="AP118" s="33" t="n">
        <f aca="false">In_Opex_Contingency*(AP114+AP115+AP116-AP113*In_MEKH)</f>
        <v>-52.5066434740943</v>
      </c>
      <c r="AQ118" s="33" t="n">
        <f aca="false">In_Opex_Contingency*(AQ114+AQ115+AQ116-AQ113*In_MEKH)</f>
        <v>-52.4570191331412</v>
      </c>
      <c r="AR118" s="33" t="n">
        <f aca="false">In_Opex_Contingency*(AR114+AR115+AR116-AR113*In_MEKH)</f>
        <v>-52.5954683974554</v>
      </c>
      <c r="AS118" s="33" t="n">
        <f aca="false">In_Opex_Contingency*(AS114+AS115+AS116-AS113*In_MEKH)</f>
        <v>-53.1798624907605</v>
      </c>
      <c r="AT118" s="33" t="n">
        <f aca="false">In_Opex_Contingency*(AT114+AT115+AT116-AT113*In_MEKH)</f>
        <v>-53.7642565840656</v>
      </c>
      <c r="AU118" s="33" t="n">
        <f aca="false">In_Opex_Contingency*(AU114+AU115+AU116-AU113*In_MEKH)</f>
        <v>-53.7135567935193</v>
      </c>
      <c r="AV118" s="33" t="n">
        <f aca="false">In_Opex_Contingency*(AV114+AV115+AV116-AV113*In_MEKH)</f>
        <v>-54.4537852508869</v>
      </c>
      <c r="AW118" s="33" t="n">
        <f aca="false">In_Opex_Contingency*(AW114+AW115+AW116-AW113*In_MEKH)</f>
        <v>-54.4537852508869</v>
      </c>
      <c r="AX118" s="33" t="n">
        <f aca="false">In_Opex_Contingency*(AX114+AX115+AX116-AX113*In_MEKH)</f>
        <v>-55.0521784954021</v>
      </c>
      <c r="AY118" s="33" t="n">
        <f aca="false">In_Opex_Contingency*(AY114+AY115+AY116-AY113*In_MEKH)</f>
        <v>-55.0003797636019</v>
      </c>
      <c r="AZ118" s="33" t="n">
        <f aca="false">In_Opex_Contingency*(AZ114+AZ115+AZ116-AZ113*In_MEKH)</f>
        <v>-55.1456830229945</v>
      </c>
      <c r="BA118" s="33" t="n">
        <f aca="false">In_Opex_Contingency*(BA114+BA115+BA116-BA113*In_MEKH)</f>
        <v>-55.7584128343611</v>
      </c>
      <c r="BB118" s="33" t="n">
        <f aca="false">In_Opex_Contingency*(BB114+BB115+BB116-BB113*In_MEKH)</f>
        <v>-56.3711426457277</v>
      </c>
      <c r="BC118" s="33" t="n">
        <f aca="false">In_Opex_Contingency*(BC114+BC115+BC116-BC113*In_MEKH)</f>
        <v>-56.3182209665687</v>
      </c>
      <c r="BD118" s="33" t="n">
        <f aca="false">In_Opex_Contingency*(BD114+BD115+BD116-BD113*In_MEKH)</f>
        <v>-56.4670763607554</v>
      </c>
      <c r="BE118" s="33" t="n">
        <f aca="false">In_Opex_Contingency*(BE114+BE115+BE116-BE113*In_MEKH)</f>
        <v>-57.0944883203193</v>
      </c>
      <c r="BF118" s="33" t="n">
        <f aca="false">In_Opex_Contingency*(BF114+BF115+BF116-BF113*In_MEKH)</f>
        <v>-57.7219002798833</v>
      </c>
      <c r="BG118" s="33" t="n">
        <f aca="false">In_Opex_Contingency*(BG114+BG115+BG116-BG113*In_MEKH)</f>
        <v>-57.6678311215413</v>
      </c>
      <c r="BH118" s="33" t="n">
        <f aca="false">In_Opex_Contingency*(BH114+BH115+BH116-BH113*In_MEKH)</f>
        <v>-57.8203247773766</v>
      </c>
      <c r="BI118" s="33" t="n">
        <f aca="false">In_Opex_Contingency*(BI114+BI115+BI116-BI113*In_MEKH)</f>
        <v>-58.4627728304585</v>
      </c>
      <c r="BJ118" s="33" t="n">
        <f aca="false">In_Opex_Contingency*(BJ114+BJ115+BJ116-BJ113*In_MEKH)</f>
        <v>-59.1052208835405</v>
      </c>
      <c r="BK118" s="33" t="n">
        <f aca="false">In_Opex_Contingency*(BK114+BK115+BK116-BK113*In_MEKH)</f>
        <v>-59.04997917695</v>
      </c>
      <c r="BL118" s="33" t="n">
        <f aca="false">In_Opex_Contingency*(BL114+BL115+BL116-BL113*In_MEKH)</f>
        <v>-59.8640459684091</v>
      </c>
      <c r="BM118" s="33" t="n">
        <f aca="false">In_Opex_Contingency*(BM114+BM115+BM116-BM113*In_MEKH)</f>
        <v>-59.8640459684091</v>
      </c>
      <c r="BN118" s="33" t="n">
        <f aca="false">In_Opex_Contingency*(BN114+BN115+BN116-BN113*In_MEKH)</f>
        <v>-60.5218926274026</v>
      </c>
      <c r="BO118" s="33" t="n">
        <f aca="false">In_Opex_Contingency*(BO114+BO115+BO116-BO113*In_MEKH)</f>
        <v>-60.465452754482</v>
      </c>
      <c r="BP118" s="33" t="n">
        <f aca="false">In_Opex_Contingency*(BP114+BP115+BP116-BP113*In_MEKH)</f>
        <v>-60.6254897174195</v>
      </c>
      <c r="BQ118" s="33" t="n">
        <f aca="false">In_Opex_Contingency*(BQ114+BQ115+BQ116-BQ113*In_MEKH)</f>
        <v>-61.2991062698353</v>
      </c>
      <c r="BR118" s="33" t="n">
        <f aca="false">In_Opex_Contingency*(BR114+BR115+BR116-BR113*In_MEKH)</f>
        <v>-61.972722822251</v>
      </c>
      <c r="BS118" s="33" t="n">
        <f aca="false">In_Opex_Contingency*(BS114+BS115+BS116-BS113*In_MEKH)</f>
        <v>-61.9150586038699</v>
      </c>
      <c r="BT118" s="33" t="n">
        <f aca="false">In_Opex_Contingency*(BT114+BT115+BT116-BT113*In_MEKH)</f>
        <v>-62.0790049419491</v>
      </c>
      <c r="BU118" s="33" t="n">
        <f aca="false">In_Opex_Contingency*(BU114+BU115+BU116-BU113*In_MEKH)</f>
        <v>-62.7687716635263</v>
      </c>
      <c r="BV118" s="33" t="n">
        <f aca="false">In_Opex_Contingency*(BV114+BV115+BV116-BV113*In_MEKH)</f>
        <v>-63.4585383851035</v>
      </c>
      <c r="BW118" s="33" t="n">
        <f aca="false">In_Opex_Contingency*(BW114+BW115+BW116-BW113*In_MEKH)</f>
        <v>-63.399623068786</v>
      </c>
      <c r="BX118" s="33" t="n">
        <f aca="false">In_Opex_Contingency*(BX114+BX115+BX116-BX113*In_MEKH)</f>
        <v>-63.5675735707396</v>
      </c>
      <c r="BY118" s="33" t="n">
        <f aca="false">In_Opex_Contingency*(BY114+BY115+BY116-BY113*In_MEKH)</f>
        <v>-64.2738799437478</v>
      </c>
      <c r="BZ118" s="33" t="n">
        <f aca="false">In_Opex_Contingency*(BZ114+BZ115+BZ116-BZ113*In_MEKH)</f>
        <v>-64.980186316756</v>
      </c>
      <c r="CA118" s="33" t="n">
        <f aca="false">In_Opex_Contingency*(CA114+CA115+CA116-CA113*In_MEKH)</f>
        <v>-64.9199925641145</v>
      </c>
      <c r="CB118" s="33" t="n">
        <f aca="false">In_Opex_Contingency*(CB114+CB115+CB116-CB113*In_MEKH)</f>
        <v>-65.8152892541277</v>
      </c>
      <c r="CC118" s="33" t="n">
        <f aca="false">In_Opex_Contingency*(CC114+CC115+CC116-CC113*In_MEKH)</f>
        <v>-65.8152892541277</v>
      </c>
      <c r="CD118" s="33" t="n">
        <f aca="false">In_Opex_Contingency*(CD114+CD115+CD116-CD113*In_MEKH)</f>
        <v>-66.5385341909863</v>
      </c>
      <c r="CE118" s="33" t="n">
        <f aca="false">In_Opex_Contingency*(CE114+CE115+CE116-CE113*In_MEKH)</f>
        <v>-66.4770340648798</v>
      </c>
      <c r="CF118" s="33" t="n">
        <f aca="false">In_Opex_Contingency*(CF114+CF115+CF116-CF113*In_MEKH)</f>
        <v>-66.6532865110164</v>
      </c>
      <c r="CG118" s="33" t="n">
        <f aca="false">In_Opex_Contingency*(CG114+CG115+CG116-CG113*In_MEKH)</f>
        <v>-67.3938785833611</v>
      </c>
      <c r="CH118" s="33" t="n">
        <f aca="false">In_Opex_Contingency*(CH114+CH115+CH116-CH113*In_MEKH)</f>
        <v>-68.1344706557057</v>
      </c>
      <c r="CI118" s="33" t="n">
        <f aca="false">In_Opex_Contingency*(CI114+CI115+CI116-CI113*In_MEKH)</f>
        <v>-68.0716356071167</v>
      </c>
      <c r="CJ118" s="33" t="n">
        <f aca="false">In_Opex_Contingency*(CJ114+CJ115+CJ116-CJ113*In_MEKH)</f>
        <v>-68.252190599691</v>
      </c>
      <c r="CK118" s="33" t="n">
        <f aca="false">In_Opex_Contingency*(CK114+CK115+CK116-CK113*In_MEKH)</f>
        <v>-69.0105482730209</v>
      </c>
      <c r="CL118" s="33" t="n">
        <f aca="false">In_Opex_Contingency*(CL114+CL115+CL116-CL113*In_MEKH)</f>
        <v>-69.7689059463508</v>
      </c>
      <c r="CM118" s="33" t="n">
        <f aca="false">In_Opex_Contingency*(CM114+CM115+CM116-CM113*In_MEKH)</f>
        <v>-69.7047068009743</v>
      </c>
      <c r="CN118" s="33" t="n">
        <f aca="false">In_Opex_Contingency*(CN114+CN115+CN116-CN113*In_MEKH)</f>
        <v>-69.8896686637318</v>
      </c>
      <c r="CO118" s="33" t="n">
        <f aca="false">In_Opex_Contingency*(CO114+CO115+CO116-CO113*In_MEKH)</f>
        <v>-70.6662205377733</v>
      </c>
      <c r="CP118" s="33" t="n">
        <f aca="false">In_Opex_Contingency*(CP114+CP115+CP116-CP113*In_MEKH)</f>
        <v>-71.4427724118148</v>
      </c>
      <c r="CQ118" s="33" t="n">
        <f aca="false">In_Opex_Contingency*(CQ114+CQ115+CQ116-CQ113*In_MEKH)</f>
        <v>-71.3771793563535</v>
      </c>
      <c r="CR118" s="33" t="n">
        <f aca="false">In_Opex_Contingency*(CR114+CR115+CR116-CR113*In_MEKH)</f>
        <v>-72.3618399982995</v>
      </c>
      <c r="CS118" s="33" t="n">
        <f aca="false">In_Opex_Contingency*(CS114+CS115+CS116-CS113*In_MEKH)</f>
        <v>-72.3618399982995</v>
      </c>
      <c r="CT118" s="33" t="n">
        <f aca="false">In_Opex_Contingency*(CT114+CT115+CT116-CT113*In_MEKH)</f>
        <v>-73.1570250532259</v>
      </c>
      <c r="CU118" s="33" t="n">
        <f aca="false">In_Opex_Contingency*(CU114+CU115+CU116-CU113*In_MEKH)</f>
        <v>-73.0900076213847</v>
      </c>
      <c r="CV118" s="33" t="n">
        <f aca="false">In_Opex_Contingency*(CV114+CV115+CV116-CV113*In_MEKH)</f>
        <v>-73.2841063785854</v>
      </c>
      <c r="CW118" s="33" t="n">
        <f aca="false">In_Opex_Contingency*(CW114+CW115+CW116-CW113*In_MEKH)</f>
        <v>-74.0983742272363</v>
      </c>
      <c r="CX118" s="33" t="n">
        <f aca="false">In_Opex_Contingency*(CX114+CX115+CX116-CX113*In_MEKH)</f>
        <v>-74.9126420758873</v>
      </c>
      <c r="CY118" s="33" t="n">
        <f aca="false">In_Opex_Contingency*(CY114+CY115+CY116-CY113*In_MEKH)</f>
        <v>-74.8441691340611</v>
      </c>
      <c r="CZ118" s="33" t="n">
        <f aca="false">In_Opex_Contingency*(CZ114+CZ115+CZ116-CZ113*In_MEKH)</f>
        <v>-75.0430031622069</v>
      </c>
      <c r="DA118" s="33" t="n">
        <f aca="false">In_Opex_Contingency*(DA114+DA115+DA116-DA113*In_MEKH)</f>
        <v>-75.8768143084537</v>
      </c>
      <c r="DB118" s="33" t="n">
        <f aca="false">In_Opex_Contingency*(DB114+DB115+DB116-DB113*In_MEKH)</f>
        <v>-76.7106254547004</v>
      </c>
      <c r="DC118" s="33" t="n">
        <f aca="false">In_Opex_Contingency*(DC114+DC115+DC116-DC113*In_MEKH)</f>
        <v>-76.6406651873478</v>
      </c>
      <c r="DD118" s="33" t="n">
        <f aca="false">In_Opex_Contingency*(DD114+DD115+DD116-DD113*In_MEKH)</f>
        <v>-76.8443493065894</v>
      </c>
      <c r="DE118" s="33" t="n">
        <f aca="false">In_Opex_Contingency*(DE114+DE115+DE116-DE113*In_MEKH)</f>
        <v>-77.698175409996</v>
      </c>
      <c r="DF118" s="33" t="n">
        <f aca="false">In_Opex_Contingency*(DF114+DF115+DF116-DF113*In_MEKH)</f>
        <v>-78.5520015134025</v>
      </c>
      <c r="DG118" s="33" t="n">
        <f aca="false">In_Opex_Contingency*(DG114+DG115+DG116-DG113*In_MEKH)</f>
        <v>-78.4805214080991</v>
      </c>
      <c r="DH118" s="33" t="n">
        <f aca="false">In_Opex_Contingency*(DH114+DH115+DH116-DH113*In_MEKH)</f>
        <v>-79.563497371022</v>
      </c>
      <c r="DI118" s="33" t="n">
        <f aca="false">In_Opex_Contingency*(DI114+DI115+DI116-DI113*In_MEKH)</f>
        <v>-79.563497371022</v>
      </c>
      <c r="DJ118" s="33" t="n">
        <f aca="false">In_Opex_Contingency*(DJ114+DJ115+DJ116-DJ113*In_MEKH)</f>
        <v>-80.4378215179563</v>
      </c>
      <c r="DK118" s="33" t="n">
        <f aca="false">In_Opex_Contingency*(DK114+DK115+DK116-DK113*In_MEKH)</f>
        <v>-80.3647883501201</v>
      </c>
      <c r="DL118" s="33" t="n">
        <f aca="false">In_Opex_Contingency*(DL114+DL115+DL116-DL113*In_MEKH)</f>
        <v>-80.5785283217331</v>
      </c>
      <c r="DM118" s="33" t="n">
        <f aca="false">In_Opex_Contingency*(DM114+DM115+DM116-DM113*In_MEKH)</f>
        <v>-81.4738453030857</v>
      </c>
      <c r="DN118" s="33" t="n">
        <f aca="false">In_Opex_Contingency*(DN114+DN115+DN116-DN113*In_MEKH)</f>
        <v>-82.3691622844383</v>
      </c>
      <c r="DO118" s="33" t="n">
        <f aca="false">In_Opex_Contingency*(DO114+DO115+DO116-DO113*In_MEKH)</f>
        <v>-82.2945421017206</v>
      </c>
      <c r="DP118" s="33" t="n">
        <f aca="false">In_Opex_Contingency*(DP114+DP115+DP116-DP113*In_MEKH)</f>
        <v>-82.5134936104378</v>
      </c>
      <c r="DQ118" s="33" t="n">
        <f aca="false">In_Opex_Contingency*(DQ114+DQ115+DQ116-DQ113*In_MEKH)</f>
        <v>-83.4303102061093</v>
      </c>
      <c r="DR118" s="33" t="n">
        <f aca="false">In_Opex_Contingency*(DR114+DR115+DR116-DR113*In_MEKH)</f>
        <v>-84.3471268017809</v>
      </c>
      <c r="DS118" s="33" t="n">
        <f aca="false">In_Opex_Contingency*(DS114+DS115+DS116-DS113*In_MEKH)</f>
        <v>-84.2708849081146</v>
      </c>
      <c r="DT118" s="33" t="n">
        <f aca="false">In_Opex_Contingency*(DT114+DT115+DT116-DT113*In_MEKH)</f>
        <v>-84.4951743290865</v>
      </c>
      <c r="DU118" s="33" t="n">
        <f aca="false">In_Opex_Contingency*(DU114+DU115+DU116-DU113*In_MEKH)</f>
        <v>-85.4340095994097</v>
      </c>
      <c r="DV118" s="33" t="n">
        <f aca="false">In_Opex_Contingency*(DV114+DV115+DV116-DV113*In_MEKH)</f>
        <v>-86.3728448697329</v>
      </c>
      <c r="DW118" s="33" t="n">
        <f aca="false">In_Opex_Contingency*(DW114+DW115+DW116-DW113*In_MEKH)</f>
        <v>-86.2949458090312</v>
      </c>
      <c r="DX118" s="33" t="n">
        <f aca="false">In_Opex_Contingency*(DX114+DX115+DX116-DX113*In_MEKH)</f>
        <v>-87.4860881681444</v>
      </c>
      <c r="DY118" s="33" t="n">
        <f aca="false">In_Opex_Contingency*(DY114+DY115+DY116-DY113*In_MEKH)</f>
        <v>-87.4860881681444</v>
      </c>
      <c r="DZ118" s="33" t="n">
        <f aca="false">In_Opex_Contingency*(DZ114+DZ115+DZ116-DZ113*In_MEKH)</f>
        <v>-88.4474737524097</v>
      </c>
      <c r="EA118" s="33" t="n">
        <f aca="false">In_Opex_Contingency*(EA114+EA115+EA116-EA113*In_MEKH)</f>
        <v>-88.3678812919077</v>
      </c>
      <c r="EB118" s="33" t="n">
        <f aca="false">In_Opex_Contingency*(EB114+EB115+EB116-EB113*In_MEKH)</f>
        <v>-88.6032380032985</v>
      </c>
      <c r="EC118" s="33" t="n">
        <f aca="false">In_Opex_Contingency*(EC114+EC115+EC116-EC113*In_MEKH)</f>
        <v>-89.5877184255573</v>
      </c>
      <c r="ED118" s="33" t="n">
        <f aca="false">In_Opex_Contingency*(ED114+ED115+ED116-ED113*In_MEKH)</f>
        <v>-90.5721988478162</v>
      </c>
      <c r="EE118" s="33" t="n">
        <f aca="false">In_Opex_Contingency*(EE114+EE115+EE116-EE113*In_MEKH)</f>
        <v>-90.4908759610468</v>
      </c>
      <c r="EF118" s="33" t="n">
        <f aca="false">In_Opex_Contingency*(EF114+EF115+EF116-EF113*In_MEKH)</f>
        <v>-90.731968409087</v>
      </c>
      <c r="EG118" s="33" t="n">
        <f aca="false">In_Opex_Contingency*(EG114+EG115+EG116-EG113*In_MEKH)</f>
        <v>-91.7401013914103</v>
      </c>
      <c r="EH118" s="33" t="n">
        <f aca="false">In_Opex_Contingency*(EH114+EH115+EH116-EH113*In_MEKH)</f>
        <v>-92.7482343737334</v>
      </c>
      <c r="EI118" s="33" t="n">
        <f aca="false">In_Opex_Contingency*(EI114+EI115+EI116-EI113*In_MEKH)</f>
        <v>-92.6651432231306</v>
      </c>
      <c r="EJ118" s="33" t="n">
        <f aca="false">In_Opex_Contingency*(EJ114+EJ115+EJ116-EJ113*In_MEKH)</f>
        <v>-92.9121105036224</v>
      </c>
      <c r="EK118" s="33" t="n">
        <f aca="false">In_Opex_Contingency*(EK114+EK115+EK116-EK113*In_MEKH)</f>
        <v>-93.944467286996</v>
      </c>
      <c r="EL118" s="33" t="n">
        <f aca="false">In_Opex_Contingency*(EL114+EL115+EL116-EL113*In_MEKH)</f>
        <v>-94.9768240703696</v>
      </c>
      <c r="EM118" s="33" t="n">
        <f aca="false">In_Opex_Contingency*(EM114+EM115+EM116-EM113*In_MEKH)</f>
        <v>-94.8919259894898</v>
      </c>
      <c r="EN118" s="33" t="n">
        <f aca="false">In_Opex_Contingency*(EN114+EN115+EN116-EN113*In_MEKH)</f>
        <v>-96.2020762471408</v>
      </c>
      <c r="EO118" s="33" t="n">
        <f aca="false">In_Opex_Contingency*(EO114+EO115+EO116-EO113*In_MEKH)</f>
        <v>-96.2020762471408</v>
      </c>
      <c r="EP118" s="33" t="n">
        <f aca="false">In_Opex_Contingency*(EP114+EP115+EP116-EP113*In_MEKH)</f>
        <v>-97.2592419201863</v>
      </c>
      <c r="EQ118" s="33" t="n">
        <f aca="false">In_Opex_Contingency*(EQ114+EQ115+EQ116-EQ113*In_MEKH)</f>
        <v>-97.1724973955404</v>
      </c>
      <c r="ER118" s="33" t="n">
        <f aca="false">In_Opex_Contingency*(ER114+ER115+ER116-ER113*In_MEKH)</f>
        <v>-97.4316452139015</v>
      </c>
      <c r="ES118" s="33" t="n">
        <f aca="false">In_Opex_Contingency*(ES114+ES115+ES116-ES113*In_MEKH)</f>
        <v>-98.5142190496114</v>
      </c>
      <c r="ET118" s="33" t="n">
        <f aca="false">In_Opex_Contingency*(ET114+ET115+ET116-ET113*In_MEKH)</f>
        <v>-99.5967928853215</v>
      </c>
    </row>
    <row r="119" customFormat="false" ht="15" hidden="false" customHeight="false" outlineLevel="0" collapsed="false">
      <c r="C119" s="0" t="s">
        <v>31</v>
      </c>
      <c r="D119" s="11" t="s">
        <v>253</v>
      </c>
      <c r="I119" s="33" t="n">
        <f aca="false">SUM(J119:ET119)</f>
        <v>-20794.4767338331</v>
      </c>
      <c r="J119" s="33" t="n">
        <f aca="false">-$E31*In_Delivered*J112/Thousand</f>
        <v>-0</v>
      </c>
      <c r="K119" s="33" t="n">
        <f aca="false">-$E31*In_Delivered*K112/Thousand</f>
        <v>-0</v>
      </c>
      <c r="L119" s="33" t="n">
        <f aca="false">-$E31*In_Delivered*L112/Thousand</f>
        <v>-0</v>
      </c>
      <c r="M119" s="33" t="n">
        <f aca="false">-$E31*In_Delivered*M112/Thousand</f>
        <v>-0</v>
      </c>
      <c r="N119" s="33" t="n">
        <f aca="false">-$E31*In_Delivered*N112/Thousand</f>
        <v>-0</v>
      </c>
      <c r="O119" s="33" t="n">
        <f aca="false">-$E31*In_Delivered*O112/Thousand</f>
        <v>-0</v>
      </c>
      <c r="P119" s="33" t="n">
        <f aca="false">-$E31*In_Delivered*P112/Thousand</f>
        <v>-0</v>
      </c>
      <c r="Q119" s="33" t="n">
        <f aca="false">-$E31*In_Delivered*Q112/Thousand</f>
        <v>-0</v>
      </c>
      <c r="R119" s="33" t="n">
        <f aca="false">-$E31*In_Delivered*R112/Thousand</f>
        <v>-0</v>
      </c>
      <c r="S119" s="33" t="n">
        <f aca="false">-$E31*In_Delivered*S112/Thousand</f>
        <v>-0</v>
      </c>
      <c r="T119" s="33" t="n">
        <f aca="false">-$E31*In_Delivered*T112/Thousand</f>
        <v>-0</v>
      </c>
      <c r="U119" s="33" t="n">
        <f aca="false">-$E31*In_Delivered*U112/Thousand</f>
        <v>-0</v>
      </c>
      <c r="V119" s="33" t="n">
        <f aca="false">-$E31*In_Delivered*V112/Thousand</f>
        <v>-0</v>
      </c>
      <c r="W119" s="33" t="n">
        <f aca="false">-$E31*In_Delivered*W112/Thousand</f>
        <v>-0</v>
      </c>
      <c r="X119" s="33" t="n">
        <f aca="false">-$E31*In_Delivered*X112/Thousand</f>
        <v>-0</v>
      </c>
      <c r="Y119" s="33" t="n">
        <f aca="false">-$E31*In_Delivered*Y112/Thousand</f>
        <v>-0</v>
      </c>
      <c r="Z119" s="33" t="n">
        <f aca="false">-$E31*In_Delivered*Z112/Thousand</f>
        <v>-0</v>
      </c>
      <c r="AA119" s="33" t="n">
        <f aca="false">-$E31*In_Delivered*AA112/Thousand</f>
        <v>-0</v>
      </c>
      <c r="AB119" s="33" t="n">
        <f aca="false">-$E31*In_Delivered*AB112/Thousand</f>
        <v>-0</v>
      </c>
      <c r="AC119" s="33" t="n">
        <f aca="false">-$E31*In_Delivered*AC112/Thousand</f>
        <v>-0</v>
      </c>
      <c r="AD119" s="33" t="n">
        <f aca="false">-$E31*In_Delivered*AD112/Thousand</f>
        <v>-0</v>
      </c>
      <c r="AE119" s="33" t="n">
        <f aca="false">-$E31*In_Delivered*AE112/Thousand</f>
        <v>-182.296109589041</v>
      </c>
      <c r="AF119" s="33" t="n">
        <f aca="false">-$E31*In_Delivered*AF112/Thousand</f>
        <v>-180.314630136986</v>
      </c>
      <c r="AG119" s="33" t="n">
        <f aca="false">-$E31*In_Delivered*AG112/Thousand</f>
        <v>-180.314630136986</v>
      </c>
      <c r="AH119" s="33" t="n">
        <f aca="false">-$E31*In_Delivered*AH112/Thousand</f>
        <v>-182.296109589041</v>
      </c>
      <c r="AI119" s="33" t="n">
        <f aca="false">-$E31*In_Delivered*AI112/Thousand</f>
        <v>-181.749221260274</v>
      </c>
      <c r="AJ119" s="33" t="n">
        <f aca="false">-$E31*In_Delivered*AJ112/Thousand</f>
        <v>-177.798151232877</v>
      </c>
      <c r="AK119" s="33" t="n">
        <f aca="false">-$E31*In_Delivered*AK112/Thousand</f>
        <v>-179.773686246575</v>
      </c>
      <c r="AL119" s="33" t="n">
        <f aca="false">-$E31*In_Delivered*AL112/Thousand</f>
        <v>-181.749221260274</v>
      </c>
      <c r="AM119" s="33" t="n">
        <f aca="false">-$E31*In_Delivered*AM112/Thousand</f>
        <v>-181.203973596493</v>
      </c>
      <c r="AN119" s="33" t="n">
        <f aca="false">-$E31*In_Delivered*AN112/Thousand</f>
        <v>-177.264756779178</v>
      </c>
      <c r="AO119" s="33" t="n">
        <f aca="false">-$E31*In_Delivered*AO112/Thousand</f>
        <v>-179.234365187836</v>
      </c>
      <c r="AP119" s="33" t="n">
        <f aca="false">-$E31*In_Delivered*AP112/Thousand</f>
        <v>-181.203973596493</v>
      </c>
      <c r="AQ119" s="33" t="n">
        <f aca="false">-$E31*In_Delivered*AQ112/Thousand</f>
        <v>-180.660361675704</v>
      </c>
      <c r="AR119" s="33" t="n">
        <f aca="false">-$E31*In_Delivered*AR112/Thousand</f>
        <v>-176.732962508841</v>
      </c>
      <c r="AS119" s="33" t="n">
        <f aca="false">-$E31*In_Delivered*AS112/Thousand</f>
        <v>-178.696662092272</v>
      </c>
      <c r="AT119" s="33" t="n">
        <f aca="false">-$E31*In_Delivered*AT112/Thousand</f>
        <v>-180.660361675704</v>
      </c>
      <c r="AU119" s="33" t="n">
        <f aca="false">-$E31*In_Delivered*AU112/Thousand</f>
        <v>-180.118380590677</v>
      </c>
      <c r="AV119" s="33" t="n">
        <f aca="false">-$E31*In_Delivered*AV112/Thousand</f>
        <v>-178.160572105995</v>
      </c>
      <c r="AW119" s="33" t="n">
        <f aca="false">-$E31*In_Delivered*AW112/Thousand</f>
        <v>-178.160572105995</v>
      </c>
      <c r="AX119" s="33" t="n">
        <f aca="false">-$E31*In_Delivered*AX112/Thousand</f>
        <v>-180.118380590677</v>
      </c>
      <c r="AY119" s="33" t="n">
        <f aca="false">-$E31*In_Delivered*AY112/Thousand</f>
        <v>-179.578025448905</v>
      </c>
      <c r="AZ119" s="33" t="n">
        <f aca="false">-$E31*In_Delivered*AZ112/Thousand</f>
        <v>-175.67415533045</v>
      </c>
      <c r="BA119" s="33" t="n">
        <f aca="false">-$E31*In_Delivered*BA112/Thousand</f>
        <v>-177.626090389677</v>
      </c>
      <c r="BB119" s="33" t="n">
        <f aca="false">-$E31*In_Delivered*BB112/Thousand</f>
        <v>-179.578025448905</v>
      </c>
      <c r="BC119" s="33" t="n">
        <f aca="false">-$E31*In_Delivered*BC112/Thousand</f>
        <v>-179.039291372558</v>
      </c>
      <c r="BD119" s="33" t="n">
        <f aca="false">-$E31*In_Delivered*BD112/Thousand</f>
        <v>-175.147132864459</v>
      </c>
      <c r="BE119" s="33" t="n">
        <f aca="false">-$E31*In_Delivered*BE112/Thousand</f>
        <v>-177.093212118508</v>
      </c>
      <c r="BF119" s="33" t="n">
        <f aca="false">-$E31*In_Delivered*BF112/Thousand</f>
        <v>-179.039291372558</v>
      </c>
      <c r="BG119" s="33" t="n">
        <f aca="false">-$E31*In_Delivered*BG112/Thousand</f>
        <v>-178.50217349844</v>
      </c>
      <c r="BH119" s="33" t="n">
        <f aca="false">-$E31*In_Delivered*BH112/Thousand</f>
        <v>-174.621691465865</v>
      </c>
      <c r="BI119" s="33" t="n">
        <f aca="false">-$E31*In_Delivered*BI112/Thousand</f>
        <v>-176.561932482153</v>
      </c>
      <c r="BJ119" s="33" t="n">
        <f aca="false">-$E31*In_Delivered*BJ112/Thousand</f>
        <v>-178.50217349844</v>
      </c>
      <c r="BK119" s="33" t="n">
        <f aca="false">-$E31*In_Delivered*BK112/Thousand</f>
        <v>-177.966666977945</v>
      </c>
      <c r="BL119" s="33" t="n">
        <f aca="false">-$E31*In_Delivered*BL112/Thousand</f>
        <v>-176.032246684706</v>
      </c>
      <c r="BM119" s="33" t="n">
        <f aca="false">-$E31*In_Delivered*BM112/Thousand</f>
        <v>-176.032246684706</v>
      </c>
      <c r="BN119" s="33" t="n">
        <f aca="false">-$E31*In_Delivered*BN112/Thousand</f>
        <v>-177.966666977945</v>
      </c>
      <c r="BO119" s="33" t="n">
        <f aca="false">-$E31*In_Delivered*BO112/Thousand</f>
        <v>-177.432766977011</v>
      </c>
      <c r="BP119" s="33" t="n">
        <f aca="false">-$E31*In_Delivered*BP112/Thousand</f>
        <v>-173.575532912293</v>
      </c>
      <c r="BQ119" s="33" t="n">
        <f aca="false">-$E31*In_Delivered*BQ112/Thousand</f>
        <v>-175.504149944652</v>
      </c>
      <c r="BR119" s="33" t="n">
        <f aca="false">-$E31*In_Delivered*BR112/Thousand</f>
        <v>-177.432766977011</v>
      </c>
      <c r="BS119" s="33" t="n">
        <f aca="false">-$E31*In_Delivered*BS112/Thousand</f>
        <v>-176.90046867608</v>
      </c>
      <c r="BT119" s="33" t="n">
        <f aca="false">-$E31*In_Delivered*BT112/Thousand</f>
        <v>-173.054806313556</v>
      </c>
      <c r="BU119" s="33" t="n">
        <f aca="false">-$E31*In_Delivered*BU112/Thousand</f>
        <v>-174.977637494818</v>
      </c>
      <c r="BV119" s="33" t="n">
        <f aca="false">-$E31*In_Delivered*BV112/Thousand</f>
        <v>-176.90046867608</v>
      </c>
      <c r="BW119" s="33" t="n">
        <f aca="false">-$E31*In_Delivered*BW112/Thousand</f>
        <v>-176.369767270052</v>
      </c>
      <c r="BX119" s="33" t="n">
        <f aca="false">-$E31*In_Delivered*BX112/Thousand</f>
        <v>-172.535641894616</v>
      </c>
      <c r="BY119" s="33" t="n">
        <f aca="false">-$E31*In_Delivered*BY112/Thousand</f>
        <v>-174.452704582334</v>
      </c>
      <c r="BZ119" s="33" t="n">
        <f aca="false">-$E31*In_Delivered*BZ112/Thousand</f>
        <v>-176.369767270052</v>
      </c>
      <c r="CA119" s="33" t="n">
        <f aca="false">-$E31*In_Delivered*CA112/Thousand</f>
        <v>-175.840657968242</v>
      </c>
      <c r="CB119" s="33" t="n">
        <f aca="false">-$E31*In_Delivered*CB112/Thousand</f>
        <v>-173.929346468587</v>
      </c>
      <c r="CC119" s="33" t="n">
        <f aca="false">-$E31*In_Delivered*CC112/Thousand</f>
        <v>-173.929346468587</v>
      </c>
      <c r="CD119" s="33" t="n">
        <f aca="false">-$E31*In_Delivered*CD112/Thousand</f>
        <v>-175.840657968242</v>
      </c>
      <c r="CE119" s="33" t="n">
        <f aca="false">-$E31*In_Delivered*CE112/Thousand</f>
        <v>-175.313135994337</v>
      </c>
      <c r="CF119" s="33" t="n">
        <f aca="false">-$E31*In_Delivered*CF112/Thousand</f>
        <v>-171.501980864025</v>
      </c>
      <c r="CG119" s="33" t="n">
        <f aca="false">-$E31*In_Delivered*CG112/Thousand</f>
        <v>-173.407558429181</v>
      </c>
      <c r="CH119" s="33" t="n">
        <f aca="false">-$E31*In_Delivered*CH112/Thousand</f>
        <v>-175.313135994337</v>
      </c>
      <c r="CI119" s="33" t="n">
        <f aca="false">-$E31*In_Delivered*CI112/Thousand</f>
        <v>-174.787196586354</v>
      </c>
      <c r="CJ119" s="33" t="n">
        <f aca="false">-$E31*In_Delivered*CJ112/Thousand</f>
        <v>-170.987474921433</v>
      </c>
      <c r="CK119" s="33" t="n">
        <f aca="false">-$E31*In_Delivered*CK112/Thousand</f>
        <v>-172.887335753893</v>
      </c>
      <c r="CL119" s="33" t="n">
        <f aca="false">-$E31*In_Delivered*CL112/Thousand</f>
        <v>-174.787196586354</v>
      </c>
      <c r="CM119" s="33" t="n">
        <f aca="false">-$E31*In_Delivered*CM112/Thousand</f>
        <v>-174.262834996595</v>
      </c>
      <c r="CN119" s="33" t="n">
        <f aca="false">-$E31*In_Delivered*CN112/Thousand</f>
        <v>-170.474512496669</v>
      </c>
      <c r="CO119" s="33" t="n">
        <f aca="false">-$E31*In_Delivered*CO112/Thousand</f>
        <v>-172.368673746632</v>
      </c>
      <c r="CP119" s="33" t="n">
        <f aca="false">-$E31*In_Delivered*CP112/Thousand</f>
        <v>-174.262834996595</v>
      </c>
      <c r="CQ119" s="33" t="n">
        <f aca="false">-$E31*In_Delivered*CQ112/Thousand</f>
        <v>-173.740046491605</v>
      </c>
      <c r="CR119" s="33" t="n">
        <f aca="false">-$E31*In_Delivered*CR112/Thousand</f>
        <v>-171.851567725392</v>
      </c>
      <c r="CS119" s="33" t="n">
        <f aca="false">-$E31*In_Delivered*CS112/Thousand</f>
        <v>-171.851567725392</v>
      </c>
      <c r="CT119" s="33" t="n">
        <f aca="false">-$E31*In_Delivered*CT112/Thousand</f>
        <v>-173.740046491605</v>
      </c>
      <c r="CU119" s="33" t="n">
        <f aca="false">-$E31*In_Delivered*CU112/Thousand</f>
        <v>-173.21882635213</v>
      </c>
      <c r="CV119" s="33" t="n">
        <f aca="false">-$E31*In_Delivered*CV112/Thousand</f>
        <v>-169.453199692301</v>
      </c>
      <c r="CW119" s="33" t="n">
        <f aca="false">-$E31*In_Delivered*CW112/Thousand</f>
        <v>-171.336013022216</v>
      </c>
      <c r="CX119" s="33" t="n">
        <f aca="false">-$E31*In_Delivered*CX112/Thousand</f>
        <v>-173.21882635213</v>
      </c>
      <c r="CY119" s="33" t="n">
        <f aca="false">-$E31*In_Delivered*CY112/Thousand</f>
        <v>-172.699169873074</v>
      </c>
      <c r="CZ119" s="33" t="n">
        <f aca="false">-$E31*In_Delivered*CZ112/Thousand</f>
        <v>-168.944840093224</v>
      </c>
      <c r="DA119" s="33" t="n">
        <f aca="false">-$E31*In_Delivered*DA112/Thousand</f>
        <v>-170.822004983149</v>
      </c>
      <c r="DB119" s="33" t="n">
        <f aca="false">-$E31*In_Delivered*DB112/Thousand</f>
        <v>-172.699169873074</v>
      </c>
      <c r="DC119" s="33" t="n">
        <f aca="false">-$E31*In_Delivered*DC112/Thousand</f>
        <v>-172.181072363455</v>
      </c>
      <c r="DD119" s="33" t="n">
        <f aca="false">-$E31*In_Delivered*DD112/Thousand</f>
        <v>-168.438005572945</v>
      </c>
      <c r="DE119" s="33" t="n">
        <f aca="false">-$E31*In_Delivered*DE112/Thousand</f>
        <v>-170.3095389682</v>
      </c>
      <c r="DF119" s="33" t="n">
        <f aca="false">-$E31*In_Delivered*DF112/Thousand</f>
        <v>-172.181072363455</v>
      </c>
      <c r="DG119" s="33" t="n">
        <f aca="false">-$E31*In_Delivered*DG112/Thousand</f>
        <v>-171.664529146364</v>
      </c>
      <c r="DH119" s="33" t="n">
        <f aca="false">-$E31*In_Delivered*DH112/Thousand</f>
        <v>-169.798610351295</v>
      </c>
      <c r="DI119" s="33" t="n">
        <f aca="false">-$E31*In_Delivered*DI112/Thousand</f>
        <v>-169.798610351295</v>
      </c>
      <c r="DJ119" s="33" t="n">
        <f aca="false">-$E31*In_Delivered*DJ112/Thousand</f>
        <v>-171.664529146364</v>
      </c>
      <c r="DK119" s="33" t="n">
        <f aca="false">-$E31*In_Delivered*DK112/Thousand</f>
        <v>-171.149535558925</v>
      </c>
      <c r="DL119" s="33" t="n">
        <f aca="false">-$E31*In_Delivered*DL112/Thousand</f>
        <v>-167.428893481557</v>
      </c>
      <c r="DM119" s="33" t="n">
        <f aca="false">-$E31*In_Delivered*DM112/Thousand</f>
        <v>-169.289214520241</v>
      </c>
      <c r="DN119" s="33" t="n">
        <f aca="false">-$E31*In_Delivered*DN112/Thousand</f>
        <v>-171.149535558925</v>
      </c>
      <c r="DO119" s="33" t="n">
        <f aca="false">-$E31*In_Delivered*DO112/Thousand</f>
        <v>-170.636086952248</v>
      </c>
      <c r="DP119" s="33" t="n">
        <f aca="false">-$E31*In_Delivered*DP112/Thousand</f>
        <v>-166.926606801112</v>
      </c>
      <c r="DQ119" s="33" t="n">
        <f aca="false">-$E31*In_Delivered*DQ112/Thousand</f>
        <v>-168.78134687668</v>
      </c>
      <c r="DR119" s="33" t="n">
        <f aca="false">-$E31*In_Delivered*DR112/Thousand</f>
        <v>-170.636086952248</v>
      </c>
      <c r="DS119" s="33" t="n">
        <f aca="false">-$E31*In_Delivered*DS112/Thousand</f>
        <v>-170.124178691392</v>
      </c>
      <c r="DT119" s="33" t="n">
        <f aca="false">-$E31*In_Delivered*DT112/Thousand</f>
        <v>-166.425826980709</v>
      </c>
      <c r="DU119" s="33" t="n">
        <f aca="false">-$E31*In_Delivered*DU112/Thousand</f>
        <v>-168.27500283605</v>
      </c>
      <c r="DV119" s="33" t="n">
        <f aca="false">-$E31*In_Delivered*DV112/Thousand</f>
        <v>-170.124178691392</v>
      </c>
      <c r="DW119" s="33" t="n">
        <f aca="false">-$E31*In_Delivered*DW112/Thousand</f>
        <v>-169.613806155317</v>
      </c>
      <c r="DX119" s="33" t="n">
        <f aca="false">-$E31*In_Delivered*DX112/Thousand</f>
        <v>-167.770177827542</v>
      </c>
      <c r="DY119" s="33" t="n">
        <f aca="false">-$E31*In_Delivered*DY112/Thousand</f>
        <v>-167.770177827542</v>
      </c>
      <c r="DZ119" s="33" t="n">
        <f aca="false">-$E31*In_Delivered*DZ112/Thousand</f>
        <v>-169.613806155317</v>
      </c>
      <c r="EA119" s="33" t="n">
        <f aca="false">-$E31*In_Delivered*EA112/Thousand</f>
        <v>-169.104964736851</v>
      </c>
      <c r="EB119" s="33" t="n">
        <f aca="false">-$E31*In_Delivered*EB112/Thousand</f>
        <v>-165.428769851268</v>
      </c>
      <c r="EC119" s="33" t="n">
        <f aca="false">-$E31*In_Delivered*EC112/Thousand</f>
        <v>-167.26686729406</v>
      </c>
      <c r="ED119" s="33" t="n">
        <f aca="false">-$E31*In_Delivered*ED112/Thousand</f>
        <v>-169.104964736851</v>
      </c>
      <c r="EE119" s="33" t="n">
        <f aca="false">-$E31*In_Delivered*EE112/Thousand</f>
        <v>-168.597649842641</v>
      </c>
      <c r="EF119" s="33" t="n">
        <f aca="false">-$E31*In_Delivered*EF112/Thousand</f>
        <v>-164.932483541714</v>
      </c>
      <c r="EG119" s="33" t="n">
        <f aca="false">-$E31*In_Delivered*EG112/Thousand</f>
        <v>-166.765066692177</v>
      </c>
      <c r="EH119" s="33" t="n">
        <f aca="false">-$E31*In_Delivered*EH112/Thousand</f>
        <v>-168.597649842641</v>
      </c>
      <c r="EI119" s="33" t="n">
        <f aca="false">-$E31*In_Delivered*EI112/Thousand</f>
        <v>-168.091856893113</v>
      </c>
      <c r="EJ119" s="33" t="n">
        <f aca="false">-$E31*In_Delivered*EJ112/Thousand</f>
        <v>-164.437686091089</v>
      </c>
      <c r="EK119" s="33" t="n">
        <f aca="false">-$E31*In_Delivered*EK112/Thousand</f>
        <v>-166.264771492101</v>
      </c>
      <c r="EL119" s="33" t="n">
        <f aca="false">-$E31*In_Delivered*EL112/Thousand</f>
        <v>-168.091856893113</v>
      </c>
      <c r="EM119" s="33" t="n">
        <f aca="false">-$E31*In_Delivered*EM112/Thousand</f>
        <v>-167.587581322434</v>
      </c>
      <c r="EN119" s="33" t="n">
        <f aca="false">-$E31*In_Delivered*EN112/Thousand</f>
        <v>-165.765977177625</v>
      </c>
      <c r="EO119" s="33" t="n">
        <f aca="false">-$E31*In_Delivered*EO112/Thousand</f>
        <v>-165.765977177625</v>
      </c>
      <c r="EP119" s="33" t="n">
        <f aca="false">-$E31*In_Delivered*EP112/Thousand</f>
        <v>-167.587581322434</v>
      </c>
      <c r="EQ119" s="33" t="n">
        <f aca="false">-$E31*In_Delivered*EQ112/Thousand</f>
        <v>-167.084818578466</v>
      </c>
      <c r="ER119" s="33" t="n">
        <f aca="false">-$E31*In_Delivered*ER112/Thousand</f>
        <v>-163.452539913717</v>
      </c>
      <c r="ES119" s="33" t="n">
        <f aca="false">-$E31*In_Delivered*ES112/Thousand</f>
        <v>-165.268679246092</v>
      </c>
      <c r="ET119" s="33" t="n">
        <f aca="false">-$E31*In_Delivered*ET112/Thousand</f>
        <v>-167.084818578466</v>
      </c>
    </row>
    <row r="120" customFormat="false" ht="15" hidden="false" customHeight="false" outlineLevel="0" collapsed="false">
      <c r="C120" s="30" t="s">
        <v>571</v>
      </c>
      <c r="D120" s="11" t="s">
        <v>253</v>
      </c>
      <c r="I120" s="35" t="n">
        <f aca="false">SUM(J120:ET120)</f>
        <v>511909.275115853</v>
      </c>
      <c r="J120" s="35" t="n">
        <f aca="false">SUM(J113:J119)</f>
        <v>0</v>
      </c>
      <c r="K120" s="35" t="n">
        <f aca="false">SUM(K113:K119)</f>
        <v>0</v>
      </c>
      <c r="L120" s="35" t="n">
        <f aca="false">SUM(L113:L119)</f>
        <v>0</v>
      </c>
      <c r="M120" s="35" t="n">
        <f aca="false">SUM(M113:M119)</f>
        <v>0</v>
      </c>
      <c r="N120" s="35" t="n">
        <f aca="false">SUM(N113:N119)</f>
        <v>0</v>
      </c>
      <c r="O120" s="35" t="n">
        <f aca="false">SUM(O113:O119)</f>
        <v>0</v>
      </c>
      <c r="P120" s="35" t="n">
        <f aca="false">SUM(P113:P119)</f>
        <v>0</v>
      </c>
      <c r="Q120" s="35" t="n">
        <f aca="false">SUM(Q113:Q119)</f>
        <v>0</v>
      </c>
      <c r="R120" s="35" t="n">
        <f aca="false">SUM(R113:R119)</f>
        <v>0</v>
      </c>
      <c r="S120" s="35" t="n">
        <f aca="false">SUM(S113:S119)</f>
        <v>0</v>
      </c>
      <c r="T120" s="35" t="n">
        <f aca="false">SUM(T113:T119)</f>
        <v>0</v>
      </c>
      <c r="U120" s="35" t="n">
        <f aca="false">SUM(U113:U119)</f>
        <v>0</v>
      </c>
      <c r="V120" s="35" t="n">
        <f aca="false">SUM(V113:V119)</f>
        <v>0</v>
      </c>
      <c r="W120" s="35" t="n">
        <f aca="false">SUM(W113:W119)</f>
        <v>-75.5714553470293</v>
      </c>
      <c r="X120" s="35" t="n">
        <f aca="false">SUM(X113:X119)</f>
        <v>-75.7768125626462</v>
      </c>
      <c r="Y120" s="35" t="n">
        <f aca="false">SUM(Y113:Y119)</f>
        <v>-76.6187771466756</v>
      </c>
      <c r="Z120" s="35" t="n">
        <f aca="false">SUM(Z113:Z119)</f>
        <v>-77.460741730705</v>
      </c>
      <c r="AA120" s="35" t="n">
        <f aca="false">SUM(AA113:AA119)</f>
        <v>-77.460741730705</v>
      </c>
      <c r="AB120" s="35" t="n">
        <f aca="false">SUM(AB113:AB119)</f>
        <v>-77.6712328767123</v>
      </c>
      <c r="AC120" s="35" t="n">
        <f aca="false">SUM(AC113:AC119)</f>
        <v>-78.5342465753425</v>
      </c>
      <c r="AD120" s="35" t="n">
        <f aca="false">SUM(AD113:AD119)</f>
        <v>-79.3972602739726</v>
      </c>
      <c r="AE120" s="35" t="n">
        <f aca="false">SUM(AE113:AE119)</f>
        <v>4151.10652734247</v>
      </c>
      <c r="AF120" s="35" t="n">
        <f aca="false">SUM(AF113:AF119)</f>
        <v>4133.70976185041</v>
      </c>
      <c r="AG120" s="35" t="n">
        <f aca="false">SUM(AG113:AG119)</f>
        <v>4133.70976185041</v>
      </c>
      <c r="AH120" s="35" t="n">
        <f aca="false">SUM(AH113:AH119)</f>
        <v>4179.13514384877</v>
      </c>
      <c r="AI120" s="35" t="n">
        <f aca="false">SUM(AI113:AI119)</f>
        <v>4164.44111033503</v>
      </c>
      <c r="AJ120" s="35" t="n">
        <f aca="false">SUM(AJ113:AJ119)</f>
        <v>4101.09425535863</v>
      </c>
      <c r="AK120" s="35" t="n">
        <f aca="false">SUM(AK113:AK119)</f>
        <v>4146.66196930706</v>
      </c>
      <c r="AL120" s="35" t="n">
        <f aca="false">SUM(AL113:AL119)</f>
        <v>4192.22968325549</v>
      </c>
      <c r="AM120" s="35" t="n">
        <f aca="false">SUM(AM113:AM119)</f>
        <v>4177.44245042148</v>
      </c>
      <c r="AN120" s="35" t="n">
        <f aca="false">SUM(AN113:AN119)</f>
        <v>4113.56620598525</v>
      </c>
      <c r="AO120" s="35" t="n">
        <f aca="false">SUM(AO113:AO119)</f>
        <v>4159.27249716287</v>
      </c>
      <c r="AP120" s="35" t="n">
        <f aca="false">SUM(AP113:AP119)</f>
        <v>4204.97878834048</v>
      </c>
      <c r="AQ120" s="35" t="n">
        <f aca="false">SUM(AQ113:AQ119)</f>
        <v>4190.09804459661</v>
      </c>
      <c r="AR120" s="35" t="n">
        <f aca="false">SUM(AR113:AR119)</f>
        <v>4125.68766802944</v>
      </c>
      <c r="AS120" s="35" t="n">
        <f aca="false">SUM(AS113:AS119)</f>
        <v>4171.52864211866</v>
      </c>
      <c r="AT120" s="35" t="n">
        <f aca="false">SUM(AT113:AT119)</f>
        <v>4217.36961620788</v>
      </c>
      <c r="AU120" s="35" t="n">
        <f aca="false">SUM(AU113:AU119)</f>
        <v>4202.39505479593</v>
      </c>
      <c r="AV120" s="35" t="n">
        <f aca="false">SUM(AV113:AV119)</f>
        <v>4183.41736098541</v>
      </c>
      <c r="AW120" s="35" t="n">
        <f aca="false">SUM(AW113:AW119)</f>
        <v>4183.41736098541</v>
      </c>
      <c r="AX120" s="35" t="n">
        <f aca="false">SUM(AX113:AX119)</f>
        <v>4229.38898033689</v>
      </c>
      <c r="AY120" s="35" t="n">
        <f aca="false">SUM(AY113:AY119)</f>
        <v>4214.32029951848</v>
      </c>
      <c r="AZ120" s="35" t="n">
        <f aca="false">SUM(AZ113:AZ119)</f>
        <v>4148.8271823853</v>
      </c>
      <c r="BA120" s="35" t="n">
        <f aca="false">SUM(BA113:BA119)</f>
        <v>4194.92526218958</v>
      </c>
      <c r="BB120" s="35" t="n">
        <f aca="false">SUM(BB113:BB119)</f>
        <v>4241.02334199387</v>
      </c>
      <c r="BC120" s="35" t="n">
        <f aca="false">SUM(BC113:BC119)</f>
        <v>4225.86024524354</v>
      </c>
      <c r="BD120" s="35" t="n">
        <f aca="false">SUM(BD113:BD119)</f>
        <v>4159.81839270627</v>
      </c>
      <c r="BE120" s="35" t="n">
        <f aca="false">SUM(BE113:BE119)</f>
        <v>4206.03859706967</v>
      </c>
      <c r="BF120" s="35" t="n">
        <f aca="false">SUM(BF113:BF119)</f>
        <v>4252.25880143308</v>
      </c>
      <c r="BG120" s="35" t="n">
        <f aca="false">SUM(BG113:BG119)</f>
        <v>4237.00099763633</v>
      </c>
      <c r="BH120" s="35" t="n">
        <f aca="false">SUM(BH113:BH119)</f>
        <v>4170.40541303597</v>
      </c>
      <c r="BI120" s="35" t="n">
        <f aca="false">SUM(BI113:BI119)</f>
        <v>4216.74325095859</v>
      </c>
      <c r="BJ120" s="35" t="n">
        <f aca="false">SUM(BJ113:BJ119)</f>
        <v>4263.08108888121</v>
      </c>
      <c r="BK120" s="35" t="n">
        <f aca="false">SUM(BK113:BK119)</f>
        <v>4247.72829253731</v>
      </c>
      <c r="BL120" s="35" t="n">
        <f aca="false">SUM(BL113:BL119)</f>
        <v>4227.02473404685</v>
      </c>
      <c r="BM120" s="35" t="n">
        <f aca="false">SUM(BM113:BM119)</f>
        <v>4227.02473404685</v>
      </c>
      <c r="BN120" s="35" t="n">
        <f aca="false">SUM(BN113:BN119)</f>
        <v>4273.47555530011</v>
      </c>
      <c r="BO120" s="35" t="n">
        <f aca="false">SUM(BO113:BO119)</f>
        <v>4258.02748673002</v>
      </c>
      <c r="BP120" s="35" t="n">
        <f aca="false">SUM(BP113:BP119)</f>
        <v>4190.30918111972</v>
      </c>
      <c r="BQ120" s="35" t="n">
        <f aca="false">SUM(BQ113:BQ119)</f>
        <v>4236.86817202105</v>
      </c>
      <c r="BR120" s="35" t="n">
        <f aca="false">SUM(BR113:BR119)</f>
        <v>4283.42716292238</v>
      </c>
      <c r="BS120" s="35" t="n">
        <f aca="false">SUM(BS113:BS119)</f>
        <v>4267.88354848182</v>
      </c>
      <c r="BT120" s="35" t="n">
        <f aca="false">SUM(BT113:BT119)</f>
        <v>4199.59611739008</v>
      </c>
      <c r="BU120" s="35" t="n">
        <f aca="false">SUM(BU113:BU119)</f>
        <v>4246.25829647219</v>
      </c>
      <c r="BV120" s="35" t="n">
        <f aca="false">SUM(BV113:BV119)</f>
        <v>4292.9204755543</v>
      </c>
      <c r="BW120" s="35" t="n">
        <f aca="false">SUM(BW113:BW119)</f>
        <v>4277.28104785204</v>
      </c>
      <c r="BX120" s="35" t="n">
        <f aca="false">SUM(BX113:BX119)</f>
        <v>4208.41922149599</v>
      </c>
      <c r="BY120" s="35" t="n">
        <f aca="false">SUM(BY113:BY119)</f>
        <v>4255.17943506817</v>
      </c>
      <c r="BZ120" s="35" t="n">
        <f aca="false">SUM(BZ113:BZ119)</f>
        <v>4301.93964864034</v>
      </c>
      <c r="CA120" s="35" t="n">
        <f aca="false">SUM(CA113:CA119)</f>
        <v>4286.20414676194</v>
      </c>
      <c r="CB120" s="35" t="n">
        <f aca="false">SUM(CB113:CB119)</f>
        <v>4263.61550148466</v>
      </c>
      <c r="CC120" s="35" t="n">
        <f aca="false">SUM(CC113:CC119)</f>
        <v>4263.61550148466</v>
      </c>
      <c r="CD120" s="35" t="n">
        <f aca="false">SUM(CD113:CD119)</f>
        <v>4310.4684190834</v>
      </c>
      <c r="CE120" s="35" t="n">
        <f aca="false">SUM(CE113:CE119)</f>
        <v>4294.63658882035</v>
      </c>
      <c r="CF120" s="35" t="n">
        <f aca="false">SUM(CF113:CF119)</f>
        <v>4224.60987536228</v>
      </c>
      <c r="CG120" s="35" t="n">
        <f aca="false">SUM(CG113:CG119)</f>
        <v>4271.54998508853</v>
      </c>
      <c r="CH120" s="35" t="n">
        <f aca="false">SUM(CH113:CH119)</f>
        <v>4318.49009481478</v>
      </c>
      <c r="CI120" s="35" t="n">
        <f aca="false">SUM(CI113:CI119)</f>
        <v>4302.56168889939</v>
      </c>
      <c r="CJ120" s="35" t="n">
        <f aca="false">SUM(CJ113:CJ119)</f>
        <v>4231.94433662722</v>
      </c>
      <c r="CK120" s="35" t="n">
        <f aca="false">SUM(CK113:CK119)</f>
        <v>4278.96594036753</v>
      </c>
      <c r="CL120" s="35" t="n">
        <f aca="false">SUM(CL113:CL119)</f>
        <v>4325.98754410783</v>
      </c>
      <c r="CM120" s="35" t="n">
        <f aca="false">SUM(CM113:CM119)</f>
        <v>4309.96232245379</v>
      </c>
      <c r="CN120" s="35" t="n">
        <f aca="false">SUM(CN113:CN119)</f>
        <v>4238.7487675717</v>
      </c>
      <c r="CO120" s="35" t="n">
        <f aca="false">SUM(CO113:CO119)</f>
        <v>4285.84597610028</v>
      </c>
      <c r="CP120" s="35" t="n">
        <f aca="false">SUM(CP113:CP119)</f>
        <v>4332.94318462885</v>
      </c>
      <c r="CQ120" s="35" t="n">
        <f aca="false">SUM(CQ113:CQ119)</f>
        <v>4316.82091457771</v>
      </c>
      <c r="CR120" s="35" t="n">
        <f aca="false">SUM(CR113:CR119)</f>
        <v>4292.17224426001</v>
      </c>
      <c r="CS120" s="35" t="n">
        <f aca="false">SUM(CS113:CS119)</f>
        <v>4292.17224426001</v>
      </c>
      <c r="CT120" s="35" t="n">
        <f aca="false">SUM(CT113:CT119)</f>
        <v>4339.33897221891</v>
      </c>
      <c r="CU120" s="35" t="n">
        <f aca="false">SUM(CU113:CU119)</f>
        <v>4323.11942879257</v>
      </c>
      <c r="CV120" s="35" t="n">
        <f aca="false">SUM(CV113:CV119)</f>
        <v>4250.69646789126</v>
      </c>
      <c r="CW120" s="35" t="n">
        <f aca="false">SUM(CW113:CW119)</f>
        <v>4297.9264286456</v>
      </c>
      <c r="CX120" s="35" t="n">
        <f aca="false">SUM(CX113:CX119)</f>
        <v>4345.15638939995</v>
      </c>
      <c r="CY120" s="35" t="n">
        <f aca="false">SUM(CY113:CY119)</f>
        <v>4328.83935555932</v>
      </c>
      <c r="CZ120" s="35" t="n">
        <f aca="false">SUM(CZ113:CZ119)</f>
        <v>4255.80303286797</v>
      </c>
      <c r="DA120" s="35" t="n">
        <f aca="false">SUM(DA113:DA119)</f>
        <v>4303.08973323317</v>
      </c>
      <c r="DB120" s="35" t="n">
        <f aca="false">SUM(DB113:DB119)</f>
        <v>4350.37643359837</v>
      </c>
      <c r="DC120" s="35" t="n">
        <f aca="false">SUM(DC113:DC119)</f>
        <v>4333.96170050834</v>
      </c>
      <c r="DD120" s="35" t="n">
        <f aca="false">SUM(DD113:DD119)</f>
        <v>4260.30613540361</v>
      </c>
      <c r="DE120" s="35" t="n">
        <f aca="false">SUM(DE113:DE119)</f>
        <v>4307.64287024143</v>
      </c>
      <c r="DF120" s="35" t="n">
        <f aca="false">SUM(DF113:DF119)</f>
        <v>4354.97960507925</v>
      </c>
      <c r="DG120" s="35" t="n">
        <f aca="false">SUM(DG113:DG119)</f>
        <v>4338.46697238004</v>
      </c>
      <c r="DH120" s="35" t="n">
        <f aca="false">SUM(DH113:DH119)</f>
        <v>4311.56604790374</v>
      </c>
      <c r="DI120" s="35" t="n">
        <f aca="false">SUM(DI113:DI119)</f>
        <v>4311.56604790374</v>
      </c>
      <c r="DJ120" s="35" t="n">
        <f aca="false">SUM(DJ113:DJ119)</f>
        <v>4358.945894584</v>
      </c>
      <c r="DK120" s="35" t="n">
        <f aca="false">SUM(DK113:DK119)</f>
        <v>4342.33517066918</v>
      </c>
      <c r="DL120" s="35" t="n">
        <f aca="false">SUM(DL113:DL119)</f>
        <v>4267.42314521508</v>
      </c>
      <c r="DM120" s="35" t="n">
        <f aca="false">SUM(DM113:DM119)</f>
        <v>4314.83895793969</v>
      </c>
      <c r="DN120" s="35" t="n">
        <f aca="false">SUM(DN113:DN119)</f>
        <v>4362.2547706643</v>
      </c>
      <c r="DO120" s="35" t="n">
        <f aca="false">SUM(DO113:DO119)</f>
        <v>4345.54577296546</v>
      </c>
      <c r="DP120" s="35" t="n">
        <f aca="false">SUM(DP113:DP119)</f>
        <v>4269.99635873289</v>
      </c>
      <c r="DQ120" s="35" t="n">
        <f aca="false">SUM(DQ113:DQ119)</f>
        <v>4317.44076271881</v>
      </c>
      <c r="DR120" s="35" t="n">
        <f aca="false">SUM(DR113:DR119)</f>
        <v>4364.88516670473</v>
      </c>
      <c r="DS120" s="35" t="n">
        <f aca="false">SUM(DS113:DS119)</f>
        <v>4348.0777219831</v>
      </c>
      <c r="DT120" s="35" t="n">
        <f aca="false">SUM(DT113:DT119)</f>
        <v>4271.8846965912</v>
      </c>
      <c r="DU120" s="35" t="n">
        <f aca="false">SUM(DU113:DU119)</f>
        <v>4319.35008210888</v>
      </c>
      <c r="DV120" s="35" t="n">
        <f aca="false">SUM(DV113:DV119)</f>
        <v>4366.81546762656</v>
      </c>
      <c r="DW120" s="35" t="n">
        <f aca="false">SUM(DW113:DW119)</f>
        <v>4349.90941227163</v>
      </c>
      <c r="DX120" s="35" t="n">
        <f aca="false">SUM(DX113:DX119)</f>
        <v>4320.54498000109</v>
      </c>
      <c r="DY120" s="35" t="n">
        <f aca="false">SUM(DY113:DY119)</f>
        <v>4320.54498000109</v>
      </c>
      <c r="DZ120" s="35" t="n">
        <f aca="false">SUM(DZ113:DZ119)</f>
        <v>4368.02349626484</v>
      </c>
      <c r="EA120" s="35" t="n">
        <f aca="false">SUM(EA113:EA119)</f>
        <v>4351.01867660019</v>
      </c>
      <c r="EB120" s="35" t="n">
        <f aca="false">SUM(EB113:EB119)</f>
        <v>4273.5194015975</v>
      </c>
      <c r="EC120" s="35" t="n">
        <f aca="false">SUM(EC113:EC119)</f>
        <v>4321.00295050414</v>
      </c>
      <c r="ED120" s="35" t="n">
        <f aca="false">SUM(ED113:ED119)</f>
        <v>4368.48649941078</v>
      </c>
      <c r="EE120" s="35" t="n">
        <f aca="false">SUM(EE113:EE119)</f>
        <v>4351.38277200729</v>
      </c>
      <c r="EF120" s="35" t="n">
        <f aca="false">SUM(EF113:EF119)</f>
        <v>4273.22067408704</v>
      </c>
      <c r="EG120" s="35" t="n">
        <f aca="false">SUM(EG113:EG119)</f>
        <v>4320.70090379912</v>
      </c>
      <c r="EH120" s="35" t="n">
        <f aca="false">SUM(EH113:EH119)</f>
        <v>4368.1811335112</v>
      </c>
      <c r="EI120" s="35" t="n">
        <f aca="false">SUM(EI113:EI119)</f>
        <v>4350.97836550777</v>
      </c>
      <c r="EJ120" s="35" t="n">
        <f aca="false">SUM(EJ113:EJ119)</f>
        <v>4272.14685327713</v>
      </c>
      <c r="EK120" s="35" t="n">
        <f aca="false">SUM(EK113:EK119)</f>
        <v>4319.61515164688</v>
      </c>
      <c r="EL120" s="35" t="n">
        <f aca="false">SUM(EL113:EL119)</f>
        <v>4367.08345001662</v>
      </c>
      <c r="EM120" s="35" t="n">
        <f aca="false">SUM(EM113:EM119)</f>
        <v>4349.78151944861</v>
      </c>
      <c r="EN120" s="35" t="n">
        <f aca="false">SUM(EN113:EN119)</f>
        <v>4317.72139253939</v>
      </c>
      <c r="EO120" s="35" t="n">
        <f aca="false">SUM(EO113:EO119)</f>
        <v>4317.72139253939</v>
      </c>
      <c r="EP120" s="35" t="n">
        <f aca="false">SUM(EP113:EP119)</f>
        <v>4365.16888036949</v>
      </c>
      <c r="EQ120" s="35" t="n">
        <f aca="false">SUM(EQ113:EQ119)</f>
        <v>4347.76767650498</v>
      </c>
      <c r="ER120" s="35" t="n">
        <f aca="false">SUM(ER113:ER119)</f>
        <v>4267.57717234905</v>
      </c>
      <c r="ES120" s="35" t="n">
        <f aca="false">SUM(ES113:ES119)</f>
        <v>4314.99469648626</v>
      </c>
      <c r="ET120" s="35" t="n">
        <f aca="false">SUM(ET113:ET119)</f>
        <v>4362.41222062347</v>
      </c>
    </row>
    <row r="122" customFormat="false" ht="15" hidden="false" customHeight="false" outlineLevel="0" collapsed="false">
      <c r="A122" s="9" t="s">
        <v>13</v>
      </c>
      <c r="B122" s="9"/>
      <c r="C122" s="9" t="s">
        <v>572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</row>
    <row r="123" customFormat="false" ht="15" hidden="false" customHeight="false" outlineLevel="0" collapsed="false">
      <c r="C123" s="0" t="s">
        <v>573</v>
      </c>
      <c r="D123" s="11" t="s">
        <v>253</v>
      </c>
      <c r="E123" s="33" t="n">
        <f aca="false">$I100-($I95+$I53+$I96+$I50)</f>
        <v>163950.691310322</v>
      </c>
      <c r="I123" s="33" t="n">
        <f aca="false">SUM(J123:ET123)</f>
        <v>-163950.691310322</v>
      </c>
      <c r="J123" s="33" t="n">
        <f aca="false">-$E123*J18</f>
        <v>-0</v>
      </c>
      <c r="K123" s="33" t="n">
        <f aca="false">-$E123*K18</f>
        <v>-0</v>
      </c>
      <c r="L123" s="33" t="n">
        <f aca="false">-$E123*L18</f>
        <v>-0</v>
      </c>
      <c r="M123" s="33" t="n">
        <f aca="false">-$E123*M18</f>
        <v>-0</v>
      </c>
      <c r="N123" s="33" t="n">
        <f aca="false">-$E123*N18</f>
        <v>-0</v>
      </c>
      <c r="O123" s="33" t="n">
        <f aca="false">-$E123*O18</f>
        <v>-0</v>
      </c>
      <c r="P123" s="33" t="n">
        <f aca="false">-$E123*P18</f>
        <v>-0</v>
      </c>
      <c r="Q123" s="33" t="n">
        <f aca="false">-$E123*Q18</f>
        <v>-0</v>
      </c>
      <c r="R123" s="33" t="n">
        <f aca="false">-$E123*R18</f>
        <v>-0</v>
      </c>
      <c r="S123" s="33" t="n">
        <f aca="false">-$E123*S18</f>
        <v>-0</v>
      </c>
      <c r="T123" s="33" t="n">
        <f aca="false">-$E123*T18</f>
        <v>-0</v>
      </c>
      <c r="U123" s="33" t="n">
        <f aca="false">-$E123*U18</f>
        <v>-0</v>
      </c>
      <c r="V123" s="33" t="n">
        <f aca="false">-$E123*V18</f>
        <v>-0</v>
      </c>
      <c r="W123" s="33" t="n">
        <f aca="false">-$E123*W18</f>
        <v>-0</v>
      </c>
      <c r="X123" s="33" t="n">
        <f aca="false">-$E123*X18</f>
        <v>-0</v>
      </c>
      <c r="Y123" s="33" t="n">
        <f aca="false">-$E123*Y18</f>
        <v>-0</v>
      </c>
      <c r="Z123" s="33" t="n">
        <f aca="false">-$E123*Z18</f>
        <v>-0</v>
      </c>
      <c r="AA123" s="33" t="n">
        <f aca="false">-$E123*AA18</f>
        <v>-0</v>
      </c>
      <c r="AB123" s="33" t="n">
        <f aca="false">-$E123*AB18</f>
        <v>-0</v>
      </c>
      <c r="AC123" s="33" t="n">
        <f aca="false">-$E123*AC18</f>
        <v>-0</v>
      </c>
      <c r="AD123" s="33" t="n">
        <f aca="false">-$E123*AD18</f>
        <v>-0</v>
      </c>
      <c r="AE123" s="33" t="n">
        <f aca="false">-$E123*AE18</f>
        <v>-2064.81363457216</v>
      </c>
      <c r="AF123" s="33" t="n">
        <f aca="false">-$E123*AF18</f>
        <v>-2042.37000810942</v>
      </c>
      <c r="AG123" s="33" t="n">
        <f aca="false">-$E123*AG18</f>
        <v>-2042.37000810942</v>
      </c>
      <c r="AH123" s="33" t="n">
        <f aca="false">-$E123*AH18</f>
        <v>-2064.81363457216</v>
      </c>
      <c r="AI123" s="33" t="n">
        <f aca="false">-$E123*AI18</f>
        <v>-2064.81363457216</v>
      </c>
      <c r="AJ123" s="33" t="n">
        <f aca="false">-$E123*AJ18</f>
        <v>-2019.92638164668</v>
      </c>
      <c r="AK123" s="33" t="n">
        <f aca="false">-$E123*AK18</f>
        <v>-2042.37000810942</v>
      </c>
      <c r="AL123" s="33" t="n">
        <f aca="false">-$E123*AL18</f>
        <v>-2064.81363457216</v>
      </c>
      <c r="AM123" s="33" t="n">
        <f aca="false">-$E123*AM18</f>
        <v>-2064.81363457216</v>
      </c>
      <c r="AN123" s="33" t="n">
        <f aca="false">-$E123*AN18</f>
        <v>-2019.92638164668</v>
      </c>
      <c r="AO123" s="33" t="n">
        <f aca="false">-$E123*AO18</f>
        <v>-2042.37000810942</v>
      </c>
      <c r="AP123" s="33" t="n">
        <f aca="false">-$E123*AP18</f>
        <v>-2064.81363457216</v>
      </c>
      <c r="AQ123" s="33" t="n">
        <f aca="false">-$E123*AQ18</f>
        <v>-2064.81363457216</v>
      </c>
      <c r="AR123" s="33" t="n">
        <f aca="false">-$E123*AR18</f>
        <v>-2019.92638164668</v>
      </c>
      <c r="AS123" s="33" t="n">
        <f aca="false">-$E123*AS18</f>
        <v>-2042.37000810942</v>
      </c>
      <c r="AT123" s="33" t="n">
        <f aca="false">-$E123*AT18</f>
        <v>-2064.81363457216</v>
      </c>
      <c r="AU123" s="33" t="n">
        <f aca="false">-$E123*AU18</f>
        <v>-2064.81363457216</v>
      </c>
      <c r="AV123" s="33" t="n">
        <f aca="false">-$E123*AV18</f>
        <v>-2042.37000810942</v>
      </c>
      <c r="AW123" s="33" t="n">
        <f aca="false">-$E123*AW18</f>
        <v>-2042.37000810942</v>
      </c>
      <c r="AX123" s="33" t="n">
        <f aca="false">-$E123*AX18</f>
        <v>-2064.81363457216</v>
      </c>
      <c r="AY123" s="33" t="n">
        <f aca="false">-$E123*AY18</f>
        <v>-2064.81363457216</v>
      </c>
      <c r="AZ123" s="33" t="n">
        <f aca="false">-$E123*AZ18</f>
        <v>-2019.92638164668</v>
      </c>
      <c r="BA123" s="33" t="n">
        <f aca="false">-$E123*BA18</f>
        <v>-2042.37000810942</v>
      </c>
      <c r="BB123" s="33" t="n">
        <f aca="false">-$E123*BB18</f>
        <v>-2064.81363457216</v>
      </c>
      <c r="BC123" s="33" t="n">
        <f aca="false">-$E123*BC18</f>
        <v>-2064.81363457216</v>
      </c>
      <c r="BD123" s="33" t="n">
        <f aca="false">-$E123*BD18</f>
        <v>-2019.92638164668</v>
      </c>
      <c r="BE123" s="33" t="n">
        <f aca="false">-$E123*BE18</f>
        <v>-2042.37000810942</v>
      </c>
      <c r="BF123" s="33" t="n">
        <f aca="false">-$E123*BF18</f>
        <v>-2064.81363457216</v>
      </c>
      <c r="BG123" s="33" t="n">
        <f aca="false">-$E123*BG18</f>
        <v>-2064.81363457216</v>
      </c>
      <c r="BH123" s="33" t="n">
        <f aca="false">-$E123*BH18</f>
        <v>-2019.92638164668</v>
      </c>
      <c r="BI123" s="33" t="n">
        <f aca="false">-$E123*BI18</f>
        <v>-2042.37000810942</v>
      </c>
      <c r="BJ123" s="33" t="n">
        <f aca="false">-$E123*BJ18</f>
        <v>-2064.81363457216</v>
      </c>
      <c r="BK123" s="33" t="n">
        <f aca="false">-$E123*BK18</f>
        <v>-2064.81363457216</v>
      </c>
      <c r="BL123" s="33" t="n">
        <f aca="false">-$E123*BL18</f>
        <v>-2042.37000810942</v>
      </c>
      <c r="BM123" s="33" t="n">
        <f aca="false">-$E123*BM18</f>
        <v>-2042.37000810942</v>
      </c>
      <c r="BN123" s="33" t="n">
        <f aca="false">-$E123*BN18</f>
        <v>-2064.81363457216</v>
      </c>
      <c r="BO123" s="33" t="n">
        <f aca="false">-$E123*BO18</f>
        <v>-2064.81363457216</v>
      </c>
      <c r="BP123" s="33" t="n">
        <f aca="false">-$E123*BP18</f>
        <v>-2019.92638164668</v>
      </c>
      <c r="BQ123" s="33" t="n">
        <f aca="false">-$E123*BQ18</f>
        <v>-2042.37000810942</v>
      </c>
      <c r="BR123" s="33" t="n">
        <f aca="false">-$E123*BR18</f>
        <v>-2064.81363457216</v>
      </c>
      <c r="BS123" s="33" t="n">
        <f aca="false">-$E123*BS18</f>
        <v>-2064.81363457216</v>
      </c>
      <c r="BT123" s="33" t="n">
        <f aca="false">-$E123*BT18</f>
        <v>-2019.92638164668</v>
      </c>
      <c r="BU123" s="33" t="n">
        <f aca="false">-$E123*BU18</f>
        <v>-2042.37000810942</v>
      </c>
      <c r="BV123" s="33" t="n">
        <f aca="false">-$E123*BV18</f>
        <v>-2064.81363457216</v>
      </c>
      <c r="BW123" s="33" t="n">
        <f aca="false">-$E123*BW18</f>
        <v>-2064.81363457216</v>
      </c>
      <c r="BX123" s="33" t="n">
        <f aca="false">-$E123*BX18</f>
        <v>-2019.92638164668</v>
      </c>
      <c r="BY123" s="33" t="n">
        <f aca="false">-$E123*BY18</f>
        <v>-2042.37000810942</v>
      </c>
      <c r="BZ123" s="33" t="n">
        <f aca="false">-$E123*BZ18</f>
        <v>-2064.81363457216</v>
      </c>
      <c r="CA123" s="33" t="n">
        <f aca="false">-$E123*CA18</f>
        <v>-2064.81363457216</v>
      </c>
      <c r="CB123" s="33" t="n">
        <f aca="false">-$E123*CB18</f>
        <v>-2042.37000810942</v>
      </c>
      <c r="CC123" s="33" t="n">
        <f aca="false">-$E123*CC18</f>
        <v>-2042.37000810942</v>
      </c>
      <c r="CD123" s="33" t="n">
        <f aca="false">-$E123*CD18</f>
        <v>-2064.81363457216</v>
      </c>
      <c r="CE123" s="33" t="n">
        <f aca="false">-$E123*CE18</f>
        <v>-2064.81363457216</v>
      </c>
      <c r="CF123" s="33" t="n">
        <f aca="false">-$E123*CF18</f>
        <v>-2019.92638164668</v>
      </c>
      <c r="CG123" s="33" t="n">
        <f aca="false">-$E123*CG18</f>
        <v>-2042.37000810942</v>
      </c>
      <c r="CH123" s="33" t="n">
        <f aca="false">-$E123*CH18</f>
        <v>-2064.81363457216</v>
      </c>
      <c r="CI123" s="33" t="n">
        <f aca="false">-$E123*CI18</f>
        <v>-2064.81363457216</v>
      </c>
      <c r="CJ123" s="33" t="n">
        <f aca="false">-$E123*CJ18</f>
        <v>-2019.92638164668</v>
      </c>
      <c r="CK123" s="33" t="n">
        <f aca="false">-$E123*CK18</f>
        <v>-2042.37000810942</v>
      </c>
      <c r="CL123" s="33" t="n">
        <f aca="false">-$E123*CL18</f>
        <v>-2064.81363457216</v>
      </c>
      <c r="CM123" s="33" t="n">
        <f aca="false">-$E123*CM18</f>
        <v>-2064.81363457216</v>
      </c>
      <c r="CN123" s="33" t="n">
        <f aca="false">-$E123*CN18</f>
        <v>-2019.92638164668</v>
      </c>
      <c r="CO123" s="33" t="n">
        <f aca="false">-$E123*CO18</f>
        <v>-2042.37000810942</v>
      </c>
      <c r="CP123" s="33" t="n">
        <f aca="false">-$E123*CP18</f>
        <v>-2064.81363457216</v>
      </c>
      <c r="CQ123" s="33" t="n">
        <f aca="false">-$E123*CQ18</f>
        <v>-2064.81363457216</v>
      </c>
      <c r="CR123" s="33" t="n">
        <f aca="false">-$E123*CR18</f>
        <v>-2042.37000810942</v>
      </c>
      <c r="CS123" s="33" t="n">
        <f aca="false">-$E123*CS18</f>
        <v>-2042.37000810942</v>
      </c>
      <c r="CT123" s="33" t="n">
        <f aca="false">-$E123*CT18</f>
        <v>-2064.81363457216</v>
      </c>
      <c r="CU123" s="33" t="n">
        <f aca="false">-$E123*CU18</f>
        <v>-2064.81363457216</v>
      </c>
      <c r="CV123" s="33" t="n">
        <f aca="false">-$E123*CV18</f>
        <v>-2019.92638164668</v>
      </c>
      <c r="CW123" s="33" t="n">
        <f aca="false">-$E123*CW18</f>
        <v>-2042.37000810942</v>
      </c>
      <c r="CX123" s="33" t="n">
        <f aca="false">-$E123*CX18</f>
        <v>-2064.81363457216</v>
      </c>
      <c r="CY123" s="33" t="n">
        <f aca="false">-$E123*CY18</f>
        <v>-2064.81363457216</v>
      </c>
      <c r="CZ123" s="33" t="n">
        <f aca="false">-$E123*CZ18</f>
        <v>-2019.92638164668</v>
      </c>
      <c r="DA123" s="33" t="n">
        <f aca="false">-$E123*DA18</f>
        <v>-2042.37000810942</v>
      </c>
      <c r="DB123" s="33" t="n">
        <f aca="false">-$E123*DB18</f>
        <v>-2064.81363457216</v>
      </c>
      <c r="DC123" s="33" t="n">
        <f aca="false">-$E123*DC18</f>
        <v>-2064.81363457216</v>
      </c>
      <c r="DD123" s="33" t="n">
        <f aca="false">-$E123*DD18</f>
        <v>-2019.92638164668</v>
      </c>
      <c r="DE123" s="33" t="n">
        <f aca="false">-$E123*DE18</f>
        <v>-2042.37000810942</v>
      </c>
      <c r="DF123" s="33" t="n">
        <f aca="false">-$E123*DF18</f>
        <v>-2064.81363457216</v>
      </c>
      <c r="DG123" s="33" t="n">
        <f aca="false">-$E123*DG18</f>
        <v>-0</v>
      </c>
      <c r="DH123" s="33" t="n">
        <f aca="false">-$E123*DH18</f>
        <v>-0</v>
      </c>
      <c r="DI123" s="33" t="n">
        <f aca="false">-$E123*DI18</f>
        <v>-0</v>
      </c>
      <c r="DJ123" s="33" t="n">
        <f aca="false">-$E123*DJ18</f>
        <v>-0</v>
      </c>
      <c r="DK123" s="33" t="n">
        <f aca="false">-$E123*DK18</f>
        <v>-0</v>
      </c>
      <c r="DL123" s="33" t="n">
        <f aca="false">-$E123*DL18</f>
        <v>-0</v>
      </c>
      <c r="DM123" s="33" t="n">
        <f aca="false">-$E123*DM18</f>
        <v>-0</v>
      </c>
      <c r="DN123" s="33" t="n">
        <f aca="false">-$E123*DN18</f>
        <v>-0</v>
      </c>
      <c r="DO123" s="33" t="n">
        <f aca="false">-$E123*DO18</f>
        <v>-0</v>
      </c>
      <c r="DP123" s="33" t="n">
        <f aca="false">-$E123*DP18</f>
        <v>-0</v>
      </c>
      <c r="DQ123" s="33" t="n">
        <f aca="false">-$E123*DQ18</f>
        <v>-0</v>
      </c>
      <c r="DR123" s="33" t="n">
        <f aca="false">-$E123*DR18</f>
        <v>-0</v>
      </c>
      <c r="DS123" s="33" t="n">
        <f aca="false">-$E123*DS18</f>
        <v>-0</v>
      </c>
      <c r="DT123" s="33" t="n">
        <f aca="false">-$E123*DT18</f>
        <v>-0</v>
      </c>
      <c r="DU123" s="33" t="n">
        <f aca="false">-$E123*DU18</f>
        <v>-0</v>
      </c>
      <c r="DV123" s="33" t="n">
        <f aca="false">-$E123*DV18</f>
        <v>-0</v>
      </c>
      <c r="DW123" s="33" t="n">
        <f aca="false">-$E123*DW18</f>
        <v>-0</v>
      </c>
      <c r="DX123" s="33" t="n">
        <f aca="false">-$E123*DX18</f>
        <v>-0</v>
      </c>
      <c r="DY123" s="33" t="n">
        <f aca="false">-$E123*DY18</f>
        <v>-0</v>
      </c>
      <c r="DZ123" s="33" t="n">
        <f aca="false">-$E123*DZ18</f>
        <v>-0</v>
      </c>
      <c r="EA123" s="33" t="n">
        <f aca="false">-$E123*EA18</f>
        <v>-0</v>
      </c>
      <c r="EB123" s="33" t="n">
        <f aca="false">-$E123*EB18</f>
        <v>-0</v>
      </c>
      <c r="EC123" s="33" t="n">
        <f aca="false">-$E123*EC18</f>
        <v>-0</v>
      </c>
      <c r="ED123" s="33" t="n">
        <f aca="false">-$E123*ED18</f>
        <v>-0</v>
      </c>
      <c r="EE123" s="33" t="n">
        <f aca="false">-$E123*EE18</f>
        <v>-0</v>
      </c>
      <c r="EF123" s="33" t="n">
        <f aca="false">-$E123*EF18</f>
        <v>-0</v>
      </c>
      <c r="EG123" s="33" t="n">
        <f aca="false">-$E123*EG18</f>
        <v>-0</v>
      </c>
      <c r="EH123" s="33" t="n">
        <f aca="false">-$E123*EH18</f>
        <v>-0</v>
      </c>
      <c r="EI123" s="33" t="n">
        <f aca="false">-$E123*EI18</f>
        <v>-0</v>
      </c>
      <c r="EJ123" s="33" t="n">
        <f aca="false">-$E123*EJ18</f>
        <v>-0</v>
      </c>
      <c r="EK123" s="33" t="n">
        <f aca="false">-$E123*EK18</f>
        <v>-0</v>
      </c>
      <c r="EL123" s="33" t="n">
        <f aca="false">-$E123*EL18</f>
        <v>-0</v>
      </c>
      <c r="EM123" s="33" t="n">
        <f aca="false">-$E123*EM18</f>
        <v>-0</v>
      </c>
      <c r="EN123" s="33" t="n">
        <f aca="false">-$E123*EN18</f>
        <v>-0</v>
      </c>
      <c r="EO123" s="33" t="n">
        <f aca="false">-$E123*EO18</f>
        <v>-0</v>
      </c>
      <c r="EP123" s="33" t="n">
        <f aca="false">-$E123*EP18</f>
        <v>-0</v>
      </c>
      <c r="EQ123" s="33" t="n">
        <f aca="false">-$E123*EQ18</f>
        <v>-0</v>
      </c>
      <c r="ER123" s="33" t="n">
        <f aca="false">-$E123*ER18</f>
        <v>-0</v>
      </c>
      <c r="ES123" s="33" t="n">
        <f aca="false">-$E123*ES18</f>
        <v>-0</v>
      </c>
      <c r="ET123" s="33" t="n">
        <f aca="false">-$E123*ET18</f>
        <v>-0</v>
      </c>
    </row>
    <row r="124" customFormat="false" ht="15" hidden="false" customHeight="false" outlineLevel="0" collapsed="false">
      <c r="C124" s="0" t="s">
        <v>574</v>
      </c>
      <c r="D124" s="11" t="s">
        <v>253</v>
      </c>
      <c r="I124" s="33" t="n">
        <f aca="false">SUM(J124:ET124)</f>
        <v>314710.729599994</v>
      </c>
      <c r="J124" s="33" t="n">
        <f aca="false">J120+J123+J103+J104+J105+J57</f>
        <v>0</v>
      </c>
      <c r="K124" s="33" t="n">
        <f aca="false">K120+K123+K103+K104+K105+K57</f>
        <v>-178.520547945205</v>
      </c>
      <c r="L124" s="33" t="n">
        <f aca="false">L120+L123+L103+L104+L105+L57</f>
        <v>-588.444520547945</v>
      </c>
      <c r="M124" s="33" t="n">
        <f aca="false">M120+M123+M103+M104+M105+M57</f>
        <v>-43.8356164383562</v>
      </c>
      <c r="N124" s="33" t="n">
        <f aca="false">N120+N123+N103+N104+N105+N57</f>
        <v>-43.8356164383562</v>
      </c>
      <c r="O124" s="33" t="n">
        <f aca="false">O120+O123+O103+O104+O105+O57</f>
        <v>-184.361643835616</v>
      </c>
      <c r="P124" s="33" t="n">
        <f aca="false">P120+P123+P103+P104+P105+P57</f>
        <v>-1290.04179480011</v>
      </c>
      <c r="Q124" s="33" t="n">
        <f aca="false">Q120+Q123+Q103+Q104+Q105+Q57</f>
        <v>-4.60958904109589</v>
      </c>
      <c r="R124" s="33" t="n">
        <f aca="false">R120+R123+R103+R104+R105+R57</f>
        <v>-164.091509980431</v>
      </c>
      <c r="S124" s="33" t="n">
        <f aca="false">S120+S123+S103+S104+S105+S57</f>
        <v>-317.226138697232</v>
      </c>
      <c r="T124" s="33" t="n">
        <f aca="false">T120+T123+T103+T104+T105+T57</f>
        <v>-304.657534246575</v>
      </c>
      <c r="U124" s="33" t="n">
        <f aca="false">U120+U123+U103+U104+U105+U57</f>
        <v>0</v>
      </c>
      <c r="V124" s="33" t="n">
        <f aca="false">V120+V123+V103+V104+V105+V57</f>
        <v>0</v>
      </c>
      <c r="W124" s="33" t="n">
        <f aca="false">W120+W123+W103+W104+W105+W57</f>
        <v>-1955.01413865224</v>
      </c>
      <c r="X124" s="33" t="n">
        <f aca="false">X120+X123+X103+X104+X105+X57</f>
        <v>-260.170263472354</v>
      </c>
      <c r="Y124" s="33" t="n">
        <f aca="false">Y120+Y123+Y103+Y104+Y105+Y57</f>
        <v>-236.760410897378</v>
      </c>
      <c r="Z124" s="33" t="n">
        <f aca="false">Z120+Z123+Z103+Z104+Z105+Z57</f>
        <v>-212.477081856929</v>
      </c>
      <c r="AA124" s="33" t="n">
        <f aca="false">AA120+AA123+AA103+AA104+AA105+AA57</f>
        <v>-185.296549490162</v>
      </c>
      <c r="AB124" s="33" t="n">
        <f aca="false">AB120+AB123+AB103+AB104+AB105+AB57</f>
        <v>-156.573132717387</v>
      </c>
      <c r="AC124" s="33" t="n">
        <f aca="false">AC120+AC123+AC103+AC104+AC105+AC57</f>
        <v>-132.0122009118</v>
      </c>
      <c r="AD124" s="33" t="n">
        <f aca="false">AD120+AD123+AD103+AD104+AD105+AD57</f>
        <v>-106.57779264074</v>
      </c>
      <c r="AE124" s="33" t="n">
        <f aca="false">AE120+AE123+AE103+AE104+AE105+AE57</f>
        <v>844.592147336478</v>
      </c>
      <c r="AF124" s="33" t="n">
        <f aca="false">AF120+AF123+AF103+AF104+AF105+AF57</f>
        <v>873.754592434829</v>
      </c>
      <c r="AG124" s="33" t="n">
        <f aca="false">AG120+AG123+AG103+AG104+AG105+AG57</f>
        <v>898.171621364089</v>
      </c>
      <c r="AH124" s="33" t="n">
        <f aca="false">AH120+AH123+AH103+AH104+AH105+AH57</f>
        <v>945.875618690579</v>
      </c>
      <c r="AI124" s="33" t="n">
        <f aca="false">AI120+AI123+AI103+AI104+AI105+AI57</f>
        <v>956.212854990103</v>
      </c>
      <c r="AJ124" s="33" t="n">
        <f aca="false">AJ120+AJ123+AJ103+AJ104+AJ105+AJ57</f>
        <v>963.097413625111</v>
      </c>
      <c r="AK124" s="33" t="n">
        <f aca="false">AK120+AK123+AK103+AK104+AK105+AK57</f>
        <v>1011.8824638053</v>
      </c>
      <c r="AL124" s="33" t="n">
        <f aca="false">AL120+AL123+AL103+AL104+AL105+AL57</f>
        <v>1060.98827601917</v>
      </c>
      <c r="AM124" s="33" t="n">
        <f aca="false">AM120+AM123+AM103+AM104+AM105+AM57</f>
        <v>1072.50753947244</v>
      </c>
      <c r="AN124" s="33" t="n">
        <f aca="false">AN120+AN123+AN103+AN104+AN105+AN57</f>
        <v>1080.15387545258</v>
      </c>
      <c r="AO124" s="33" t="n">
        <f aca="false">AO120+AO123+AO103+AO104+AO105+AO57</f>
        <v>1130.38480925196</v>
      </c>
      <c r="AP124" s="33" t="n">
        <f aca="false">AP120+AP123+AP103+AP104+AP105+AP57</f>
        <v>1180.9528464149</v>
      </c>
      <c r="AQ124" s="33" t="n">
        <f aca="false">AQ120+AQ123+AQ103+AQ104+AQ105+AQ57</f>
        <v>1193.7187922747</v>
      </c>
      <c r="AR124" s="33" t="n">
        <f aca="false">AR120+AR123+AR103+AR104+AR105+AR57</f>
        <v>1202.18794185673</v>
      </c>
      <c r="AS124" s="33" t="n">
        <f aca="false">AS120+AS123+AS103+AS104+AS105+AS57</f>
        <v>1253.92746612221</v>
      </c>
      <c r="AT124" s="33" t="n">
        <f aca="false">AT120+AT123+AT103+AT104+AT105+AT57</f>
        <v>1306.02126759569</v>
      </c>
      <c r="AU124" s="33" t="n">
        <f aca="false">AU120+AU123+AU103+AU104+AU105+AU57</f>
        <v>1320.10186570383</v>
      </c>
      <c r="AV124" s="33" t="n">
        <f aca="false">AV120+AV123+AV103+AV104+AV105+AV57</f>
        <v>1352.98614737013</v>
      </c>
      <c r="AW124" s="33" t="n">
        <f aca="false">AW120+AW123+AW103+AW104+AW105+AW57</f>
        <v>1382.7722257469</v>
      </c>
      <c r="AX124" s="33" t="n">
        <f aca="false">AX120+AX123+AX103+AX104+AX105+AX57</f>
        <v>1436.45862299212</v>
      </c>
      <c r="AY124" s="33" t="n">
        <f aca="false">AY120+AY123+AY103+AY104+AY105+AY57</f>
        <v>1451.92532658463</v>
      </c>
      <c r="AZ124" s="33" t="n">
        <f aca="false">AZ120+AZ123+AZ103+AZ104+AZ105+AZ57</f>
        <v>1462.236539093</v>
      </c>
      <c r="BA124" s="33" t="n">
        <f aca="false">BA120+BA123+BA103+BA104+BA105+BA57</f>
        <v>1517.19453260956</v>
      </c>
      <c r="BB124" s="33" t="n">
        <f aca="false">BB120+BB123+BB103+BB104+BB105+BB57</f>
        <v>1572.5438203783</v>
      </c>
      <c r="BC124" s="33" t="n">
        <f aca="false">BC120+BC123+BC103+BC104+BC105+BC57</f>
        <v>1589.47174348552</v>
      </c>
      <c r="BD124" s="33" t="n">
        <f aca="false">BD120+BD123+BD103+BD104+BD105+BD57</f>
        <v>1600.8093014795</v>
      </c>
      <c r="BE124" s="33" t="n">
        <f aca="false">BE120+BE123+BE103+BE104+BE105+BE57</f>
        <v>1657.484188956</v>
      </c>
      <c r="BF124" s="33" t="n">
        <f aca="false">BF120+BF123+BF103+BF104+BF105+BF57</f>
        <v>1714.57030530219</v>
      </c>
      <c r="BG124" s="33" t="n">
        <f aca="false">BG120+BG123+BG103+BG104+BG105+BG57</f>
        <v>1733.03840918154</v>
      </c>
      <c r="BH124" s="33" t="n">
        <f aca="false">BH120+BH123+BH103+BH104+BH105+BH57</f>
        <v>1745.47755902872</v>
      </c>
      <c r="BI124" s="33" t="n">
        <f aca="false">BI120+BI123+BI103+BI104+BI105+BI57</f>
        <v>1803.94609552968</v>
      </c>
      <c r="BJ124" s="33" t="n">
        <f aca="false">BJ120+BJ123+BJ103+BJ104+BJ105+BJ57</f>
        <v>1862.84681109366</v>
      </c>
      <c r="BK124" s="33" t="n">
        <f aca="false">BK120+BK123+BK103+BK104+BK105+BK57</f>
        <v>1882.93810015514</v>
      </c>
      <c r="BL124" s="33" t="n">
        <f aca="false">BL120+BL123+BL103+BL104+BL105+BL57</f>
        <v>1920.56530460039</v>
      </c>
      <c r="BM124" s="33" t="n">
        <f aca="false">BM120+BM123+BM103+BM104+BM105+BM57</f>
        <v>1956.90103027926</v>
      </c>
      <c r="BN124" s="33" t="n">
        <f aca="false">BN120+BN123+BN103+BN104+BN105+BN57</f>
        <v>2017.69814731964</v>
      </c>
      <c r="BO124" s="33" t="n">
        <f aca="false">BO120+BO123+BO103+BO104+BO105+BO57</f>
        <v>2039.49987502753</v>
      </c>
      <c r="BP124" s="33" t="n">
        <f aca="false">BP120+BP123+BP103+BP104+BP105+BP57</f>
        <v>2054.38424107417</v>
      </c>
      <c r="BQ124" s="33" t="n">
        <f aca="false">BQ120+BQ123+BQ103+BQ104+BQ105+BQ57</f>
        <v>2116.68646697836</v>
      </c>
      <c r="BR124" s="33" t="n">
        <f aca="false">BR120+BR123+BR103+BR104+BR105+BR57</f>
        <v>2179.46602865087</v>
      </c>
      <c r="BS124" s="33" t="n">
        <f aca="false">BS120+BS123+BS103+BS104+BS105+BS57</f>
        <v>2203.06991390965</v>
      </c>
      <c r="BT124" s="33" t="n">
        <f aca="false">BT120+BT123+BT103+BT104+BT105+BT57</f>
        <v>2179.6697357434</v>
      </c>
      <c r="BU124" s="33" t="n">
        <f aca="false">BU120+BU123+BU103+BU104+BU105+BU57</f>
        <v>2203.88828836277</v>
      </c>
      <c r="BV124" s="33" t="n">
        <f aca="false">BV120+BV123+BV103+BV104+BV105+BV57</f>
        <v>2228.10684098214</v>
      </c>
      <c r="BW124" s="33" t="n">
        <f aca="false">BW120+BW123+BW103+BW104+BW105+BW57</f>
        <v>2212.46741327988</v>
      </c>
      <c r="BX124" s="33" t="n">
        <f aca="false">BX120+BX123+BX103+BX104+BX105+BX57</f>
        <v>2188.49283984931</v>
      </c>
      <c r="BY124" s="33" t="n">
        <f aca="false">BY120+BY123+BY103+BY104+BY105+BY57</f>
        <v>2212.80942695874</v>
      </c>
      <c r="BZ124" s="33" t="n">
        <f aca="false">BZ120+BZ123+BZ103+BZ104+BZ105+BZ57</f>
        <v>2237.12601406818</v>
      </c>
      <c r="CA124" s="33" t="n">
        <f aca="false">CA120+CA123+CA103+CA104+CA105+CA57</f>
        <v>2221.39051218978</v>
      </c>
      <c r="CB124" s="33" t="n">
        <f aca="false">CB120+CB123+CB103+CB104+CB105+CB57</f>
        <v>2221.24549337524</v>
      </c>
      <c r="CC124" s="33" t="n">
        <f aca="false">CC120+CC123+CC103+CC104+CC105+CC57</f>
        <v>2221.24549337524</v>
      </c>
      <c r="CD124" s="33" t="n">
        <f aca="false">CD120+CD123+CD103+CD104+CD105+CD57</f>
        <v>2245.65478451123</v>
      </c>
      <c r="CE124" s="33" t="n">
        <f aca="false">CE120+CE123+CE103+CE104+CE105+CE57</f>
        <v>2229.82295424819</v>
      </c>
      <c r="CF124" s="33" t="n">
        <f aca="false">CF120+CF123+CF103+CF104+CF105+CF57</f>
        <v>2204.6834937156</v>
      </c>
      <c r="CG124" s="33" t="n">
        <f aca="false">CG120+CG123+CG103+CG104+CG105+CG57</f>
        <v>2229.17997697911</v>
      </c>
      <c r="CH124" s="33" t="n">
        <f aca="false">CH120+CH123+CH103+CH104+CH105+CH57</f>
        <v>2253.67646024261</v>
      </c>
      <c r="CI124" s="33" t="n">
        <f aca="false">CI120+CI123+CI103+CI104+CI105+CI57</f>
        <v>2237.74805432723</v>
      </c>
      <c r="CJ124" s="33" t="n">
        <f aca="false">CJ120+CJ123+CJ103+CJ104+CJ105+CJ57</f>
        <v>2212.01795498054</v>
      </c>
      <c r="CK124" s="33" t="n">
        <f aca="false">CK120+CK123+CK103+CK104+CK105+CK57</f>
        <v>2236.5959322581</v>
      </c>
      <c r="CL124" s="33" t="n">
        <f aca="false">CL120+CL123+CL103+CL104+CL105+CL57</f>
        <v>2261.17390953566</v>
      </c>
      <c r="CM124" s="33" t="n">
        <f aca="false">CM120+CM123+CM103+CM104+CM105+CM57</f>
        <v>2245.14868788163</v>
      </c>
      <c r="CN124" s="33" t="n">
        <f aca="false">CN120+CN123+CN103+CN104+CN105+CN57</f>
        <v>2218.82238592502</v>
      </c>
      <c r="CO124" s="33" t="n">
        <f aca="false">CO120+CO123+CO103+CO104+CO105+CO57</f>
        <v>2243.47596799085</v>
      </c>
      <c r="CP124" s="33" t="n">
        <f aca="false">CP120+CP123+CP103+CP104+CP105+CP57</f>
        <v>2268.12955005669</v>
      </c>
      <c r="CQ124" s="33" t="n">
        <f aca="false">CQ120+CQ123+CQ103+CQ104+CQ105+CQ57</f>
        <v>2252.00728000554</v>
      </c>
      <c r="CR124" s="33" t="n">
        <f aca="false">CR120+CR123+CR103+CR104+CR105+CR57</f>
        <v>2249.80223615059</v>
      </c>
      <c r="CS124" s="33" t="n">
        <f aca="false">CS120+CS123+CS103+CS104+CS105+CS57</f>
        <v>2249.80223615059</v>
      </c>
      <c r="CT124" s="33" t="n">
        <f aca="false">CT120+CT123+CT103+CT104+CT105+CT57</f>
        <v>2274.52533764675</v>
      </c>
      <c r="CU124" s="33" t="n">
        <f aca="false">CU120+CU123+CU103+CU104+CU105+CU57</f>
        <v>2258.3057942204</v>
      </c>
      <c r="CV124" s="33" t="n">
        <f aca="false">CV120+CV123+CV103+CV104+CV105+CV57</f>
        <v>2230.77008624457</v>
      </c>
      <c r="CW124" s="33" t="n">
        <f aca="false">CW120+CW123+CW103+CW104+CW105+CW57</f>
        <v>2255.55642053618</v>
      </c>
      <c r="CX124" s="33" t="n">
        <f aca="false">CX120+CX123+CX103+CX104+CX105+CX57</f>
        <v>2280.34275482779</v>
      </c>
      <c r="CY124" s="33" t="n">
        <f aca="false">CY120+CY123+CY103+CY104+CY105+CY57</f>
        <v>2264.02572098716</v>
      </c>
      <c r="CZ124" s="33" t="n">
        <f aca="false">CZ120+CZ123+CZ103+CZ104+CZ105+CZ57</f>
        <v>2235.87665122129</v>
      </c>
      <c r="DA124" s="33" t="n">
        <f aca="false">DA120+DA123+DA103+DA104+DA105+DA57</f>
        <v>2260.71972512375</v>
      </c>
      <c r="DB124" s="33" t="n">
        <f aca="false">DB120+DB123+DB103+DB104+DB105+DB57</f>
        <v>2285.56279902621</v>
      </c>
      <c r="DC124" s="33" t="n">
        <f aca="false">DC120+DC123+DC103+DC104+DC105+DC57</f>
        <v>2269.14806593617</v>
      </c>
      <c r="DD124" s="33" t="n">
        <f aca="false">DD120+DD123+DD103+DD104+DD105+DD57</f>
        <v>2240.37975375693</v>
      </c>
      <c r="DE124" s="33" t="n">
        <f aca="false">DE120+DE123+DE103+DE104+DE105+DE57</f>
        <v>2265.27286213201</v>
      </c>
      <c r="DF124" s="33" t="n">
        <f aca="false">DF120+DF123+DF103+DF104+DF105+DF57</f>
        <v>2290.16597050708</v>
      </c>
      <c r="DG124" s="33" t="n">
        <f aca="false">DG120+DG123+DG103+DG104+DG105+DG57</f>
        <v>4338.46697238004</v>
      </c>
      <c r="DH124" s="33" t="n">
        <f aca="false">DH120+DH123+DH103+DH104+DH105+DH57</f>
        <v>4311.56604790374</v>
      </c>
      <c r="DI124" s="33" t="n">
        <f aca="false">DI120+DI123+DI103+DI104+DI105+DI57</f>
        <v>4311.56604790374</v>
      </c>
      <c r="DJ124" s="33" t="n">
        <f aca="false">DJ120+DJ123+DJ103+DJ104+DJ105+DJ57</f>
        <v>4358.945894584</v>
      </c>
      <c r="DK124" s="33" t="n">
        <f aca="false">DK120+DK123+DK103+DK104+DK105+DK57</f>
        <v>4342.33517066918</v>
      </c>
      <c r="DL124" s="33" t="n">
        <f aca="false">DL120+DL123+DL103+DL104+DL105+DL57</f>
        <v>4267.42314521508</v>
      </c>
      <c r="DM124" s="33" t="n">
        <f aca="false">DM120+DM123+DM103+DM104+DM105+DM57</f>
        <v>4314.83895793969</v>
      </c>
      <c r="DN124" s="33" t="n">
        <f aca="false">DN120+DN123+DN103+DN104+DN105+DN57</f>
        <v>4362.2547706643</v>
      </c>
      <c r="DO124" s="33" t="n">
        <f aca="false">DO120+DO123+DO103+DO104+DO105+DO57</f>
        <v>4345.54577296546</v>
      </c>
      <c r="DP124" s="33" t="n">
        <f aca="false">DP120+DP123+DP103+DP104+DP105+DP57</f>
        <v>4269.99635873289</v>
      </c>
      <c r="DQ124" s="33" t="n">
        <f aca="false">DQ120+DQ123+DQ103+DQ104+DQ105+DQ57</f>
        <v>4317.44076271881</v>
      </c>
      <c r="DR124" s="33" t="n">
        <f aca="false">DR120+DR123+DR103+DR104+DR105+DR57</f>
        <v>4364.88516670473</v>
      </c>
      <c r="DS124" s="33" t="n">
        <f aca="false">DS120+DS123+DS103+DS104+DS105+DS57</f>
        <v>4348.0777219831</v>
      </c>
      <c r="DT124" s="33" t="n">
        <f aca="false">DT120+DT123+DT103+DT104+DT105+DT57</f>
        <v>4271.8846965912</v>
      </c>
      <c r="DU124" s="33" t="n">
        <f aca="false">DU120+DU123+DU103+DU104+DU105+DU57</f>
        <v>4319.35008210888</v>
      </c>
      <c r="DV124" s="33" t="n">
        <f aca="false">DV120+DV123+DV103+DV104+DV105+DV57</f>
        <v>4366.81546762656</v>
      </c>
      <c r="DW124" s="33" t="n">
        <f aca="false">DW120+DW123+DW103+DW104+DW105+DW57</f>
        <v>4349.90941227163</v>
      </c>
      <c r="DX124" s="33" t="n">
        <f aca="false">DX120+DX123+DX103+DX104+DX105+DX57</f>
        <v>4320.54498000109</v>
      </c>
      <c r="DY124" s="33" t="n">
        <f aca="false">DY120+DY123+DY103+DY104+DY105+DY57</f>
        <v>4320.54498000109</v>
      </c>
      <c r="DZ124" s="33" t="n">
        <f aca="false">DZ120+DZ123+DZ103+DZ104+DZ105+DZ57</f>
        <v>4368.02349626484</v>
      </c>
      <c r="EA124" s="33" t="n">
        <f aca="false">EA120+EA123+EA103+EA104+EA105+EA57</f>
        <v>4351.01867660019</v>
      </c>
      <c r="EB124" s="33" t="n">
        <f aca="false">EB120+EB123+EB103+EB104+EB105+EB57</f>
        <v>4273.5194015975</v>
      </c>
      <c r="EC124" s="33" t="n">
        <f aca="false">EC120+EC123+EC103+EC104+EC105+EC57</f>
        <v>4321.00295050414</v>
      </c>
      <c r="ED124" s="33" t="n">
        <f aca="false">ED120+ED123+ED103+ED104+ED105+ED57</f>
        <v>4368.48649941078</v>
      </c>
      <c r="EE124" s="33" t="n">
        <f aca="false">EE120+EE123+EE103+EE104+EE105+EE57</f>
        <v>4351.38277200729</v>
      </c>
      <c r="EF124" s="33" t="n">
        <f aca="false">EF120+EF123+EF103+EF104+EF105+EF57</f>
        <v>4273.22067408704</v>
      </c>
      <c r="EG124" s="33" t="n">
        <f aca="false">EG120+EG123+EG103+EG104+EG105+EG57</f>
        <v>4320.70090379912</v>
      </c>
      <c r="EH124" s="33" t="n">
        <f aca="false">EH120+EH123+EH103+EH104+EH105+EH57</f>
        <v>4368.1811335112</v>
      </c>
      <c r="EI124" s="33" t="n">
        <f aca="false">EI120+EI123+EI103+EI104+EI105+EI57</f>
        <v>4350.97836550777</v>
      </c>
      <c r="EJ124" s="33" t="n">
        <f aca="false">EJ120+EJ123+EJ103+EJ104+EJ105+EJ57</f>
        <v>4272.14685327713</v>
      </c>
      <c r="EK124" s="33" t="n">
        <f aca="false">EK120+EK123+EK103+EK104+EK105+EK57</f>
        <v>4319.61515164688</v>
      </c>
      <c r="EL124" s="33" t="n">
        <f aca="false">EL120+EL123+EL103+EL104+EL105+EL57</f>
        <v>4367.08345001662</v>
      </c>
      <c r="EM124" s="33" t="n">
        <f aca="false">EM120+EM123+EM103+EM104+EM105+EM57</f>
        <v>4349.78151944861</v>
      </c>
      <c r="EN124" s="33" t="n">
        <f aca="false">EN120+EN123+EN103+EN104+EN105+EN57</f>
        <v>4317.72139253939</v>
      </c>
      <c r="EO124" s="33" t="n">
        <f aca="false">EO120+EO123+EO103+EO104+EO105+EO57</f>
        <v>4317.72139253939</v>
      </c>
      <c r="EP124" s="33" t="n">
        <f aca="false">EP120+EP123+EP103+EP104+EP105+EP57</f>
        <v>4365.16888036949</v>
      </c>
      <c r="EQ124" s="33" t="n">
        <f aca="false">EQ120+EQ123+EQ103+EQ104+EQ105+EQ57</f>
        <v>4347.76767650498</v>
      </c>
      <c r="ER124" s="33" t="n">
        <f aca="false">ER120+ER123+ER103+ER104+ER105+ER57</f>
        <v>4267.57717234905</v>
      </c>
      <c r="ES124" s="33" t="n">
        <f aca="false">ES120+ES123+ES103+ES104+ES105+ES57</f>
        <v>4314.99469648626</v>
      </c>
      <c r="ET124" s="33" t="n">
        <f aca="false">ET120+ET123+ET103+ET104+ET105+ET57</f>
        <v>4362.41222062347</v>
      </c>
    </row>
    <row r="125" customFormat="false" ht="15" hidden="false" customHeight="false" outlineLevel="0" collapsed="false">
      <c r="C125" s="0" t="s">
        <v>575</v>
      </c>
      <c r="D125" s="11" t="s">
        <v>253</v>
      </c>
      <c r="J125" s="22" t="n">
        <f aca="false">I128</f>
        <v>0</v>
      </c>
      <c r="K125" s="22" t="n">
        <f aca="false">J128</f>
        <v>0</v>
      </c>
      <c r="L125" s="22" t="n">
        <f aca="false">K128</f>
        <v>178.520547945205</v>
      </c>
      <c r="M125" s="22" t="n">
        <f aca="false">L128</f>
        <v>766.965068493151</v>
      </c>
      <c r="N125" s="22" t="n">
        <f aca="false">M128</f>
        <v>810.800684931507</v>
      </c>
      <c r="O125" s="22" t="n">
        <f aca="false">N128</f>
        <v>854.636301369863</v>
      </c>
      <c r="P125" s="22" t="n">
        <f aca="false">O128</f>
        <v>1038.99794520548</v>
      </c>
      <c r="Q125" s="22" t="n">
        <f aca="false">P128</f>
        <v>2329.03974000559</v>
      </c>
      <c r="R125" s="22" t="n">
        <f aca="false">Q128</f>
        <v>2333.64932904669</v>
      </c>
      <c r="S125" s="22" t="n">
        <f aca="false">R128</f>
        <v>2497.74083902712</v>
      </c>
      <c r="T125" s="22" t="n">
        <f aca="false">S128</f>
        <v>2814.96697772435</v>
      </c>
      <c r="U125" s="22" t="n">
        <f aca="false">T128</f>
        <v>3119.62451197093</v>
      </c>
      <c r="V125" s="22" t="n">
        <f aca="false">U128</f>
        <v>3119.62451197093</v>
      </c>
      <c r="W125" s="22" t="n">
        <f aca="false">V128</f>
        <v>3119.62451197093</v>
      </c>
      <c r="X125" s="22" t="n">
        <f aca="false">W128</f>
        <v>5074.63865062317</v>
      </c>
      <c r="Y125" s="22" t="n">
        <f aca="false">X128</f>
        <v>5334.80891409552</v>
      </c>
      <c r="Z125" s="22" t="n">
        <f aca="false">Y128</f>
        <v>5571.5693249929</v>
      </c>
      <c r="AA125" s="22" t="n">
        <f aca="false">Z128</f>
        <v>5784.04640684983</v>
      </c>
      <c r="AB125" s="22" t="n">
        <f aca="false">AA128</f>
        <v>5969.34295633999</v>
      </c>
      <c r="AC125" s="22" t="n">
        <f aca="false">AB128</f>
        <v>6125.91608905738</v>
      </c>
      <c r="AD125" s="22" t="n">
        <f aca="false">AC128</f>
        <v>6257.92828996918</v>
      </c>
      <c r="AE125" s="22" t="n">
        <f aca="false">AD128</f>
        <v>6364.50608260992</v>
      </c>
      <c r="AF125" s="22" t="n">
        <f aca="false">AE128</f>
        <v>5519.91393527344</v>
      </c>
      <c r="AG125" s="22" t="n">
        <f aca="false">AF128</f>
        <v>4646.15934283861</v>
      </c>
      <c r="AH125" s="22" t="n">
        <f aca="false">AG128</f>
        <v>3747.98772147452</v>
      </c>
      <c r="AI125" s="22" t="n">
        <f aca="false">AH128</f>
        <v>2802.11210278394</v>
      </c>
      <c r="AJ125" s="22" t="n">
        <f aca="false">AI128</f>
        <v>1845.89924779384</v>
      </c>
      <c r="AK125" s="22" t="n">
        <f aca="false">AJ128</f>
        <v>882.801834168731</v>
      </c>
      <c r="AL125" s="22" t="n">
        <f aca="false">AK128</f>
        <v>0</v>
      </c>
      <c r="AM125" s="22" t="n">
        <f aca="false">AL128</f>
        <v>0</v>
      </c>
      <c r="AN125" s="22" t="n">
        <f aca="false">AM128</f>
        <v>0</v>
      </c>
      <c r="AO125" s="22" t="n">
        <f aca="false">AN128</f>
        <v>0</v>
      </c>
      <c r="AP125" s="22" t="n">
        <f aca="false">AO128</f>
        <v>0</v>
      </c>
      <c r="AQ125" s="22" t="n">
        <f aca="false">AP128</f>
        <v>0</v>
      </c>
      <c r="AR125" s="22" t="n">
        <f aca="false">AQ128</f>
        <v>0</v>
      </c>
      <c r="AS125" s="22" t="n">
        <f aca="false">AR128</f>
        <v>0</v>
      </c>
      <c r="AT125" s="22" t="n">
        <f aca="false">AS128</f>
        <v>0</v>
      </c>
      <c r="AU125" s="22" t="n">
        <f aca="false">AT128</f>
        <v>0</v>
      </c>
      <c r="AV125" s="22" t="n">
        <f aca="false">AU128</f>
        <v>0</v>
      </c>
      <c r="AW125" s="22" t="n">
        <f aca="false">AV128</f>
        <v>0</v>
      </c>
      <c r="AX125" s="22" t="n">
        <f aca="false">AW128</f>
        <v>0</v>
      </c>
      <c r="AY125" s="22" t="n">
        <f aca="false">AX128</f>
        <v>0</v>
      </c>
      <c r="AZ125" s="22" t="n">
        <f aca="false">AY128</f>
        <v>0</v>
      </c>
      <c r="BA125" s="22" t="n">
        <f aca="false">AZ128</f>
        <v>0</v>
      </c>
      <c r="BB125" s="22" t="n">
        <f aca="false">BA128</f>
        <v>0</v>
      </c>
      <c r="BC125" s="22" t="n">
        <f aca="false">BB128</f>
        <v>0</v>
      </c>
      <c r="BD125" s="22" t="n">
        <f aca="false">BC128</f>
        <v>0</v>
      </c>
      <c r="BE125" s="22" t="n">
        <f aca="false">BD128</f>
        <v>0</v>
      </c>
      <c r="BF125" s="22" t="n">
        <f aca="false">BE128</f>
        <v>0</v>
      </c>
      <c r="BG125" s="22" t="n">
        <f aca="false">BF128</f>
        <v>0</v>
      </c>
      <c r="BH125" s="22" t="n">
        <f aca="false">BG128</f>
        <v>0</v>
      </c>
      <c r="BI125" s="22" t="n">
        <f aca="false">BH128</f>
        <v>0</v>
      </c>
      <c r="BJ125" s="22" t="n">
        <f aca="false">BI128</f>
        <v>0</v>
      </c>
      <c r="BK125" s="22" t="n">
        <f aca="false">BJ128</f>
        <v>0</v>
      </c>
      <c r="BL125" s="22" t="n">
        <f aca="false">BK128</f>
        <v>0</v>
      </c>
      <c r="BM125" s="22" t="n">
        <f aca="false">BL128</f>
        <v>0</v>
      </c>
      <c r="BN125" s="22" t="n">
        <f aca="false">BM128</f>
        <v>0</v>
      </c>
      <c r="BO125" s="22" t="n">
        <f aca="false">BN128</f>
        <v>0</v>
      </c>
      <c r="BP125" s="22" t="n">
        <f aca="false">BO128</f>
        <v>0</v>
      </c>
      <c r="BQ125" s="22" t="n">
        <f aca="false">BP128</f>
        <v>0</v>
      </c>
      <c r="BR125" s="22" t="n">
        <f aca="false">BQ128</f>
        <v>0</v>
      </c>
      <c r="BS125" s="22" t="n">
        <f aca="false">BR128</f>
        <v>0</v>
      </c>
      <c r="BT125" s="22" t="n">
        <f aca="false">BS128</f>
        <v>0</v>
      </c>
      <c r="BU125" s="22" t="n">
        <f aca="false">BT128</f>
        <v>0</v>
      </c>
      <c r="BV125" s="22" t="n">
        <f aca="false">BU128</f>
        <v>0</v>
      </c>
      <c r="BW125" s="22" t="n">
        <f aca="false">BV128</f>
        <v>0</v>
      </c>
      <c r="BX125" s="22" t="n">
        <f aca="false">BW128</f>
        <v>0</v>
      </c>
      <c r="BY125" s="22" t="n">
        <f aca="false">BX128</f>
        <v>0</v>
      </c>
      <c r="BZ125" s="22" t="n">
        <f aca="false">BY128</f>
        <v>0</v>
      </c>
      <c r="CA125" s="22" t="n">
        <f aca="false">BZ128</f>
        <v>0</v>
      </c>
      <c r="CB125" s="22" t="n">
        <f aca="false">CA128</f>
        <v>0</v>
      </c>
      <c r="CC125" s="22" t="n">
        <f aca="false">CB128</f>
        <v>0</v>
      </c>
      <c r="CD125" s="22" t="n">
        <f aca="false">CC128</f>
        <v>0</v>
      </c>
      <c r="CE125" s="22" t="n">
        <f aca="false">CD128</f>
        <v>0</v>
      </c>
      <c r="CF125" s="22" t="n">
        <f aca="false">CE128</f>
        <v>0</v>
      </c>
      <c r="CG125" s="22" t="n">
        <f aca="false">CF128</f>
        <v>0</v>
      </c>
      <c r="CH125" s="22" t="n">
        <f aca="false">CG128</f>
        <v>0</v>
      </c>
      <c r="CI125" s="22" t="n">
        <f aca="false">CH128</f>
        <v>0</v>
      </c>
      <c r="CJ125" s="22" t="n">
        <f aca="false">CI128</f>
        <v>0</v>
      </c>
      <c r="CK125" s="22" t="n">
        <f aca="false">CJ128</f>
        <v>0</v>
      </c>
      <c r="CL125" s="22" t="n">
        <f aca="false">CK128</f>
        <v>0</v>
      </c>
      <c r="CM125" s="22" t="n">
        <f aca="false">CL128</f>
        <v>0</v>
      </c>
      <c r="CN125" s="22" t="n">
        <f aca="false">CM128</f>
        <v>0</v>
      </c>
      <c r="CO125" s="22" t="n">
        <f aca="false">CN128</f>
        <v>0</v>
      </c>
      <c r="CP125" s="22" t="n">
        <f aca="false">CO128</f>
        <v>0</v>
      </c>
      <c r="CQ125" s="22" t="n">
        <f aca="false">CP128</f>
        <v>0</v>
      </c>
      <c r="CR125" s="22" t="n">
        <f aca="false">CQ128</f>
        <v>0</v>
      </c>
      <c r="CS125" s="22" t="n">
        <f aca="false">CR128</f>
        <v>0</v>
      </c>
      <c r="CT125" s="22" t="n">
        <f aca="false">CS128</f>
        <v>0</v>
      </c>
      <c r="CU125" s="22" t="n">
        <f aca="false">CT128</f>
        <v>0</v>
      </c>
      <c r="CV125" s="22" t="n">
        <f aca="false">CU128</f>
        <v>0</v>
      </c>
      <c r="CW125" s="22" t="n">
        <f aca="false">CV128</f>
        <v>0</v>
      </c>
      <c r="CX125" s="22" t="n">
        <f aca="false">CW128</f>
        <v>0</v>
      </c>
      <c r="CY125" s="22" t="n">
        <f aca="false">CX128</f>
        <v>0</v>
      </c>
      <c r="CZ125" s="22" t="n">
        <f aca="false">CY128</f>
        <v>0</v>
      </c>
      <c r="DA125" s="22" t="n">
        <f aca="false">CZ128</f>
        <v>0</v>
      </c>
      <c r="DB125" s="22" t="n">
        <f aca="false">DA128</f>
        <v>0</v>
      </c>
      <c r="DC125" s="22" t="n">
        <f aca="false">DB128</f>
        <v>0</v>
      </c>
      <c r="DD125" s="22" t="n">
        <f aca="false">DC128</f>
        <v>0</v>
      </c>
      <c r="DE125" s="22" t="n">
        <f aca="false">DD128</f>
        <v>0</v>
      </c>
      <c r="DF125" s="22" t="n">
        <f aca="false">DE128</f>
        <v>0</v>
      </c>
      <c r="DG125" s="22" t="n">
        <f aca="false">DF128</f>
        <v>0</v>
      </c>
      <c r="DH125" s="22" t="n">
        <f aca="false">DG128</f>
        <v>0</v>
      </c>
      <c r="DI125" s="22" t="n">
        <f aca="false">DH128</f>
        <v>0</v>
      </c>
      <c r="DJ125" s="22" t="n">
        <f aca="false">DI128</f>
        <v>0</v>
      </c>
      <c r="DK125" s="22" t="n">
        <f aca="false">DJ128</f>
        <v>0</v>
      </c>
      <c r="DL125" s="22" t="n">
        <f aca="false">DK128</f>
        <v>0</v>
      </c>
      <c r="DM125" s="22" t="n">
        <f aca="false">DL128</f>
        <v>0</v>
      </c>
      <c r="DN125" s="22" t="n">
        <f aca="false">DM128</f>
        <v>0</v>
      </c>
      <c r="DO125" s="22" t="n">
        <f aca="false">DN128</f>
        <v>0</v>
      </c>
      <c r="DP125" s="22" t="n">
        <f aca="false">DO128</f>
        <v>0</v>
      </c>
      <c r="DQ125" s="22" t="n">
        <f aca="false">DP128</f>
        <v>0</v>
      </c>
      <c r="DR125" s="22" t="n">
        <f aca="false">DQ128</f>
        <v>0</v>
      </c>
      <c r="DS125" s="22" t="n">
        <f aca="false">DR128</f>
        <v>0</v>
      </c>
      <c r="DT125" s="22" t="n">
        <f aca="false">DS128</f>
        <v>0</v>
      </c>
      <c r="DU125" s="22" t="n">
        <f aca="false">DT128</f>
        <v>0</v>
      </c>
      <c r="DV125" s="22" t="n">
        <f aca="false">DU128</f>
        <v>0</v>
      </c>
      <c r="DW125" s="22" t="n">
        <f aca="false">DV128</f>
        <v>0</v>
      </c>
      <c r="DX125" s="22" t="n">
        <f aca="false">DW128</f>
        <v>0</v>
      </c>
      <c r="DY125" s="22" t="n">
        <f aca="false">DX128</f>
        <v>0</v>
      </c>
      <c r="DZ125" s="22" t="n">
        <f aca="false">DY128</f>
        <v>0</v>
      </c>
      <c r="EA125" s="22" t="n">
        <f aca="false">DZ128</f>
        <v>0</v>
      </c>
      <c r="EB125" s="22" t="n">
        <f aca="false">EA128</f>
        <v>0</v>
      </c>
      <c r="EC125" s="22" t="n">
        <f aca="false">EB128</f>
        <v>0</v>
      </c>
      <c r="ED125" s="22" t="n">
        <f aca="false">EC128</f>
        <v>0</v>
      </c>
      <c r="EE125" s="22" t="n">
        <f aca="false">ED128</f>
        <v>0</v>
      </c>
      <c r="EF125" s="22" t="n">
        <f aca="false">EE128</f>
        <v>0</v>
      </c>
      <c r="EG125" s="22" t="n">
        <f aca="false">EF128</f>
        <v>0</v>
      </c>
      <c r="EH125" s="22" t="n">
        <f aca="false">EG128</f>
        <v>0</v>
      </c>
      <c r="EI125" s="22" t="n">
        <f aca="false">EH128</f>
        <v>0</v>
      </c>
      <c r="EJ125" s="22" t="n">
        <f aca="false">EI128</f>
        <v>0</v>
      </c>
      <c r="EK125" s="22" t="n">
        <f aca="false">EJ128</f>
        <v>0</v>
      </c>
      <c r="EL125" s="22" t="n">
        <f aca="false">EK128</f>
        <v>0</v>
      </c>
      <c r="EM125" s="22" t="n">
        <f aca="false">EL128</f>
        <v>0</v>
      </c>
      <c r="EN125" s="22" t="n">
        <f aca="false">EM128</f>
        <v>0</v>
      </c>
      <c r="EO125" s="22" t="n">
        <f aca="false">EN128</f>
        <v>0</v>
      </c>
      <c r="EP125" s="22" t="n">
        <f aca="false">EO128</f>
        <v>0</v>
      </c>
      <c r="EQ125" s="22" t="n">
        <f aca="false">EP128</f>
        <v>0</v>
      </c>
      <c r="ER125" s="22" t="n">
        <f aca="false">EQ128</f>
        <v>0</v>
      </c>
      <c r="ES125" s="22" t="n">
        <f aca="false">ER128</f>
        <v>0</v>
      </c>
      <c r="ET125" s="22" t="n">
        <f aca="false">ES128</f>
        <v>0</v>
      </c>
    </row>
    <row r="126" customFormat="false" ht="15" hidden="false" customHeight="false" outlineLevel="0" collapsed="false">
      <c r="C126" s="0" t="s">
        <v>576</v>
      </c>
      <c r="D126" s="11" t="s">
        <v>253</v>
      </c>
      <c r="I126" s="33" t="n">
        <f aca="false">SUM(J126:ET126)</f>
        <v>6364.50608260992</v>
      </c>
      <c r="J126" s="33" t="n">
        <f aca="false">MAX(0,-J124)</f>
        <v>-0</v>
      </c>
      <c r="K126" s="33" t="n">
        <f aca="false">MAX(0,-K124)</f>
        <v>178.520547945205</v>
      </c>
      <c r="L126" s="33" t="n">
        <f aca="false">MAX(0,-L124)</f>
        <v>588.444520547945</v>
      </c>
      <c r="M126" s="33" t="n">
        <f aca="false">MAX(0,-M124)</f>
        <v>43.8356164383562</v>
      </c>
      <c r="N126" s="33" t="n">
        <f aca="false">MAX(0,-N124)</f>
        <v>43.8356164383562</v>
      </c>
      <c r="O126" s="33" t="n">
        <f aca="false">MAX(0,-O124)</f>
        <v>184.361643835616</v>
      </c>
      <c r="P126" s="33" t="n">
        <f aca="false">MAX(0,-P124)</f>
        <v>1290.04179480011</v>
      </c>
      <c r="Q126" s="33" t="n">
        <f aca="false">MAX(0,-Q124)</f>
        <v>4.60958904109589</v>
      </c>
      <c r="R126" s="33" t="n">
        <f aca="false">MAX(0,-R124)</f>
        <v>164.091509980431</v>
      </c>
      <c r="S126" s="33" t="n">
        <f aca="false">MAX(0,-S124)</f>
        <v>317.226138697232</v>
      </c>
      <c r="T126" s="33" t="n">
        <f aca="false">MAX(0,-T124)</f>
        <v>304.657534246575</v>
      </c>
      <c r="U126" s="33" t="n">
        <f aca="false">MAX(0,-U124)</f>
        <v>-0</v>
      </c>
      <c r="V126" s="33" t="n">
        <f aca="false">MAX(0,-V124)</f>
        <v>-0</v>
      </c>
      <c r="W126" s="33" t="n">
        <f aca="false">MAX(0,-W124)</f>
        <v>1955.01413865224</v>
      </c>
      <c r="X126" s="33" t="n">
        <f aca="false">MAX(0,-X124)</f>
        <v>260.170263472354</v>
      </c>
      <c r="Y126" s="33" t="n">
        <f aca="false">MAX(0,-Y124)</f>
        <v>236.760410897378</v>
      </c>
      <c r="Z126" s="33" t="n">
        <f aca="false">MAX(0,-Z124)</f>
        <v>212.477081856929</v>
      </c>
      <c r="AA126" s="33" t="n">
        <f aca="false">MAX(0,-AA124)</f>
        <v>185.296549490162</v>
      </c>
      <c r="AB126" s="33" t="n">
        <f aca="false">MAX(0,-AB124)</f>
        <v>156.573132717387</v>
      </c>
      <c r="AC126" s="33" t="n">
        <f aca="false">MAX(0,-AC124)</f>
        <v>132.0122009118</v>
      </c>
      <c r="AD126" s="33" t="n">
        <f aca="false">MAX(0,-AD124)</f>
        <v>106.57779264074</v>
      </c>
      <c r="AE126" s="33" t="n">
        <f aca="false">MAX(0,-AE124)</f>
        <v>0</v>
      </c>
      <c r="AF126" s="33" t="n">
        <f aca="false">MAX(0,-AF124)</f>
        <v>0</v>
      </c>
      <c r="AG126" s="33" t="n">
        <f aca="false">MAX(0,-AG124)</f>
        <v>0</v>
      </c>
      <c r="AH126" s="33" t="n">
        <f aca="false">MAX(0,-AH124)</f>
        <v>0</v>
      </c>
      <c r="AI126" s="33" t="n">
        <f aca="false">MAX(0,-AI124)</f>
        <v>0</v>
      </c>
      <c r="AJ126" s="33" t="n">
        <f aca="false">MAX(0,-AJ124)</f>
        <v>0</v>
      </c>
      <c r="AK126" s="33" t="n">
        <f aca="false">MAX(0,-AK124)</f>
        <v>0</v>
      </c>
      <c r="AL126" s="33" t="n">
        <f aca="false">MAX(0,-AL124)</f>
        <v>0</v>
      </c>
      <c r="AM126" s="33" t="n">
        <f aca="false">MAX(0,-AM124)</f>
        <v>0</v>
      </c>
      <c r="AN126" s="33" t="n">
        <f aca="false">MAX(0,-AN124)</f>
        <v>0</v>
      </c>
      <c r="AO126" s="33" t="n">
        <f aca="false">MAX(0,-AO124)</f>
        <v>0</v>
      </c>
      <c r="AP126" s="33" t="n">
        <f aca="false">MAX(0,-AP124)</f>
        <v>0</v>
      </c>
      <c r="AQ126" s="33" t="n">
        <f aca="false">MAX(0,-AQ124)</f>
        <v>0</v>
      </c>
      <c r="AR126" s="33" t="n">
        <f aca="false">MAX(0,-AR124)</f>
        <v>0</v>
      </c>
      <c r="AS126" s="33" t="n">
        <f aca="false">MAX(0,-AS124)</f>
        <v>0</v>
      </c>
      <c r="AT126" s="33" t="n">
        <f aca="false">MAX(0,-AT124)</f>
        <v>0</v>
      </c>
      <c r="AU126" s="33" t="n">
        <f aca="false">MAX(0,-AU124)</f>
        <v>0</v>
      </c>
      <c r="AV126" s="33" t="n">
        <f aca="false">MAX(0,-AV124)</f>
        <v>0</v>
      </c>
      <c r="AW126" s="33" t="n">
        <f aca="false">MAX(0,-AW124)</f>
        <v>0</v>
      </c>
      <c r="AX126" s="33" t="n">
        <f aca="false">MAX(0,-AX124)</f>
        <v>0</v>
      </c>
      <c r="AY126" s="33" t="n">
        <f aca="false">MAX(0,-AY124)</f>
        <v>0</v>
      </c>
      <c r="AZ126" s="33" t="n">
        <f aca="false">MAX(0,-AZ124)</f>
        <v>0</v>
      </c>
      <c r="BA126" s="33" t="n">
        <f aca="false">MAX(0,-BA124)</f>
        <v>0</v>
      </c>
      <c r="BB126" s="33" t="n">
        <f aca="false">MAX(0,-BB124)</f>
        <v>0</v>
      </c>
      <c r="BC126" s="33" t="n">
        <f aca="false">MAX(0,-BC124)</f>
        <v>0</v>
      </c>
      <c r="BD126" s="33" t="n">
        <f aca="false">MAX(0,-BD124)</f>
        <v>0</v>
      </c>
      <c r="BE126" s="33" t="n">
        <f aca="false">MAX(0,-BE124)</f>
        <v>0</v>
      </c>
      <c r="BF126" s="33" t="n">
        <f aca="false">MAX(0,-BF124)</f>
        <v>0</v>
      </c>
      <c r="BG126" s="33" t="n">
        <f aca="false">MAX(0,-BG124)</f>
        <v>0</v>
      </c>
      <c r="BH126" s="33" t="n">
        <f aca="false">MAX(0,-BH124)</f>
        <v>0</v>
      </c>
      <c r="BI126" s="33" t="n">
        <f aca="false">MAX(0,-BI124)</f>
        <v>0</v>
      </c>
      <c r="BJ126" s="33" t="n">
        <f aca="false">MAX(0,-BJ124)</f>
        <v>0</v>
      </c>
      <c r="BK126" s="33" t="n">
        <f aca="false">MAX(0,-BK124)</f>
        <v>0</v>
      </c>
      <c r="BL126" s="33" t="n">
        <f aca="false">MAX(0,-BL124)</f>
        <v>0</v>
      </c>
      <c r="BM126" s="33" t="n">
        <f aca="false">MAX(0,-BM124)</f>
        <v>0</v>
      </c>
      <c r="BN126" s="33" t="n">
        <f aca="false">MAX(0,-BN124)</f>
        <v>0</v>
      </c>
      <c r="BO126" s="33" t="n">
        <f aca="false">MAX(0,-BO124)</f>
        <v>0</v>
      </c>
      <c r="BP126" s="33" t="n">
        <f aca="false">MAX(0,-BP124)</f>
        <v>0</v>
      </c>
      <c r="BQ126" s="33" t="n">
        <f aca="false">MAX(0,-BQ124)</f>
        <v>0</v>
      </c>
      <c r="BR126" s="33" t="n">
        <f aca="false">MAX(0,-BR124)</f>
        <v>0</v>
      </c>
      <c r="BS126" s="33" t="n">
        <f aca="false">MAX(0,-BS124)</f>
        <v>0</v>
      </c>
      <c r="BT126" s="33" t="n">
        <f aca="false">MAX(0,-BT124)</f>
        <v>0</v>
      </c>
      <c r="BU126" s="33" t="n">
        <f aca="false">MAX(0,-BU124)</f>
        <v>0</v>
      </c>
      <c r="BV126" s="33" t="n">
        <f aca="false">MAX(0,-BV124)</f>
        <v>0</v>
      </c>
      <c r="BW126" s="33" t="n">
        <f aca="false">MAX(0,-BW124)</f>
        <v>0</v>
      </c>
      <c r="BX126" s="33" t="n">
        <f aca="false">MAX(0,-BX124)</f>
        <v>0</v>
      </c>
      <c r="BY126" s="33" t="n">
        <f aca="false">MAX(0,-BY124)</f>
        <v>0</v>
      </c>
      <c r="BZ126" s="33" t="n">
        <f aca="false">MAX(0,-BZ124)</f>
        <v>0</v>
      </c>
      <c r="CA126" s="33" t="n">
        <f aca="false">MAX(0,-CA124)</f>
        <v>0</v>
      </c>
      <c r="CB126" s="33" t="n">
        <f aca="false">MAX(0,-CB124)</f>
        <v>0</v>
      </c>
      <c r="CC126" s="33" t="n">
        <f aca="false">MAX(0,-CC124)</f>
        <v>0</v>
      </c>
      <c r="CD126" s="33" t="n">
        <f aca="false">MAX(0,-CD124)</f>
        <v>0</v>
      </c>
      <c r="CE126" s="33" t="n">
        <f aca="false">MAX(0,-CE124)</f>
        <v>0</v>
      </c>
      <c r="CF126" s="33" t="n">
        <f aca="false">MAX(0,-CF124)</f>
        <v>0</v>
      </c>
      <c r="CG126" s="33" t="n">
        <f aca="false">MAX(0,-CG124)</f>
        <v>0</v>
      </c>
      <c r="CH126" s="33" t="n">
        <f aca="false">MAX(0,-CH124)</f>
        <v>0</v>
      </c>
      <c r="CI126" s="33" t="n">
        <f aca="false">MAX(0,-CI124)</f>
        <v>0</v>
      </c>
      <c r="CJ126" s="33" t="n">
        <f aca="false">MAX(0,-CJ124)</f>
        <v>0</v>
      </c>
      <c r="CK126" s="33" t="n">
        <f aca="false">MAX(0,-CK124)</f>
        <v>0</v>
      </c>
      <c r="CL126" s="33" t="n">
        <f aca="false">MAX(0,-CL124)</f>
        <v>0</v>
      </c>
      <c r="CM126" s="33" t="n">
        <f aca="false">MAX(0,-CM124)</f>
        <v>0</v>
      </c>
      <c r="CN126" s="33" t="n">
        <f aca="false">MAX(0,-CN124)</f>
        <v>0</v>
      </c>
      <c r="CO126" s="33" t="n">
        <f aca="false">MAX(0,-CO124)</f>
        <v>0</v>
      </c>
      <c r="CP126" s="33" t="n">
        <f aca="false">MAX(0,-CP124)</f>
        <v>0</v>
      </c>
      <c r="CQ126" s="33" t="n">
        <f aca="false">MAX(0,-CQ124)</f>
        <v>0</v>
      </c>
      <c r="CR126" s="33" t="n">
        <f aca="false">MAX(0,-CR124)</f>
        <v>0</v>
      </c>
      <c r="CS126" s="33" t="n">
        <f aca="false">MAX(0,-CS124)</f>
        <v>0</v>
      </c>
      <c r="CT126" s="33" t="n">
        <f aca="false">MAX(0,-CT124)</f>
        <v>0</v>
      </c>
      <c r="CU126" s="33" t="n">
        <f aca="false">MAX(0,-CU124)</f>
        <v>0</v>
      </c>
      <c r="CV126" s="33" t="n">
        <f aca="false">MAX(0,-CV124)</f>
        <v>0</v>
      </c>
      <c r="CW126" s="33" t="n">
        <f aca="false">MAX(0,-CW124)</f>
        <v>0</v>
      </c>
      <c r="CX126" s="33" t="n">
        <f aca="false">MAX(0,-CX124)</f>
        <v>0</v>
      </c>
      <c r="CY126" s="33" t="n">
        <f aca="false">MAX(0,-CY124)</f>
        <v>0</v>
      </c>
      <c r="CZ126" s="33" t="n">
        <f aca="false">MAX(0,-CZ124)</f>
        <v>0</v>
      </c>
      <c r="DA126" s="33" t="n">
        <f aca="false">MAX(0,-DA124)</f>
        <v>0</v>
      </c>
      <c r="DB126" s="33" t="n">
        <f aca="false">MAX(0,-DB124)</f>
        <v>0</v>
      </c>
      <c r="DC126" s="33" t="n">
        <f aca="false">MAX(0,-DC124)</f>
        <v>0</v>
      </c>
      <c r="DD126" s="33" t="n">
        <f aca="false">MAX(0,-DD124)</f>
        <v>0</v>
      </c>
      <c r="DE126" s="33" t="n">
        <f aca="false">MAX(0,-DE124)</f>
        <v>0</v>
      </c>
      <c r="DF126" s="33" t="n">
        <f aca="false">MAX(0,-DF124)</f>
        <v>0</v>
      </c>
      <c r="DG126" s="33" t="n">
        <f aca="false">MAX(0,-DG124)</f>
        <v>0</v>
      </c>
      <c r="DH126" s="33" t="n">
        <f aca="false">MAX(0,-DH124)</f>
        <v>0</v>
      </c>
      <c r="DI126" s="33" t="n">
        <f aca="false">MAX(0,-DI124)</f>
        <v>0</v>
      </c>
      <c r="DJ126" s="33" t="n">
        <f aca="false">MAX(0,-DJ124)</f>
        <v>0</v>
      </c>
      <c r="DK126" s="33" t="n">
        <f aca="false">MAX(0,-DK124)</f>
        <v>0</v>
      </c>
      <c r="DL126" s="33" t="n">
        <f aca="false">MAX(0,-DL124)</f>
        <v>0</v>
      </c>
      <c r="DM126" s="33" t="n">
        <f aca="false">MAX(0,-DM124)</f>
        <v>0</v>
      </c>
      <c r="DN126" s="33" t="n">
        <f aca="false">MAX(0,-DN124)</f>
        <v>0</v>
      </c>
      <c r="DO126" s="33" t="n">
        <f aca="false">MAX(0,-DO124)</f>
        <v>0</v>
      </c>
      <c r="DP126" s="33" t="n">
        <f aca="false">MAX(0,-DP124)</f>
        <v>0</v>
      </c>
      <c r="DQ126" s="33" t="n">
        <f aca="false">MAX(0,-DQ124)</f>
        <v>0</v>
      </c>
      <c r="DR126" s="33" t="n">
        <f aca="false">MAX(0,-DR124)</f>
        <v>0</v>
      </c>
      <c r="DS126" s="33" t="n">
        <f aca="false">MAX(0,-DS124)</f>
        <v>0</v>
      </c>
      <c r="DT126" s="33" t="n">
        <f aca="false">MAX(0,-DT124)</f>
        <v>0</v>
      </c>
      <c r="DU126" s="33" t="n">
        <f aca="false">MAX(0,-DU124)</f>
        <v>0</v>
      </c>
      <c r="DV126" s="33" t="n">
        <f aca="false">MAX(0,-DV124)</f>
        <v>0</v>
      </c>
      <c r="DW126" s="33" t="n">
        <f aca="false">MAX(0,-DW124)</f>
        <v>0</v>
      </c>
      <c r="DX126" s="33" t="n">
        <f aca="false">MAX(0,-DX124)</f>
        <v>0</v>
      </c>
      <c r="DY126" s="33" t="n">
        <f aca="false">MAX(0,-DY124)</f>
        <v>0</v>
      </c>
      <c r="DZ126" s="33" t="n">
        <f aca="false">MAX(0,-DZ124)</f>
        <v>0</v>
      </c>
      <c r="EA126" s="33" t="n">
        <f aca="false">MAX(0,-EA124)</f>
        <v>0</v>
      </c>
      <c r="EB126" s="33" t="n">
        <f aca="false">MAX(0,-EB124)</f>
        <v>0</v>
      </c>
      <c r="EC126" s="33" t="n">
        <f aca="false">MAX(0,-EC124)</f>
        <v>0</v>
      </c>
      <c r="ED126" s="33" t="n">
        <f aca="false">MAX(0,-ED124)</f>
        <v>0</v>
      </c>
      <c r="EE126" s="33" t="n">
        <f aca="false">MAX(0,-EE124)</f>
        <v>0</v>
      </c>
      <c r="EF126" s="33" t="n">
        <f aca="false">MAX(0,-EF124)</f>
        <v>0</v>
      </c>
      <c r="EG126" s="33" t="n">
        <f aca="false">MAX(0,-EG124)</f>
        <v>0</v>
      </c>
      <c r="EH126" s="33" t="n">
        <f aca="false">MAX(0,-EH124)</f>
        <v>0</v>
      </c>
      <c r="EI126" s="33" t="n">
        <f aca="false">MAX(0,-EI124)</f>
        <v>0</v>
      </c>
      <c r="EJ126" s="33" t="n">
        <f aca="false">MAX(0,-EJ124)</f>
        <v>0</v>
      </c>
      <c r="EK126" s="33" t="n">
        <f aca="false">MAX(0,-EK124)</f>
        <v>0</v>
      </c>
      <c r="EL126" s="33" t="n">
        <f aca="false">MAX(0,-EL124)</f>
        <v>0</v>
      </c>
      <c r="EM126" s="33" t="n">
        <f aca="false">MAX(0,-EM124)</f>
        <v>0</v>
      </c>
      <c r="EN126" s="33" t="n">
        <f aca="false">MAX(0,-EN124)</f>
        <v>0</v>
      </c>
      <c r="EO126" s="33" t="n">
        <f aca="false">MAX(0,-EO124)</f>
        <v>0</v>
      </c>
      <c r="EP126" s="33" t="n">
        <f aca="false">MAX(0,-EP124)</f>
        <v>0</v>
      </c>
      <c r="EQ126" s="33" t="n">
        <f aca="false">MAX(0,-EQ124)</f>
        <v>0</v>
      </c>
      <c r="ER126" s="33" t="n">
        <f aca="false">MAX(0,-ER124)</f>
        <v>0</v>
      </c>
      <c r="ES126" s="33" t="n">
        <f aca="false">MAX(0,-ES124)</f>
        <v>0</v>
      </c>
      <c r="ET126" s="33" t="n">
        <f aca="false">MAX(0,-ET124)</f>
        <v>0</v>
      </c>
    </row>
    <row r="127" customFormat="false" ht="15" hidden="false" customHeight="false" outlineLevel="0" collapsed="false">
      <c r="C127" s="0" t="s">
        <v>577</v>
      </c>
      <c r="D127" s="11" t="s">
        <v>253</v>
      </c>
      <c r="I127" s="33" t="n">
        <f aca="false">SUM(J127:ET127)</f>
        <v>-6364.50608260992</v>
      </c>
      <c r="J127" s="33" t="n">
        <f aca="false">-MIN(J125,MAX(0,J124))</f>
        <v>-0</v>
      </c>
      <c r="K127" s="33" t="n">
        <f aca="false">-MIN(K125,MAX(0,K124))</f>
        <v>-0</v>
      </c>
      <c r="L127" s="33" t="n">
        <f aca="false">-MIN(L125,MAX(0,L124))</f>
        <v>-0</v>
      </c>
      <c r="M127" s="33" t="n">
        <f aca="false">-MIN(M125,MAX(0,M124))</f>
        <v>-0</v>
      </c>
      <c r="N127" s="33" t="n">
        <f aca="false">-MIN(N125,MAX(0,N124))</f>
        <v>-0</v>
      </c>
      <c r="O127" s="33" t="n">
        <f aca="false">-MIN(O125,MAX(0,O124))</f>
        <v>-0</v>
      </c>
      <c r="P127" s="33" t="n">
        <f aca="false">-MIN(P125,MAX(0,P124))</f>
        <v>-0</v>
      </c>
      <c r="Q127" s="33" t="n">
        <f aca="false">-MIN(Q125,MAX(0,Q124))</f>
        <v>-0</v>
      </c>
      <c r="R127" s="33" t="n">
        <f aca="false">-MIN(R125,MAX(0,R124))</f>
        <v>-0</v>
      </c>
      <c r="S127" s="33" t="n">
        <f aca="false">-MIN(S125,MAX(0,S124))</f>
        <v>-0</v>
      </c>
      <c r="T127" s="33" t="n">
        <f aca="false">-MIN(T125,MAX(0,T124))</f>
        <v>-0</v>
      </c>
      <c r="U127" s="33" t="n">
        <f aca="false">-MIN(U125,MAX(0,U124))</f>
        <v>-0</v>
      </c>
      <c r="V127" s="33" t="n">
        <f aca="false">-MIN(V125,MAX(0,V124))</f>
        <v>-0</v>
      </c>
      <c r="W127" s="33" t="n">
        <f aca="false">-MIN(W125,MAX(0,W124))</f>
        <v>-0</v>
      </c>
      <c r="X127" s="33" t="n">
        <f aca="false">-MIN(X125,MAX(0,X124))</f>
        <v>-0</v>
      </c>
      <c r="Y127" s="33" t="n">
        <f aca="false">-MIN(Y125,MAX(0,Y124))</f>
        <v>-0</v>
      </c>
      <c r="Z127" s="33" t="n">
        <f aca="false">-MIN(Z125,MAX(0,Z124))</f>
        <v>-0</v>
      </c>
      <c r="AA127" s="33" t="n">
        <f aca="false">-MIN(AA125,MAX(0,AA124))</f>
        <v>-0</v>
      </c>
      <c r="AB127" s="33" t="n">
        <f aca="false">-MIN(AB125,MAX(0,AB124))</f>
        <v>-0</v>
      </c>
      <c r="AC127" s="33" t="n">
        <f aca="false">-MIN(AC125,MAX(0,AC124))</f>
        <v>-0</v>
      </c>
      <c r="AD127" s="33" t="n">
        <f aca="false">-MIN(AD125,MAX(0,AD124))</f>
        <v>-0</v>
      </c>
      <c r="AE127" s="33" t="n">
        <f aca="false">-MIN(AE125,MAX(0,AE124))</f>
        <v>-844.592147336478</v>
      </c>
      <c r="AF127" s="33" t="n">
        <f aca="false">-MIN(AF125,MAX(0,AF124))</f>
        <v>-873.754592434829</v>
      </c>
      <c r="AG127" s="33" t="n">
        <f aca="false">-MIN(AG125,MAX(0,AG124))</f>
        <v>-898.171621364089</v>
      </c>
      <c r="AH127" s="33" t="n">
        <f aca="false">-MIN(AH125,MAX(0,AH124))</f>
        <v>-945.875618690579</v>
      </c>
      <c r="AI127" s="33" t="n">
        <f aca="false">-MIN(AI125,MAX(0,AI124))</f>
        <v>-956.212854990103</v>
      </c>
      <c r="AJ127" s="33" t="n">
        <f aca="false">-MIN(AJ125,MAX(0,AJ124))</f>
        <v>-963.097413625111</v>
      </c>
      <c r="AK127" s="33" t="n">
        <f aca="false">-MIN(AK125,MAX(0,AK124))</f>
        <v>-882.801834168731</v>
      </c>
      <c r="AL127" s="33" t="n">
        <f aca="false">-MIN(AL125,MAX(0,AL124))</f>
        <v>-0</v>
      </c>
      <c r="AM127" s="33" t="n">
        <f aca="false">-MIN(AM125,MAX(0,AM124))</f>
        <v>-0</v>
      </c>
      <c r="AN127" s="33" t="n">
        <f aca="false">-MIN(AN125,MAX(0,AN124))</f>
        <v>-0</v>
      </c>
      <c r="AO127" s="33" t="n">
        <f aca="false">-MIN(AO125,MAX(0,AO124))</f>
        <v>-0</v>
      </c>
      <c r="AP127" s="33" t="n">
        <f aca="false">-MIN(AP125,MAX(0,AP124))</f>
        <v>-0</v>
      </c>
      <c r="AQ127" s="33" t="n">
        <f aca="false">-MIN(AQ125,MAX(0,AQ124))</f>
        <v>-0</v>
      </c>
      <c r="AR127" s="33" t="n">
        <f aca="false">-MIN(AR125,MAX(0,AR124))</f>
        <v>-0</v>
      </c>
      <c r="AS127" s="33" t="n">
        <f aca="false">-MIN(AS125,MAX(0,AS124))</f>
        <v>-0</v>
      </c>
      <c r="AT127" s="33" t="n">
        <f aca="false">-MIN(AT125,MAX(0,AT124))</f>
        <v>-0</v>
      </c>
      <c r="AU127" s="33" t="n">
        <f aca="false">-MIN(AU125,MAX(0,AU124))</f>
        <v>-0</v>
      </c>
      <c r="AV127" s="33" t="n">
        <f aca="false">-MIN(AV125,MAX(0,AV124))</f>
        <v>-0</v>
      </c>
      <c r="AW127" s="33" t="n">
        <f aca="false">-MIN(AW125,MAX(0,AW124))</f>
        <v>-0</v>
      </c>
      <c r="AX127" s="33" t="n">
        <f aca="false">-MIN(AX125,MAX(0,AX124))</f>
        <v>-0</v>
      </c>
      <c r="AY127" s="33" t="n">
        <f aca="false">-MIN(AY125,MAX(0,AY124))</f>
        <v>-0</v>
      </c>
      <c r="AZ127" s="33" t="n">
        <f aca="false">-MIN(AZ125,MAX(0,AZ124))</f>
        <v>-0</v>
      </c>
      <c r="BA127" s="33" t="n">
        <f aca="false">-MIN(BA125,MAX(0,BA124))</f>
        <v>-0</v>
      </c>
      <c r="BB127" s="33" t="n">
        <f aca="false">-MIN(BB125,MAX(0,BB124))</f>
        <v>-0</v>
      </c>
      <c r="BC127" s="33" t="n">
        <f aca="false">-MIN(BC125,MAX(0,BC124))</f>
        <v>-0</v>
      </c>
      <c r="BD127" s="33" t="n">
        <f aca="false">-MIN(BD125,MAX(0,BD124))</f>
        <v>-0</v>
      </c>
      <c r="BE127" s="33" t="n">
        <f aca="false">-MIN(BE125,MAX(0,BE124))</f>
        <v>-0</v>
      </c>
      <c r="BF127" s="33" t="n">
        <f aca="false">-MIN(BF125,MAX(0,BF124))</f>
        <v>-0</v>
      </c>
      <c r="BG127" s="33" t="n">
        <f aca="false">-MIN(BG125,MAX(0,BG124))</f>
        <v>-0</v>
      </c>
      <c r="BH127" s="33" t="n">
        <f aca="false">-MIN(BH125,MAX(0,BH124))</f>
        <v>-0</v>
      </c>
      <c r="BI127" s="33" t="n">
        <f aca="false">-MIN(BI125,MAX(0,BI124))</f>
        <v>-0</v>
      </c>
      <c r="BJ127" s="33" t="n">
        <f aca="false">-MIN(BJ125,MAX(0,BJ124))</f>
        <v>-0</v>
      </c>
      <c r="BK127" s="33" t="n">
        <f aca="false">-MIN(BK125,MAX(0,BK124))</f>
        <v>-0</v>
      </c>
      <c r="BL127" s="33" t="n">
        <f aca="false">-MIN(BL125,MAX(0,BL124))</f>
        <v>-0</v>
      </c>
      <c r="BM127" s="33" t="n">
        <f aca="false">-MIN(BM125,MAX(0,BM124))</f>
        <v>-0</v>
      </c>
      <c r="BN127" s="33" t="n">
        <f aca="false">-MIN(BN125,MAX(0,BN124))</f>
        <v>-0</v>
      </c>
      <c r="BO127" s="33" t="n">
        <f aca="false">-MIN(BO125,MAX(0,BO124))</f>
        <v>-0</v>
      </c>
      <c r="BP127" s="33" t="n">
        <f aca="false">-MIN(BP125,MAX(0,BP124))</f>
        <v>-0</v>
      </c>
      <c r="BQ127" s="33" t="n">
        <f aca="false">-MIN(BQ125,MAX(0,BQ124))</f>
        <v>-0</v>
      </c>
      <c r="BR127" s="33" t="n">
        <f aca="false">-MIN(BR125,MAX(0,BR124))</f>
        <v>-0</v>
      </c>
      <c r="BS127" s="33" t="n">
        <f aca="false">-MIN(BS125,MAX(0,BS124))</f>
        <v>-0</v>
      </c>
      <c r="BT127" s="33" t="n">
        <f aca="false">-MIN(BT125,MAX(0,BT124))</f>
        <v>-0</v>
      </c>
      <c r="BU127" s="33" t="n">
        <f aca="false">-MIN(BU125,MAX(0,BU124))</f>
        <v>-0</v>
      </c>
      <c r="BV127" s="33" t="n">
        <f aca="false">-MIN(BV125,MAX(0,BV124))</f>
        <v>-0</v>
      </c>
      <c r="BW127" s="33" t="n">
        <f aca="false">-MIN(BW125,MAX(0,BW124))</f>
        <v>-0</v>
      </c>
      <c r="BX127" s="33" t="n">
        <f aca="false">-MIN(BX125,MAX(0,BX124))</f>
        <v>-0</v>
      </c>
      <c r="BY127" s="33" t="n">
        <f aca="false">-MIN(BY125,MAX(0,BY124))</f>
        <v>-0</v>
      </c>
      <c r="BZ127" s="33" t="n">
        <f aca="false">-MIN(BZ125,MAX(0,BZ124))</f>
        <v>-0</v>
      </c>
      <c r="CA127" s="33" t="n">
        <f aca="false">-MIN(CA125,MAX(0,CA124))</f>
        <v>-0</v>
      </c>
      <c r="CB127" s="33" t="n">
        <f aca="false">-MIN(CB125,MAX(0,CB124))</f>
        <v>-0</v>
      </c>
      <c r="CC127" s="33" t="n">
        <f aca="false">-MIN(CC125,MAX(0,CC124))</f>
        <v>-0</v>
      </c>
      <c r="CD127" s="33" t="n">
        <f aca="false">-MIN(CD125,MAX(0,CD124))</f>
        <v>-0</v>
      </c>
      <c r="CE127" s="33" t="n">
        <f aca="false">-MIN(CE125,MAX(0,CE124))</f>
        <v>-0</v>
      </c>
      <c r="CF127" s="33" t="n">
        <f aca="false">-MIN(CF125,MAX(0,CF124))</f>
        <v>-0</v>
      </c>
      <c r="CG127" s="33" t="n">
        <f aca="false">-MIN(CG125,MAX(0,CG124))</f>
        <v>-0</v>
      </c>
      <c r="CH127" s="33" t="n">
        <f aca="false">-MIN(CH125,MAX(0,CH124))</f>
        <v>-0</v>
      </c>
      <c r="CI127" s="33" t="n">
        <f aca="false">-MIN(CI125,MAX(0,CI124))</f>
        <v>-0</v>
      </c>
      <c r="CJ127" s="33" t="n">
        <f aca="false">-MIN(CJ125,MAX(0,CJ124))</f>
        <v>-0</v>
      </c>
      <c r="CK127" s="33" t="n">
        <f aca="false">-MIN(CK125,MAX(0,CK124))</f>
        <v>-0</v>
      </c>
      <c r="CL127" s="33" t="n">
        <f aca="false">-MIN(CL125,MAX(0,CL124))</f>
        <v>-0</v>
      </c>
      <c r="CM127" s="33" t="n">
        <f aca="false">-MIN(CM125,MAX(0,CM124))</f>
        <v>-0</v>
      </c>
      <c r="CN127" s="33" t="n">
        <f aca="false">-MIN(CN125,MAX(0,CN124))</f>
        <v>-0</v>
      </c>
      <c r="CO127" s="33" t="n">
        <f aca="false">-MIN(CO125,MAX(0,CO124))</f>
        <v>-0</v>
      </c>
      <c r="CP127" s="33" t="n">
        <f aca="false">-MIN(CP125,MAX(0,CP124))</f>
        <v>-0</v>
      </c>
      <c r="CQ127" s="33" t="n">
        <f aca="false">-MIN(CQ125,MAX(0,CQ124))</f>
        <v>-0</v>
      </c>
      <c r="CR127" s="33" t="n">
        <f aca="false">-MIN(CR125,MAX(0,CR124))</f>
        <v>-0</v>
      </c>
      <c r="CS127" s="33" t="n">
        <f aca="false">-MIN(CS125,MAX(0,CS124))</f>
        <v>-0</v>
      </c>
      <c r="CT127" s="33" t="n">
        <f aca="false">-MIN(CT125,MAX(0,CT124))</f>
        <v>-0</v>
      </c>
      <c r="CU127" s="33" t="n">
        <f aca="false">-MIN(CU125,MAX(0,CU124))</f>
        <v>-0</v>
      </c>
      <c r="CV127" s="33" t="n">
        <f aca="false">-MIN(CV125,MAX(0,CV124))</f>
        <v>-0</v>
      </c>
      <c r="CW127" s="33" t="n">
        <f aca="false">-MIN(CW125,MAX(0,CW124))</f>
        <v>-0</v>
      </c>
      <c r="CX127" s="33" t="n">
        <f aca="false">-MIN(CX125,MAX(0,CX124))</f>
        <v>-0</v>
      </c>
      <c r="CY127" s="33" t="n">
        <f aca="false">-MIN(CY125,MAX(0,CY124))</f>
        <v>-0</v>
      </c>
      <c r="CZ127" s="33" t="n">
        <f aca="false">-MIN(CZ125,MAX(0,CZ124))</f>
        <v>-0</v>
      </c>
      <c r="DA127" s="33" t="n">
        <f aca="false">-MIN(DA125,MAX(0,DA124))</f>
        <v>-0</v>
      </c>
      <c r="DB127" s="33" t="n">
        <f aca="false">-MIN(DB125,MAX(0,DB124))</f>
        <v>-0</v>
      </c>
      <c r="DC127" s="33" t="n">
        <f aca="false">-MIN(DC125,MAX(0,DC124))</f>
        <v>-0</v>
      </c>
      <c r="DD127" s="33" t="n">
        <f aca="false">-MIN(DD125,MAX(0,DD124))</f>
        <v>-0</v>
      </c>
      <c r="DE127" s="33" t="n">
        <f aca="false">-MIN(DE125,MAX(0,DE124))</f>
        <v>-0</v>
      </c>
      <c r="DF127" s="33" t="n">
        <f aca="false">-MIN(DF125,MAX(0,DF124))</f>
        <v>-0</v>
      </c>
      <c r="DG127" s="33" t="n">
        <f aca="false">-MIN(DG125,MAX(0,DG124))</f>
        <v>-0</v>
      </c>
      <c r="DH127" s="33" t="n">
        <f aca="false">-MIN(DH125,MAX(0,DH124))</f>
        <v>-0</v>
      </c>
      <c r="DI127" s="33" t="n">
        <f aca="false">-MIN(DI125,MAX(0,DI124))</f>
        <v>-0</v>
      </c>
      <c r="DJ127" s="33" t="n">
        <f aca="false">-MIN(DJ125,MAX(0,DJ124))</f>
        <v>-0</v>
      </c>
      <c r="DK127" s="33" t="n">
        <f aca="false">-MIN(DK125,MAX(0,DK124))</f>
        <v>-0</v>
      </c>
      <c r="DL127" s="33" t="n">
        <f aca="false">-MIN(DL125,MAX(0,DL124))</f>
        <v>-0</v>
      </c>
      <c r="DM127" s="33" t="n">
        <f aca="false">-MIN(DM125,MAX(0,DM124))</f>
        <v>-0</v>
      </c>
      <c r="DN127" s="33" t="n">
        <f aca="false">-MIN(DN125,MAX(0,DN124))</f>
        <v>-0</v>
      </c>
      <c r="DO127" s="33" t="n">
        <f aca="false">-MIN(DO125,MAX(0,DO124))</f>
        <v>-0</v>
      </c>
      <c r="DP127" s="33" t="n">
        <f aca="false">-MIN(DP125,MAX(0,DP124))</f>
        <v>-0</v>
      </c>
      <c r="DQ127" s="33" t="n">
        <f aca="false">-MIN(DQ125,MAX(0,DQ124))</f>
        <v>-0</v>
      </c>
      <c r="DR127" s="33" t="n">
        <f aca="false">-MIN(DR125,MAX(0,DR124))</f>
        <v>-0</v>
      </c>
      <c r="DS127" s="33" t="n">
        <f aca="false">-MIN(DS125,MAX(0,DS124))</f>
        <v>-0</v>
      </c>
      <c r="DT127" s="33" t="n">
        <f aca="false">-MIN(DT125,MAX(0,DT124))</f>
        <v>-0</v>
      </c>
      <c r="DU127" s="33" t="n">
        <f aca="false">-MIN(DU125,MAX(0,DU124))</f>
        <v>-0</v>
      </c>
      <c r="DV127" s="33" t="n">
        <f aca="false">-MIN(DV125,MAX(0,DV124))</f>
        <v>-0</v>
      </c>
      <c r="DW127" s="33" t="n">
        <f aca="false">-MIN(DW125,MAX(0,DW124))</f>
        <v>-0</v>
      </c>
      <c r="DX127" s="33" t="n">
        <f aca="false">-MIN(DX125,MAX(0,DX124))</f>
        <v>-0</v>
      </c>
      <c r="DY127" s="33" t="n">
        <f aca="false">-MIN(DY125,MAX(0,DY124))</f>
        <v>-0</v>
      </c>
      <c r="DZ127" s="33" t="n">
        <f aca="false">-MIN(DZ125,MAX(0,DZ124))</f>
        <v>-0</v>
      </c>
      <c r="EA127" s="33" t="n">
        <f aca="false">-MIN(EA125,MAX(0,EA124))</f>
        <v>-0</v>
      </c>
      <c r="EB127" s="33" t="n">
        <f aca="false">-MIN(EB125,MAX(0,EB124))</f>
        <v>-0</v>
      </c>
      <c r="EC127" s="33" t="n">
        <f aca="false">-MIN(EC125,MAX(0,EC124))</f>
        <v>-0</v>
      </c>
      <c r="ED127" s="33" t="n">
        <f aca="false">-MIN(ED125,MAX(0,ED124))</f>
        <v>-0</v>
      </c>
      <c r="EE127" s="33" t="n">
        <f aca="false">-MIN(EE125,MAX(0,EE124))</f>
        <v>-0</v>
      </c>
      <c r="EF127" s="33" t="n">
        <f aca="false">-MIN(EF125,MAX(0,EF124))</f>
        <v>-0</v>
      </c>
      <c r="EG127" s="33" t="n">
        <f aca="false">-MIN(EG125,MAX(0,EG124))</f>
        <v>-0</v>
      </c>
      <c r="EH127" s="33" t="n">
        <f aca="false">-MIN(EH125,MAX(0,EH124))</f>
        <v>-0</v>
      </c>
      <c r="EI127" s="33" t="n">
        <f aca="false">-MIN(EI125,MAX(0,EI124))</f>
        <v>-0</v>
      </c>
      <c r="EJ127" s="33" t="n">
        <f aca="false">-MIN(EJ125,MAX(0,EJ124))</f>
        <v>-0</v>
      </c>
      <c r="EK127" s="33" t="n">
        <f aca="false">-MIN(EK125,MAX(0,EK124))</f>
        <v>-0</v>
      </c>
      <c r="EL127" s="33" t="n">
        <f aca="false">-MIN(EL125,MAX(0,EL124))</f>
        <v>-0</v>
      </c>
      <c r="EM127" s="33" t="n">
        <f aca="false">-MIN(EM125,MAX(0,EM124))</f>
        <v>-0</v>
      </c>
      <c r="EN127" s="33" t="n">
        <f aca="false">-MIN(EN125,MAX(0,EN124))</f>
        <v>-0</v>
      </c>
      <c r="EO127" s="33" t="n">
        <f aca="false">-MIN(EO125,MAX(0,EO124))</f>
        <v>-0</v>
      </c>
      <c r="EP127" s="33" t="n">
        <f aca="false">-MIN(EP125,MAX(0,EP124))</f>
        <v>-0</v>
      </c>
      <c r="EQ127" s="33" t="n">
        <f aca="false">-MIN(EQ125,MAX(0,EQ124))</f>
        <v>-0</v>
      </c>
      <c r="ER127" s="33" t="n">
        <f aca="false">-MIN(ER125,MAX(0,ER124))</f>
        <v>-0</v>
      </c>
      <c r="ES127" s="33" t="n">
        <f aca="false">-MIN(ES125,MAX(0,ES124))</f>
        <v>-0</v>
      </c>
      <c r="ET127" s="33" t="n">
        <f aca="false">-MIN(ET125,MAX(0,ET124))</f>
        <v>-0</v>
      </c>
    </row>
    <row r="128" customFormat="false" ht="15" hidden="false" customHeight="false" outlineLevel="0" collapsed="false">
      <c r="C128" s="0" t="s">
        <v>578</v>
      </c>
      <c r="D128" s="11" t="s">
        <v>253</v>
      </c>
      <c r="I128" s="54"/>
      <c r="J128" s="33" t="n">
        <f aca="false">SUM(J125:J127)</f>
        <v>0</v>
      </c>
      <c r="K128" s="33" t="n">
        <f aca="false">SUM(K125:K127)</f>
        <v>178.520547945205</v>
      </c>
      <c r="L128" s="33" t="n">
        <f aca="false">SUM(L125:L127)</f>
        <v>766.965068493151</v>
      </c>
      <c r="M128" s="33" t="n">
        <f aca="false">SUM(M125:M127)</f>
        <v>810.800684931507</v>
      </c>
      <c r="N128" s="33" t="n">
        <f aca="false">SUM(N125:N127)</f>
        <v>854.636301369863</v>
      </c>
      <c r="O128" s="33" t="n">
        <f aca="false">SUM(O125:O127)</f>
        <v>1038.99794520548</v>
      </c>
      <c r="P128" s="33" t="n">
        <f aca="false">SUM(P125:P127)</f>
        <v>2329.03974000559</v>
      </c>
      <c r="Q128" s="33" t="n">
        <f aca="false">SUM(Q125:Q127)</f>
        <v>2333.64932904669</v>
      </c>
      <c r="R128" s="33" t="n">
        <f aca="false">SUM(R125:R127)</f>
        <v>2497.74083902712</v>
      </c>
      <c r="S128" s="33" t="n">
        <f aca="false">SUM(S125:S127)</f>
        <v>2814.96697772435</v>
      </c>
      <c r="T128" s="33" t="n">
        <f aca="false">SUM(T125:T127)</f>
        <v>3119.62451197093</v>
      </c>
      <c r="U128" s="33" t="n">
        <f aca="false">SUM(U125:U127)</f>
        <v>3119.62451197093</v>
      </c>
      <c r="V128" s="33" t="n">
        <f aca="false">SUM(V125:V127)</f>
        <v>3119.62451197093</v>
      </c>
      <c r="W128" s="33" t="n">
        <f aca="false">SUM(W125:W127)</f>
        <v>5074.63865062317</v>
      </c>
      <c r="X128" s="33" t="n">
        <f aca="false">SUM(X125:X127)</f>
        <v>5334.80891409552</v>
      </c>
      <c r="Y128" s="33" t="n">
        <f aca="false">SUM(Y125:Y127)</f>
        <v>5571.5693249929</v>
      </c>
      <c r="Z128" s="33" t="n">
        <f aca="false">SUM(Z125:Z127)</f>
        <v>5784.04640684983</v>
      </c>
      <c r="AA128" s="33" t="n">
        <f aca="false">SUM(AA125:AA127)</f>
        <v>5969.34295633999</v>
      </c>
      <c r="AB128" s="33" t="n">
        <f aca="false">SUM(AB125:AB127)</f>
        <v>6125.91608905738</v>
      </c>
      <c r="AC128" s="33" t="n">
        <f aca="false">SUM(AC125:AC127)</f>
        <v>6257.92828996918</v>
      </c>
      <c r="AD128" s="33" t="n">
        <f aca="false">SUM(AD125:AD127)</f>
        <v>6364.50608260992</v>
      </c>
      <c r="AE128" s="33" t="n">
        <f aca="false">SUM(AE125:AE127)</f>
        <v>5519.91393527344</v>
      </c>
      <c r="AF128" s="33" t="n">
        <f aca="false">SUM(AF125:AF127)</f>
        <v>4646.15934283861</v>
      </c>
      <c r="AG128" s="33" t="n">
        <f aca="false">SUM(AG125:AG127)</f>
        <v>3747.98772147452</v>
      </c>
      <c r="AH128" s="33" t="n">
        <f aca="false">SUM(AH125:AH127)</f>
        <v>2802.11210278394</v>
      </c>
      <c r="AI128" s="33" t="n">
        <f aca="false">SUM(AI125:AI127)</f>
        <v>1845.89924779384</v>
      </c>
      <c r="AJ128" s="33" t="n">
        <f aca="false">SUM(AJ125:AJ127)</f>
        <v>882.801834168731</v>
      </c>
      <c r="AK128" s="33" t="n">
        <f aca="false">SUM(AK125:AK127)</f>
        <v>0</v>
      </c>
      <c r="AL128" s="33" t="n">
        <f aca="false">SUM(AL125:AL127)</f>
        <v>0</v>
      </c>
      <c r="AM128" s="33" t="n">
        <f aca="false">SUM(AM125:AM127)</f>
        <v>0</v>
      </c>
      <c r="AN128" s="33" t="n">
        <f aca="false">SUM(AN125:AN127)</f>
        <v>0</v>
      </c>
      <c r="AO128" s="33" t="n">
        <f aca="false">SUM(AO125:AO127)</f>
        <v>0</v>
      </c>
      <c r="AP128" s="33" t="n">
        <f aca="false">SUM(AP125:AP127)</f>
        <v>0</v>
      </c>
      <c r="AQ128" s="33" t="n">
        <f aca="false">SUM(AQ125:AQ127)</f>
        <v>0</v>
      </c>
      <c r="AR128" s="33" t="n">
        <f aca="false">SUM(AR125:AR127)</f>
        <v>0</v>
      </c>
      <c r="AS128" s="33" t="n">
        <f aca="false">SUM(AS125:AS127)</f>
        <v>0</v>
      </c>
      <c r="AT128" s="33" t="n">
        <f aca="false">SUM(AT125:AT127)</f>
        <v>0</v>
      </c>
      <c r="AU128" s="33" t="n">
        <f aca="false">SUM(AU125:AU127)</f>
        <v>0</v>
      </c>
      <c r="AV128" s="33" t="n">
        <f aca="false">SUM(AV125:AV127)</f>
        <v>0</v>
      </c>
      <c r="AW128" s="33" t="n">
        <f aca="false">SUM(AW125:AW127)</f>
        <v>0</v>
      </c>
      <c r="AX128" s="33" t="n">
        <f aca="false">SUM(AX125:AX127)</f>
        <v>0</v>
      </c>
      <c r="AY128" s="33" t="n">
        <f aca="false">SUM(AY125:AY127)</f>
        <v>0</v>
      </c>
      <c r="AZ128" s="33" t="n">
        <f aca="false">SUM(AZ125:AZ127)</f>
        <v>0</v>
      </c>
      <c r="BA128" s="33" t="n">
        <f aca="false">SUM(BA125:BA127)</f>
        <v>0</v>
      </c>
      <c r="BB128" s="33" t="n">
        <f aca="false">SUM(BB125:BB127)</f>
        <v>0</v>
      </c>
      <c r="BC128" s="33" t="n">
        <f aca="false">SUM(BC125:BC127)</f>
        <v>0</v>
      </c>
      <c r="BD128" s="33" t="n">
        <f aca="false">SUM(BD125:BD127)</f>
        <v>0</v>
      </c>
      <c r="BE128" s="33" t="n">
        <f aca="false">SUM(BE125:BE127)</f>
        <v>0</v>
      </c>
      <c r="BF128" s="33" t="n">
        <f aca="false">SUM(BF125:BF127)</f>
        <v>0</v>
      </c>
      <c r="BG128" s="33" t="n">
        <f aca="false">SUM(BG125:BG127)</f>
        <v>0</v>
      </c>
      <c r="BH128" s="33" t="n">
        <f aca="false">SUM(BH125:BH127)</f>
        <v>0</v>
      </c>
      <c r="BI128" s="33" t="n">
        <f aca="false">SUM(BI125:BI127)</f>
        <v>0</v>
      </c>
      <c r="BJ128" s="33" t="n">
        <f aca="false">SUM(BJ125:BJ127)</f>
        <v>0</v>
      </c>
      <c r="BK128" s="33" t="n">
        <f aca="false">SUM(BK125:BK127)</f>
        <v>0</v>
      </c>
      <c r="BL128" s="33" t="n">
        <f aca="false">SUM(BL125:BL127)</f>
        <v>0</v>
      </c>
      <c r="BM128" s="33" t="n">
        <f aca="false">SUM(BM125:BM127)</f>
        <v>0</v>
      </c>
      <c r="BN128" s="33" t="n">
        <f aca="false">SUM(BN125:BN127)</f>
        <v>0</v>
      </c>
      <c r="BO128" s="33" t="n">
        <f aca="false">SUM(BO125:BO127)</f>
        <v>0</v>
      </c>
      <c r="BP128" s="33" t="n">
        <f aca="false">SUM(BP125:BP127)</f>
        <v>0</v>
      </c>
      <c r="BQ128" s="33" t="n">
        <f aca="false">SUM(BQ125:BQ127)</f>
        <v>0</v>
      </c>
      <c r="BR128" s="33" t="n">
        <f aca="false">SUM(BR125:BR127)</f>
        <v>0</v>
      </c>
      <c r="BS128" s="33" t="n">
        <f aca="false">SUM(BS125:BS127)</f>
        <v>0</v>
      </c>
      <c r="BT128" s="33" t="n">
        <f aca="false">SUM(BT125:BT127)</f>
        <v>0</v>
      </c>
      <c r="BU128" s="33" t="n">
        <f aca="false">SUM(BU125:BU127)</f>
        <v>0</v>
      </c>
      <c r="BV128" s="33" t="n">
        <f aca="false">SUM(BV125:BV127)</f>
        <v>0</v>
      </c>
      <c r="BW128" s="33" t="n">
        <f aca="false">SUM(BW125:BW127)</f>
        <v>0</v>
      </c>
      <c r="BX128" s="33" t="n">
        <f aca="false">SUM(BX125:BX127)</f>
        <v>0</v>
      </c>
      <c r="BY128" s="33" t="n">
        <f aca="false">SUM(BY125:BY127)</f>
        <v>0</v>
      </c>
      <c r="BZ128" s="33" t="n">
        <f aca="false">SUM(BZ125:BZ127)</f>
        <v>0</v>
      </c>
      <c r="CA128" s="33" t="n">
        <f aca="false">SUM(CA125:CA127)</f>
        <v>0</v>
      </c>
      <c r="CB128" s="33" t="n">
        <f aca="false">SUM(CB125:CB127)</f>
        <v>0</v>
      </c>
      <c r="CC128" s="33" t="n">
        <f aca="false">SUM(CC125:CC127)</f>
        <v>0</v>
      </c>
      <c r="CD128" s="33" t="n">
        <f aca="false">SUM(CD125:CD127)</f>
        <v>0</v>
      </c>
      <c r="CE128" s="33" t="n">
        <f aca="false">SUM(CE125:CE127)</f>
        <v>0</v>
      </c>
      <c r="CF128" s="33" t="n">
        <f aca="false">SUM(CF125:CF127)</f>
        <v>0</v>
      </c>
      <c r="CG128" s="33" t="n">
        <f aca="false">SUM(CG125:CG127)</f>
        <v>0</v>
      </c>
      <c r="CH128" s="33" t="n">
        <f aca="false">SUM(CH125:CH127)</f>
        <v>0</v>
      </c>
      <c r="CI128" s="33" t="n">
        <f aca="false">SUM(CI125:CI127)</f>
        <v>0</v>
      </c>
      <c r="CJ128" s="33" t="n">
        <f aca="false">SUM(CJ125:CJ127)</f>
        <v>0</v>
      </c>
      <c r="CK128" s="33" t="n">
        <f aca="false">SUM(CK125:CK127)</f>
        <v>0</v>
      </c>
      <c r="CL128" s="33" t="n">
        <f aca="false">SUM(CL125:CL127)</f>
        <v>0</v>
      </c>
      <c r="CM128" s="33" t="n">
        <f aca="false">SUM(CM125:CM127)</f>
        <v>0</v>
      </c>
      <c r="CN128" s="33" t="n">
        <f aca="false">SUM(CN125:CN127)</f>
        <v>0</v>
      </c>
      <c r="CO128" s="33" t="n">
        <f aca="false">SUM(CO125:CO127)</f>
        <v>0</v>
      </c>
      <c r="CP128" s="33" t="n">
        <f aca="false">SUM(CP125:CP127)</f>
        <v>0</v>
      </c>
      <c r="CQ128" s="33" t="n">
        <f aca="false">SUM(CQ125:CQ127)</f>
        <v>0</v>
      </c>
      <c r="CR128" s="33" t="n">
        <f aca="false">SUM(CR125:CR127)</f>
        <v>0</v>
      </c>
      <c r="CS128" s="33" t="n">
        <f aca="false">SUM(CS125:CS127)</f>
        <v>0</v>
      </c>
      <c r="CT128" s="33" t="n">
        <f aca="false">SUM(CT125:CT127)</f>
        <v>0</v>
      </c>
      <c r="CU128" s="33" t="n">
        <f aca="false">SUM(CU125:CU127)</f>
        <v>0</v>
      </c>
      <c r="CV128" s="33" t="n">
        <f aca="false">SUM(CV125:CV127)</f>
        <v>0</v>
      </c>
      <c r="CW128" s="33" t="n">
        <f aca="false">SUM(CW125:CW127)</f>
        <v>0</v>
      </c>
      <c r="CX128" s="33" t="n">
        <f aca="false">SUM(CX125:CX127)</f>
        <v>0</v>
      </c>
      <c r="CY128" s="33" t="n">
        <f aca="false">SUM(CY125:CY127)</f>
        <v>0</v>
      </c>
      <c r="CZ128" s="33" t="n">
        <f aca="false">SUM(CZ125:CZ127)</f>
        <v>0</v>
      </c>
      <c r="DA128" s="33" t="n">
        <f aca="false">SUM(DA125:DA127)</f>
        <v>0</v>
      </c>
      <c r="DB128" s="33" t="n">
        <f aca="false">SUM(DB125:DB127)</f>
        <v>0</v>
      </c>
      <c r="DC128" s="33" t="n">
        <f aca="false">SUM(DC125:DC127)</f>
        <v>0</v>
      </c>
      <c r="DD128" s="33" t="n">
        <f aca="false">SUM(DD125:DD127)</f>
        <v>0</v>
      </c>
      <c r="DE128" s="33" t="n">
        <f aca="false">SUM(DE125:DE127)</f>
        <v>0</v>
      </c>
      <c r="DF128" s="33" t="n">
        <f aca="false">SUM(DF125:DF127)</f>
        <v>0</v>
      </c>
      <c r="DG128" s="33" t="n">
        <f aca="false">SUM(DG125:DG127)</f>
        <v>0</v>
      </c>
      <c r="DH128" s="33" t="n">
        <f aca="false">SUM(DH125:DH127)</f>
        <v>0</v>
      </c>
      <c r="DI128" s="33" t="n">
        <f aca="false">SUM(DI125:DI127)</f>
        <v>0</v>
      </c>
      <c r="DJ128" s="33" t="n">
        <f aca="false">SUM(DJ125:DJ127)</f>
        <v>0</v>
      </c>
      <c r="DK128" s="33" t="n">
        <f aca="false">SUM(DK125:DK127)</f>
        <v>0</v>
      </c>
      <c r="DL128" s="33" t="n">
        <f aca="false">SUM(DL125:DL127)</f>
        <v>0</v>
      </c>
      <c r="DM128" s="33" t="n">
        <f aca="false">SUM(DM125:DM127)</f>
        <v>0</v>
      </c>
      <c r="DN128" s="33" t="n">
        <f aca="false">SUM(DN125:DN127)</f>
        <v>0</v>
      </c>
      <c r="DO128" s="33" t="n">
        <f aca="false">SUM(DO125:DO127)</f>
        <v>0</v>
      </c>
      <c r="DP128" s="33" t="n">
        <f aca="false">SUM(DP125:DP127)</f>
        <v>0</v>
      </c>
      <c r="DQ128" s="33" t="n">
        <f aca="false">SUM(DQ125:DQ127)</f>
        <v>0</v>
      </c>
      <c r="DR128" s="33" t="n">
        <f aca="false">SUM(DR125:DR127)</f>
        <v>0</v>
      </c>
      <c r="DS128" s="33" t="n">
        <f aca="false">SUM(DS125:DS127)</f>
        <v>0</v>
      </c>
      <c r="DT128" s="33" t="n">
        <f aca="false">SUM(DT125:DT127)</f>
        <v>0</v>
      </c>
      <c r="DU128" s="33" t="n">
        <f aca="false">SUM(DU125:DU127)</f>
        <v>0</v>
      </c>
      <c r="DV128" s="33" t="n">
        <f aca="false">SUM(DV125:DV127)</f>
        <v>0</v>
      </c>
      <c r="DW128" s="33" t="n">
        <f aca="false">SUM(DW125:DW127)</f>
        <v>0</v>
      </c>
      <c r="DX128" s="33" t="n">
        <f aca="false">SUM(DX125:DX127)</f>
        <v>0</v>
      </c>
      <c r="DY128" s="33" t="n">
        <f aca="false">SUM(DY125:DY127)</f>
        <v>0</v>
      </c>
      <c r="DZ128" s="33" t="n">
        <f aca="false">SUM(DZ125:DZ127)</f>
        <v>0</v>
      </c>
      <c r="EA128" s="33" t="n">
        <f aca="false">SUM(EA125:EA127)</f>
        <v>0</v>
      </c>
      <c r="EB128" s="33" t="n">
        <f aca="false">SUM(EB125:EB127)</f>
        <v>0</v>
      </c>
      <c r="EC128" s="33" t="n">
        <f aca="false">SUM(EC125:EC127)</f>
        <v>0</v>
      </c>
      <c r="ED128" s="33" t="n">
        <f aca="false">SUM(ED125:ED127)</f>
        <v>0</v>
      </c>
      <c r="EE128" s="33" t="n">
        <f aca="false">SUM(EE125:EE127)</f>
        <v>0</v>
      </c>
      <c r="EF128" s="33" t="n">
        <f aca="false">SUM(EF125:EF127)</f>
        <v>0</v>
      </c>
      <c r="EG128" s="33" t="n">
        <f aca="false">SUM(EG125:EG127)</f>
        <v>0</v>
      </c>
      <c r="EH128" s="33" t="n">
        <f aca="false">SUM(EH125:EH127)</f>
        <v>0</v>
      </c>
      <c r="EI128" s="33" t="n">
        <f aca="false">SUM(EI125:EI127)</f>
        <v>0</v>
      </c>
      <c r="EJ128" s="33" t="n">
        <f aca="false">SUM(EJ125:EJ127)</f>
        <v>0</v>
      </c>
      <c r="EK128" s="33" t="n">
        <f aca="false">SUM(EK125:EK127)</f>
        <v>0</v>
      </c>
      <c r="EL128" s="33" t="n">
        <f aca="false">SUM(EL125:EL127)</f>
        <v>0</v>
      </c>
      <c r="EM128" s="33" t="n">
        <f aca="false">SUM(EM125:EM127)</f>
        <v>0</v>
      </c>
      <c r="EN128" s="33" t="n">
        <f aca="false">SUM(EN125:EN127)</f>
        <v>0</v>
      </c>
      <c r="EO128" s="33" t="n">
        <f aca="false">SUM(EO125:EO127)</f>
        <v>0</v>
      </c>
      <c r="EP128" s="33" t="n">
        <f aca="false">SUM(EP125:EP127)</f>
        <v>0</v>
      </c>
      <c r="EQ128" s="33" t="n">
        <f aca="false">SUM(EQ125:EQ127)</f>
        <v>0</v>
      </c>
      <c r="ER128" s="33" t="n">
        <f aca="false">SUM(ER125:ER127)</f>
        <v>0</v>
      </c>
      <c r="ES128" s="33" t="n">
        <f aca="false">SUM(ES125:ES127)</f>
        <v>0</v>
      </c>
      <c r="ET128" s="33" t="n">
        <f aca="false">SUM(ET125:ET127)</f>
        <v>0</v>
      </c>
    </row>
    <row r="129" customFormat="false" ht="15" hidden="false" customHeight="false" outlineLevel="0" collapsed="false">
      <c r="C129" s="30" t="s">
        <v>250</v>
      </c>
      <c r="D129" s="11" t="s">
        <v>253</v>
      </c>
      <c r="I129" s="35" t="n">
        <f aca="false">SUM(J129:ET129)</f>
        <v>-28323.9656639994</v>
      </c>
      <c r="J129" s="35" t="n">
        <f aca="false">-In_CIT*(MAX(0,J124)+J127)</f>
        <v>-0</v>
      </c>
      <c r="K129" s="35" t="n">
        <f aca="false">-In_CIT*(MAX(0,K124)+K127)</f>
        <v>-0</v>
      </c>
      <c r="L129" s="35" t="n">
        <f aca="false">-In_CIT*(MAX(0,L124)+L127)</f>
        <v>-0</v>
      </c>
      <c r="M129" s="35" t="n">
        <f aca="false">-In_CIT*(MAX(0,M124)+M127)</f>
        <v>-0</v>
      </c>
      <c r="N129" s="35" t="n">
        <f aca="false">-In_CIT*(MAX(0,N124)+N127)</f>
        <v>-0</v>
      </c>
      <c r="O129" s="35" t="n">
        <f aca="false">-In_CIT*(MAX(0,O124)+O127)</f>
        <v>-0</v>
      </c>
      <c r="P129" s="35" t="n">
        <f aca="false">-In_CIT*(MAX(0,P124)+P127)</f>
        <v>-0</v>
      </c>
      <c r="Q129" s="35" t="n">
        <f aca="false">-In_CIT*(MAX(0,Q124)+Q127)</f>
        <v>-0</v>
      </c>
      <c r="R129" s="35" t="n">
        <f aca="false">-In_CIT*(MAX(0,R124)+R127)</f>
        <v>-0</v>
      </c>
      <c r="S129" s="35" t="n">
        <f aca="false">-In_CIT*(MAX(0,S124)+S127)</f>
        <v>-0</v>
      </c>
      <c r="T129" s="35" t="n">
        <f aca="false">-In_CIT*(MAX(0,T124)+T127)</f>
        <v>-0</v>
      </c>
      <c r="U129" s="35" t="n">
        <f aca="false">-In_CIT*(MAX(0,U124)+U127)</f>
        <v>-0</v>
      </c>
      <c r="V129" s="35" t="n">
        <f aca="false">-In_CIT*(MAX(0,V124)+V127)</f>
        <v>-0</v>
      </c>
      <c r="W129" s="35" t="n">
        <f aca="false">-In_CIT*(MAX(0,W124)+W127)</f>
        <v>-0</v>
      </c>
      <c r="X129" s="35" t="n">
        <f aca="false">-In_CIT*(MAX(0,X124)+X127)</f>
        <v>-0</v>
      </c>
      <c r="Y129" s="35" t="n">
        <f aca="false">-In_CIT*(MAX(0,Y124)+Y127)</f>
        <v>-0</v>
      </c>
      <c r="Z129" s="35" t="n">
        <f aca="false">-In_CIT*(MAX(0,Z124)+Z127)</f>
        <v>-0</v>
      </c>
      <c r="AA129" s="35" t="n">
        <f aca="false">-In_CIT*(MAX(0,AA124)+AA127)</f>
        <v>-0</v>
      </c>
      <c r="AB129" s="35" t="n">
        <f aca="false">-In_CIT*(MAX(0,AB124)+AB127)</f>
        <v>-0</v>
      </c>
      <c r="AC129" s="35" t="n">
        <f aca="false">-In_CIT*(MAX(0,AC124)+AC127)</f>
        <v>-0</v>
      </c>
      <c r="AD129" s="35" t="n">
        <f aca="false">-In_CIT*(MAX(0,AD124)+AD127)</f>
        <v>-0</v>
      </c>
      <c r="AE129" s="35" t="n">
        <f aca="false">-In_CIT*(MAX(0,AE124)+AE127)</f>
        <v>-0</v>
      </c>
      <c r="AF129" s="35" t="n">
        <f aca="false">-In_CIT*(MAX(0,AF124)+AF127)</f>
        <v>-0</v>
      </c>
      <c r="AG129" s="35" t="n">
        <f aca="false">-In_CIT*(MAX(0,AG124)+AG127)</f>
        <v>-0</v>
      </c>
      <c r="AH129" s="35" t="n">
        <f aca="false">-In_CIT*(MAX(0,AH124)+AH127)</f>
        <v>-0</v>
      </c>
      <c r="AI129" s="35" t="n">
        <f aca="false">-In_CIT*(MAX(0,AI124)+AI127)</f>
        <v>-0</v>
      </c>
      <c r="AJ129" s="35" t="n">
        <f aca="false">-In_CIT*(MAX(0,AJ124)+AJ127)</f>
        <v>-0</v>
      </c>
      <c r="AK129" s="35" t="n">
        <f aca="false">-In_CIT*(MAX(0,AK124)+AK127)</f>
        <v>-11.6172566672914</v>
      </c>
      <c r="AL129" s="35" t="n">
        <f aca="false">-In_CIT*(MAX(0,AL124)+AL127)</f>
        <v>-95.4889448417256</v>
      </c>
      <c r="AM129" s="35" t="n">
        <f aca="false">-In_CIT*(MAX(0,AM124)+AM127)</f>
        <v>-96.5256785525198</v>
      </c>
      <c r="AN129" s="35" t="n">
        <f aca="false">-In_CIT*(MAX(0,AN124)+AN127)</f>
        <v>-97.2138487907318</v>
      </c>
      <c r="AO129" s="35" t="n">
        <f aca="false">-In_CIT*(MAX(0,AO124)+AO127)</f>
        <v>-101.734632832676</v>
      </c>
      <c r="AP129" s="35" t="n">
        <f aca="false">-In_CIT*(MAX(0,AP124)+AP127)</f>
        <v>-106.285756177341</v>
      </c>
      <c r="AQ129" s="35" t="n">
        <f aca="false">-In_CIT*(MAX(0,AQ124)+AQ127)</f>
        <v>-107.434691304723</v>
      </c>
      <c r="AR129" s="35" t="n">
        <f aca="false">-In_CIT*(MAX(0,AR124)+AR127)</f>
        <v>-108.196914767106</v>
      </c>
      <c r="AS129" s="35" t="n">
        <f aca="false">-In_CIT*(MAX(0,AS124)+AS127)</f>
        <v>-112.853471950999</v>
      </c>
      <c r="AT129" s="35" t="n">
        <f aca="false">-In_CIT*(MAX(0,AT124)+AT127)</f>
        <v>-117.541914083612</v>
      </c>
      <c r="AU129" s="35" t="n">
        <f aca="false">-In_CIT*(MAX(0,AU124)+AU127)</f>
        <v>-118.809167913345</v>
      </c>
      <c r="AV129" s="35" t="n">
        <f aca="false">-In_CIT*(MAX(0,AV124)+AV127)</f>
        <v>-121.768753263312</v>
      </c>
      <c r="AW129" s="35" t="n">
        <f aca="false">-In_CIT*(MAX(0,AW124)+AW127)</f>
        <v>-124.449500317221</v>
      </c>
      <c r="AX129" s="35" t="n">
        <f aca="false">-In_CIT*(MAX(0,AX124)+AX127)</f>
        <v>-129.281276069291</v>
      </c>
      <c r="AY129" s="35" t="n">
        <f aca="false">-In_CIT*(MAX(0,AY124)+AY127)</f>
        <v>-130.673279392617</v>
      </c>
      <c r="AZ129" s="35" t="n">
        <f aca="false">-In_CIT*(MAX(0,AZ124)+AZ127)</f>
        <v>-131.60128851837</v>
      </c>
      <c r="BA129" s="35" t="n">
        <f aca="false">-In_CIT*(MAX(0,BA124)+BA127)</f>
        <v>-136.54750793486</v>
      </c>
      <c r="BB129" s="35" t="n">
        <f aca="false">-In_CIT*(MAX(0,BB124)+BB127)</f>
        <v>-141.528943834047</v>
      </c>
      <c r="BC129" s="35" t="n">
        <f aca="false">-In_CIT*(MAX(0,BC124)+BC127)</f>
        <v>-143.052456913697</v>
      </c>
      <c r="BD129" s="35" t="n">
        <f aca="false">-In_CIT*(MAX(0,BD124)+BD127)</f>
        <v>-144.072837133155</v>
      </c>
      <c r="BE129" s="35" t="n">
        <f aca="false">-In_CIT*(MAX(0,BE124)+BE127)</f>
        <v>-149.17357700604</v>
      </c>
      <c r="BF129" s="35" t="n">
        <f aca="false">-In_CIT*(MAX(0,BF124)+BF127)</f>
        <v>-154.311327477197</v>
      </c>
      <c r="BG129" s="35" t="n">
        <f aca="false">-In_CIT*(MAX(0,BG124)+BG127)</f>
        <v>-155.973456826339</v>
      </c>
      <c r="BH129" s="35" t="n">
        <f aca="false">-In_CIT*(MAX(0,BH124)+BH127)</f>
        <v>-157.092980312585</v>
      </c>
      <c r="BI129" s="35" t="n">
        <f aca="false">-In_CIT*(MAX(0,BI124)+BI127)</f>
        <v>-162.355148597671</v>
      </c>
      <c r="BJ129" s="35" t="n">
        <f aca="false">-In_CIT*(MAX(0,BJ124)+BJ127)</f>
        <v>-167.656212998429</v>
      </c>
      <c r="BK129" s="35" t="n">
        <f aca="false">-In_CIT*(MAX(0,BK124)+BK127)</f>
        <v>-169.464429013963</v>
      </c>
      <c r="BL129" s="35" t="n">
        <f aca="false">-In_CIT*(MAX(0,BL124)+BL127)</f>
        <v>-172.850877414035</v>
      </c>
      <c r="BM129" s="35" t="n">
        <f aca="false">-In_CIT*(MAX(0,BM124)+BM127)</f>
        <v>-176.121092725134</v>
      </c>
      <c r="BN129" s="35" t="n">
        <f aca="false">-In_CIT*(MAX(0,BN124)+BN127)</f>
        <v>-181.592833258768</v>
      </c>
      <c r="BO129" s="35" t="n">
        <f aca="false">-In_CIT*(MAX(0,BO124)+BO127)</f>
        <v>-183.554988752478</v>
      </c>
      <c r="BP129" s="35" t="n">
        <f aca="false">-In_CIT*(MAX(0,BP124)+BP127)</f>
        <v>-184.894581696676</v>
      </c>
      <c r="BQ129" s="35" t="n">
        <f aca="false">-In_CIT*(MAX(0,BQ124)+BQ127)</f>
        <v>-190.501782028053</v>
      </c>
      <c r="BR129" s="35" t="n">
        <f aca="false">-In_CIT*(MAX(0,BR124)+BR127)</f>
        <v>-196.151942578579</v>
      </c>
      <c r="BS129" s="35" t="n">
        <f aca="false">-In_CIT*(MAX(0,BS124)+BS127)</f>
        <v>-198.276292251869</v>
      </c>
      <c r="BT129" s="35" t="n">
        <f aca="false">-In_CIT*(MAX(0,BT124)+BT127)</f>
        <v>-196.170276216906</v>
      </c>
      <c r="BU129" s="35" t="n">
        <f aca="false">-In_CIT*(MAX(0,BU124)+BU127)</f>
        <v>-198.349945952649</v>
      </c>
      <c r="BV129" s="35" t="n">
        <f aca="false">-In_CIT*(MAX(0,BV124)+BV127)</f>
        <v>-200.529615688392</v>
      </c>
      <c r="BW129" s="35" t="n">
        <f aca="false">-In_CIT*(MAX(0,BW124)+BW127)</f>
        <v>-199.122067195189</v>
      </c>
      <c r="BX129" s="35" t="n">
        <f aca="false">-In_CIT*(MAX(0,BX124)+BX127)</f>
        <v>-196.964355586438</v>
      </c>
      <c r="BY129" s="35" t="n">
        <f aca="false">-In_CIT*(MAX(0,BY124)+BY127)</f>
        <v>-199.152848426287</v>
      </c>
      <c r="BZ129" s="35" t="n">
        <f aca="false">-In_CIT*(MAX(0,BZ124)+BZ127)</f>
        <v>-201.341341266136</v>
      </c>
      <c r="CA129" s="35" t="n">
        <f aca="false">-In_CIT*(MAX(0,CA124)+CA127)</f>
        <v>-199.92514609708</v>
      </c>
      <c r="CB129" s="35" t="n">
        <f aca="false">-In_CIT*(MAX(0,CB124)+CB127)</f>
        <v>-199.912094403772</v>
      </c>
      <c r="CC129" s="35" t="n">
        <f aca="false">-In_CIT*(MAX(0,CC124)+CC127)</f>
        <v>-199.912094403772</v>
      </c>
      <c r="CD129" s="35" t="n">
        <f aca="false">-In_CIT*(MAX(0,CD124)+CD127)</f>
        <v>-202.108930606011</v>
      </c>
      <c r="CE129" s="35" t="n">
        <f aca="false">-In_CIT*(MAX(0,CE124)+CE127)</f>
        <v>-200.684065882337</v>
      </c>
      <c r="CF129" s="35" t="n">
        <f aca="false">-In_CIT*(MAX(0,CF124)+CF127)</f>
        <v>-198.421514434404</v>
      </c>
      <c r="CG129" s="35" t="n">
        <f aca="false">-In_CIT*(MAX(0,CG124)+CG127)</f>
        <v>-200.62619792812</v>
      </c>
      <c r="CH129" s="35" t="n">
        <f aca="false">-In_CIT*(MAX(0,CH124)+CH127)</f>
        <v>-202.830881421835</v>
      </c>
      <c r="CI129" s="35" t="n">
        <f aca="false">-In_CIT*(MAX(0,CI124)+CI127)</f>
        <v>-201.397324889451</v>
      </c>
      <c r="CJ129" s="35" t="n">
        <f aca="false">-In_CIT*(MAX(0,CJ124)+CJ127)</f>
        <v>-199.081615948249</v>
      </c>
      <c r="CK129" s="35" t="n">
        <f aca="false">-In_CIT*(MAX(0,CK124)+CK127)</f>
        <v>-201.293633903229</v>
      </c>
      <c r="CL129" s="35" t="n">
        <f aca="false">-In_CIT*(MAX(0,CL124)+CL127)</f>
        <v>-203.50565185821</v>
      </c>
      <c r="CM129" s="35" t="n">
        <f aca="false">-In_CIT*(MAX(0,CM124)+CM127)</f>
        <v>-202.063381909346</v>
      </c>
      <c r="CN129" s="35" t="n">
        <f aca="false">-In_CIT*(MAX(0,CN124)+CN127)</f>
        <v>-199.694014733252</v>
      </c>
      <c r="CO129" s="35" t="n">
        <f aca="false">-In_CIT*(MAX(0,CO124)+CO127)</f>
        <v>-201.912837119177</v>
      </c>
      <c r="CP129" s="35" t="n">
        <f aca="false">-In_CIT*(MAX(0,CP124)+CP127)</f>
        <v>-204.131659505102</v>
      </c>
      <c r="CQ129" s="35" t="n">
        <f aca="false">-In_CIT*(MAX(0,CQ124)+CQ127)</f>
        <v>-202.680655200499</v>
      </c>
      <c r="CR129" s="35" t="n">
        <f aca="false">-In_CIT*(MAX(0,CR124)+CR127)</f>
        <v>-202.482201253553</v>
      </c>
      <c r="CS129" s="35" t="n">
        <f aca="false">-In_CIT*(MAX(0,CS124)+CS127)</f>
        <v>-202.482201253553</v>
      </c>
      <c r="CT129" s="35" t="n">
        <f aca="false">-In_CIT*(MAX(0,CT124)+CT127)</f>
        <v>-204.707280388207</v>
      </c>
      <c r="CU129" s="35" t="n">
        <f aca="false">-In_CIT*(MAX(0,CU124)+CU127)</f>
        <v>-203.247521479836</v>
      </c>
      <c r="CV129" s="35" t="n">
        <f aca="false">-In_CIT*(MAX(0,CV124)+CV127)</f>
        <v>-200.769307762012</v>
      </c>
      <c r="CW129" s="35" t="n">
        <f aca="false">-In_CIT*(MAX(0,CW124)+CW127)</f>
        <v>-203.000077848256</v>
      </c>
      <c r="CX129" s="35" t="n">
        <f aca="false">-In_CIT*(MAX(0,CX124)+CX127)</f>
        <v>-205.230847934501</v>
      </c>
      <c r="CY129" s="35" t="n">
        <f aca="false">-In_CIT*(MAX(0,CY124)+CY127)</f>
        <v>-203.762314888844</v>
      </c>
      <c r="CZ129" s="35" t="n">
        <f aca="false">-In_CIT*(MAX(0,CZ124)+CZ127)</f>
        <v>-201.228898609916</v>
      </c>
      <c r="DA129" s="35" t="n">
        <f aca="false">-In_CIT*(MAX(0,DA124)+DA127)</f>
        <v>-203.464775261138</v>
      </c>
      <c r="DB129" s="35" t="n">
        <f aca="false">-In_CIT*(MAX(0,DB124)+DB127)</f>
        <v>-205.700651912359</v>
      </c>
      <c r="DC129" s="35" t="n">
        <f aca="false">-In_CIT*(MAX(0,DC124)+DC127)</f>
        <v>-204.223325934256</v>
      </c>
      <c r="DD129" s="35" t="n">
        <f aca="false">-In_CIT*(MAX(0,DD124)+DD127)</f>
        <v>-201.634177838124</v>
      </c>
      <c r="DE129" s="35" t="n">
        <f aca="false">-In_CIT*(MAX(0,DE124)+DE127)</f>
        <v>-203.874557591881</v>
      </c>
      <c r="DF129" s="35" t="n">
        <f aca="false">-In_CIT*(MAX(0,DF124)+DF127)</f>
        <v>-206.114937345638</v>
      </c>
      <c r="DG129" s="35" t="n">
        <f aca="false">-In_CIT*(MAX(0,DG124)+DG127)</f>
        <v>-390.462027514203</v>
      </c>
      <c r="DH129" s="35" t="n">
        <f aca="false">-In_CIT*(MAX(0,DH124)+DH127)</f>
        <v>-388.040944311337</v>
      </c>
      <c r="DI129" s="35" t="n">
        <f aca="false">-In_CIT*(MAX(0,DI124)+DI127)</f>
        <v>-388.040944311337</v>
      </c>
      <c r="DJ129" s="35" t="n">
        <f aca="false">-In_CIT*(MAX(0,DJ124)+DJ127)</f>
        <v>-392.30513051256</v>
      </c>
      <c r="DK129" s="35" t="n">
        <f aca="false">-In_CIT*(MAX(0,DK124)+DK127)</f>
        <v>-390.810165360226</v>
      </c>
      <c r="DL129" s="35" t="n">
        <f aca="false">-In_CIT*(MAX(0,DL124)+DL127)</f>
        <v>-384.068083069357</v>
      </c>
      <c r="DM129" s="35" t="n">
        <f aca="false">-In_CIT*(MAX(0,DM124)+DM127)</f>
        <v>-388.335506214572</v>
      </c>
      <c r="DN129" s="35" t="n">
        <f aca="false">-In_CIT*(MAX(0,DN124)+DN127)</f>
        <v>-392.602929359787</v>
      </c>
      <c r="DO129" s="35" t="n">
        <f aca="false">-In_CIT*(MAX(0,DO124)+DO127)</f>
        <v>-391.099119566891</v>
      </c>
      <c r="DP129" s="35" t="n">
        <f aca="false">-In_CIT*(MAX(0,DP124)+DP127)</f>
        <v>-384.29967228596</v>
      </c>
      <c r="DQ129" s="35" t="n">
        <f aca="false">-In_CIT*(MAX(0,DQ124)+DQ127)</f>
        <v>-388.569668644693</v>
      </c>
      <c r="DR129" s="35" t="n">
        <f aca="false">-In_CIT*(MAX(0,DR124)+DR127)</f>
        <v>-392.839665003426</v>
      </c>
      <c r="DS129" s="35" t="n">
        <f aca="false">-In_CIT*(MAX(0,DS124)+DS127)</f>
        <v>-391.326994978479</v>
      </c>
      <c r="DT129" s="35" t="n">
        <f aca="false">-In_CIT*(MAX(0,DT124)+DT127)</f>
        <v>-384.469622693208</v>
      </c>
      <c r="DU129" s="35" t="n">
        <f aca="false">-In_CIT*(MAX(0,DU124)+DU127)</f>
        <v>-388.741507389799</v>
      </c>
      <c r="DV129" s="35" t="n">
        <f aca="false">-In_CIT*(MAX(0,DV124)+DV127)</f>
        <v>-393.013392086391</v>
      </c>
      <c r="DW129" s="35" t="n">
        <f aca="false">-In_CIT*(MAX(0,DW124)+DW127)</f>
        <v>-391.491847104446</v>
      </c>
      <c r="DX129" s="35" t="n">
        <f aca="false">-In_CIT*(MAX(0,DX124)+DX127)</f>
        <v>-388.849048200098</v>
      </c>
      <c r="DY129" s="35" t="n">
        <f aca="false">-In_CIT*(MAX(0,DY124)+DY127)</f>
        <v>-388.849048200098</v>
      </c>
      <c r="DZ129" s="35" t="n">
        <f aca="false">-In_CIT*(MAX(0,DZ124)+DZ127)</f>
        <v>-393.122114663836</v>
      </c>
      <c r="EA129" s="35" t="n">
        <f aca="false">-In_CIT*(MAX(0,EA124)+EA127)</f>
        <v>-391.591680894017</v>
      </c>
      <c r="EB129" s="35" t="n">
        <f aca="false">-In_CIT*(MAX(0,EB124)+EB127)</f>
        <v>-384.616746143775</v>
      </c>
      <c r="EC129" s="35" t="n">
        <f aca="false">-In_CIT*(MAX(0,EC124)+EC127)</f>
        <v>-388.890265545373</v>
      </c>
      <c r="ED129" s="35" t="n">
        <f aca="false">-In_CIT*(MAX(0,ED124)+ED127)</f>
        <v>-393.16378494697</v>
      </c>
      <c r="EE129" s="35" t="n">
        <f aca="false">-In_CIT*(MAX(0,EE124)+EE127)</f>
        <v>-391.624449480656</v>
      </c>
      <c r="EF129" s="35" t="n">
        <f aca="false">-In_CIT*(MAX(0,EF124)+EF127)</f>
        <v>-384.589860667834</v>
      </c>
      <c r="EG129" s="35" t="n">
        <f aca="false">-In_CIT*(MAX(0,EG124)+EG127)</f>
        <v>-388.86308134192</v>
      </c>
      <c r="EH129" s="35" t="n">
        <f aca="false">-In_CIT*(MAX(0,EH124)+EH127)</f>
        <v>-393.136302016008</v>
      </c>
      <c r="EI129" s="35" t="n">
        <f aca="false">-In_CIT*(MAX(0,EI124)+EI127)</f>
        <v>-391.5880528957</v>
      </c>
      <c r="EJ129" s="35" t="n">
        <f aca="false">-In_CIT*(MAX(0,EJ124)+EJ127)</f>
        <v>-384.493216794942</v>
      </c>
      <c r="EK129" s="35" t="n">
        <f aca="false">-In_CIT*(MAX(0,EK124)+EK127)</f>
        <v>-388.765363648219</v>
      </c>
      <c r="EL129" s="35" t="n">
        <f aca="false">-In_CIT*(MAX(0,EL124)+EL127)</f>
        <v>-393.037510501496</v>
      </c>
      <c r="EM129" s="35" t="n">
        <f aca="false">-In_CIT*(MAX(0,EM124)+EM127)</f>
        <v>-391.480336750375</v>
      </c>
      <c r="EN129" s="35" t="n">
        <f aca="false">-In_CIT*(MAX(0,EN124)+EN127)</f>
        <v>-388.594925328545</v>
      </c>
      <c r="EO129" s="35" t="n">
        <f aca="false">-In_CIT*(MAX(0,EO124)+EO127)</f>
        <v>-388.594925328545</v>
      </c>
      <c r="EP129" s="35" t="n">
        <f aca="false">-In_CIT*(MAX(0,EP124)+EP127)</f>
        <v>-392.865199233254</v>
      </c>
      <c r="EQ129" s="35" t="n">
        <f aca="false">-In_CIT*(MAX(0,EQ124)+EQ127)</f>
        <v>-391.299090885448</v>
      </c>
      <c r="ER129" s="35" t="n">
        <f aca="false">-In_CIT*(MAX(0,ER124)+ER127)</f>
        <v>-384.081945511414</v>
      </c>
      <c r="ES129" s="35" t="n">
        <f aca="false">-In_CIT*(MAX(0,ES124)+ES127)</f>
        <v>-388.349522683763</v>
      </c>
      <c r="ET129" s="35" t="n">
        <f aca="false">-In_CIT*(MAX(0,ET124)+ET127)</f>
        <v>-392.617099856112</v>
      </c>
    </row>
    <row r="131" customFormat="false" ht="15" hidden="false" customHeight="false" outlineLevel="0" collapsed="false">
      <c r="A131" s="9" t="s">
        <v>13</v>
      </c>
      <c r="B131" s="9"/>
      <c r="C131" s="9" t="s">
        <v>487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</row>
    <row r="132" customFormat="false" ht="15" hidden="false" customHeight="false" outlineLevel="0" collapsed="false">
      <c r="C132" s="30" t="s">
        <v>45</v>
      </c>
      <c r="D132" s="11" t="s">
        <v>253</v>
      </c>
      <c r="E132" s="35" t="n">
        <f aca="false">In_RtB_Premium*In_MVA</f>
        <v>15000</v>
      </c>
    </row>
    <row r="133" customFormat="false" ht="15" hidden="false" customHeight="false" outlineLevel="0" collapsed="false">
      <c r="A133" s="55"/>
      <c r="B133" s="55"/>
      <c r="C133" s="55" t="s">
        <v>579</v>
      </c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55"/>
      <c r="BK133" s="55"/>
      <c r="BL133" s="55"/>
      <c r="BM133" s="55"/>
      <c r="BN133" s="55"/>
      <c r="BO133" s="55"/>
      <c r="BP133" s="55"/>
      <c r="BQ133" s="55"/>
      <c r="BR133" s="55"/>
      <c r="BS133" s="55"/>
      <c r="BT133" s="55"/>
      <c r="BU133" s="55"/>
      <c r="BV133" s="55"/>
      <c r="BW133" s="55"/>
      <c r="BX133" s="5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55"/>
      <c r="CO133" s="55"/>
      <c r="CP133" s="55"/>
      <c r="CQ133" s="55"/>
      <c r="CR133" s="55"/>
      <c r="CS133" s="55"/>
      <c r="CT133" s="55"/>
      <c r="CU133" s="55"/>
      <c r="CV133" s="55"/>
      <c r="CW133" s="55"/>
      <c r="CX133" s="55"/>
      <c r="CY133" s="55"/>
      <c r="CZ133" s="55"/>
      <c r="DA133" s="55"/>
      <c r="DB133" s="55"/>
      <c r="DC133" s="55"/>
      <c r="DD133" s="55"/>
      <c r="DE133" s="55"/>
      <c r="DF133" s="55"/>
      <c r="DG133" s="55"/>
      <c r="DH133" s="55"/>
      <c r="DI133" s="55"/>
      <c r="DJ133" s="55"/>
      <c r="DK133" s="55"/>
      <c r="DL133" s="55"/>
      <c r="DM133" s="55"/>
      <c r="DN133" s="55"/>
      <c r="DO133" s="55"/>
      <c r="DP133" s="55"/>
      <c r="DQ133" s="55"/>
      <c r="DR133" s="55"/>
      <c r="DS133" s="55"/>
      <c r="DT133" s="55"/>
      <c r="DU133" s="55"/>
      <c r="DV133" s="55"/>
      <c r="DW133" s="55"/>
      <c r="DX133" s="55"/>
      <c r="DY133" s="55"/>
      <c r="DZ133" s="55"/>
      <c r="EA133" s="55"/>
      <c r="EB133" s="55"/>
      <c r="EC133" s="55"/>
      <c r="ED133" s="55"/>
      <c r="EE133" s="55"/>
      <c r="EF133" s="55"/>
      <c r="EG133" s="55"/>
      <c r="EH133" s="55"/>
      <c r="EI133" s="55"/>
      <c r="EJ133" s="55"/>
      <c r="EK133" s="55"/>
      <c r="EL133" s="55"/>
      <c r="EM133" s="55"/>
      <c r="EN133" s="55"/>
      <c r="EO133" s="55"/>
      <c r="EP133" s="55"/>
      <c r="EQ133" s="55"/>
      <c r="ER133" s="55"/>
      <c r="ES133" s="55"/>
      <c r="ET133" s="55"/>
    </row>
    <row r="134" customFormat="false" ht="15" hidden="false" customHeight="false" outlineLevel="0" collapsed="false">
      <c r="C134" s="0" t="s">
        <v>580</v>
      </c>
      <c r="D134" s="11" t="s">
        <v>253</v>
      </c>
      <c r="E134" s="33" t="n">
        <f aca="false">$E65+$E55</f>
        <v>21842.7086410959</v>
      </c>
      <c r="F134" s="33" t="n">
        <f aca="false">MAX(0,$E132+$E134)</f>
        <v>36842.7086410959</v>
      </c>
    </row>
    <row r="135" customFormat="false" ht="15" hidden="false" customHeight="false" outlineLevel="0" collapsed="false">
      <c r="C135" s="0" t="s">
        <v>581</v>
      </c>
      <c r="D135" s="11" t="s">
        <v>253</v>
      </c>
      <c r="E135" s="22" t="n">
        <f aca="false">In_Sale_Costs</f>
        <v>500</v>
      </c>
      <c r="F135" s="33" t="n">
        <f aca="false">MIN($E135,$F134)</f>
        <v>500</v>
      </c>
    </row>
    <row r="136" customFormat="false" ht="15" hidden="false" customHeight="false" outlineLevel="0" collapsed="false">
      <c r="C136" s="0" t="s">
        <v>582</v>
      </c>
      <c r="D136" s="11" t="s">
        <v>253</v>
      </c>
      <c r="E136" s="33" t="n">
        <f aca="false">$E65</f>
        <v>21412.2641205479</v>
      </c>
      <c r="F136" s="33" t="n">
        <f aca="false">MIN($E136,$F134-SUM($F135:$F135))</f>
        <v>21412.2641205479</v>
      </c>
    </row>
    <row r="137" customFormat="false" ht="15" hidden="false" customHeight="false" outlineLevel="0" collapsed="false">
      <c r="C137" s="0" t="s">
        <v>583</v>
      </c>
      <c r="D137" s="11" t="s">
        <v>253</v>
      </c>
      <c r="E137" s="33" t="n">
        <f aca="false">$E68</f>
        <v>1564.53664418093</v>
      </c>
      <c r="F137" s="33" t="n">
        <f aca="false">MIN($E137,$F134-SUM($F135:$F136))</f>
        <v>1564.53664418093</v>
      </c>
    </row>
    <row r="138" customFormat="false" ht="15" hidden="false" customHeight="false" outlineLevel="0" collapsed="false">
      <c r="C138" s="0" t="s">
        <v>584</v>
      </c>
      <c r="D138" s="11" t="s">
        <v>253</v>
      </c>
      <c r="E138" s="33" t="n">
        <f aca="false">$E55</f>
        <v>430.444520547945</v>
      </c>
      <c r="F138" s="33" t="n">
        <f aca="false">MIN($E138,$F134-SUM($F135:$F137))</f>
        <v>430.444520547945</v>
      </c>
    </row>
    <row r="139" customFormat="false" ht="15" hidden="false" customHeight="false" outlineLevel="0" collapsed="false">
      <c r="C139" s="0" t="s">
        <v>585</v>
      </c>
      <c r="D139" s="11" t="s">
        <v>253</v>
      </c>
      <c r="E139" s="33" t="n">
        <f aca="false">$E79</f>
        <v>3119.62451197093</v>
      </c>
      <c r="F139" s="33" t="n">
        <f aca="false">MIN($E139,$F134-SUM($F135:$F138))</f>
        <v>3119.62451197093</v>
      </c>
    </row>
    <row r="140" customFormat="false" ht="15" hidden="false" customHeight="false" outlineLevel="0" collapsed="false">
      <c r="C140" s="0" t="s">
        <v>586</v>
      </c>
      <c r="D140" s="11" t="s">
        <v>253</v>
      </c>
      <c r="E140" s="33" t="n">
        <f aca="false">$E73</f>
        <v>1120.48016110676</v>
      </c>
      <c r="F140" s="33" t="n">
        <f aca="false">MIN($E140,$F134-SUM($F135:$F139))</f>
        <v>1120.48016110676</v>
      </c>
    </row>
    <row r="141" customFormat="false" ht="15" hidden="false" customHeight="false" outlineLevel="0" collapsed="false">
      <c r="C141" s="0" t="s">
        <v>587</v>
      </c>
      <c r="D141" s="11" t="s">
        <v>253</v>
      </c>
      <c r="E141" s="33" t="n">
        <f aca="false">MIN(In_DSA_Cap,In_DSA_Rate*YEARFRAC(In_Signing_Date,$E12,0))*$E24</f>
        <v>1200.65972222222</v>
      </c>
      <c r="F141" s="33" t="n">
        <f aca="false">MIN($E141,$F134-SUM($F135:$F140))</f>
        <v>1200.65972222222</v>
      </c>
    </row>
    <row r="142" customFormat="false" ht="15" hidden="false" customHeight="false" outlineLevel="0" collapsed="false">
      <c r="C142" s="30" t="s">
        <v>162</v>
      </c>
      <c r="D142" s="11" t="s">
        <v>253</v>
      </c>
      <c r="F142" s="35" t="n">
        <f aca="false">MAX(0,$F134-SUM($E135:$E141))</f>
        <v>7494.69896051916</v>
      </c>
    </row>
    <row r="143" customFormat="false" ht="15" hidden="false" customHeight="false" outlineLevel="0" collapsed="false">
      <c r="C143" s="30" t="s">
        <v>588</v>
      </c>
      <c r="D143" s="11" t="s">
        <v>253</v>
      </c>
      <c r="F143" s="35" t="n">
        <f aca="false">SUM($F136:$F140)+In_FEP_Share*$F142</f>
        <v>32893.6392307179</v>
      </c>
    </row>
    <row r="144" customFormat="false" ht="15" hidden="false" customHeight="false" outlineLevel="0" collapsed="false">
      <c r="C144" s="0" t="s">
        <v>589</v>
      </c>
      <c r="D144" s="11" t="s">
        <v>253</v>
      </c>
      <c r="F144" s="33" t="n">
        <f aca="false">$F141+(1-In_FEP_Share)*$F142</f>
        <v>3449.06941037797</v>
      </c>
    </row>
    <row r="145" customFormat="false" ht="15" hidden="false" customHeight="false" outlineLevel="0" collapsed="false">
      <c r="A145" s="55"/>
      <c r="B145" s="55"/>
      <c r="C145" s="55" t="s">
        <v>590</v>
      </c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55"/>
      <c r="BK145" s="55"/>
      <c r="BL145" s="55"/>
      <c r="BM145" s="55"/>
      <c r="BN145" s="55"/>
      <c r="BO145" s="55"/>
      <c r="BP145" s="55"/>
      <c r="BQ145" s="55"/>
      <c r="BR145" s="55"/>
      <c r="BS145" s="55"/>
      <c r="BT145" s="55"/>
      <c r="BU145" s="55"/>
      <c r="BV145" s="55"/>
      <c r="BW145" s="55"/>
      <c r="BX145" s="5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55"/>
      <c r="CO145" s="55"/>
      <c r="CP145" s="55"/>
      <c r="CQ145" s="55"/>
      <c r="CR145" s="55"/>
      <c r="CS145" s="55"/>
      <c r="CT145" s="55"/>
      <c r="CU145" s="55"/>
      <c r="CV145" s="55"/>
      <c r="CW145" s="55"/>
      <c r="CX145" s="55"/>
      <c r="CY145" s="55"/>
      <c r="CZ145" s="55"/>
      <c r="DA145" s="55"/>
      <c r="DB145" s="55"/>
      <c r="DC145" s="55"/>
      <c r="DD145" s="55"/>
      <c r="DE145" s="55"/>
      <c r="DF145" s="55"/>
      <c r="DG145" s="55"/>
      <c r="DH145" s="55"/>
      <c r="DI145" s="55"/>
      <c r="DJ145" s="55"/>
      <c r="DK145" s="55"/>
      <c r="DL145" s="55"/>
      <c r="DM145" s="55"/>
      <c r="DN145" s="55"/>
      <c r="DO145" s="55"/>
      <c r="DP145" s="55"/>
      <c r="DQ145" s="55"/>
      <c r="DR145" s="55"/>
      <c r="DS145" s="55"/>
      <c r="DT145" s="55"/>
      <c r="DU145" s="55"/>
      <c r="DV145" s="55"/>
      <c r="DW145" s="55"/>
      <c r="DX145" s="55"/>
      <c r="DY145" s="55"/>
      <c r="DZ145" s="55"/>
      <c r="EA145" s="55"/>
      <c r="EB145" s="55"/>
      <c r="EC145" s="55"/>
      <c r="ED145" s="55"/>
      <c r="EE145" s="55"/>
      <c r="EF145" s="55"/>
      <c r="EG145" s="55"/>
      <c r="EH145" s="55"/>
      <c r="EI145" s="55"/>
      <c r="EJ145" s="55"/>
      <c r="EK145" s="55"/>
      <c r="EL145" s="55"/>
      <c r="EM145" s="55"/>
      <c r="EN145" s="55"/>
      <c r="EO145" s="55"/>
      <c r="EP145" s="55"/>
      <c r="EQ145" s="55"/>
      <c r="ER145" s="55"/>
      <c r="ES145" s="55"/>
      <c r="ET145" s="55"/>
    </row>
    <row r="146" customFormat="false" ht="15" hidden="false" customHeight="false" outlineLevel="0" collapsed="false">
      <c r="C146" s="0" t="s">
        <v>591</v>
      </c>
      <c r="D146" s="11" t="s">
        <v>253</v>
      </c>
      <c r="E146" s="33" t="n">
        <f aca="false">$F136+$F138</f>
        <v>21842.7086410959</v>
      </c>
      <c r="F146" s="33" t="n">
        <f aca="false">In_FEP_Share*$F142</f>
        <v>5246.28927236341</v>
      </c>
    </row>
    <row r="147" customFormat="false" ht="15" hidden="false" customHeight="false" outlineLevel="0" collapsed="false">
      <c r="C147" s="0" t="s">
        <v>592</v>
      </c>
      <c r="D147" s="11" t="s">
        <v>253</v>
      </c>
      <c r="E147" s="33" t="n">
        <f aca="false">$E55-$E57-$E47</f>
        <v>-2697.39916950517</v>
      </c>
    </row>
    <row r="148" customFormat="false" ht="15" hidden="false" customHeight="false" outlineLevel="0" collapsed="false">
      <c r="C148" s="30" t="s">
        <v>593</v>
      </c>
      <c r="D148" s="11" t="s">
        <v>253</v>
      </c>
      <c r="E148" s="35" t="n">
        <f aca="false">$F137+$F139+$F140</f>
        <v>5804.64131725861</v>
      </c>
      <c r="F148" s="35" t="n">
        <f aca="false">$E148+$F146+$E147</f>
        <v>8353.53142011685</v>
      </c>
    </row>
    <row r="149" customFormat="false" ht="15" hidden="false" customHeight="false" outlineLevel="0" collapsed="false">
      <c r="C149" s="0" t="s">
        <v>594</v>
      </c>
      <c r="D149" s="11" t="s">
        <v>253</v>
      </c>
      <c r="E149" s="33" t="n">
        <f aca="false">(1-In_FEP_Share)*$F142</f>
        <v>2248.40968815575</v>
      </c>
    </row>
    <row r="150" customFormat="false" ht="15" hidden="false" customHeight="false" outlineLevel="0" collapsed="false">
      <c r="C150" s="0" t="s">
        <v>595</v>
      </c>
      <c r="D150" s="11" t="s">
        <v>27</v>
      </c>
      <c r="E150" s="32" t="n">
        <f aca="false">$F148/$E24</f>
        <v>55.3214001332242</v>
      </c>
      <c r="F150" s="32" t="n">
        <f aca="false">$F144/$E24</f>
        <v>22.8415192740263</v>
      </c>
    </row>
    <row r="151" customFormat="false" ht="15" hidden="false" customHeight="false" outlineLevel="0" collapsed="false">
      <c r="A151" s="55"/>
      <c r="B151" s="55"/>
      <c r="C151" s="55" t="s">
        <v>596</v>
      </c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55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</row>
    <row r="152" customFormat="false" ht="15" hidden="false" customHeight="false" outlineLevel="0" collapsed="false">
      <c r="C152" s="0" t="s">
        <v>597</v>
      </c>
      <c r="D152" s="11" t="s">
        <v>253</v>
      </c>
      <c r="E152" s="33" t="n">
        <f aca="false">-In_CIT*MAX(0,$I152-In_FEP_Share*$F142)</f>
        <v>-128.61785929143</v>
      </c>
      <c r="I152" s="33" t="n">
        <f aca="false">SUM(J152:ET152)</f>
        <v>6675.37659782375</v>
      </c>
      <c r="J152" s="33" t="n">
        <f aca="false">(J60+J53)*(J$4&lt;=$E12)+$F143*J12</f>
        <v>-400</v>
      </c>
      <c r="K152" s="33" t="n">
        <f aca="false">(K60+K53)*(K$4&lt;=$E12)+$F143*K12</f>
        <v>-1437.78053818728</v>
      </c>
      <c r="L152" s="33" t="n">
        <f aca="false">(L60+L53)*(L$4&lt;=$E12)+$F143*L12</f>
        <v>-691.910911990993</v>
      </c>
      <c r="M152" s="33" t="n">
        <f aca="false">(M60+M53)*(M$4&lt;=$E12)+$F143*M12</f>
        <v>-148.451634452993</v>
      </c>
      <c r="N152" s="33" t="n">
        <f aca="false">(N60+N53)*(N$4&lt;=$E12)+$F143*N12</f>
        <v>-149.601261024582</v>
      </c>
      <c r="O152" s="33" t="n">
        <f aca="false">(O60+O53)*(O$4&lt;=$E12)+$F143*O12</f>
        <v>-290.127288421843</v>
      </c>
      <c r="P152" s="33" t="n">
        <f aca="false">(P60+P53)*(P$4&lt;=$E12)+$F143*P12</f>
        <v>-1394.65781281475</v>
      </c>
      <c r="Q152" s="33" t="n">
        <f aca="false">(Q60+Q53)*(Q$4&lt;=$E12)+$F143*Q12</f>
        <v>-109.225607055733</v>
      </c>
      <c r="R152" s="33" t="n">
        <f aca="false">(R60+R53)*(R$4&lt;=$E12)+$F143*R12</f>
        <v>-269.857154566657</v>
      </c>
      <c r="S152" s="33" t="n">
        <f aca="false">(S60+S53)*(S$4&lt;=$E12)+$F143*S12</f>
        <v>-422.991783283459</v>
      </c>
      <c r="T152" s="33" t="n">
        <f aca="false">(T60+T53)*(T$4&lt;=$E12)+$F143*T12</f>
        <v>-20587.5113339088</v>
      </c>
      <c r="U152" s="33" t="n">
        <f aca="false">(U60+U53)*(U$4&lt;=$E12)+$F143*U12</f>
        <v>-104.616018014637</v>
      </c>
      <c r="V152" s="33" t="n">
        <f aca="false">(V60+V53)*(V$4&lt;=$E12)+$F143*V12</f>
        <v>-105.765644586226</v>
      </c>
      <c r="W152" s="33" t="n">
        <f aca="false">(W60+W53)*(W$4&lt;=$E12)+$F143*W12</f>
        <v>32787.8735861317</v>
      </c>
      <c r="X152" s="33" t="n">
        <f aca="false">(X60+X53)*(X$4&lt;=$E12)+$F143*X12</f>
        <v>0</v>
      </c>
      <c r="Y152" s="33" t="n">
        <f aca="false">(Y60+Y53)*(Y$4&lt;=$E12)+$F143*Y12</f>
        <v>0</v>
      </c>
      <c r="Z152" s="33" t="n">
        <f aca="false">(Z60+Z53)*(Z$4&lt;=$E12)+$F143*Z12</f>
        <v>0</v>
      </c>
      <c r="AA152" s="33" t="n">
        <f aca="false">(AA60+AA53)*(AA$4&lt;=$E12)+$F143*AA12</f>
        <v>0</v>
      </c>
      <c r="AB152" s="33" t="n">
        <f aca="false">(AB60+AB53)*(AB$4&lt;=$E12)+$F143*AB12</f>
        <v>0</v>
      </c>
      <c r="AC152" s="33" t="n">
        <f aca="false">(AC60+AC53)*(AC$4&lt;=$E12)+$F143*AC12</f>
        <v>0</v>
      </c>
      <c r="AD152" s="33" t="n">
        <f aca="false">(AD60+AD53)*(AD$4&lt;=$E12)+$F143*AD12</f>
        <v>0</v>
      </c>
      <c r="AE152" s="33" t="n">
        <f aca="false">(AE60+AE53)*(AE$4&lt;=$E12)+$F143*AE12</f>
        <v>0</v>
      </c>
      <c r="AF152" s="33" t="n">
        <f aca="false">(AF60+AF53)*(AF$4&lt;=$E12)+$F143*AF12</f>
        <v>0</v>
      </c>
      <c r="AG152" s="33" t="n">
        <f aca="false">(AG60+AG53)*(AG$4&lt;=$E12)+$F143*AG12</f>
        <v>0</v>
      </c>
      <c r="AH152" s="33" t="n">
        <f aca="false">(AH60+AH53)*(AH$4&lt;=$E12)+$F143*AH12</f>
        <v>0</v>
      </c>
      <c r="AI152" s="33" t="n">
        <f aca="false">(AI60+AI53)*(AI$4&lt;=$E12)+$F143*AI12</f>
        <v>0</v>
      </c>
      <c r="AJ152" s="33" t="n">
        <f aca="false">(AJ60+AJ53)*(AJ$4&lt;=$E12)+$F143*AJ12</f>
        <v>0</v>
      </c>
      <c r="AK152" s="33" t="n">
        <f aca="false">(AK60+AK53)*(AK$4&lt;=$E12)+$F143*AK12</f>
        <v>0</v>
      </c>
      <c r="AL152" s="33" t="n">
        <f aca="false">(AL60+AL53)*(AL$4&lt;=$E12)+$F143*AL12</f>
        <v>0</v>
      </c>
      <c r="AM152" s="33" t="n">
        <f aca="false">(AM60+AM53)*(AM$4&lt;=$E12)+$F143*AM12</f>
        <v>0</v>
      </c>
      <c r="AN152" s="33" t="n">
        <f aca="false">(AN60+AN53)*(AN$4&lt;=$E12)+$F143*AN12</f>
        <v>0</v>
      </c>
      <c r="AO152" s="33" t="n">
        <f aca="false">(AO60+AO53)*(AO$4&lt;=$E12)+$F143*AO12</f>
        <v>0</v>
      </c>
      <c r="AP152" s="33" t="n">
        <f aca="false">(AP60+AP53)*(AP$4&lt;=$E12)+$F143*AP12</f>
        <v>0</v>
      </c>
      <c r="AQ152" s="33" t="n">
        <f aca="false">(AQ60+AQ53)*(AQ$4&lt;=$E12)+$F143*AQ12</f>
        <v>0</v>
      </c>
      <c r="AR152" s="33" t="n">
        <f aca="false">(AR60+AR53)*(AR$4&lt;=$E12)+$F143*AR12</f>
        <v>0</v>
      </c>
      <c r="AS152" s="33" t="n">
        <f aca="false">(AS60+AS53)*(AS$4&lt;=$E12)+$F143*AS12</f>
        <v>0</v>
      </c>
      <c r="AT152" s="33" t="n">
        <f aca="false">(AT60+AT53)*(AT$4&lt;=$E12)+$F143*AT12</f>
        <v>0</v>
      </c>
      <c r="AU152" s="33" t="n">
        <f aca="false">(AU60+AU53)*(AU$4&lt;=$E12)+$F143*AU12</f>
        <v>0</v>
      </c>
      <c r="AV152" s="33" t="n">
        <f aca="false">(AV60+AV53)*(AV$4&lt;=$E12)+$F143*AV12</f>
        <v>0</v>
      </c>
      <c r="AW152" s="33" t="n">
        <f aca="false">(AW60+AW53)*(AW$4&lt;=$E12)+$F143*AW12</f>
        <v>0</v>
      </c>
      <c r="AX152" s="33" t="n">
        <f aca="false">(AX60+AX53)*(AX$4&lt;=$E12)+$F143*AX12</f>
        <v>0</v>
      </c>
      <c r="AY152" s="33" t="n">
        <f aca="false">(AY60+AY53)*(AY$4&lt;=$E12)+$F143*AY12</f>
        <v>0</v>
      </c>
      <c r="AZ152" s="33" t="n">
        <f aca="false">(AZ60+AZ53)*(AZ$4&lt;=$E12)+$F143*AZ12</f>
        <v>0</v>
      </c>
      <c r="BA152" s="33" t="n">
        <f aca="false">(BA60+BA53)*(BA$4&lt;=$E12)+$F143*BA12</f>
        <v>0</v>
      </c>
      <c r="BB152" s="33" t="n">
        <f aca="false">(BB60+BB53)*(BB$4&lt;=$E12)+$F143*BB12</f>
        <v>0</v>
      </c>
      <c r="BC152" s="33" t="n">
        <f aca="false">(BC60+BC53)*(BC$4&lt;=$E12)+$F143*BC12</f>
        <v>0</v>
      </c>
      <c r="BD152" s="33" t="n">
        <f aca="false">(BD60+BD53)*(BD$4&lt;=$E12)+$F143*BD12</f>
        <v>0</v>
      </c>
      <c r="BE152" s="33" t="n">
        <f aca="false">(BE60+BE53)*(BE$4&lt;=$E12)+$F143*BE12</f>
        <v>0</v>
      </c>
      <c r="BF152" s="33" t="n">
        <f aca="false">(BF60+BF53)*(BF$4&lt;=$E12)+$F143*BF12</f>
        <v>0</v>
      </c>
      <c r="BG152" s="33" t="n">
        <f aca="false">(BG60+BG53)*(BG$4&lt;=$E12)+$F143*BG12</f>
        <v>0</v>
      </c>
      <c r="BH152" s="33" t="n">
        <f aca="false">(BH60+BH53)*(BH$4&lt;=$E12)+$F143*BH12</f>
        <v>0</v>
      </c>
      <c r="BI152" s="33" t="n">
        <f aca="false">(BI60+BI53)*(BI$4&lt;=$E12)+$F143*BI12</f>
        <v>0</v>
      </c>
      <c r="BJ152" s="33" t="n">
        <f aca="false">(BJ60+BJ53)*(BJ$4&lt;=$E12)+$F143*BJ12</f>
        <v>0</v>
      </c>
      <c r="BK152" s="33" t="n">
        <f aca="false">(BK60+BK53)*(BK$4&lt;=$E12)+$F143*BK12</f>
        <v>0</v>
      </c>
      <c r="BL152" s="33" t="n">
        <f aca="false">(BL60+BL53)*(BL$4&lt;=$E12)+$F143*BL12</f>
        <v>0</v>
      </c>
      <c r="BM152" s="33" t="n">
        <f aca="false">(BM60+BM53)*(BM$4&lt;=$E12)+$F143*BM12</f>
        <v>0</v>
      </c>
      <c r="BN152" s="33" t="n">
        <f aca="false">(BN60+BN53)*(BN$4&lt;=$E12)+$F143*BN12</f>
        <v>0</v>
      </c>
      <c r="BO152" s="33" t="n">
        <f aca="false">(BO60+BO53)*(BO$4&lt;=$E12)+$F143*BO12</f>
        <v>0</v>
      </c>
      <c r="BP152" s="33" t="n">
        <f aca="false">(BP60+BP53)*(BP$4&lt;=$E12)+$F143*BP12</f>
        <v>0</v>
      </c>
      <c r="BQ152" s="33" t="n">
        <f aca="false">(BQ60+BQ53)*(BQ$4&lt;=$E12)+$F143*BQ12</f>
        <v>0</v>
      </c>
      <c r="BR152" s="33" t="n">
        <f aca="false">(BR60+BR53)*(BR$4&lt;=$E12)+$F143*BR12</f>
        <v>0</v>
      </c>
      <c r="BS152" s="33" t="n">
        <f aca="false">(BS60+BS53)*(BS$4&lt;=$E12)+$F143*BS12</f>
        <v>0</v>
      </c>
      <c r="BT152" s="33" t="n">
        <f aca="false">(BT60+BT53)*(BT$4&lt;=$E12)+$F143*BT12</f>
        <v>0</v>
      </c>
      <c r="BU152" s="33" t="n">
        <f aca="false">(BU60+BU53)*(BU$4&lt;=$E12)+$F143*BU12</f>
        <v>0</v>
      </c>
      <c r="BV152" s="33" t="n">
        <f aca="false">(BV60+BV53)*(BV$4&lt;=$E12)+$F143*BV12</f>
        <v>0</v>
      </c>
      <c r="BW152" s="33" t="n">
        <f aca="false">(BW60+BW53)*(BW$4&lt;=$E12)+$F143*BW12</f>
        <v>0</v>
      </c>
      <c r="BX152" s="33" t="n">
        <f aca="false">(BX60+BX53)*(BX$4&lt;=$E12)+$F143*BX12</f>
        <v>0</v>
      </c>
      <c r="BY152" s="33" t="n">
        <f aca="false">(BY60+BY53)*(BY$4&lt;=$E12)+$F143*BY12</f>
        <v>0</v>
      </c>
      <c r="BZ152" s="33" t="n">
        <f aca="false">(BZ60+BZ53)*(BZ$4&lt;=$E12)+$F143*BZ12</f>
        <v>0</v>
      </c>
      <c r="CA152" s="33" t="n">
        <f aca="false">(CA60+CA53)*(CA$4&lt;=$E12)+$F143*CA12</f>
        <v>0</v>
      </c>
      <c r="CB152" s="33" t="n">
        <f aca="false">(CB60+CB53)*(CB$4&lt;=$E12)+$F143*CB12</f>
        <v>0</v>
      </c>
      <c r="CC152" s="33" t="n">
        <f aca="false">(CC60+CC53)*(CC$4&lt;=$E12)+$F143*CC12</f>
        <v>0</v>
      </c>
      <c r="CD152" s="33" t="n">
        <f aca="false">(CD60+CD53)*(CD$4&lt;=$E12)+$F143*CD12</f>
        <v>0</v>
      </c>
      <c r="CE152" s="33" t="n">
        <f aca="false">(CE60+CE53)*(CE$4&lt;=$E12)+$F143*CE12</f>
        <v>0</v>
      </c>
      <c r="CF152" s="33" t="n">
        <f aca="false">(CF60+CF53)*(CF$4&lt;=$E12)+$F143*CF12</f>
        <v>0</v>
      </c>
      <c r="CG152" s="33" t="n">
        <f aca="false">(CG60+CG53)*(CG$4&lt;=$E12)+$F143*CG12</f>
        <v>0</v>
      </c>
      <c r="CH152" s="33" t="n">
        <f aca="false">(CH60+CH53)*(CH$4&lt;=$E12)+$F143*CH12</f>
        <v>0</v>
      </c>
      <c r="CI152" s="33" t="n">
        <f aca="false">(CI60+CI53)*(CI$4&lt;=$E12)+$F143*CI12</f>
        <v>0</v>
      </c>
      <c r="CJ152" s="33" t="n">
        <f aca="false">(CJ60+CJ53)*(CJ$4&lt;=$E12)+$F143*CJ12</f>
        <v>0</v>
      </c>
      <c r="CK152" s="33" t="n">
        <f aca="false">(CK60+CK53)*(CK$4&lt;=$E12)+$F143*CK12</f>
        <v>0</v>
      </c>
      <c r="CL152" s="33" t="n">
        <f aca="false">(CL60+CL53)*(CL$4&lt;=$E12)+$F143*CL12</f>
        <v>0</v>
      </c>
      <c r="CM152" s="33" t="n">
        <f aca="false">(CM60+CM53)*(CM$4&lt;=$E12)+$F143*CM12</f>
        <v>0</v>
      </c>
      <c r="CN152" s="33" t="n">
        <f aca="false">(CN60+CN53)*(CN$4&lt;=$E12)+$F143*CN12</f>
        <v>0</v>
      </c>
      <c r="CO152" s="33" t="n">
        <f aca="false">(CO60+CO53)*(CO$4&lt;=$E12)+$F143*CO12</f>
        <v>0</v>
      </c>
      <c r="CP152" s="33" t="n">
        <f aca="false">(CP60+CP53)*(CP$4&lt;=$E12)+$F143*CP12</f>
        <v>0</v>
      </c>
      <c r="CQ152" s="33" t="n">
        <f aca="false">(CQ60+CQ53)*(CQ$4&lt;=$E12)+$F143*CQ12</f>
        <v>0</v>
      </c>
      <c r="CR152" s="33" t="n">
        <f aca="false">(CR60+CR53)*(CR$4&lt;=$E12)+$F143*CR12</f>
        <v>0</v>
      </c>
      <c r="CS152" s="33" t="n">
        <f aca="false">(CS60+CS53)*(CS$4&lt;=$E12)+$F143*CS12</f>
        <v>0</v>
      </c>
      <c r="CT152" s="33" t="n">
        <f aca="false">(CT60+CT53)*(CT$4&lt;=$E12)+$F143*CT12</f>
        <v>0</v>
      </c>
      <c r="CU152" s="33" t="n">
        <f aca="false">(CU60+CU53)*(CU$4&lt;=$E12)+$F143*CU12</f>
        <v>0</v>
      </c>
      <c r="CV152" s="33" t="n">
        <f aca="false">(CV60+CV53)*(CV$4&lt;=$E12)+$F143*CV12</f>
        <v>0</v>
      </c>
      <c r="CW152" s="33" t="n">
        <f aca="false">(CW60+CW53)*(CW$4&lt;=$E12)+$F143*CW12</f>
        <v>0</v>
      </c>
      <c r="CX152" s="33" t="n">
        <f aca="false">(CX60+CX53)*(CX$4&lt;=$E12)+$F143*CX12</f>
        <v>0</v>
      </c>
      <c r="CY152" s="33" t="n">
        <f aca="false">(CY60+CY53)*(CY$4&lt;=$E12)+$F143*CY12</f>
        <v>0</v>
      </c>
      <c r="CZ152" s="33" t="n">
        <f aca="false">(CZ60+CZ53)*(CZ$4&lt;=$E12)+$F143*CZ12</f>
        <v>0</v>
      </c>
      <c r="DA152" s="33" t="n">
        <f aca="false">(DA60+DA53)*(DA$4&lt;=$E12)+$F143*DA12</f>
        <v>0</v>
      </c>
      <c r="DB152" s="33" t="n">
        <f aca="false">(DB60+DB53)*(DB$4&lt;=$E12)+$F143*DB12</f>
        <v>0</v>
      </c>
      <c r="DC152" s="33" t="n">
        <f aca="false">(DC60+DC53)*(DC$4&lt;=$E12)+$F143*DC12</f>
        <v>0</v>
      </c>
      <c r="DD152" s="33" t="n">
        <f aca="false">(DD60+DD53)*(DD$4&lt;=$E12)+$F143*DD12</f>
        <v>0</v>
      </c>
      <c r="DE152" s="33" t="n">
        <f aca="false">(DE60+DE53)*(DE$4&lt;=$E12)+$F143*DE12</f>
        <v>0</v>
      </c>
      <c r="DF152" s="33" t="n">
        <f aca="false">(DF60+DF53)*(DF$4&lt;=$E12)+$F143*DF12</f>
        <v>0</v>
      </c>
      <c r="DG152" s="33" t="n">
        <f aca="false">(DG60+DG53)*(DG$4&lt;=$E12)+$F143*DG12</f>
        <v>0</v>
      </c>
      <c r="DH152" s="33" t="n">
        <f aca="false">(DH60+DH53)*(DH$4&lt;=$E12)+$F143*DH12</f>
        <v>0</v>
      </c>
      <c r="DI152" s="33" t="n">
        <f aca="false">(DI60+DI53)*(DI$4&lt;=$E12)+$F143*DI12</f>
        <v>0</v>
      </c>
      <c r="DJ152" s="33" t="n">
        <f aca="false">(DJ60+DJ53)*(DJ$4&lt;=$E12)+$F143*DJ12</f>
        <v>0</v>
      </c>
      <c r="DK152" s="33" t="n">
        <f aca="false">(DK60+DK53)*(DK$4&lt;=$E12)+$F143*DK12</f>
        <v>0</v>
      </c>
      <c r="DL152" s="33" t="n">
        <f aca="false">(DL60+DL53)*(DL$4&lt;=$E12)+$F143*DL12</f>
        <v>0</v>
      </c>
      <c r="DM152" s="33" t="n">
        <f aca="false">(DM60+DM53)*(DM$4&lt;=$E12)+$F143*DM12</f>
        <v>0</v>
      </c>
      <c r="DN152" s="33" t="n">
        <f aca="false">(DN60+DN53)*(DN$4&lt;=$E12)+$F143*DN12</f>
        <v>0</v>
      </c>
      <c r="DO152" s="33" t="n">
        <f aca="false">(DO60+DO53)*(DO$4&lt;=$E12)+$F143*DO12</f>
        <v>0</v>
      </c>
      <c r="DP152" s="33" t="n">
        <f aca="false">(DP60+DP53)*(DP$4&lt;=$E12)+$F143*DP12</f>
        <v>0</v>
      </c>
      <c r="DQ152" s="33" t="n">
        <f aca="false">(DQ60+DQ53)*(DQ$4&lt;=$E12)+$F143*DQ12</f>
        <v>0</v>
      </c>
      <c r="DR152" s="33" t="n">
        <f aca="false">(DR60+DR53)*(DR$4&lt;=$E12)+$F143*DR12</f>
        <v>0</v>
      </c>
      <c r="DS152" s="33" t="n">
        <f aca="false">(DS60+DS53)*(DS$4&lt;=$E12)+$F143*DS12</f>
        <v>0</v>
      </c>
      <c r="DT152" s="33" t="n">
        <f aca="false">(DT60+DT53)*(DT$4&lt;=$E12)+$F143*DT12</f>
        <v>0</v>
      </c>
      <c r="DU152" s="33" t="n">
        <f aca="false">(DU60+DU53)*(DU$4&lt;=$E12)+$F143*DU12</f>
        <v>0</v>
      </c>
      <c r="DV152" s="33" t="n">
        <f aca="false">(DV60+DV53)*(DV$4&lt;=$E12)+$F143*DV12</f>
        <v>0</v>
      </c>
      <c r="DW152" s="33" t="n">
        <f aca="false">(DW60+DW53)*(DW$4&lt;=$E12)+$F143*DW12</f>
        <v>0</v>
      </c>
      <c r="DX152" s="33" t="n">
        <f aca="false">(DX60+DX53)*(DX$4&lt;=$E12)+$F143*DX12</f>
        <v>0</v>
      </c>
      <c r="DY152" s="33" t="n">
        <f aca="false">(DY60+DY53)*(DY$4&lt;=$E12)+$F143*DY12</f>
        <v>0</v>
      </c>
      <c r="DZ152" s="33" t="n">
        <f aca="false">(DZ60+DZ53)*(DZ$4&lt;=$E12)+$F143*DZ12</f>
        <v>0</v>
      </c>
      <c r="EA152" s="33" t="n">
        <f aca="false">(EA60+EA53)*(EA$4&lt;=$E12)+$F143*EA12</f>
        <v>0</v>
      </c>
      <c r="EB152" s="33" t="n">
        <f aca="false">(EB60+EB53)*(EB$4&lt;=$E12)+$F143*EB12</f>
        <v>0</v>
      </c>
      <c r="EC152" s="33" t="n">
        <f aca="false">(EC60+EC53)*(EC$4&lt;=$E12)+$F143*EC12</f>
        <v>0</v>
      </c>
      <c r="ED152" s="33" t="n">
        <f aca="false">(ED60+ED53)*(ED$4&lt;=$E12)+$F143*ED12</f>
        <v>0</v>
      </c>
      <c r="EE152" s="33" t="n">
        <f aca="false">(EE60+EE53)*(EE$4&lt;=$E12)+$F143*EE12</f>
        <v>0</v>
      </c>
      <c r="EF152" s="33" t="n">
        <f aca="false">(EF60+EF53)*(EF$4&lt;=$E12)+$F143*EF12</f>
        <v>0</v>
      </c>
      <c r="EG152" s="33" t="n">
        <f aca="false">(EG60+EG53)*(EG$4&lt;=$E12)+$F143*EG12</f>
        <v>0</v>
      </c>
      <c r="EH152" s="33" t="n">
        <f aca="false">(EH60+EH53)*(EH$4&lt;=$E12)+$F143*EH12</f>
        <v>0</v>
      </c>
      <c r="EI152" s="33" t="n">
        <f aca="false">(EI60+EI53)*(EI$4&lt;=$E12)+$F143*EI12</f>
        <v>0</v>
      </c>
      <c r="EJ152" s="33" t="n">
        <f aca="false">(EJ60+EJ53)*(EJ$4&lt;=$E12)+$F143*EJ12</f>
        <v>0</v>
      </c>
      <c r="EK152" s="33" t="n">
        <f aca="false">(EK60+EK53)*(EK$4&lt;=$E12)+$F143*EK12</f>
        <v>0</v>
      </c>
      <c r="EL152" s="33" t="n">
        <f aca="false">(EL60+EL53)*(EL$4&lt;=$E12)+$F143*EL12</f>
        <v>0</v>
      </c>
      <c r="EM152" s="33" t="n">
        <f aca="false">(EM60+EM53)*(EM$4&lt;=$E12)+$F143*EM12</f>
        <v>0</v>
      </c>
      <c r="EN152" s="33" t="n">
        <f aca="false">(EN60+EN53)*(EN$4&lt;=$E12)+$F143*EN12</f>
        <v>0</v>
      </c>
      <c r="EO152" s="33" t="n">
        <f aca="false">(EO60+EO53)*(EO$4&lt;=$E12)+$F143*EO12</f>
        <v>0</v>
      </c>
      <c r="EP152" s="33" t="n">
        <f aca="false">(EP60+EP53)*(EP$4&lt;=$E12)+$F143*EP12</f>
        <v>0</v>
      </c>
      <c r="EQ152" s="33" t="n">
        <f aca="false">(EQ60+EQ53)*(EQ$4&lt;=$E12)+$F143*EQ12</f>
        <v>0</v>
      </c>
      <c r="ER152" s="33" t="n">
        <f aca="false">(ER60+ER53)*(ER$4&lt;=$E12)+$F143*ER12</f>
        <v>0</v>
      </c>
      <c r="ES152" s="33" t="n">
        <f aca="false">(ES60+ES53)*(ES$4&lt;=$E12)+$F143*ES12</f>
        <v>0</v>
      </c>
      <c r="ET152" s="33" t="n">
        <f aca="false">(ET60+ET53)*(ET$4&lt;=$E12)+$F143*ET12</f>
        <v>0</v>
      </c>
    </row>
    <row r="153" customFormat="false" ht="15" hidden="false" customHeight="false" outlineLevel="0" collapsed="false">
      <c r="C153" s="30" t="s">
        <v>598</v>
      </c>
      <c r="D153" s="11" t="s">
        <v>253</v>
      </c>
      <c r="I153" s="35" t="n">
        <f aca="false">SUM(J153:ET153)</f>
        <v>6546.75873853232</v>
      </c>
      <c r="J153" s="35" t="n">
        <f aca="false">J152+$E152*J12</f>
        <v>-400</v>
      </c>
      <c r="K153" s="35" t="n">
        <f aca="false">K152+$E152*K12</f>
        <v>-1437.78053818728</v>
      </c>
      <c r="L153" s="35" t="n">
        <f aca="false">L152+$E152*L12</f>
        <v>-691.910911990993</v>
      </c>
      <c r="M153" s="35" t="n">
        <f aca="false">M152+$E152*M12</f>
        <v>-148.451634452993</v>
      </c>
      <c r="N153" s="35" t="n">
        <f aca="false">N152+$E152*N12</f>
        <v>-149.601261024582</v>
      </c>
      <c r="O153" s="35" t="n">
        <f aca="false">O152+$E152*O12</f>
        <v>-290.127288421843</v>
      </c>
      <c r="P153" s="35" t="n">
        <f aca="false">P152+$E152*P12</f>
        <v>-1394.65781281475</v>
      </c>
      <c r="Q153" s="35" t="n">
        <f aca="false">Q152+$E152*Q12</f>
        <v>-109.225607055733</v>
      </c>
      <c r="R153" s="35" t="n">
        <f aca="false">R152+$E152*R12</f>
        <v>-269.857154566657</v>
      </c>
      <c r="S153" s="35" t="n">
        <f aca="false">S152+$E152*S12</f>
        <v>-422.991783283459</v>
      </c>
      <c r="T153" s="35" t="n">
        <f aca="false">T152+$E152*T12</f>
        <v>-20587.5113339088</v>
      </c>
      <c r="U153" s="35" t="n">
        <f aca="false">U152+$E152*U12</f>
        <v>-104.616018014637</v>
      </c>
      <c r="V153" s="35" t="n">
        <f aca="false">V152+$E152*V12</f>
        <v>-105.765644586226</v>
      </c>
      <c r="W153" s="35" t="n">
        <f aca="false">W152+$E152*W12</f>
        <v>32659.2557268403</v>
      </c>
      <c r="X153" s="35" t="n">
        <f aca="false">X152+$E152*X12</f>
        <v>0</v>
      </c>
      <c r="Y153" s="35" t="n">
        <f aca="false">Y152+$E152*Y12</f>
        <v>0</v>
      </c>
      <c r="Z153" s="35" t="n">
        <f aca="false">Z152+$E152*Z12</f>
        <v>0</v>
      </c>
      <c r="AA153" s="35" t="n">
        <f aca="false">AA152+$E152*AA12</f>
        <v>0</v>
      </c>
      <c r="AB153" s="35" t="n">
        <f aca="false">AB152+$E152*AB12</f>
        <v>0</v>
      </c>
      <c r="AC153" s="35" t="n">
        <f aca="false">AC152+$E152*AC12</f>
        <v>0</v>
      </c>
      <c r="AD153" s="35" t="n">
        <f aca="false">AD152+$E152*AD12</f>
        <v>0</v>
      </c>
      <c r="AE153" s="35" t="n">
        <f aca="false">AE152+$E152*AE12</f>
        <v>0</v>
      </c>
      <c r="AF153" s="35" t="n">
        <f aca="false">AF152+$E152*AF12</f>
        <v>0</v>
      </c>
      <c r="AG153" s="35" t="n">
        <f aca="false">AG152+$E152*AG12</f>
        <v>0</v>
      </c>
      <c r="AH153" s="35" t="n">
        <f aca="false">AH152+$E152*AH12</f>
        <v>0</v>
      </c>
      <c r="AI153" s="35" t="n">
        <f aca="false">AI152+$E152*AI12</f>
        <v>0</v>
      </c>
      <c r="AJ153" s="35" t="n">
        <f aca="false">AJ152+$E152*AJ12</f>
        <v>0</v>
      </c>
      <c r="AK153" s="35" t="n">
        <f aca="false">AK152+$E152*AK12</f>
        <v>0</v>
      </c>
      <c r="AL153" s="35" t="n">
        <f aca="false">AL152+$E152*AL12</f>
        <v>0</v>
      </c>
      <c r="AM153" s="35" t="n">
        <f aca="false">AM152+$E152*AM12</f>
        <v>0</v>
      </c>
      <c r="AN153" s="35" t="n">
        <f aca="false">AN152+$E152*AN12</f>
        <v>0</v>
      </c>
      <c r="AO153" s="35" t="n">
        <f aca="false">AO152+$E152*AO12</f>
        <v>0</v>
      </c>
      <c r="AP153" s="35" t="n">
        <f aca="false">AP152+$E152*AP12</f>
        <v>0</v>
      </c>
      <c r="AQ153" s="35" t="n">
        <f aca="false">AQ152+$E152*AQ12</f>
        <v>0</v>
      </c>
      <c r="AR153" s="35" t="n">
        <f aca="false">AR152+$E152*AR12</f>
        <v>0</v>
      </c>
      <c r="AS153" s="35" t="n">
        <f aca="false">AS152+$E152*AS12</f>
        <v>0</v>
      </c>
      <c r="AT153" s="35" t="n">
        <f aca="false">AT152+$E152*AT12</f>
        <v>0</v>
      </c>
      <c r="AU153" s="35" t="n">
        <f aca="false">AU152+$E152*AU12</f>
        <v>0</v>
      </c>
      <c r="AV153" s="35" t="n">
        <f aca="false">AV152+$E152*AV12</f>
        <v>0</v>
      </c>
      <c r="AW153" s="35" t="n">
        <f aca="false">AW152+$E152*AW12</f>
        <v>0</v>
      </c>
      <c r="AX153" s="35" t="n">
        <f aca="false">AX152+$E152*AX12</f>
        <v>0</v>
      </c>
      <c r="AY153" s="35" t="n">
        <f aca="false">AY152+$E152*AY12</f>
        <v>0</v>
      </c>
      <c r="AZ153" s="35" t="n">
        <f aca="false">AZ152+$E152*AZ12</f>
        <v>0</v>
      </c>
      <c r="BA153" s="35" t="n">
        <f aca="false">BA152+$E152*BA12</f>
        <v>0</v>
      </c>
      <c r="BB153" s="35" t="n">
        <f aca="false">BB152+$E152*BB12</f>
        <v>0</v>
      </c>
      <c r="BC153" s="35" t="n">
        <f aca="false">BC152+$E152*BC12</f>
        <v>0</v>
      </c>
      <c r="BD153" s="35" t="n">
        <f aca="false">BD152+$E152*BD12</f>
        <v>0</v>
      </c>
      <c r="BE153" s="35" t="n">
        <f aca="false">BE152+$E152*BE12</f>
        <v>0</v>
      </c>
      <c r="BF153" s="35" t="n">
        <f aca="false">BF152+$E152*BF12</f>
        <v>0</v>
      </c>
      <c r="BG153" s="35" t="n">
        <f aca="false">BG152+$E152*BG12</f>
        <v>0</v>
      </c>
      <c r="BH153" s="35" t="n">
        <f aca="false">BH152+$E152*BH12</f>
        <v>0</v>
      </c>
      <c r="BI153" s="35" t="n">
        <f aca="false">BI152+$E152*BI12</f>
        <v>0</v>
      </c>
      <c r="BJ153" s="35" t="n">
        <f aca="false">BJ152+$E152*BJ12</f>
        <v>0</v>
      </c>
      <c r="BK153" s="35" t="n">
        <f aca="false">BK152+$E152*BK12</f>
        <v>0</v>
      </c>
      <c r="BL153" s="35" t="n">
        <f aca="false">BL152+$E152*BL12</f>
        <v>0</v>
      </c>
      <c r="BM153" s="35" t="n">
        <f aca="false">BM152+$E152*BM12</f>
        <v>0</v>
      </c>
      <c r="BN153" s="35" t="n">
        <f aca="false">BN152+$E152*BN12</f>
        <v>0</v>
      </c>
      <c r="BO153" s="35" t="n">
        <f aca="false">BO152+$E152*BO12</f>
        <v>0</v>
      </c>
      <c r="BP153" s="35" t="n">
        <f aca="false">BP152+$E152*BP12</f>
        <v>0</v>
      </c>
      <c r="BQ153" s="35" t="n">
        <f aca="false">BQ152+$E152*BQ12</f>
        <v>0</v>
      </c>
      <c r="BR153" s="35" t="n">
        <f aca="false">BR152+$E152*BR12</f>
        <v>0</v>
      </c>
      <c r="BS153" s="35" t="n">
        <f aca="false">BS152+$E152*BS12</f>
        <v>0</v>
      </c>
      <c r="BT153" s="35" t="n">
        <f aca="false">BT152+$E152*BT12</f>
        <v>0</v>
      </c>
      <c r="BU153" s="35" t="n">
        <f aca="false">BU152+$E152*BU12</f>
        <v>0</v>
      </c>
      <c r="BV153" s="35" t="n">
        <f aca="false">BV152+$E152*BV12</f>
        <v>0</v>
      </c>
      <c r="BW153" s="35" t="n">
        <f aca="false">BW152+$E152*BW12</f>
        <v>0</v>
      </c>
      <c r="BX153" s="35" t="n">
        <f aca="false">BX152+$E152*BX12</f>
        <v>0</v>
      </c>
      <c r="BY153" s="35" t="n">
        <f aca="false">BY152+$E152*BY12</f>
        <v>0</v>
      </c>
      <c r="BZ153" s="35" t="n">
        <f aca="false">BZ152+$E152*BZ12</f>
        <v>0</v>
      </c>
      <c r="CA153" s="35" t="n">
        <f aca="false">CA152+$E152*CA12</f>
        <v>0</v>
      </c>
      <c r="CB153" s="35" t="n">
        <f aca="false">CB152+$E152*CB12</f>
        <v>0</v>
      </c>
      <c r="CC153" s="35" t="n">
        <f aca="false">CC152+$E152*CC12</f>
        <v>0</v>
      </c>
      <c r="CD153" s="35" t="n">
        <f aca="false">CD152+$E152*CD12</f>
        <v>0</v>
      </c>
      <c r="CE153" s="35" t="n">
        <f aca="false">CE152+$E152*CE12</f>
        <v>0</v>
      </c>
      <c r="CF153" s="35" t="n">
        <f aca="false">CF152+$E152*CF12</f>
        <v>0</v>
      </c>
      <c r="CG153" s="35" t="n">
        <f aca="false">CG152+$E152*CG12</f>
        <v>0</v>
      </c>
      <c r="CH153" s="35" t="n">
        <f aca="false">CH152+$E152*CH12</f>
        <v>0</v>
      </c>
      <c r="CI153" s="35" t="n">
        <f aca="false">CI152+$E152*CI12</f>
        <v>0</v>
      </c>
      <c r="CJ153" s="35" t="n">
        <f aca="false">CJ152+$E152*CJ12</f>
        <v>0</v>
      </c>
      <c r="CK153" s="35" t="n">
        <f aca="false">CK152+$E152*CK12</f>
        <v>0</v>
      </c>
      <c r="CL153" s="35" t="n">
        <f aca="false">CL152+$E152*CL12</f>
        <v>0</v>
      </c>
      <c r="CM153" s="35" t="n">
        <f aca="false">CM152+$E152*CM12</f>
        <v>0</v>
      </c>
      <c r="CN153" s="35" t="n">
        <f aca="false">CN152+$E152*CN12</f>
        <v>0</v>
      </c>
      <c r="CO153" s="35" t="n">
        <f aca="false">CO152+$E152*CO12</f>
        <v>0</v>
      </c>
      <c r="CP153" s="35" t="n">
        <f aca="false">CP152+$E152*CP12</f>
        <v>0</v>
      </c>
      <c r="CQ153" s="35" t="n">
        <f aca="false">CQ152+$E152*CQ12</f>
        <v>0</v>
      </c>
      <c r="CR153" s="35" t="n">
        <f aca="false">CR152+$E152*CR12</f>
        <v>0</v>
      </c>
      <c r="CS153" s="35" t="n">
        <f aca="false">CS152+$E152*CS12</f>
        <v>0</v>
      </c>
      <c r="CT153" s="35" t="n">
        <f aca="false">CT152+$E152*CT12</f>
        <v>0</v>
      </c>
      <c r="CU153" s="35" t="n">
        <f aca="false">CU152+$E152*CU12</f>
        <v>0</v>
      </c>
      <c r="CV153" s="35" t="n">
        <f aca="false">CV152+$E152*CV12</f>
        <v>0</v>
      </c>
      <c r="CW153" s="35" t="n">
        <f aca="false">CW152+$E152*CW12</f>
        <v>0</v>
      </c>
      <c r="CX153" s="35" t="n">
        <f aca="false">CX152+$E152*CX12</f>
        <v>0</v>
      </c>
      <c r="CY153" s="35" t="n">
        <f aca="false">CY152+$E152*CY12</f>
        <v>0</v>
      </c>
      <c r="CZ153" s="35" t="n">
        <f aca="false">CZ152+$E152*CZ12</f>
        <v>0</v>
      </c>
      <c r="DA153" s="35" t="n">
        <f aca="false">DA152+$E152*DA12</f>
        <v>0</v>
      </c>
      <c r="DB153" s="35" t="n">
        <f aca="false">DB152+$E152*DB12</f>
        <v>0</v>
      </c>
      <c r="DC153" s="35" t="n">
        <f aca="false">DC152+$E152*DC12</f>
        <v>0</v>
      </c>
      <c r="DD153" s="35" t="n">
        <f aca="false">DD152+$E152*DD12</f>
        <v>0</v>
      </c>
      <c r="DE153" s="35" t="n">
        <f aca="false">DE152+$E152*DE12</f>
        <v>0</v>
      </c>
      <c r="DF153" s="35" t="n">
        <f aca="false">DF152+$E152*DF12</f>
        <v>0</v>
      </c>
      <c r="DG153" s="35" t="n">
        <f aca="false">DG152+$E152*DG12</f>
        <v>0</v>
      </c>
      <c r="DH153" s="35" t="n">
        <f aca="false">DH152+$E152*DH12</f>
        <v>0</v>
      </c>
      <c r="DI153" s="35" t="n">
        <f aca="false">DI152+$E152*DI12</f>
        <v>0</v>
      </c>
      <c r="DJ153" s="35" t="n">
        <f aca="false">DJ152+$E152*DJ12</f>
        <v>0</v>
      </c>
      <c r="DK153" s="35" t="n">
        <f aca="false">DK152+$E152*DK12</f>
        <v>0</v>
      </c>
      <c r="DL153" s="35" t="n">
        <f aca="false">DL152+$E152*DL12</f>
        <v>0</v>
      </c>
      <c r="DM153" s="35" t="n">
        <f aca="false">DM152+$E152*DM12</f>
        <v>0</v>
      </c>
      <c r="DN153" s="35" t="n">
        <f aca="false">DN152+$E152*DN12</f>
        <v>0</v>
      </c>
      <c r="DO153" s="35" t="n">
        <f aca="false">DO152+$E152*DO12</f>
        <v>0</v>
      </c>
      <c r="DP153" s="35" t="n">
        <f aca="false">DP152+$E152*DP12</f>
        <v>0</v>
      </c>
      <c r="DQ153" s="35" t="n">
        <f aca="false">DQ152+$E152*DQ12</f>
        <v>0</v>
      </c>
      <c r="DR153" s="35" t="n">
        <f aca="false">DR152+$E152*DR12</f>
        <v>0</v>
      </c>
      <c r="DS153" s="35" t="n">
        <f aca="false">DS152+$E152*DS12</f>
        <v>0</v>
      </c>
      <c r="DT153" s="35" t="n">
        <f aca="false">DT152+$E152*DT12</f>
        <v>0</v>
      </c>
      <c r="DU153" s="35" t="n">
        <f aca="false">DU152+$E152*DU12</f>
        <v>0</v>
      </c>
      <c r="DV153" s="35" t="n">
        <f aca="false">DV152+$E152*DV12</f>
        <v>0</v>
      </c>
      <c r="DW153" s="35" t="n">
        <f aca="false">DW152+$E152*DW12</f>
        <v>0</v>
      </c>
      <c r="DX153" s="35" t="n">
        <f aca="false">DX152+$E152*DX12</f>
        <v>0</v>
      </c>
      <c r="DY153" s="35" t="n">
        <f aca="false">DY152+$E152*DY12</f>
        <v>0</v>
      </c>
      <c r="DZ153" s="35" t="n">
        <f aca="false">DZ152+$E152*DZ12</f>
        <v>0</v>
      </c>
      <c r="EA153" s="35" t="n">
        <f aca="false">EA152+$E152*EA12</f>
        <v>0</v>
      </c>
      <c r="EB153" s="35" t="n">
        <f aca="false">EB152+$E152*EB12</f>
        <v>0</v>
      </c>
      <c r="EC153" s="35" t="n">
        <f aca="false">EC152+$E152*EC12</f>
        <v>0</v>
      </c>
      <c r="ED153" s="35" t="n">
        <f aca="false">ED152+$E152*ED12</f>
        <v>0</v>
      </c>
      <c r="EE153" s="35" t="n">
        <f aca="false">EE152+$E152*EE12</f>
        <v>0</v>
      </c>
      <c r="EF153" s="35" t="n">
        <f aca="false">EF152+$E152*EF12</f>
        <v>0</v>
      </c>
      <c r="EG153" s="35" t="n">
        <f aca="false">EG152+$E152*EG12</f>
        <v>0</v>
      </c>
      <c r="EH153" s="35" t="n">
        <f aca="false">EH152+$E152*EH12</f>
        <v>0</v>
      </c>
      <c r="EI153" s="35" t="n">
        <f aca="false">EI152+$E152*EI12</f>
        <v>0</v>
      </c>
      <c r="EJ153" s="35" t="n">
        <f aca="false">EJ152+$E152*EJ12</f>
        <v>0</v>
      </c>
      <c r="EK153" s="35" t="n">
        <f aca="false">EK152+$E152*EK12</f>
        <v>0</v>
      </c>
      <c r="EL153" s="35" t="n">
        <f aca="false">EL152+$E152*EL12</f>
        <v>0</v>
      </c>
      <c r="EM153" s="35" t="n">
        <f aca="false">EM152+$E152*EM12</f>
        <v>0</v>
      </c>
      <c r="EN153" s="35" t="n">
        <f aca="false">EN152+$E152*EN12</f>
        <v>0</v>
      </c>
      <c r="EO153" s="35" t="n">
        <f aca="false">EO152+$E152*EO12</f>
        <v>0</v>
      </c>
      <c r="EP153" s="35" t="n">
        <f aca="false">EP152+$E152*EP12</f>
        <v>0</v>
      </c>
      <c r="EQ153" s="35" t="n">
        <f aca="false">EQ152+$E152*EQ12</f>
        <v>0</v>
      </c>
      <c r="ER153" s="35" t="n">
        <f aca="false">ER152+$E152*ER12</f>
        <v>0</v>
      </c>
      <c r="ES153" s="35" t="n">
        <f aca="false">ES152+$E152*ES12</f>
        <v>0</v>
      </c>
      <c r="ET153" s="35" t="n">
        <f aca="false">ET152+$E152*ET12</f>
        <v>0</v>
      </c>
    </row>
    <row r="154" customFormat="false" ht="15" hidden="false" customHeight="false" outlineLevel="0" collapsed="false">
      <c r="C154" s="0" t="s">
        <v>168</v>
      </c>
      <c r="D154" s="11" t="s">
        <v>253</v>
      </c>
      <c r="E154" s="33" t="n">
        <f aca="false">$E59+$I46+$E152</f>
        <v>-1806.77268158454</v>
      </c>
    </row>
    <row r="155" customFormat="false" ht="15" hidden="false" customHeight="false" outlineLevel="0" collapsed="false">
      <c r="C155" s="30" t="s">
        <v>75</v>
      </c>
      <c r="D155" s="11" t="s">
        <v>35</v>
      </c>
      <c r="E155" s="57" t="n">
        <f aca="false">IFERROR(XIRR($J153:$ET153,$J$4:$ET$4),"n/a")</f>
        <v>0.221510760619134</v>
      </c>
    </row>
    <row r="156" customFormat="false" ht="15" hidden="false" customHeight="false" outlineLevel="0" collapsed="false">
      <c r="C156" s="30" t="s">
        <v>599</v>
      </c>
      <c r="D156" s="11" t="s">
        <v>13</v>
      </c>
      <c r="E156" s="58" t="n">
        <f aca="false">($F143+$E152)/($F143-$I152)</f>
        <v>1.24970223352323</v>
      </c>
    </row>
    <row r="157" customFormat="false" ht="15" hidden="false" customHeight="false" outlineLevel="0" collapsed="false">
      <c r="C157" s="30" t="s">
        <v>170</v>
      </c>
      <c r="D157" s="11" t="s">
        <v>253</v>
      </c>
      <c r="E157" s="35" t="n">
        <f aca="false">XNPV(In_Discount_Rate,$J153:$ET153,$J$4:$ET$4)</f>
        <v>3328.54248477583</v>
      </c>
    </row>
    <row r="159" customFormat="false" ht="15" hidden="false" customHeight="false" outlineLevel="0" collapsed="false">
      <c r="A159" s="9" t="s">
        <v>13</v>
      </c>
      <c r="B159" s="9"/>
      <c r="C159" s="9" t="s">
        <v>171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</row>
    <row r="160" customFormat="false" ht="15" hidden="false" customHeight="false" outlineLevel="0" collapsed="false">
      <c r="C160" s="0" t="s">
        <v>600</v>
      </c>
      <c r="D160" s="11" t="s">
        <v>253</v>
      </c>
      <c r="I160" s="33" t="n">
        <f aca="false">SUM(J160:ET160)</f>
        <v>-73398.9735112757</v>
      </c>
      <c r="J160" s="33" t="n">
        <f aca="false">(J60+J106+J99+J120)*(J$4&lt;=In_COD)</f>
        <v>-400</v>
      </c>
      <c r="K160" s="33" t="n">
        <f aca="false">(K60+K106+K99+K120)*(K$4&lt;=In_COD)</f>
        <v>-1437.78053818728</v>
      </c>
      <c r="L160" s="33" t="n">
        <f aca="false">(L60+L106+L99+L120)*(L$4&lt;=In_COD)</f>
        <v>-691.910911990993</v>
      </c>
      <c r="M160" s="33" t="n">
        <f aca="false">(M60+M106+M99+M120)*(M$4&lt;=In_COD)</f>
        <v>-148.451634452993</v>
      </c>
      <c r="N160" s="33" t="n">
        <f aca="false">(N60+N106+N99+N120)*(N$4&lt;=In_COD)</f>
        <v>-149.601261024582</v>
      </c>
      <c r="O160" s="33" t="n">
        <f aca="false">(O60+O106+O99+O120)*(O$4&lt;=In_COD)</f>
        <v>-290.127288421843</v>
      </c>
      <c r="P160" s="33" t="n">
        <f aca="false">(P60+P106+P99+P120)*(P$4&lt;=In_COD)</f>
        <v>-1394.65781281475</v>
      </c>
      <c r="Q160" s="33" t="n">
        <f aca="false">(Q60+Q106+Q99+Q120)*(Q$4&lt;=In_COD)</f>
        <v>-109.225607055733</v>
      </c>
      <c r="R160" s="33" t="n">
        <f aca="false">(R60+R106+R99+R120)*(R$4&lt;=In_COD)</f>
        <v>-269.857154566657</v>
      </c>
      <c r="S160" s="33" t="n">
        <f aca="false">(S60+S106+S99+S120)*(S$4&lt;=In_COD)</f>
        <v>-422.991783283459</v>
      </c>
      <c r="T160" s="33" t="n">
        <f aca="false">(T60+T106+T99+T120)*(T$4&lt;=In_COD)</f>
        <v>-20587.5113339088</v>
      </c>
      <c r="U160" s="33" t="n">
        <f aca="false">(U60+U106+U99+U120)*(U$4&lt;=In_COD)</f>
        <v>-104.616018014637</v>
      </c>
      <c r="V160" s="33" t="n">
        <f aca="false">(V60+V106+V99+V120)*(V$4&lt;=In_COD)</f>
        <v>-105.765644586226</v>
      </c>
      <c r="W160" s="33" t="n">
        <f aca="false">(W60+W106+W99+W120)*(W$4&lt;=In_COD)</f>
        <v>-6875.32473538409</v>
      </c>
      <c r="X160" s="33" t="n">
        <f aca="false">(X60+X106+X99+X120)*(X$4&lt;=In_COD)</f>
        <v>-5073.5175863622</v>
      </c>
      <c r="Y160" s="33" t="n">
        <f aca="false">(Y60+Y106+Y99+Y120)*(Y$4&lt;=In_COD)</f>
        <v>-5103.58937070822</v>
      </c>
      <c r="Z160" s="33" t="n">
        <f aca="false">(Z60+Z106+Z99+Z120)*(Z$4&lt;=In_COD)</f>
        <v>-5132.78767858878</v>
      </c>
      <c r="AA160" s="33" t="n">
        <f aca="false">(AA60+AA106+AA99+AA120)*(AA$4&lt;=In_COD)</f>
        <v>-5105.60714622201</v>
      </c>
      <c r="AB160" s="33" t="n">
        <f aca="false">(AB60+AB106+AB99+AB120)*(AB$4&lt;=In_COD)</f>
        <v>-4969.92045560723</v>
      </c>
      <c r="AC160" s="33" t="n">
        <f aca="false">(AC60+AC106+AC99+AC120)*(AC$4&lt;=In_COD)</f>
        <v>-4998.84116072264</v>
      </c>
      <c r="AD160" s="33" t="n">
        <f aca="false">(AD60+AD106+AD99+AD120)*(AD$4&lt;=In_COD)</f>
        <v>-10026.8883893726</v>
      </c>
      <c r="AE160" s="33" t="n">
        <f aca="false">(AE60+AE106+AE99+AE120)*(AE$4&lt;=In_COD)</f>
        <v>0</v>
      </c>
      <c r="AF160" s="33" t="n">
        <f aca="false">(AF60+AF106+AF99+AF120)*(AF$4&lt;=In_COD)</f>
        <v>0</v>
      </c>
      <c r="AG160" s="33" t="n">
        <f aca="false">(AG60+AG106+AG99+AG120)*(AG$4&lt;=In_COD)</f>
        <v>0</v>
      </c>
      <c r="AH160" s="33" t="n">
        <f aca="false">(AH60+AH106+AH99+AH120)*(AH$4&lt;=In_COD)</f>
        <v>0</v>
      </c>
      <c r="AI160" s="33" t="n">
        <f aca="false">(AI60+AI106+AI99+AI120)*(AI$4&lt;=In_COD)</f>
        <v>0</v>
      </c>
      <c r="AJ160" s="33" t="n">
        <f aca="false">(AJ60+AJ106+AJ99+AJ120)*(AJ$4&lt;=In_COD)</f>
        <v>0</v>
      </c>
      <c r="AK160" s="33" t="n">
        <f aca="false">(AK60+AK106+AK99+AK120)*(AK$4&lt;=In_COD)</f>
        <v>0</v>
      </c>
      <c r="AL160" s="33" t="n">
        <f aca="false">(AL60+AL106+AL99+AL120)*(AL$4&lt;=In_COD)</f>
        <v>0</v>
      </c>
      <c r="AM160" s="33" t="n">
        <f aca="false">(AM60+AM106+AM99+AM120)*(AM$4&lt;=In_COD)</f>
        <v>0</v>
      </c>
      <c r="AN160" s="33" t="n">
        <f aca="false">(AN60+AN106+AN99+AN120)*(AN$4&lt;=In_COD)</f>
        <v>0</v>
      </c>
      <c r="AO160" s="33" t="n">
        <f aca="false">(AO60+AO106+AO99+AO120)*(AO$4&lt;=In_COD)</f>
        <v>0</v>
      </c>
      <c r="AP160" s="33" t="n">
        <f aca="false">(AP60+AP106+AP99+AP120)*(AP$4&lt;=In_COD)</f>
        <v>0</v>
      </c>
      <c r="AQ160" s="33" t="n">
        <f aca="false">(AQ60+AQ106+AQ99+AQ120)*(AQ$4&lt;=In_COD)</f>
        <v>0</v>
      </c>
      <c r="AR160" s="33" t="n">
        <f aca="false">(AR60+AR106+AR99+AR120)*(AR$4&lt;=In_COD)</f>
        <v>0</v>
      </c>
      <c r="AS160" s="33" t="n">
        <f aca="false">(AS60+AS106+AS99+AS120)*(AS$4&lt;=In_COD)</f>
        <v>0</v>
      </c>
      <c r="AT160" s="33" t="n">
        <f aca="false">(AT60+AT106+AT99+AT120)*(AT$4&lt;=In_COD)</f>
        <v>0</v>
      </c>
      <c r="AU160" s="33" t="n">
        <f aca="false">(AU60+AU106+AU99+AU120)*(AU$4&lt;=In_COD)</f>
        <v>0</v>
      </c>
      <c r="AV160" s="33" t="n">
        <f aca="false">(AV60+AV106+AV99+AV120)*(AV$4&lt;=In_COD)</f>
        <v>0</v>
      </c>
      <c r="AW160" s="33" t="n">
        <f aca="false">(AW60+AW106+AW99+AW120)*(AW$4&lt;=In_COD)</f>
        <v>0</v>
      </c>
      <c r="AX160" s="33" t="n">
        <f aca="false">(AX60+AX106+AX99+AX120)*(AX$4&lt;=In_COD)</f>
        <v>0</v>
      </c>
      <c r="AY160" s="33" t="n">
        <f aca="false">(AY60+AY106+AY99+AY120)*(AY$4&lt;=In_COD)</f>
        <v>0</v>
      </c>
      <c r="AZ160" s="33" t="n">
        <f aca="false">(AZ60+AZ106+AZ99+AZ120)*(AZ$4&lt;=In_COD)</f>
        <v>0</v>
      </c>
      <c r="BA160" s="33" t="n">
        <f aca="false">(BA60+BA106+BA99+BA120)*(BA$4&lt;=In_COD)</f>
        <v>0</v>
      </c>
      <c r="BB160" s="33" t="n">
        <f aca="false">(BB60+BB106+BB99+BB120)*(BB$4&lt;=In_COD)</f>
        <v>0</v>
      </c>
      <c r="BC160" s="33" t="n">
        <f aca="false">(BC60+BC106+BC99+BC120)*(BC$4&lt;=In_COD)</f>
        <v>0</v>
      </c>
      <c r="BD160" s="33" t="n">
        <f aca="false">(BD60+BD106+BD99+BD120)*(BD$4&lt;=In_COD)</f>
        <v>0</v>
      </c>
      <c r="BE160" s="33" t="n">
        <f aca="false">(BE60+BE106+BE99+BE120)*(BE$4&lt;=In_COD)</f>
        <v>0</v>
      </c>
      <c r="BF160" s="33" t="n">
        <f aca="false">(BF60+BF106+BF99+BF120)*(BF$4&lt;=In_COD)</f>
        <v>0</v>
      </c>
      <c r="BG160" s="33" t="n">
        <f aca="false">(BG60+BG106+BG99+BG120)*(BG$4&lt;=In_COD)</f>
        <v>0</v>
      </c>
      <c r="BH160" s="33" t="n">
        <f aca="false">(BH60+BH106+BH99+BH120)*(BH$4&lt;=In_COD)</f>
        <v>0</v>
      </c>
      <c r="BI160" s="33" t="n">
        <f aca="false">(BI60+BI106+BI99+BI120)*(BI$4&lt;=In_COD)</f>
        <v>0</v>
      </c>
      <c r="BJ160" s="33" t="n">
        <f aca="false">(BJ60+BJ106+BJ99+BJ120)*(BJ$4&lt;=In_COD)</f>
        <v>0</v>
      </c>
      <c r="BK160" s="33" t="n">
        <f aca="false">(BK60+BK106+BK99+BK120)*(BK$4&lt;=In_COD)</f>
        <v>0</v>
      </c>
      <c r="BL160" s="33" t="n">
        <f aca="false">(BL60+BL106+BL99+BL120)*(BL$4&lt;=In_COD)</f>
        <v>0</v>
      </c>
      <c r="BM160" s="33" t="n">
        <f aca="false">(BM60+BM106+BM99+BM120)*(BM$4&lt;=In_COD)</f>
        <v>0</v>
      </c>
      <c r="BN160" s="33" t="n">
        <f aca="false">(BN60+BN106+BN99+BN120)*(BN$4&lt;=In_COD)</f>
        <v>0</v>
      </c>
      <c r="BO160" s="33" t="n">
        <f aca="false">(BO60+BO106+BO99+BO120)*(BO$4&lt;=In_COD)</f>
        <v>0</v>
      </c>
      <c r="BP160" s="33" t="n">
        <f aca="false">(BP60+BP106+BP99+BP120)*(BP$4&lt;=In_COD)</f>
        <v>0</v>
      </c>
      <c r="BQ160" s="33" t="n">
        <f aca="false">(BQ60+BQ106+BQ99+BQ120)*(BQ$4&lt;=In_COD)</f>
        <v>0</v>
      </c>
      <c r="BR160" s="33" t="n">
        <f aca="false">(BR60+BR106+BR99+BR120)*(BR$4&lt;=In_COD)</f>
        <v>0</v>
      </c>
      <c r="BS160" s="33" t="n">
        <f aca="false">(BS60+BS106+BS99+BS120)*(BS$4&lt;=In_COD)</f>
        <v>0</v>
      </c>
      <c r="BT160" s="33" t="n">
        <f aca="false">(BT60+BT106+BT99+BT120)*(BT$4&lt;=In_COD)</f>
        <v>0</v>
      </c>
      <c r="BU160" s="33" t="n">
        <f aca="false">(BU60+BU106+BU99+BU120)*(BU$4&lt;=In_COD)</f>
        <v>0</v>
      </c>
      <c r="BV160" s="33" t="n">
        <f aca="false">(BV60+BV106+BV99+BV120)*(BV$4&lt;=In_COD)</f>
        <v>0</v>
      </c>
      <c r="BW160" s="33" t="n">
        <f aca="false">(BW60+BW106+BW99+BW120)*(BW$4&lt;=In_COD)</f>
        <v>0</v>
      </c>
      <c r="BX160" s="33" t="n">
        <f aca="false">(BX60+BX106+BX99+BX120)*(BX$4&lt;=In_COD)</f>
        <v>0</v>
      </c>
      <c r="BY160" s="33" t="n">
        <f aca="false">(BY60+BY106+BY99+BY120)*(BY$4&lt;=In_COD)</f>
        <v>0</v>
      </c>
      <c r="BZ160" s="33" t="n">
        <f aca="false">(BZ60+BZ106+BZ99+BZ120)*(BZ$4&lt;=In_COD)</f>
        <v>0</v>
      </c>
      <c r="CA160" s="33" t="n">
        <f aca="false">(CA60+CA106+CA99+CA120)*(CA$4&lt;=In_COD)</f>
        <v>0</v>
      </c>
      <c r="CB160" s="33" t="n">
        <f aca="false">(CB60+CB106+CB99+CB120)*(CB$4&lt;=In_COD)</f>
        <v>0</v>
      </c>
      <c r="CC160" s="33" t="n">
        <f aca="false">(CC60+CC106+CC99+CC120)*(CC$4&lt;=In_COD)</f>
        <v>0</v>
      </c>
      <c r="CD160" s="33" t="n">
        <f aca="false">(CD60+CD106+CD99+CD120)*(CD$4&lt;=In_COD)</f>
        <v>0</v>
      </c>
      <c r="CE160" s="33" t="n">
        <f aca="false">(CE60+CE106+CE99+CE120)*(CE$4&lt;=In_COD)</f>
        <v>0</v>
      </c>
      <c r="CF160" s="33" t="n">
        <f aca="false">(CF60+CF106+CF99+CF120)*(CF$4&lt;=In_COD)</f>
        <v>0</v>
      </c>
      <c r="CG160" s="33" t="n">
        <f aca="false">(CG60+CG106+CG99+CG120)*(CG$4&lt;=In_COD)</f>
        <v>0</v>
      </c>
      <c r="CH160" s="33" t="n">
        <f aca="false">(CH60+CH106+CH99+CH120)*(CH$4&lt;=In_COD)</f>
        <v>0</v>
      </c>
      <c r="CI160" s="33" t="n">
        <f aca="false">(CI60+CI106+CI99+CI120)*(CI$4&lt;=In_COD)</f>
        <v>0</v>
      </c>
      <c r="CJ160" s="33" t="n">
        <f aca="false">(CJ60+CJ106+CJ99+CJ120)*(CJ$4&lt;=In_COD)</f>
        <v>0</v>
      </c>
      <c r="CK160" s="33" t="n">
        <f aca="false">(CK60+CK106+CK99+CK120)*(CK$4&lt;=In_COD)</f>
        <v>0</v>
      </c>
      <c r="CL160" s="33" t="n">
        <f aca="false">(CL60+CL106+CL99+CL120)*(CL$4&lt;=In_COD)</f>
        <v>0</v>
      </c>
      <c r="CM160" s="33" t="n">
        <f aca="false">(CM60+CM106+CM99+CM120)*(CM$4&lt;=In_COD)</f>
        <v>0</v>
      </c>
      <c r="CN160" s="33" t="n">
        <f aca="false">(CN60+CN106+CN99+CN120)*(CN$4&lt;=In_COD)</f>
        <v>0</v>
      </c>
      <c r="CO160" s="33" t="n">
        <f aca="false">(CO60+CO106+CO99+CO120)*(CO$4&lt;=In_COD)</f>
        <v>0</v>
      </c>
      <c r="CP160" s="33" t="n">
        <f aca="false">(CP60+CP106+CP99+CP120)*(CP$4&lt;=In_COD)</f>
        <v>0</v>
      </c>
      <c r="CQ160" s="33" t="n">
        <f aca="false">(CQ60+CQ106+CQ99+CQ120)*(CQ$4&lt;=In_COD)</f>
        <v>0</v>
      </c>
      <c r="CR160" s="33" t="n">
        <f aca="false">(CR60+CR106+CR99+CR120)*(CR$4&lt;=In_COD)</f>
        <v>0</v>
      </c>
      <c r="CS160" s="33" t="n">
        <f aca="false">(CS60+CS106+CS99+CS120)*(CS$4&lt;=In_COD)</f>
        <v>0</v>
      </c>
      <c r="CT160" s="33" t="n">
        <f aca="false">(CT60+CT106+CT99+CT120)*(CT$4&lt;=In_COD)</f>
        <v>0</v>
      </c>
      <c r="CU160" s="33" t="n">
        <f aca="false">(CU60+CU106+CU99+CU120)*(CU$4&lt;=In_COD)</f>
        <v>0</v>
      </c>
      <c r="CV160" s="33" t="n">
        <f aca="false">(CV60+CV106+CV99+CV120)*(CV$4&lt;=In_COD)</f>
        <v>0</v>
      </c>
      <c r="CW160" s="33" t="n">
        <f aca="false">(CW60+CW106+CW99+CW120)*(CW$4&lt;=In_COD)</f>
        <v>0</v>
      </c>
      <c r="CX160" s="33" t="n">
        <f aca="false">(CX60+CX106+CX99+CX120)*(CX$4&lt;=In_COD)</f>
        <v>0</v>
      </c>
      <c r="CY160" s="33" t="n">
        <f aca="false">(CY60+CY106+CY99+CY120)*(CY$4&lt;=In_COD)</f>
        <v>0</v>
      </c>
      <c r="CZ160" s="33" t="n">
        <f aca="false">(CZ60+CZ106+CZ99+CZ120)*(CZ$4&lt;=In_COD)</f>
        <v>0</v>
      </c>
      <c r="DA160" s="33" t="n">
        <f aca="false">(DA60+DA106+DA99+DA120)*(DA$4&lt;=In_COD)</f>
        <v>0</v>
      </c>
      <c r="DB160" s="33" t="n">
        <f aca="false">(DB60+DB106+DB99+DB120)*(DB$4&lt;=In_COD)</f>
        <v>0</v>
      </c>
      <c r="DC160" s="33" t="n">
        <f aca="false">(DC60+DC106+DC99+DC120)*(DC$4&lt;=In_COD)</f>
        <v>0</v>
      </c>
      <c r="DD160" s="33" t="n">
        <f aca="false">(DD60+DD106+DD99+DD120)*(DD$4&lt;=In_COD)</f>
        <v>0</v>
      </c>
      <c r="DE160" s="33" t="n">
        <f aca="false">(DE60+DE106+DE99+DE120)*(DE$4&lt;=In_COD)</f>
        <v>0</v>
      </c>
      <c r="DF160" s="33" t="n">
        <f aca="false">(DF60+DF106+DF99+DF120)*(DF$4&lt;=In_COD)</f>
        <v>0</v>
      </c>
      <c r="DG160" s="33" t="n">
        <f aca="false">(DG60+DG106+DG99+DG120)*(DG$4&lt;=In_COD)</f>
        <v>0</v>
      </c>
      <c r="DH160" s="33" t="n">
        <f aca="false">(DH60+DH106+DH99+DH120)*(DH$4&lt;=In_COD)</f>
        <v>0</v>
      </c>
      <c r="DI160" s="33" t="n">
        <f aca="false">(DI60+DI106+DI99+DI120)*(DI$4&lt;=In_COD)</f>
        <v>0</v>
      </c>
      <c r="DJ160" s="33" t="n">
        <f aca="false">(DJ60+DJ106+DJ99+DJ120)*(DJ$4&lt;=In_COD)</f>
        <v>0</v>
      </c>
      <c r="DK160" s="33" t="n">
        <f aca="false">(DK60+DK106+DK99+DK120)*(DK$4&lt;=In_COD)</f>
        <v>0</v>
      </c>
      <c r="DL160" s="33" t="n">
        <f aca="false">(DL60+DL106+DL99+DL120)*(DL$4&lt;=In_COD)</f>
        <v>0</v>
      </c>
      <c r="DM160" s="33" t="n">
        <f aca="false">(DM60+DM106+DM99+DM120)*(DM$4&lt;=In_COD)</f>
        <v>0</v>
      </c>
      <c r="DN160" s="33" t="n">
        <f aca="false">(DN60+DN106+DN99+DN120)*(DN$4&lt;=In_COD)</f>
        <v>0</v>
      </c>
      <c r="DO160" s="33" t="n">
        <f aca="false">(DO60+DO106+DO99+DO120)*(DO$4&lt;=In_COD)</f>
        <v>0</v>
      </c>
      <c r="DP160" s="33" t="n">
        <f aca="false">(DP60+DP106+DP99+DP120)*(DP$4&lt;=In_COD)</f>
        <v>0</v>
      </c>
      <c r="DQ160" s="33" t="n">
        <f aca="false">(DQ60+DQ106+DQ99+DQ120)*(DQ$4&lt;=In_COD)</f>
        <v>0</v>
      </c>
      <c r="DR160" s="33" t="n">
        <f aca="false">(DR60+DR106+DR99+DR120)*(DR$4&lt;=In_COD)</f>
        <v>0</v>
      </c>
      <c r="DS160" s="33" t="n">
        <f aca="false">(DS60+DS106+DS99+DS120)*(DS$4&lt;=In_COD)</f>
        <v>0</v>
      </c>
      <c r="DT160" s="33" t="n">
        <f aca="false">(DT60+DT106+DT99+DT120)*(DT$4&lt;=In_COD)</f>
        <v>0</v>
      </c>
      <c r="DU160" s="33" t="n">
        <f aca="false">(DU60+DU106+DU99+DU120)*(DU$4&lt;=In_COD)</f>
        <v>0</v>
      </c>
      <c r="DV160" s="33" t="n">
        <f aca="false">(DV60+DV106+DV99+DV120)*(DV$4&lt;=In_COD)</f>
        <v>0</v>
      </c>
      <c r="DW160" s="33" t="n">
        <f aca="false">(DW60+DW106+DW99+DW120)*(DW$4&lt;=In_COD)</f>
        <v>0</v>
      </c>
      <c r="DX160" s="33" t="n">
        <f aca="false">(DX60+DX106+DX99+DX120)*(DX$4&lt;=In_COD)</f>
        <v>0</v>
      </c>
      <c r="DY160" s="33" t="n">
        <f aca="false">(DY60+DY106+DY99+DY120)*(DY$4&lt;=In_COD)</f>
        <v>0</v>
      </c>
      <c r="DZ160" s="33" t="n">
        <f aca="false">(DZ60+DZ106+DZ99+DZ120)*(DZ$4&lt;=In_COD)</f>
        <v>0</v>
      </c>
      <c r="EA160" s="33" t="n">
        <f aca="false">(EA60+EA106+EA99+EA120)*(EA$4&lt;=In_COD)</f>
        <v>0</v>
      </c>
      <c r="EB160" s="33" t="n">
        <f aca="false">(EB60+EB106+EB99+EB120)*(EB$4&lt;=In_COD)</f>
        <v>0</v>
      </c>
      <c r="EC160" s="33" t="n">
        <f aca="false">(EC60+EC106+EC99+EC120)*(EC$4&lt;=In_COD)</f>
        <v>0</v>
      </c>
      <c r="ED160" s="33" t="n">
        <f aca="false">(ED60+ED106+ED99+ED120)*(ED$4&lt;=In_COD)</f>
        <v>0</v>
      </c>
      <c r="EE160" s="33" t="n">
        <f aca="false">(EE60+EE106+EE99+EE120)*(EE$4&lt;=In_COD)</f>
        <v>0</v>
      </c>
      <c r="EF160" s="33" t="n">
        <f aca="false">(EF60+EF106+EF99+EF120)*(EF$4&lt;=In_COD)</f>
        <v>0</v>
      </c>
      <c r="EG160" s="33" t="n">
        <f aca="false">(EG60+EG106+EG99+EG120)*(EG$4&lt;=In_COD)</f>
        <v>0</v>
      </c>
      <c r="EH160" s="33" t="n">
        <f aca="false">(EH60+EH106+EH99+EH120)*(EH$4&lt;=In_COD)</f>
        <v>0</v>
      </c>
      <c r="EI160" s="33" t="n">
        <f aca="false">(EI60+EI106+EI99+EI120)*(EI$4&lt;=In_COD)</f>
        <v>0</v>
      </c>
      <c r="EJ160" s="33" t="n">
        <f aca="false">(EJ60+EJ106+EJ99+EJ120)*(EJ$4&lt;=In_COD)</f>
        <v>0</v>
      </c>
      <c r="EK160" s="33" t="n">
        <f aca="false">(EK60+EK106+EK99+EK120)*(EK$4&lt;=In_COD)</f>
        <v>0</v>
      </c>
      <c r="EL160" s="33" t="n">
        <f aca="false">(EL60+EL106+EL99+EL120)*(EL$4&lt;=In_COD)</f>
        <v>0</v>
      </c>
      <c r="EM160" s="33" t="n">
        <f aca="false">(EM60+EM106+EM99+EM120)*(EM$4&lt;=In_COD)</f>
        <v>0</v>
      </c>
      <c r="EN160" s="33" t="n">
        <f aca="false">(EN60+EN106+EN99+EN120)*(EN$4&lt;=In_COD)</f>
        <v>0</v>
      </c>
      <c r="EO160" s="33" t="n">
        <f aca="false">(EO60+EO106+EO99+EO120)*(EO$4&lt;=In_COD)</f>
        <v>0</v>
      </c>
      <c r="EP160" s="33" t="n">
        <f aca="false">(EP60+EP106+EP99+EP120)*(EP$4&lt;=In_COD)</f>
        <v>0</v>
      </c>
      <c r="EQ160" s="33" t="n">
        <f aca="false">(EQ60+EQ106+EQ99+EQ120)*(EQ$4&lt;=In_COD)</f>
        <v>0</v>
      </c>
      <c r="ER160" s="33" t="n">
        <f aca="false">(ER60+ER106+ER99+ER120)*(ER$4&lt;=In_COD)</f>
        <v>0</v>
      </c>
      <c r="ES160" s="33" t="n">
        <f aca="false">(ES60+ES106+ES99+ES120)*(ES$4&lt;=In_COD)</f>
        <v>0</v>
      </c>
      <c r="ET160" s="33" t="n">
        <f aca="false">(ET60+ET106+ET99+ET120)*(ET$4&lt;=In_COD)</f>
        <v>0</v>
      </c>
    </row>
    <row r="161" customFormat="false" ht="15" hidden="false" customHeight="false" outlineLevel="0" collapsed="false">
      <c r="C161" s="0" t="s">
        <v>601</v>
      </c>
      <c r="D161" s="11" t="s">
        <v>253</v>
      </c>
      <c r="E161" s="33" t="n">
        <f aca="false">SUMPRODUCT($J161:$ET161,$J21:$ET21)</f>
        <v>-2474.54304721128</v>
      </c>
      <c r="I161" s="33" t="n">
        <f aca="false">SUM(J161:ET161)</f>
        <v>-6307.65794259604</v>
      </c>
      <c r="J161" s="33" t="n">
        <f aca="false">-($E31*In_Delivered-In_Ref_Community)*J112*(1-In_CIT)/Thousand</f>
        <v>-0</v>
      </c>
      <c r="K161" s="33" t="n">
        <f aca="false">-($E31*In_Delivered-In_Ref_Community)*K112*(1-In_CIT)/Thousand</f>
        <v>-0</v>
      </c>
      <c r="L161" s="33" t="n">
        <f aca="false">-($E31*In_Delivered-In_Ref_Community)*L112*(1-In_CIT)/Thousand</f>
        <v>-0</v>
      </c>
      <c r="M161" s="33" t="n">
        <f aca="false">-($E31*In_Delivered-In_Ref_Community)*M112*(1-In_CIT)/Thousand</f>
        <v>-0</v>
      </c>
      <c r="N161" s="33" t="n">
        <f aca="false">-($E31*In_Delivered-In_Ref_Community)*N112*(1-In_CIT)/Thousand</f>
        <v>-0</v>
      </c>
      <c r="O161" s="33" t="n">
        <f aca="false">-($E31*In_Delivered-In_Ref_Community)*O112*(1-In_CIT)/Thousand</f>
        <v>-0</v>
      </c>
      <c r="P161" s="33" t="n">
        <f aca="false">-($E31*In_Delivered-In_Ref_Community)*P112*(1-In_CIT)/Thousand</f>
        <v>-0</v>
      </c>
      <c r="Q161" s="33" t="n">
        <f aca="false">-($E31*In_Delivered-In_Ref_Community)*Q112*(1-In_CIT)/Thousand</f>
        <v>-0</v>
      </c>
      <c r="R161" s="33" t="n">
        <f aca="false">-($E31*In_Delivered-In_Ref_Community)*R112*(1-In_CIT)/Thousand</f>
        <v>-0</v>
      </c>
      <c r="S161" s="33" t="n">
        <f aca="false">-($E31*In_Delivered-In_Ref_Community)*S112*(1-In_CIT)/Thousand</f>
        <v>-0</v>
      </c>
      <c r="T161" s="33" t="n">
        <f aca="false">-($E31*In_Delivered-In_Ref_Community)*T112*(1-In_CIT)/Thousand</f>
        <v>-0</v>
      </c>
      <c r="U161" s="33" t="n">
        <f aca="false">-($E31*In_Delivered-In_Ref_Community)*U112*(1-In_CIT)/Thousand</f>
        <v>-0</v>
      </c>
      <c r="V161" s="33" t="n">
        <f aca="false">-($E31*In_Delivered-In_Ref_Community)*V112*(1-In_CIT)/Thousand</f>
        <v>-0</v>
      </c>
      <c r="W161" s="33" t="n">
        <f aca="false">-($E31*In_Delivered-In_Ref_Community)*W112*(1-In_CIT)/Thousand</f>
        <v>-0</v>
      </c>
      <c r="X161" s="33" t="n">
        <f aca="false">-($E31*In_Delivered-In_Ref_Community)*X112*(1-In_CIT)/Thousand</f>
        <v>-0</v>
      </c>
      <c r="Y161" s="33" t="n">
        <f aca="false">-($E31*In_Delivered-In_Ref_Community)*Y112*(1-In_CIT)/Thousand</f>
        <v>-0</v>
      </c>
      <c r="Z161" s="33" t="n">
        <f aca="false">-($E31*In_Delivered-In_Ref_Community)*Z112*(1-In_CIT)/Thousand</f>
        <v>-0</v>
      </c>
      <c r="AA161" s="33" t="n">
        <f aca="false">-($E31*In_Delivered-In_Ref_Community)*AA112*(1-In_CIT)/Thousand</f>
        <v>-0</v>
      </c>
      <c r="AB161" s="33" t="n">
        <f aca="false">-($E31*In_Delivered-In_Ref_Community)*AB112*(1-In_CIT)/Thousand</f>
        <v>-0</v>
      </c>
      <c r="AC161" s="33" t="n">
        <f aca="false">-($E31*In_Delivered-In_Ref_Community)*AC112*(1-In_CIT)/Thousand</f>
        <v>-0</v>
      </c>
      <c r="AD161" s="33" t="n">
        <f aca="false">-($E31*In_Delivered-In_Ref_Community)*AD112*(1-In_CIT)/Thousand</f>
        <v>-0</v>
      </c>
      <c r="AE161" s="33" t="n">
        <f aca="false">-($E31*In_Delivered-In_Ref_Community)*AE112*(1-In_CIT)/Thousand</f>
        <v>-55.2964865753425</v>
      </c>
      <c r="AF161" s="33" t="n">
        <f aca="false">-($E31*In_Delivered-In_Ref_Community)*AF112*(1-In_CIT)/Thousand</f>
        <v>-54.6954378082192</v>
      </c>
      <c r="AG161" s="33" t="n">
        <f aca="false">-($E31*In_Delivered-In_Ref_Community)*AG112*(1-In_CIT)/Thousand</f>
        <v>-54.6954378082192</v>
      </c>
      <c r="AH161" s="33" t="n">
        <f aca="false">-($E31*In_Delivered-In_Ref_Community)*AH112*(1-In_CIT)/Thousand</f>
        <v>-55.2964865753425</v>
      </c>
      <c r="AI161" s="33" t="n">
        <f aca="false">-($E31*In_Delivered-In_Ref_Community)*AI112*(1-In_CIT)/Thousand</f>
        <v>-55.1305971156164</v>
      </c>
      <c r="AJ161" s="33" t="n">
        <f aca="false">-($E31*In_Delivered-In_Ref_Community)*AJ112*(1-In_CIT)/Thousand</f>
        <v>-53.9321058739726</v>
      </c>
      <c r="AK161" s="33" t="n">
        <f aca="false">-($E31*In_Delivered-In_Ref_Community)*AK112*(1-In_CIT)/Thousand</f>
        <v>-54.5313514947945</v>
      </c>
      <c r="AL161" s="33" t="n">
        <f aca="false">-($E31*In_Delivered-In_Ref_Community)*AL112*(1-In_CIT)/Thousand</f>
        <v>-55.1305971156164</v>
      </c>
      <c r="AM161" s="33" t="n">
        <f aca="false">-($E31*In_Delivered-In_Ref_Community)*AM112*(1-In_CIT)/Thousand</f>
        <v>-54.9652053242696</v>
      </c>
      <c r="AN161" s="33" t="n">
        <f aca="false">-($E31*In_Delivered-In_Ref_Community)*AN112*(1-In_CIT)/Thousand</f>
        <v>-53.7703095563507</v>
      </c>
      <c r="AO161" s="33" t="n">
        <f aca="false">-($E31*In_Delivered-In_Ref_Community)*AO112*(1-In_CIT)/Thousand</f>
        <v>-54.3677574403101</v>
      </c>
      <c r="AP161" s="33" t="n">
        <f aca="false">-($E31*In_Delivered-In_Ref_Community)*AP112*(1-In_CIT)/Thousand</f>
        <v>-54.9652053242696</v>
      </c>
      <c r="AQ161" s="33" t="n">
        <f aca="false">-($E31*In_Delivered-In_Ref_Community)*AQ112*(1-In_CIT)/Thousand</f>
        <v>-54.8003097082968</v>
      </c>
      <c r="AR161" s="33" t="n">
        <f aca="false">-($E31*In_Delivered-In_Ref_Community)*AR112*(1-In_CIT)/Thousand</f>
        <v>-53.6089986276816</v>
      </c>
      <c r="AS161" s="33" t="n">
        <f aca="false">-($E31*In_Delivered-In_Ref_Community)*AS112*(1-In_CIT)/Thousand</f>
        <v>-54.2046541679892</v>
      </c>
      <c r="AT161" s="33" t="n">
        <f aca="false">-($E31*In_Delivered-In_Ref_Community)*AT112*(1-In_CIT)/Thousand</f>
        <v>-54.8003097082968</v>
      </c>
      <c r="AU161" s="33" t="n">
        <f aca="false">-($E31*In_Delivered-In_Ref_Community)*AU112*(1-In_CIT)/Thousand</f>
        <v>-54.6359087791719</v>
      </c>
      <c r="AV161" s="33" t="n">
        <f aca="false">-($E31*In_Delivered-In_Ref_Community)*AV112*(1-In_CIT)/Thousand</f>
        <v>-54.0420402054852</v>
      </c>
      <c r="AW161" s="33" t="n">
        <f aca="false">-($E31*In_Delivered-In_Ref_Community)*AW112*(1-In_CIT)/Thousand</f>
        <v>-54.0420402054852</v>
      </c>
      <c r="AX161" s="33" t="n">
        <f aca="false">-($E31*In_Delivered-In_Ref_Community)*AX112*(1-In_CIT)/Thousand</f>
        <v>-54.6359087791719</v>
      </c>
      <c r="AY161" s="33" t="n">
        <f aca="false">-($E31*In_Delivered-In_Ref_Community)*AY112*(1-In_CIT)/Thousand</f>
        <v>-54.4720010528344</v>
      </c>
      <c r="AZ161" s="33" t="n">
        <f aca="false">-($E31*In_Delivered-In_Ref_Community)*AZ112*(1-In_CIT)/Thousand</f>
        <v>-53.2878271169032</v>
      </c>
      <c r="BA161" s="33" t="n">
        <f aca="false">-($E31*In_Delivered-In_Ref_Community)*BA112*(1-In_CIT)/Thousand</f>
        <v>-53.8799140848688</v>
      </c>
      <c r="BB161" s="33" t="n">
        <f aca="false">-($E31*In_Delivered-In_Ref_Community)*BB112*(1-In_CIT)/Thousand</f>
        <v>-54.4720010528344</v>
      </c>
      <c r="BC161" s="33" t="n">
        <f aca="false">-($E31*In_Delivered-In_Ref_Community)*BC112*(1-In_CIT)/Thousand</f>
        <v>-54.3085850496759</v>
      </c>
      <c r="BD161" s="33" t="n">
        <f aca="false">-($E31*In_Delivered-In_Ref_Community)*BD112*(1-In_CIT)/Thousand</f>
        <v>-53.1279636355525</v>
      </c>
      <c r="BE161" s="33" t="n">
        <f aca="false">-($E31*In_Delivered-In_Ref_Community)*BE112*(1-In_CIT)/Thousand</f>
        <v>-53.7182743426142</v>
      </c>
      <c r="BF161" s="33" t="n">
        <f aca="false">-($E31*In_Delivered-In_Ref_Community)*BF112*(1-In_CIT)/Thousand</f>
        <v>-54.3085850496759</v>
      </c>
      <c r="BG161" s="33" t="n">
        <f aca="false">-($E31*In_Delivered-In_Ref_Community)*BG112*(1-In_CIT)/Thousand</f>
        <v>-54.1456592945269</v>
      </c>
      <c r="BH161" s="33" t="n">
        <f aca="false">-($E31*In_Delivered-In_Ref_Community)*BH112*(1-In_CIT)/Thousand</f>
        <v>-52.9685797446458</v>
      </c>
      <c r="BI161" s="33" t="n">
        <f aca="false">-($E31*In_Delivered-In_Ref_Community)*BI112*(1-In_CIT)/Thousand</f>
        <v>-53.5571195195863</v>
      </c>
      <c r="BJ161" s="33" t="n">
        <f aca="false">-($E31*In_Delivered-In_Ref_Community)*BJ112*(1-In_CIT)/Thousand</f>
        <v>-54.1456592945269</v>
      </c>
      <c r="BK161" s="33" t="n">
        <f aca="false">-($E31*In_Delivered-In_Ref_Community)*BK112*(1-In_CIT)/Thousand</f>
        <v>-53.9832223166433</v>
      </c>
      <c r="BL161" s="33" t="n">
        <f aca="false">-($E31*In_Delivered-In_Ref_Community)*BL112*(1-In_CIT)/Thousand</f>
        <v>-53.3964481610276</v>
      </c>
      <c r="BM161" s="33" t="n">
        <f aca="false">-($E31*In_Delivered-In_Ref_Community)*BM112*(1-In_CIT)/Thousand</f>
        <v>-53.3964481610276</v>
      </c>
      <c r="BN161" s="33" t="n">
        <f aca="false">-($E31*In_Delivered-In_Ref_Community)*BN112*(1-In_CIT)/Thousand</f>
        <v>-53.9832223166433</v>
      </c>
      <c r="BO161" s="33" t="n">
        <f aca="false">-($E31*In_Delivered-In_Ref_Community)*BO112*(1-In_CIT)/Thousand</f>
        <v>-53.8212726496933</v>
      </c>
      <c r="BP161" s="33" t="n">
        <f aca="false">-($E31*In_Delivered-In_Ref_Community)*BP112*(1-In_CIT)/Thousand</f>
        <v>-52.6512449833957</v>
      </c>
      <c r="BQ161" s="33" t="n">
        <f aca="false">-($E31*In_Delivered-In_Ref_Community)*BQ112*(1-In_CIT)/Thousand</f>
        <v>-53.2362588165445</v>
      </c>
      <c r="BR161" s="33" t="n">
        <f aca="false">-($E31*In_Delivered-In_Ref_Community)*BR112*(1-In_CIT)/Thousand</f>
        <v>-53.8212726496933</v>
      </c>
      <c r="BS161" s="33" t="n">
        <f aca="false">-($E31*In_Delivered-In_Ref_Community)*BS112*(1-In_CIT)/Thousand</f>
        <v>-53.6598088317443</v>
      </c>
      <c r="BT161" s="33" t="n">
        <f aca="false">-($E31*In_Delivered-In_Ref_Community)*BT112*(1-In_CIT)/Thousand</f>
        <v>-52.4932912484455</v>
      </c>
      <c r="BU161" s="33" t="n">
        <f aca="false">-($E31*In_Delivered-In_Ref_Community)*BU112*(1-In_CIT)/Thousand</f>
        <v>-53.0765500400949</v>
      </c>
      <c r="BV161" s="33" t="n">
        <f aca="false">-($E31*In_Delivered-In_Ref_Community)*BV112*(1-In_CIT)/Thousand</f>
        <v>-53.6598088317443</v>
      </c>
      <c r="BW161" s="33" t="n">
        <f aca="false">-($E31*In_Delivered-In_Ref_Community)*BW112*(1-In_CIT)/Thousand</f>
        <v>-53.498829405249</v>
      </c>
      <c r="BX161" s="33" t="n">
        <f aca="false">-($E31*In_Delivered-In_Ref_Community)*BX112*(1-In_CIT)/Thousand</f>
        <v>-52.3358113747001</v>
      </c>
      <c r="BY161" s="33" t="n">
        <f aca="false">-($E31*In_Delivered-In_Ref_Community)*BY112*(1-In_CIT)/Thousand</f>
        <v>-52.9173203899746</v>
      </c>
      <c r="BZ161" s="33" t="n">
        <f aca="false">-($E31*In_Delivered-In_Ref_Community)*BZ112*(1-In_CIT)/Thousand</f>
        <v>-53.498829405249</v>
      </c>
      <c r="CA161" s="33" t="n">
        <f aca="false">-($E31*In_Delivered-In_Ref_Community)*CA112*(1-In_CIT)/Thousand</f>
        <v>-53.3383329170333</v>
      </c>
      <c r="CB161" s="33" t="n">
        <f aca="false">-($E31*In_Delivered-In_Ref_Community)*CB112*(1-In_CIT)/Thousand</f>
        <v>-52.7585684288047</v>
      </c>
      <c r="CC161" s="33" t="n">
        <f aca="false">-($E31*In_Delivered-In_Ref_Community)*CC112*(1-In_CIT)/Thousand</f>
        <v>-52.7585684288047</v>
      </c>
      <c r="CD161" s="33" t="n">
        <f aca="false">-($E31*In_Delivered-In_Ref_Community)*CD112*(1-In_CIT)/Thousand</f>
        <v>-53.3383329170333</v>
      </c>
      <c r="CE161" s="33" t="n">
        <f aca="false">-($E31*In_Delivered-In_Ref_Community)*CE112*(1-In_CIT)/Thousand</f>
        <v>-53.1783179182822</v>
      </c>
      <c r="CF161" s="33" t="n">
        <f aca="false">-($E31*In_Delivered-In_Ref_Community)*CF112*(1-In_CIT)/Thousand</f>
        <v>-52.0222675287543</v>
      </c>
      <c r="CG161" s="33" t="n">
        <f aca="false">-($E31*In_Delivered-In_Ref_Community)*CG112*(1-In_CIT)/Thousand</f>
        <v>-52.6002927235182</v>
      </c>
      <c r="CH161" s="33" t="n">
        <f aca="false">-($E31*In_Delivered-In_Ref_Community)*CH112*(1-In_CIT)/Thousand</f>
        <v>-53.1783179182822</v>
      </c>
      <c r="CI161" s="33" t="n">
        <f aca="false">-($E31*In_Delivered-In_Ref_Community)*CI112*(1-In_CIT)/Thousand</f>
        <v>-53.0187829645273</v>
      </c>
      <c r="CJ161" s="33" t="n">
        <f aca="false">-($E31*In_Delivered-In_Ref_Community)*CJ112*(1-In_CIT)/Thousand</f>
        <v>-51.866200726168</v>
      </c>
      <c r="CK161" s="33" t="n">
        <f aca="false">-($E31*In_Delivered-In_Ref_Community)*CK112*(1-In_CIT)/Thousand</f>
        <v>-52.4424918453477</v>
      </c>
      <c r="CL161" s="33" t="n">
        <f aca="false">-($E31*In_Delivered-In_Ref_Community)*CL112*(1-In_CIT)/Thousand</f>
        <v>-53.0187829645273</v>
      </c>
      <c r="CM161" s="33" t="n">
        <f aca="false">-($E31*In_Delivered-In_Ref_Community)*CM112*(1-In_CIT)/Thousand</f>
        <v>-52.8597266156338</v>
      </c>
      <c r="CN161" s="33" t="n">
        <f aca="false">-($E31*In_Delivered-In_Ref_Community)*CN112*(1-In_CIT)/Thousand</f>
        <v>-51.7106021239895</v>
      </c>
      <c r="CO161" s="33" t="n">
        <f aca="false">-($E31*In_Delivered-In_Ref_Community)*CO112*(1-In_CIT)/Thousand</f>
        <v>-52.2851643698116</v>
      </c>
      <c r="CP161" s="33" t="n">
        <f aca="false">-($E31*In_Delivered-In_Ref_Community)*CP112*(1-In_CIT)/Thousand</f>
        <v>-52.8597266156338</v>
      </c>
      <c r="CQ161" s="33" t="n">
        <f aca="false">-($E31*In_Delivered-In_Ref_Community)*CQ112*(1-In_CIT)/Thousand</f>
        <v>-52.7011474357869</v>
      </c>
      <c r="CR161" s="33" t="n">
        <f aca="false">-($E31*In_Delivered-In_Ref_Community)*CR112*(1-In_CIT)/Thousand</f>
        <v>-52.1283088767022</v>
      </c>
      <c r="CS161" s="33" t="n">
        <f aca="false">-($E31*In_Delivered-In_Ref_Community)*CS112*(1-In_CIT)/Thousand</f>
        <v>-52.1283088767022</v>
      </c>
      <c r="CT161" s="33" t="n">
        <f aca="false">-($E31*In_Delivered-In_Ref_Community)*CT112*(1-In_CIT)/Thousand</f>
        <v>-52.7011474357869</v>
      </c>
      <c r="CU161" s="33" t="n">
        <f aca="false">-($E31*In_Delivered-In_Ref_Community)*CU112*(1-In_CIT)/Thousand</f>
        <v>-52.5430439934795</v>
      </c>
      <c r="CV161" s="33" t="n">
        <f aca="false">-($E31*In_Delivered-In_Ref_Community)*CV112*(1-In_CIT)/Thousand</f>
        <v>-51.4008039066647</v>
      </c>
      <c r="CW161" s="33" t="n">
        <f aca="false">-($E31*In_Delivered-In_Ref_Community)*CW112*(1-In_CIT)/Thousand</f>
        <v>-51.9719239500721</v>
      </c>
      <c r="CX161" s="33" t="n">
        <f aca="false">-($E31*In_Delivered-In_Ref_Community)*CX112*(1-In_CIT)/Thousand</f>
        <v>-52.5430439934795</v>
      </c>
      <c r="CY161" s="33" t="n">
        <f aca="false">-($E31*In_Delivered-In_Ref_Community)*CY112*(1-In_CIT)/Thousand</f>
        <v>-52.3854148614991</v>
      </c>
      <c r="CZ161" s="33" t="n">
        <f aca="false">-($E31*In_Delivered-In_Ref_Community)*CZ112*(1-In_CIT)/Thousand</f>
        <v>-51.2466014949447</v>
      </c>
      <c r="DA161" s="33" t="n">
        <f aca="false">-($E31*In_Delivered-In_Ref_Community)*DA112*(1-In_CIT)/Thousand</f>
        <v>-51.8160081782219</v>
      </c>
      <c r="DB161" s="33" t="n">
        <f aca="false">-($E31*In_Delivered-In_Ref_Community)*DB112*(1-In_CIT)/Thousand</f>
        <v>-52.3854148614991</v>
      </c>
      <c r="DC161" s="33" t="n">
        <f aca="false">-($E31*In_Delivered-In_Ref_Community)*DC112*(1-In_CIT)/Thousand</f>
        <v>-52.2282586169146</v>
      </c>
      <c r="DD161" s="33" t="n">
        <f aca="false">-($E31*In_Delivered-In_Ref_Community)*DD112*(1-In_CIT)/Thousand</f>
        <v>-51.0928616904599</v>
      </c>
      <c r="DE161" s="33" t="n">
        <f aca="false">-($E31*In_Delivered-In_Ref_Community)*DE112*(1-In_CIT)/Thousand</f>
        <v>-51.6605601536872</v>
      </c>
      <c r="DF161" s="33" t="n">
        <f aca="false">-($E31*In_Delivered-In_Ref_Community)*DF112*(1-In_CIT)/Thousand</f>
        <v>-52.2282586169146</v>
      </c>
      <c r="DG161" s="33" t="n">
        <f aca="false">-($E31*In_Delivered-In_Ref_Community)*DG112*(1-In_CIT)/Thousand</f>
        <v>-52.0715738410638</v>
      </c>
      <c r="DH161" s="33" t="n">
        <f aca="false">-($E31*In_Delivered-In_Ref_Community)*DH112*(1-In_CIT)/Thousand</f>
        <v>-51.5055784732262</v>
      </c>
      <c r="DI161" s="33" t="n">
        <f aca="false">-($E31*In_Delivered-In_Ref_Community)*DI112*(1-In_CIT)/Thousand</f>
        <v>-51.5055784732262</v>
      </c>
      <c r="DJ161" s="33" t="n">
        <f aca="false">-($E31*In_Delivered-In_Ref_Community)*DJ112*(1-In_CIT)/Thousand</f>
        <v>-52.0715738410638</v>
      </c>
      <c r="DK161" s="33" t="n">
        <f aca="false">-($E31*In_Delivered-In_Ref_Community)*DK112*(1-In_CIT)/Thousand</f>
        <v>-51.9153591195406</v>
      </c>
      <c r="DL161" s="33" t="n">
        <f aca="false">-($E31*In_Delivered-In_Ref_Community)*DL112*(1-In_CIT)/Thousand</f>
        <v>-50.7867643560723</v>
      </c>
      <c r="DM161" s="33" t="n">
        <f aca="false">-($E31*In_Delivered-In_Ref_Community)*DM112*(1-In_CIT)/Thousand</f>
        <v>-51.3510617378065</v>
      </c>
      <c r="DN161" s="33" t="n">
        <f aca="false">-($E31*In_Delivered-In_Ref_Community)*DN112*(1-In_CIT)/Thousand</f>
        <v>-51.9153591195406</v>
      </c>
      <c r="DO161" s="33" t="n">
        <f aca="false">-($E31*In_Delivered-In_Ref_Community)*DO112*(1-In_CIT)/Thousand</f>
        <v>-51.759613042182</v>
      </c>
      <c r="DP161" s="33" t="n">
        <f aca="false">-($E31*In_Delivered-In_Ref_Community)*DP112*(1-In_CIT)/Thousand</f>
        <v>-50.6344040630041</v>
      </c>
      <c r="DQ161" s="33" t="n">
        <f aca="false">-($E31*In_Delivered-In_Ref_Community)*DQ112*(1-In_CIT)/Thousand</f>
        <v>-51.1970085525931</v>
      </c>
      <c r="DR161" s="33" t="n">
        <f aca="false">-($E31*In_Delivered-In_Ref_Community)*DR112*(1-In_CIT)/Thousand</f>
        <v>-51.759613042182</v>
      </c>
      <c r="DS161" s="33" t="n">
        <f aca="false">-($E31*In_Delivered-In_Ref_Community)*DS112*(1-In_CIT)/Thousand</f>
        <v>-51.6043342030555</v>
      </c>
      <c r="DT161" s="33" t="n">
        <f aca="false">-($E31*In_Delivered-In_Ref_Community)*DT112*(1-In_CIT)/Thousand</f>
        <v>-50.4825008508151</v>
      </c>
      <c r="DU161" s="33" t="n">
        <f aca="false">-($E31*In_Delivered-In_Ref_Community)*DU112*(1-In_CIT)/Thousand</f>
        <v>-51.0434175269353</v>
      </c>
      <c r="DV161" s="33" t="n">
        <f aca="false">-($E31*In_Delivered-In_Ref_Community)*DV112*(1-In_CIT)/Thousand</f>
        <v>-51.6043342030555</v>
      </c>
      <c r="DW161" s="33" t="n">
        <f aca="false">-($E31*In_Delivered-In_Ref_Community)*DW112*(1-In_CIT)/Thousand</f>
        <v>-51.4495212004463</v>
      </c>
      <c r="DX161" s="33" t="n">
        <f aca="false">-($E31*In_Delivered-In_Ref_Community)*DX112*(1-In_CIT)/Thousand</f>
        <v>-50.8902872743545</v>
      </c>
      <c r="DY161" s="33" t="n">
        <f aca="false">-($E31*In_Delivered-In_Ref_Community)*DY112*(1-In_CIT)/Thousand</f>
        <v>-50.8902872743545</v>
      </c>
      <c r="DZ161" s="33" t="n">
        <f aca="false">-($E31*In_Delivered-In_Ref_Community)*DZ112*(1-In_CIT)/Thousand</f>
        <v>-51.4495212004463</v>
      </c>
      <c r="EA161" s="33" t="n">
        <f aca="false">-($E31*In_Delivered-In_Ref_Community)*EA112*(1-In_CIT)/Thousand</f>
        <v>-51.2951726368449</v>
      </c>
      <c r="EB161" s="33" t="n">
        <f aca="false">-($E31*In_Delivered-In_Ref_Community)*EB112*(1-In_CIT)/Thousand</f>
        <v>-50.1800601882179</v>
      </c>
      <c r="EC161" s="33" t="n">
        <f aca="false">-($E31*In_Delivered-In_Ref_Community)*EC112*(1-In_CIT)/Thousand</f>
        <v>-50.7376164125314</v>
      </c>
      <c r="ED161" s="33" t="n">
        <f aca="false">-($E31*In_Delivered-In_Ref_Community)*ED112*(1-In_CIT)/Thousand</f>
        <v>-51.2951726368449</v>
      </c>
      <c r="EE161" s="33" t="n">
        <f aca="false">-($E31*In_Delivered-In_Ref_Community)*EE112*(1-In_CIT)/Thousand</f>
        <v>-51.1412871189344</v>
      </c>
      <c r="EF161" s="33" t="n">
        <f aca="false">-($E31*In_Delivered-In_Ref_Community)*EF112*(1-In_CIT)/Thousand</f>
        <v>-50.0295200076532</v>
      </c>
      <c r="EG161" s="33" t="n">
        <f aca="false">-($E31*In_Delivered-In_Ref_Community)*EG112*(1-In_CIT)/Thousand</f>
        <v>-50.5854035632938</v>
      </c>
      <c r="EH161" s="33" t="n">
        <f aca="false">-($E31*In_Delivered-In_Ref_Community)*EH112*(1-In_CIT)/Thousand</f>
        <v>-51.1412871189344</v>
      </c>
      <c r="EI161" s="33" t="n">
        <f aca="false">-($E31*In_Delivered-In_Ref_Community)*EI112*(1-In_CIT)/Thousand</f>
        <v>-50.9878632575776</v>
      </c>
      <c r="EJ161" s="33" t="n">
        <f aca="false">-($E31*In_Delivered-In_Ref_Community)*EJ112*(1-In_CIT)/Thousand</f>
        <v>-49.8794314476303</v>
      </c>
      <c r="EK161" s="33" t="n">
        <f aca="false">-($E31*In_Delivered-In_Ref_Community)*EK112*(1-In_CIT)/Thousand</f>
        <v>-50.4336473526039</v>
      </c>
      <c r="EL161" s="33" t="n">
        <f aca="false">-($E31*In_Delivered-In_Ref_Community)*EL112*(1-In_CIT)/Thousand</f>
        <v>-50.9878632575776</v>
      </c>
      <c r="EM161" s="33" t="n">
        <f aca="false">-($E31*In_Delivered-In_Ref_Community)*EM112*(1-In_CIT)/Thousand</f>
        <v>-50.8348996678049</v>
      </c>
      <c r="EN161" s="33" t="n">
        <f aca="false">-($E31*In_Delivered-In_Ref_Community)*EN112*(1-In_CIT)/Thousand</f>
        <v>-50.2823464105461</v>
      </c>
      <c r="EO161" s="33" t="n">
        <f aca="false">-($E31*In_Delivered-In_Ref_Community)*EO112*(1-In_CIT)/Thousand</f>
        <v>-50.2823464105461</v>
      </c>
      <c r="EP161" s="33" t="n">
        <f aca="false">-($E31*In_Delivered-In_Ref_Community)*EP112*(1-In_CIT)/Thousand</f>
        <v>-50.8348996678049</v>
      </c>
      <c r="EQ161" s="33" t="n">
        <f aca="false">-($E31*In_Delivered-In_Ref_Community)*EQ112*(1-In_CIT)/Thousand</f>
        <v>-50.6823949688015</v>
      </c>
      <c r="ER161" s="33" t="n">
        <f aca="false">-($E31*In_Delivered-In_Ref_Community)*ER112*(1-In_CIT)/Thousand</f>
        <v>-49.5806037738275</v>
      </c>
      <c r="ES161" s="33" t="n">
        <f aca="false">-($E31*In_Delivered-In_Ref_Community)*ES112*(1-In_CIT)/Thousand</f>
        <v>-50.1314993713145</v>
      </c>
      <c r="ET161" s="33" t="n">
        <f aca="false">-($E31*In_Delivered-In_Ref_Community)*ET112*(1-In_CIT)/Thousand</f>
        <v>-50.6823949688015</v>
      </c>
    </row>
    <row r="162" customFormat="false" ht="15" hidden="false" customHeight="false" outlineLevel="0" collapsed="false">
      <c r="C162" s="0" t="s">
        <v>602</v>
      </c>
      <c r="D162" s="11" t="s">
        <v>253</v>
      </c>
      <c r="E162" s="33" t="n">
        <f aca="false">IF(In_CN_Turbine=1,In_COD_Price_CN,In_COD_Price)*$F24*(1-$E27)</f>
        <v>245000</v>
      </c>
      <c r="F162" s="33" t="n">
        <f aca="false">In_Pass_Through*($E161+SUMPRODUCT($J87:$ET87,$J21:$ET21))</f>
        <v>-3839.08122210466</v>
      </c>
    </row>
    <row r="163" customFormat="false" ht="15" hidden="false" customHeight="false" outlineLevel="0" collapsed="false">
      <c r="A163" s="55"/>
      <c r="B163" s="55"/>
      <c r="C163" s="55" t="s">
        <v>603</v>
      </c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  <c r="DX163" s="55"/>
      <c r="DY163" s="55"/>
      <c r="DZ163" s="55"/>
      <c r="EA163" s="55"/>
      <c r="EB163" s="55"/>
      <c r="EC163" s="55"/>
      <c r="ED163" s="55"/>
      <c r="EE163" s="55"/>
      <c r="EF163" s="55"/>
      <c r="EG163" s="55"/>
      <c r="EH163" s="55"/>
      <c r="EI163" s="55"/>
      <c r="EJ163" s="55"/>
      <c r="EK163" s="55"/>
      <c r="EL163" s="55"/>
      <c r="EM163" s="55"/>
      <c r="EN163" s="55"/>
      <c r="EO163" s="55"/>
      <c r="EP163" s="55"/>
      <c r="EQ163" s="55"/>
      <c r="ER163" s="55"/>
      <c r="ES163" s="55"/>
      <c r="ET163" s="55"/>
    </row>
    <row r="164" customFormat="false" ht="15" hidden="false" customHeight="false" outlineLevel="0" collapsed="false">
      <c r="C164" s="0" t="s">
        <v>604</v>
      </c>
      <c r="D164" s="11" t="s">
        <v>253</v>
      </c>
      <c r="E164" s="33" t="n">
        <f aca="false">$I99+$I100</f>
        <v>99336.0596347059</v>
      </c>
      <c r="F164" s="33" t="n">
        <f aca="false">MAX(0,$E162+$F162-$E164)</f>
        <v>141824.859143189</v>
      </c>
    </row>
    <row r="165" customFormat="false" ht="15" hidden="false" customHeight="false" outlineLevel="0" collapsed="false">
      <c r="C165" s="0" t="s">
        <v>581</v>
      </c>
      <c r="D165" s="11" t="s">
        <v>253</v>
      </c>
      <c r="E165" s="22" t="n">
        <f aca="false">In_Sale_Costs</f>
        <v>500</v>
      </c>
      <c r="F165" s="33" t="n">
        <f aca="false">MIN($E165,$F164)</f>
        <v>500</v>
      </c>
    </row>
    <row r="166" customFormat="false" ht="15" hidden="false" customHeight="false" outlineLevel="0" collapsed="false">
      <c r="C166" s="0" t="s">
        <v>605</v>
      </c>
      <c r="D166" s="11" t="s">
        <v>253</v>
      </c>
      <c r="E166" s="33" t="n">
        <f aca="false">-$I160+$I46+$I54+$I56+$I47+$F59</f>
        <v>68289.9577668034</v>
      </c>
      <c r="F166" s="33" t="n">
        <f aca="false">MIN($E166,$F164-SUM($F165:$F165))</f>
        <v>68289.9577668034</v>
      </c>
    </row>
    <row r="167" customFormat="false" ht="15" hidden="false" customHeight="false" outlineLevel="0" collapsed="false">
      <c r="C167" s="0" t="s">
        <v>606</v>
      </c>
      <c r="D167" s="11" t="s">
        <v>253</v>
      </c>
      <c r="E167" s="33" t="n">
        <f aca="false">$F68+$F73+$F79</f>
        <v>11746.2079961624</v>
      </c>
      <c r="F167" s="33" t="n">
        <f aca="false">MIN($E167,$F164-SUM($F165:$F166))</f>
        <v>11746.2079961624</v>
      </c>
    </row>
    <row r="168" customFormat="false" ht="15" hidden="false" customHeight="false" outlineLevel="0" collapsed="false">
      <c r="C168" s="0" t="s">
        <v>587</v>
      </c>
      <c r="D168" s="11" t="s">
        <v>253</v>
      </c>
      <c r="E168" s="33" t="n">
        <f aca="false">MIN(In_DSA_Cap,In_DSA_Rate*YEARFRAC(In_Signing_Date,In_COD,0))*$E24</f>
        <v>1510</v>
      </c>
      <c r="F168" s="33" t="n">
        <f aca="false">MIN($E168,$F164-SUM($F165:$F167))</f>
        <v>1510</v>
      </c>
    </row>
    <row r="169" customFormat="false" ht="15" hidden="false" customHeight="false" outlineLevel="0" collapsed="false">
      <c r="C169" s="30" t="s">
        <v>162</v>
      </c>
      <c r="D169" s="11" t="s">
        <v>253</v>
      </c>
      <c r="F169" s="35" t="n">
        <f aca="false">MAX(0,$F164-SUM($E165:$E168))</f>
        <v>59778.6933802236</v>
      </c>
    </row>
    <row r="170" customFormat="false" ht="15" hidden="false" customHeight="false" outlineLevel="0" collapsed="false">
      <c r="C170" s="30" t="s">
        <v>175</v>
      </c>
      <c r="D170" s="11" t="s">
        <v>253</v>
      </c>
      <c r="F170" s="35" t="n">
        <f aca="false">$F166+$F167+In_FEP_Share*$F169</f>
        <v>121881.251129122</v>
      </c>
    </row>
    <row r="171" customFormat="false" ht="15" hidden="false" customHeight="false" outlineLevel="0" collapsed="false">
      <c r="C171" s="30" t="s">
        <v>607</v>
      </c>
      <c r="D171" s="11" t="s">
        <v>253</v>
      </c>
      <c r="I171" s="35" t="n">
        <f aca="false">SUM(J171:ET171)</f>
        <v>48482.2776178466</v>
      </c>
      <c r="J171" s="35" t="n">
        <f aca="false">J160+$F170*J14</f>
        <v>-400</v>
      </c>
      <c r="K171" s="35" t="n">
        <f aca="false">K160+$F170*K14</f>
        <v>-1437.78053818728</v>
      </c>
      <c r="L171" s="35" t="n">
        <f aca="false">L160+$F170*L14</f>
        <v>-691.910911990993</v>
      </c>
      <c r="M171" s="35" t="n">
        <f aca="false">M160+$F170*M14</f>
        <v>-148.451634452993</v>
      </c>
      <c r="N171" s="35" t="n">
        <f aca="false">N160+$F170*N14</f>
        <v>-149.601261024582</v>
      </c>
      <c r="O171" s="35" t="n">
        <f aca="false">O160+$F170*O14</f>
        <v>-290.127288421843</v>
      </c>
      <c r="P171" s="35" t="n">
        <f aca="false">P160+$F170*P14</f>
        <v>-1394.65781281475</v>
      </c>
      <c r="Q171" s="35" t="n">
        <f aca="false">Q160+$F170*Q14</f>
        <v>-109.225607055733</v>
      </c>
      <c r="R171" s="35" t="n">
        <f aca="false">R160+$F170*R14</f>
        <v>-269.857154566657</v>
      </c>
      <c r="S171" s="35" t="n">
        <f aca="false">S160+$F170*S14</f>
        <v>-422.991783283459</v>
      </c>
      <c r="T171" s="35" t="n">
        <f aca="false">T160+$F170*T14</f>
        <v>-20587.5113339088</v>
      </c>
      <c r="U171" s="35" t="n">
        <f aca="false">U160+$F170*U14</f>
        <v>-104.616018014637</v>
      </c>
      <c r="V171" s="35" t="n">
        <f aca="false">V160+$F170*V14</f>
        <v>-105.765644586226</v>
      </c>
      <c r="W171" s="35" t="n">
        <f aca="false">W160+$F170*W14</f>
        <v>-6875.32473538409</v>
      </c>
      <c r="X171" s="35" t="n">
        <f aca="false">X160+$F170*X14</f>
        <v>-5073.5175863622</v>
      </c>
      <c r="Y171" s="35" t="n">
        <f aca="false">Y160+$F170*Y14</f>
        <v>-5103.58937070822</v>
      </c>
      <c r="Z171" s="35" t="n">
        <f aca="false">Z160+$F170*Z14</f>
        <v>-5132.78767858878</v>
      </c>
      <c r="AA171" s="35" t="n">
        <f aca="false">AA160+$F170*AA14</f>
        <v>-5105.60714622201</v>
      </c>
      <c r="AB171" s="35" t="n">
        <f aca="false">AB160+$F170*AB14</f>
        <v>-4969.92045560723</v>
      </c>
      <c r="AC171" s="35" t="n">
        <f aca="false">AC160+$F170*AC14</f>
        <v>-4998.84116072264</v>
      </c>
      <c r="AD171" s="35" t="n">
        <f aca="false">AD160+$F170*AD14</f>
        <v>111854.36273975</v>
      </c>
      <c r="AE171" s="35" t="n">
        <f aca="false">AE160+$F170*AE14</f>
        <v>0</v>
      </c>
      <c r="AF171" s="35" t="n">
        <f aca="false">AF160+$F170*AF14</f>
        <v>0</v>
      </c>
      <c r="AG171" s="35" t="n">
        <f aca="false">AG160+$F170*AG14</f>
        <v>0</v>
      </c>
      <c r="AH171" s="35" t="n">
        <f aca="false">AH160+$F170*AH14</f>
        <v>0</v>
      </c>
      <c r="AI171" s="35" t="n">
        <f aca="false">AI160+$F170*AI14</f>
        <v>0</v>
      </c>
      <c r="AJ171" s="35" t="n">
        <f aca="false">AJ160+$F170*AJ14</f>
        <v>0</v>
      </c>
      <c r="AK171" s="35" t="n">
        <f aca="false">AK160+$F170*AK14</f>
        <v>0</v>
      </c>
      <c r="AL171" s="35" t="n">
        <f aca="false">AL160+$F170*AL14</f>
        <v>0</v>
      </c>
      <c r="AM171" s="35" t="n">
        <f aca="false">AM160+$F170*AM14</f>
        <v>0</v>
      </c>
      <c r="AN171" s="35" t="n">
        <f aca="false">AN160+$F170*AN14</f>
        <v>0</v>
      </c>
      <c r="AO171" s="35" t="n">
        <f aca="false">AO160+$F170*AO14</f>
        <v>0</v>
      </c>
      <c r="AP171" s="35" t="n">
        <f aca="false">AP160+$F170*AP14</f>
        <v>0</v>
      </c>
      <c r="AQ171" s="35" t="n">
        <f aca="false">AQ160+$F170*AQ14</f>
        <v>0</v>
      </c>
      <c r="AR171" s="35" t="n">
        <f aca="false">AR160+$F170*AR14</f>
        <v>0</v>
      </c>
      <c r="AS171" s="35" t="n">
        <f aca="false">AS160+$F170*AS14</f>
        <v>0</v>
      </c>
      <c r="AT171" s="35" t="n">
        <f aca="false">AT160+$F170*AT14</f>
        <v>0</v>
      </c>
      <c r="AU171" s="35" t="n">
        <f aca="false">AU160+$F170*AU14</f>
        <v>0</v>
      </c>
      <c r="AV171" s="35" t="n">
        <f aca="false">AV160+$F170*AV14</f>
        <v>0</v>
      </c>
      <c r="AW171" s="35" t="n">
        <f aca="false">AW160+$F170*AW14</f>
        <v>0</v>
      </c>
      <c r="AX171" s="35" t="n">
        <f aca="false">AX160+$F170*AX14</f>
        <v>0</v>
      </c>
      <c r="AY171" s="35" t="n">
        <f aca="false">AY160+$F170*AY14</f>
        <v>0</v>
      </c>
      <c r="AZ171" s="35" t="n">
        <f aca="false">AZ160+$F170*AZ14</f>
        <v>0</v>
      </c>
      <c r="BA171" s="35" t="n">
        <f aca="false">BA160+$F170*BA14</f>
        <v>0</v>
      </c>
      <c r="BB171" s="35" t="n">
        <f aca="false">BB160+$F170*BB14</f>
        <v>0</v>
      </c>
      <c r="BC171" s="35" t="n">
        <f aca="false">BC160+$F170*BC14</f>
        <v>0</v>
      </c>
      <c r="BD171" s="35" t="n">
        <f aca="false">BD160+$F170*BD14</f>
        <v>0</v>
      </c>
      <c r="BE171" s="35" t="n">
        <f aca="false">BE160+$F170*BE14</f>
        <v>0</v>
      </c>
      <c r="BF171" s="35" t="n">
        <f aca="false">BF160+$F170*BF14</f>
        <v>0</v>
      </c>
      <c r="BG171" s="35" t="n">
        <f aca="false">BG160+$F170*BG14</f>
        <v>0</v>
      </c>
      <c r="BH171" s="35" t="n">
        <f aca="false">BH160+$F170*BH14</f>
        <v>0</v>
      </c>
      <c r="BI171" s="35" t="n">
        <f aca="false">BI160+$F170*BI14</f>
        <v>0</v>
      </c>
      <c r="BJ171" s="35" t="n">
        <f aca="false">BJ160+$F170*BJ14</f>
        <v>0</v>
      </c>
      <c r="BK171" s="35" t="n">
        <f aca="false">BK160+$F170*BK14</f>
        <v>0</v>
      </c>
      <c r="BL171" s="35" t="n">
        <f aca="false">BL160+$F170*BL14</f>
        <v>0</v>
      </c>
      <c r="BM171" s="35" t="n">
        <f aca="false">BM160+$F170*BM14</f>
        <v>0</v>
      </c>
      <c r="BN171" s="35" t="n">
        <f aca="false">BN160+$F170*BN14</f>
        <v>0</v>
      </c>
      <c r="BO171" s="35" t="n">
        <f aca="false">BO160+$F170*BO14</f>
        <v>0</v>
      </c>
      <c r="BP171" s="35" t="n">
        <f aca="false">BP160+$F170*BP14</f>
        <v>0</v>
      </c>
      <c r="BQ171" s="35" t="n">
        <f aca="false">BQ160+$F170*BQ14</f>
        <v>0</v>
      </c>
      <c r="BR171" s="35" t="n">
        <f aca="false">BR160+$F170*BR14</f>
        <v>0</v>
      </c>
      <c r="BS171" s="35" t="n">
        <f aca="false">BS160+$F170*BS14</f>
        <v>0</v>
      </c>
      <c r="BT171" s="35" t="n">
        <f aca="false">BT160+$F170*BT14</f>
        <v>0</v>
      </c>
      <c r="BU171" s="35" t="n">
        <f aca="false">BU160+$F170*BU14</f>
        <v>0</v>
      </c>
      <c r="BV171" s="35" t="n">
        <f aca="false">BV160+$F170*BV14</f>
        <v>0</v>
      </c>
      <c r="BW171" s="35" t="n">
        <f aca="false">BW160+$F170*BW14</f>
        <v>0</v>
      </c>
      <c r="BX171" s="35" t="n">
        <f aca="false">BX160+$F170*BX14</f>
        <v>0</v>
      </c>
      <c r="BY171" s="35" t="n">
        <f aca="false">BY160+$F170*BY14</f>
        <v>0</v>
      </c>
      <c r="BZ171" s="35" t="n">
        <f aca="false">BZ160+$F170*BZ14</f>
        <v>0</v>
      </c>
      <c r="CA171" s="35" t="n">
        <f aca="false">CA160+$F170*CA14</f>
        <v>0</v>
      </c>
      <c r="CB171" s="35" t="n">
        <f aca="false">CB160+$F170*CB14</f>
        <v>0</v>
      </c>
      <c r="CC171" s="35" t="n">
        <f aca="false">CC160+$F170*CC14</f>
        <v>0</v>
      </c>
      <c r="CD171" s="35" t="n">
        <f aca="false">CD160+$F170*CD14</f>
        <v>0</v>
      </c>
      <c r="CE171" s="35" t="n">
        <f aca="false">CE160+$F170*CE14</f>
        <v>0</v>
      </c>
      <c r="CF171" s="35" t="n">
        <f aca="false">CF160+$F170*CF14</f>
        <v>0</v>
      </c>
      <c r="CG171" s="35" t="n">
        <f aca="false">CG160+$F170*CG14</f>
        <v>0</v>
      </c>
      <c r="CH171" s="35" t="n">
        <f aca="false">CH160+$F170*CH14</f>
        <v>0</v>
      </c>
      <c r="CI171" s="35" t="n">
        <f aca="false">CI160+$F170*CI14</f>
        <v>0</v>
      </c>
      <c r="CJ171" s="35" t="n">
        <f aca="false">CJ160+$F170*CJ14</f>
        <v>0</v>
      </c>
      <c r="CK171" s="35" t="n">
        <f aca="false">CK160+$F170*CK14</f>
        <v>0</v>
      </c>
      <c r="CL171" s="35" t="n">
        <f aca="false">CL160+$F170*CL14</f>
        <v>0</v>
      </c>
      <c r="CM171" s="35" t="n">
        <f aca="false">CM160+$F170*CM14</f>
        <v>0</v>
      </c>
      <c r="CN171" s="35" t="n">
        <f aca="false">CN160+$F170*CN14</f>
        <v>0</v>
      </c>
      <c r="CO171" s="35" t="n">
        <f aca="false">CO160+$F170*CO14</f>
        <v>0</v>
      </c>
      <c r="CP171" s="35" t="n">
        <f aca="false">CP160+$F170*CP14</f>
        <v>0</v>
      </c>
      <c r="CQ171" s="35" t="n">
        <f aca="false">CQ160+$F170*CQ14</f>
        <v>0</v>
      </c>
      <c r="CR171" s="35" t="n">
        <f aca="false">CR160+$F170*CR14</f>
        <v>0</v>
      </c>
      <c r="CS171" s="35" t="n">
        <f aca="false">CS160+$F170*CS14</f>
        <v>0</v>
      </c>
      <c r="CT171" s="35" t="n">
        <f aca="false">CT160+$F170*CT14</f>
        <v>0</v>
      </c>
      <c r="CU171" s="35" t="n">
        <f aca="false">CU160+$F170*CU14</f>
        <v>0</v>
      </c>
      <c r="CV171" s="35" t="n">
        <f aca="false">CV160+$F170*CV14</f>
        <v>0</v>
      </c>
      <c r="CW171" s="35" t="n">
        <f aca="false">CW160+$F170*CW14</f>
        <v>0</v>
      </c>
      <c r="CX171" s="35" t="n">
        <f aca="false">CX160+$F170*CX14</f>
        <v>0</v>
      </c>
      <c r="CY171" s="35" t="n">
        <f aca="false">CY160+$F170*CY14</f>
        <v>0</v>
      </c>
      <c r="CZ171" s="35" t="n">
        <f aca="false">CZ160+$F170*CZ14</f>
        <v>0</v>
      </c>
      <c r="DA171" s="35" t="n">
        <f aca="false">DA160+$F170*DA14</f>
        <v>0</v>
      </c>
      <c r="DB171" s="35" t="n">
        <f aca="false">DB160+$F170*DB14</f>
        <v>0</v>
      </c>
      <c r="DC171" s="35" t="n">
        <f aca="false">DC160+$F170*DC14</f>
        <v>0</v>
      </c>
      <c r="DD171" s="35" t="n">
        <f aca="false">DD160+$F170*DD14</f>
        <v>0</v>
      </c>
      <c r="DE171" s="35" t="n">
        <f aca="false">DE160+$F170*DE14</f>
        <v>0</v>
      </c>
      <c r="DF171" s="35" t="n">
        <f aca="false">DF160+$F170*DF14</f>
        <v>0</v>
      </c>
      <c r="DG171" s="35" t="n">
        <f aca="false">DG160+$F170*DG14</f>
        <v>0</v>
      </c>
      <c r="DH171" s="35" t="n">
        <f aca="false">DH160+$F170*DH14</f>
        <v>0</v>
      </c>
      <c r="DI171" s="35" t="n">
        <f aca="false">DI160+$F170*DI14</f>
        <v>0</v>
      </c>
      <c r="DJ171" s="35" t="n">
        <f aca="false">DJ160+$F170*DJ14</f>
        <v>0</v>
      </c>
      <c r="DK171" s="35" t="n">
        <f aca="false">DK160+$F170*DK14</f>
        <v>0</v>
      </c>
      <c r="DL171" s="35" t="n">
        <f aca="false">DL160+$F170*DL14</f>
        <v>0</v>
      </c>
      <c r="DM171" s="35" t="n">
        <f aca="false">DM160+$F170*DM14</f>
        <v>0</v>
      </c>
      <c r="DN171" s="35" t="n">
        <f aca="false">DN160+$F170*DN14</f>
        <v>0</v>
      </c>
      <c r="DO171" s="35" t="n">
        <f aca="false">DO160+$F170*DO14</f>
        <v>0</v>
      </c>
      <c r="DP171" s="35" t="n">
        <f aca="false">DP160+$F170*DP14</f>
        <v>0</v>
      </c>
      <c r="DQ171" s="35" t="n">
        <f aca="false">DQ160+$F170*DQ14</f>
        <v>0</v>
      </c>
      <c r="DR171" s="35" t="n">
        <f aca="false">DR160+$F170*DR14</f>
        <v>0</v>
      </c>
      <c r="DS171" s="35" t="n">
        <f aca="false">DS160+$F170*DS14</f>
        <v>0</v>
      </c>
      <c r="DT171" s="35" t="n">
        <f aca="false">DT160+$F170*DT14</f>
        <v>0</v>
      </c>
      <c r="DU171" s="35" t="n">
        <f aca="false">DU160+$F170*DU14</f>
        <v>0</v>
      </c>
      <c r="DV171" s="35" t="n">
        <f aca="false">DV160+$F170*DV14</f>
        <v>0</v>
      </c>
      <c r="DW171" s="35" t="n">
        <f aca="false">DW160+$F170*DW14</f>
        <v>0</v>
      </c>
      <c r="DX171" s="35" t="n">
        <f aca="false">DX160+$F170*DX14</f>
        <v>0</v>
      </c>
      <c r="DY171" s="35" t="n">
        <f aca="false">DY160+$F170*DY14</f>
        <v>0</v>
      </c>
      <c r="DZ171" s="35" t="n">
        <f aca="false">DZ160+$F170*DZ14</f>
        <v>0</v>
      </c>
      <c r="EA171" s="35" t="n">
        <f aca="false">EA160+$F170*EA14</f>
        <v>0</v>
      </c>
      <c r="EB171" s="35" t="n">
        <f aca="false">EB160+$F170*EB14</f>
        <v>0</v>
      </c>
      <c r="EC171" s="35" t="n">
        <f aca="false">EC160+$F170*EC14</f>
        <v>0</v>
      </c>
      <c r="ED171" s="35" t="n">
        <f aca="false">ED160+$F170*ED14</f>
        <v>0</v>
      </c>
      <c r="EE171" s="35" t="n">
        <f aca="false">EE160+$F170*EE14</f>
        <v>0</v>
      </c>
      <c r="EF171" s="35" t="n">
        <f aca="false">EF160+$F170*EF14</f>
        <v>0</v>
      </c>
      <c r="EG171" s="35" t="n">
        <f aca="false">EG160+$F170*EG14</f>
        <v>0</v>
      </c>
      <c r="EH171" s="35" t="n">
        <f aca="false">EH160+$F170*EH14</f>
        <v>0</v>
      </c>
      <c r="EI171" s="35" t="n">
        <f aca="false">EI160+$F170*EI14</f>
        <v>0</v>
      </c>
      <c r="EJ171" s="35" t="n">
        <f aca="false">EJ160+$F170*EJ14</f>
        <v>0</v>
      </c>
      <c r="EK171" s="35" t="n">
        <f aca="false">EK160+$F170*EK14</f>
        <v>0</v>
      </c>
      <c r="EL171" s="35" t="n">
        <f aca="false">EL160+$F170*EL14</f>
        <v>0</v>
      </c>
      <c r="EM171" s="35" t="n">
        <f aca="false">EM160+$F170*EM14</f>
        <v>0</v>
      </c>
      <c r="EN171" s="35" t="n">
        <f aca="false">EN160+$F170*EN14</f>
        <v>0</v>
      </c>
      <c r="EO171" s="35" t="n">
        <f aca="false">EO160+$F170*EO14</f>
        <v>0</v>
      </c>
      <c r="EP171" s="35" t="n">
        <f aca="false">EP160+$F170*EP14</f>
        <v>0</v>
      </c>
      <c r="EQ171" s="35" t="n">
        <f aca="false">EQ160+$F170*EQ14</f>
        <v>0</v>
      </c>
      <c r="ER171" s="35" t="n">
        <f aca="false">ER160+$F170*ER14</f>
        <v>0</v>
      </c>
      <c r="ES171" s="35" t="n">
        <f aca="false">ES160+$F170*ES14</f>
        <v>0</v>
      </c>
      <c r="ET171" s="35" t="n">
        <f aca="false">ET160+$F170*ET14</f>
        <v>0</v>
      </c>
    </row>
    <row r="172" customFormat="false" ht="15" hidden="false" customHeight="false" outlineLevel="0" collapsed="false">
      <c r="C172" s="30" t="s">
        <v>77</v>
      </c>
      <c r="D172" s="11" t="s">
        <v>35</v>
      </c>
      <c r="E172" s="57" t="n">
        <f aca="false">XIRR($J171:$ET171,$J$4:$ET$4)</f>
        <v>0.339207407992561</v>
      </c>
    </row>
    <row r="173" customFormat="false" ht="15" hidden="false" customHeight="false" outlineLevel="0" collapsed="false">
      <c r="C173" s="30" t="s">
        <v>608</v>
      </c>
      <c r="D173" s="11" t="s">
        <v>13</v>
      </c>
      <c r="E173" s="58" t="n">
        <f aca="false">$F170/-$I160</f>
        <v>1.66053073086095</v>
      </c>
    </row>
    <row r="174" customFormat="false" ht="15" hidden="false" customHeight="false" outlineLevel="0" collapsed="false">
      <c r="C174" s="30" t="s">
        <v>79</v>
      </c>
      <c r="D174" s="11" t="s">
        <v>253</v>
      </c>
      <c r="E174" s="35" t="n">
        <f aca="false">XNPV(In_Discount_Rate,$J171:$ET171,$J$4:$ET$4)</f>
        <v>26530.583975982</v>
      </c>
    </row>
    <row r="175" customFormat="false" ht="15" hidden="false" customHeight="false" outlineLevel="0" collapsed="false">
      <c r="A175" s="55"/>
      <c r="B175" s="55"/>
      <c r="C175" s="55" t="s">
        <v>609</v>
      </c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55"/>
      <c r="BK175" s="55"/>
      <c r="BL175" s="55"/>
      <c r="BM175" s="55"/>
      <c r="BN175" s="55"/>
      <c r="BO175" s="55"/>
      <c r="BP175" s="55"/>
      <c r="BQ175" s="55"/>
      <c r="BR175" s="55"/>
      <c r="BS175" s="55"/>
      <c r="BT175" s="55"/>
      <c r="BU175" s="55"/>
      <c r="BV175" s="55"/>
      <c r="BW175" s="55"/>
      <c r="BX175" s="5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55"/>
      <c r="CO175" s="55"/>
      <c r="CP175" s="55"/>
      <c r="CQ175" s="55"/>
      <c r="CR175" s="55"/>
      <c r="CS175" s="55"/>
      <c r="CT175" s="55"/>
      <c r="CU175" s="55"/>
      <c r="CV175" s="55"/>
      <c r="CW175" s="55"/>
      <c r="CX175" s="55"/>
      <c r="CY175" s="55"/>
      <c r="CZ175" s="55"/>
      <c r="DA175" s="55"/>
      <c r="DB175" s="55"/>
      <c r="DC175" s="55"/>
      <c r="DD175" s="55"/>
      <c r="DE175" s="55"/>
      <c r="DF175" s="55"/>
      <c r="DG175" s="55"/>
      <c r="DH175" s="55"/>
      <c r="DI175" s="55"/>
      <c r="DJ175" s="55"/>
      <c r="DK175" s="55"/>
      <c r="DL175" s="55"/>
      <c r="DM175" s="55"/>
      <c r="DN175" s="55"/>
      <c r="DO175" s="55"/>
      <c r="DP175" s="55"/>
      <c r="DQ175" s="55"/>
      <c r="DR175" s="55"/>
      <c r="DS175" s="55"/>
      <c r="DT175" s="55"/>
      <c r="DU175" s="55"/>
      <c r="DV175" s="55"/>
      <c r="DW175" s="55"/>
      <c r="DX175" s="55"/>
      <c r="DY175" s="55"/>
      <c r="DZ175" s="55"/>
      <c r="EA175" s="55"/>
      <c r="EB175" s="55"/>
      <c r="EC175" s="55"/>
      <c r="ED175" s="55"/>
      <c r="EE175" s="55"/>
      <c r="EF175" s="55"/>
      <c r="EG175" s="55"/>
      <c r="EH175" s="55"/>
      <c r="EI175" s="55"/>
      <c r="EJ175" s="55"/>
      <c r="EK175" s="55"/>
      <c r="EL175" s="55"/>
      <c r="EM175" s="55"/>
      <c r="EN175" s="55"/>
      <c r="EO175" s="55"/>
      <c r="EP175" s="55"/>
      <c r="EQ175" s="55"/>
      <c r="ER175" s="55"/>
      <c r="ES175" s="55"/>
      <c r="ET175" s="55"/>
    </row>
    <row r="176" customFormat="false" ht="15" hidden="false" customHeight="false" outlineLevel="0" collapsed="false">
      <c r="C176" s="0" t="s">
        <v>610</v>
      </c>
      <c r="D176" s="11" t="s">
        <v>253</v>
      </c>
      <c r="E176" s="33" t="n">
        <f aca="false">$E93*$F24</f>
        <v>60000</v>
      </c>
      <c r="F176" s="33" t="n">
        <f aca="false">In_Installation*$F24</f>
        <v>8000</v>
      </c>
    </row>
    <row r="177" customFormat="false" ht="15" hidden="false" customHeight="false" outlineLevel="0" collapsed="false">
      <c r="C177" s="0" t="s">
        <v>611</v>
      </c>
      <c r="D177" s="11" t="s">
        <v>253</v>
      </c>
      <c r="E177" s="33" t="n">
        <f aca="false">In_Foundations*$F24</f>
        <v>9000</v>
      </c>
      <c r="F177" s="33" t="n">
        <f aca="false">In_BoP*$F24</f>
        <v>13000</v>
      </c>
    </row>
    <row r="178" customFormat="false" ht="15" hidden="false" customHeight="false" outlineLevel="0" collapsed="false">
      <c r="C178" s="0" t="s">
        <v>612</v>
      </c>
      <c r="D178" s="11" t="s">
        <v>253</v>
      </c>
      <c r="E178" s="33" t="n">
        <f aca="false">In_Owner*$F24</f>
        <v>4000</v>
      </c>
      <c r="F178" s="33" t="n">
        <f aca="false">In_Easements*$F24-SUMIF($J$4:$ET$4,"&lt;="&amp;In_COD,$J120:$ET120)</f>
        <v>2118.49126824379</v>
      </c>
    </row>
    <row r="179" customFormat="false" ht="15" hidden="false" customHeight="false" outlineLevel="0" collapsed="false">
      <c r="C179" s="0" t="s">
        <v>613</v>
      </c>
      <c r="D179" s="11" t="s">
        <v>253</v>
      </c>
      <c r="E179" s="33" t="n">
        <f aca="false">In_Capex_Contingency*(($E93+$F93)*$F24+$E94)</f>
        <v>5375</v>
      </c>
      <c r="F179" s="33" t="n">
        <f aca="false">$E94</f>
        <v>12000</v>
      </c>
    </row>
    <row r="180" customFormat="false" ht="15" hidden="false" customHeight="false" outlineLevel="0" collapsed="false">
      <c r="C180" s="0" t="s">
        <v>614</v>
      </c>
      <c r="D180" s="11" t="s">
        <v>253</v>
      </c>
      <c r="E180" s="33" t="n">
        <f aca="false">In_BESS_Capex*$F26</f>
        <v>20400</v>
      </c>
      <c r="F180" s="33" t="n">
        <f aca="false">-$I53</f>
        <v>20179.3874082192</v>
      </c>
    </row>
    <row r="181" customFormat="false" ht="15" hidden="false" customHeight="false" outlineLevel="0" collapsed="false">
      <c r="C181" s="0" t="s">
        <v>615</v>
      </c>
      <c r="D181" s="11" t="s">
        <v>253</v>
      </c>
      <c r="E181" s="33" t="n">
        <f aca="false">-$I96</f>
        <v>5000</v>
      </c>
      <c r="F181" s="33" t="n">
        <f aca="false">-($I57+$I46+$I47+$I50)</f>
        <v>4760.72040238188</v>
      </c>
    </row>
    <row r="182" customFormat="false" ht="15" hidden="false" customHeight="false" outlineLevel="0" collapsed="false">
      <c r="C182" s="0" t="s">
        <v>119</v>
      </c>
      <c r="D182" s="11" t="s">
        <v>253</v>
      </c>
      <c r="E182" s="33" t="n">
        <f aca="false">$I100-$I104-$I105-$F59</f>
        <v>8901.43406713672</v>
      </c>
    </row>
    <row r="183" customFormat="false" ht="15" hidden="false" customHeight="false" outlineLevel="0" collapsed="false">
      <c r="C183" s="30" t="s">
        <v>616</v>
      </c>
      <c r="D183" s="11" t="s">
        <v>253</v>
      </c>
      <c r="E183" s="35" t="n">
        <f aca="false">SUM($E176:$F182)</f>
        <v>172735.033145982</v>
      </c>
      <c r="F183" s="35" t="n">
        <f aca="false">$I99+$I100-$I160</f>
        <v>172735.033145982</v>
      </c>
    </row>
    <row r="184" customFormat="false" ht="15" hidden="false" customHeight="false" outlineLevel="0" collapsed="false">
      <c r="C184" s="0" t="s">
        <v>617</v>
      </c>
      <c r="D184" s="11" t="s">
        <v>253</v>
      </c>
      <c r="E184" s="33" t="n">
        <f aca="false">-($I95+$I99)-SUMIF($J$4:$ET$4,"&lt;="&amp;In_COD,$J120:$ET120)</f>
        <v>38820.8588233123</v>
      </c>
      <c r="F184" s="33" t="n">
        <f aca="false">-($I104+$I105)</f>
        <v>2626.3903023952</v>
      </c>
    </row>
    <row r="185" customFormat="false" ht="15" hidden="false" customHeight="false" outlineLevel="0" collapsed="false">
      <c r="A185" s="55"/>
      <c r="B185" s="55"/>
      <c r="C185" s="55" t="s">
        <v>618</v>
      </c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/>
      <c r="BB185" s="55"/>
      <c r="BC185" s="55"/>
      <c r="BD185" s="55"/>
      <c r="BE185" s="55"/>
      <c r="BF185" s="55"/>
      <c r="BG185" s="55"/>
      <c r="BH185" s="55"/>
      <c r="BI185" s="55"/>
      <c r="BJ185" s="55"/>
      <c r="BK185" s="55"/>
      <c r="BL185" s="55"/>
      <c r="BM185" s="55"/>
      <c r="BN185" s="55"/>
      <c r="BO185" s="55"/>
      <c r="BP185" s="55"/>
      <c r="BQ185" s="55"/>
      <c r="BR185" s="55"/>
      <c r="BS185" s="55"/>
      <c r="BT185" s="55"/>
      <c r="BU185" s="55"/>
      <c r="BV185" s="55"/>
      <c r="BW185" s="55"/>
      <c r="BX185" s="55"/>
      <c r="BY185" s="55"/>
      <c r="BZ185" s="55"/>
      <c r="CA185" s="55"/>
      <c r="CB185" s="55"/>
      <c r="CC185" s="55"/>
      <c r="CD185" s="55"/>
      <c r="CE185" s="55"/>
      <c r="CF185" s="55"/>
      <c r="CG185" s="55"/>
      <c r="CH185" s="55"/>
      <c r="CI185" s="55"/>
      <c r="CJ185" s="55"/>
      <c r="CK185" s="55"/>
      <c r="CL185" s="55"/>
      <c r="CM185" s="55"/>
      <c r="CN185" s="55"/>
      <c r="CO185" s="55"/>
      <c r="CP185" s="55"/>
      <c r="CQ185" s="55"/>
      <c r="CR185" s="55"/>
      <c r="CS185" s="55"/>
      <c r="CT185" s="55"/>
      <c r="CU185" s="55"/>
      <c r="CV185" s="55"/>
      <c r="CW185" s="55"/>
      <c r="CX185" s="55"/>
      <c r="CY185" s="55"/>
      <c r="CZ185" s="55"/>
      <c r="DA185" s="55"/>
      <c r="DB185" s="55"/>
      <c r="DC185" s="55"/>
      <c r="DD185" s="55"/>
      <c r="DE185" s="55"/>
      <c r="DF185" s="55"/>
      <c r="DG185" s="55"/>
      <c r="DH185" s="55"/>
      <c r="DI185" s="55"/>
      <c r="DJ185" s="55"/>
      <c r="DK185" s="55"/>
      <c r="DL185" s="55"/>
      <c r="DM185" s="55"/>
      <c r="DN185" s="55"/>
      <c r="DO185" s="55"/>
      <c r="DP185" s="55"/>
      <c r="DQ185" s="55"/>
      <c r="DR185" s="55"/>
      <c r="DS185" s="55"/>
      <c r="DT185" s="55"/>
      <c r="DU185" s="55"/>
      <c r="DV185" s="55"/>
      <c r="DW185" s="55"/>
      <c r="DX185" s="55"/>
      <c r="DY185" s="55"/>
      <c r="DZ185" s="55"/>
      <c r="EA185" s="55"/>
      <c r="EB185" s="55"/>
      <c r="EC185" s="55"/>
      <c r="ED185" s="55"/>
      <c r="EE185" s="55"/>
      <c r="EF185" s="55"/>
      <c r="EG185" s="55"/>
      <c r="EH185" s="55"/>
      <c r="EI185" s="55"/>
      <c r="EJ185" s="55"/>
      <c r="EK185" s="55"/>
      <c r="EL185" s="55"/>
      <c r="EM185" s="55"/>
      <c r="EN185" s="55"/>
      <c r="EO185" s="55"/>
      <c r="EP185" s="55"/>
      <c r="EQ185" s="55"/>
      <c r="ER185" s="55"/>
      <c r="ES185" s="55"/>
      <c r="ET185" s="55"/>
    </row>
    <row r="186" customFormat="false" ht="15" hidden="false" customHeight="false" outlineLevel="0" collapsed="false">
      <c r="C186" s="0" t="s">
        <v>143</v>
      </c>
      <c r="D186" s="11" t="s">
        <v>253</v>
      </c>
      <c r="E186" s="33" t="n">
        <f aca="false">$E49-$I47-$I50</f>
        <v>8234.65753424658</v>
      </c>
    </row>
    <row r="187" customFormat="false" ht="15" hidden="false" customHeight="false" outlineLevel="0" collapsed="false">
      <c r="C187" s="30" t="s">
        <v>619</v>
      </c>
      <c r="D187" s="11" t="s">
        <v>253</v>
      </c>
      <c r="E187" s="35" t="n">
        <f aca="false">$E183+$E49</f>
        <v>179728.594789817</v>
      </c>
    </row>
    <row r="188" customFormat="false" ht="15" hidden="false" customHeight="false" outlineLevel="0" collapsed="false">
      <c r="C188" s="0" t="s">
        <v>620</v>
      </c>
      <c r="D188" s="11" t="s">
        <v>253</v>
      </c>
      <c r="E188" s="33" t="n">
        <f aca="false">-$I87</f>
        <v>1418.21917808219</v>
      </c>
      <c r="F188" s="33" t="n">
        <f aca="false">$F86</f>
        <v>6993.56164383562</v>
      </c>
    </row>
    <row r="190" customFormat="false" ht="15" hidden="false" customHeight="false" outlineLevel="0" collapsed="false">
      <c r="A190" s="9" t="s">
        <v>13</v>
      </c>
      <c r="B190" s="9"/>
      <c r="C190" s="9" t="s">
        <v>178</v>
      </c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</row>
    <row r="191" customFormat="false" ht="15" hidden="false" customHeight="false" outlineLevel="0" collapsed="false">
      <c r="C191" s="30" t="s">
        <v>621</v>
      </c>
      <c r="D191" s="11" t="s">
        <v>253</v>
      </c>
      <c r="I191" s="35" t="n">
        <f aca="false">SUM(J191:ET191)</f>
        <v>278469.644233254</v>
      </c>
      <c r="J191" s="35" t="n">
        <f aca="false">J60+J106+J99+J120+J103+J101+J129+J87-$F144*J12</f>
        <v>-400</v>
      </c>
      <c r="K191" s="35" t="n">
        <f aca="false">K60+K106+K99+K120+K103+K101+K129+K87-$F144*K12</f>
        <v>-1437.78053818728</v>
      </c>
      <c r="L191" s="35" t="n">
        <f aca="false">L60+L106+L99+L120+L103+L101+L129+L87-$F144*L12</f>
        <v>-691.910911990993</v>
      </c>
      <c r="M191" s="35" t="n">
        <f aca="false">M60+M106+M99+M120+M103+M101+M129+M87-$F144*M12</f>
        <v>-148.451634452993</v>
      </c>
      <c r="N191" s="35" t="n">
        <f aca="false">N60+N106+N99+N120+N103+N101+N129+N87-$F144*N12</f>
        <v>-149.601261024582</v>
      </c>
      <c r="O191" s="35" t="n">
        <f aca="false">O60+O106+O99+O120+O103+O101+O129+O87-$F144*O12</f>
        <v>-290.127288421843</v>
      </c>
      <c r="P191" s="35" t="n">
        <f aca="false">P60+P106+P99+P120+P103+P101+P129+P87-$F144*P12</f>
        <v>-1394.65781281475</v>
      </c>
      <c r="Q191" s="35" t="n">
        <f aca="false">Q60+Q106+Q99+Q120+Q103+Q101+Q129+Q87-$F144*Q12</f>
        <v>-109.225607055733</v>
      </c>
      <c r="R191" s="35" t="n">
        <f aca="false">R60+R106+R99+R120+R103+R101+R129+R87-$F144*R12</f>
        <v>-269.857154566657</v>
      </c>
      <c r="S191" s="35" t="n">
        <f aca="false">S60+S106+S99+S120+S103+S101+S129+S87-$F144*S12</f>
        <v>-422.991783283459</v>
      </c>
      <c r="T191" s="35" t="n">
        <f aca="false">T60+T106+T99+T120+T103+T101+T129+T87-$F144*T12</f>
        <v>-20587.5113339088</v>
      </c>
      <c r="U191" s="35" t="n">
        <f aca="false">U60+U106+U99+U120+U103+U101+U129+U87-$F144*U12</f>
        <v>-104.616018014637</v>
      </c>
      <c r="V191" s="35" t="n">
        <f aca="false">V60+V106+V99+V120+V103+V101+V129+V87-$F144*V12</f>
        <v>-105.765644586226</v>
      </c>
      <c r="W191" s="35" t="n">
        <f aca="false">W60+W106+W99+W120+W103+W101+W129+W87-$F144*W12</f>
        <v>-10324.3941457621</v>
      </c>
      <c r="X191" s="35" t="n">
        <f aca="false">X60+X106+X99+X120+X103+X101+X129+X87-$F144*X12</f>
        <v>-5073.5175863622</v>
      </c>
      <c r="Y191" s="35" t="n">
        <f aca="false">Y60+Y106+Y99+Y120+Y103+Y101+Y129+Y87-$F144*Y12</f>
        <v>-5103.58937070822</v>
      </c>
      <c r="Z191" s="35" t="n">
        <f aca="false">Z60+Z106+Z99+Z120+Z103+Z101+Z129+Z87-$F144*Z12</f>
        <v>-5132.78767858878</v>
      </c>
      <c r="AA191" s="35" t="n">
        <f aca="false">AA60+AA106+AA99+AA120+AA103+AA101+AA129+AA87-$F144*AA12</f>
        <v>-5105.60714622201</v>
      </c>
      <c r="AB191" s="35" t="n">
        <f aca="false">AB60+AB106+AB99+AB120+AB103+AB101+AB129+AB87-$F144*AB12</f>
        <v>-4969.92045560723</v>
      </c>
      <c r="AC191" s="35" t="n">
        <f aca="false">AC60+AC106+AC99+AC120+AC103+AC101+AC129+AC87-$F144*AC12</f>
        <v>-4998.84116072264</v>
      </c>
      <c r="AD191" s="35" t="n">
        <f aca="false">AD60+AD106+AD99+AD120+AD103+AD101+AD129+AD87-$F144*AD12</f>
        <v>-10026.8883893726</v>
      </c>
      <c r="AE191" s="35" t="n">
        <f aca="false">AE60+AE106+AE99+AE120+AE103+AE101+AE129+AE87-$F144*AE12</f>
        <v>874.393407109325</v>
      </c>
      <c r="AF191" s="35" t="n">
        <f aca="false">AF60+AF106+AF99+AF120+AF103+AF101+AF129+AF87-$F144*AF12</f>
        <v>-560.072909893331</v>
      </c>
      <c r="AG191" s="35" t="n">
        <f aca="false">AG60+AG106+AG99+AG120+AG103+AG101+AG129+AG87-$F144*AG12</f>
        <v>858.146268188861</v>
      </c>
      <c r="AH191" s="35" t="n">
        <f aca="false">AH60+AH106+AH99+AH120+AH103+AH101+AH129+AH87-$F144*AH12</f>
        <v>902.422023615627</v>
      </c>
      <c r="AI191" s="35" t="n">
        <f aca="false">AI60+AI106+AI99+AI120+AI103+AI101+AI129+AI87-$F144*AI12</f>
        <v>887.727990101891</v>
      </c>
      <c r="AJ191" s="35" t="n">
        <f aca="false">AJ60+AJ106+AJ99+AJ120+AJ103+AJ101+AJ129+AJ87-$F144*AJ12</f>
        <v>826.680388268668</v>
      </c>
      <c r="AK191" s="35" t="n">
        <f aca="false">AK60+AK106+AK99+AK120+AK103+AK101+AK129+AK87-$F144*AK12</f>
        <v>964.097236992855</v>
      </c>
      <c r="AL191" s="35" t="n">
        <f aca="false">AL60+AL106+AL99+AL120+AL103+AL101+AL129+AL87-$F144*AL12</f>
        <v>925.793262766851</v>
      </c>
      <c r="AM191" s="35" t="n">
        <f aca="false">AM60+AM106+AM99+AM120+AM103+AM101+AM129+AM87-$F144*AM12</f>
        <v>909.969296222041</v>
      </c>
      <c r="AN191" s="35" t="n">
        <f aca="false">AN60+AN106+AN99+AN120+AN103+AN101+AN129+AN87-$F144*AN12</f>
        <v>845.404881547606</v>
      </c>
      <c r="AO191" s="35" t="n">
        <f aca="false">AO60+AO106+AO99+AO120+AO103+AO101+AO129+AO87-$F144*AO12</f>
        <v>886.590388683276</v>
      </c>
      <c r="AP191" s="35" t="n">
        <f aca="false">AP60+AP106+AP99+AP120+AP103+AP101+AP129+AP87-$F144*AP12</f>
        <v>927.745556516224</v>
      </c>
      <c r="AQ191" s="35" t="n">
        <f aca="false">AQ60+AQ106+AQ99+AQ120+AQ103+AQ101+AQ129+AQ87-$F144*AQ12</f>
        <v>911.715877644968</v>
      </c>
      <c r="AR191" s="35" t="n">
        <f aca="false">AR60+AR106+AR99+AR120+AR103+AR101+AR129+AR87-$F144*AR12</f>
        <v>846.543277615423</v>
      </c>
      <c r="AS191" s="35" t="n">
        <f aca="false">AS60+AS106+AS99+AS120+AS103+AS101+AS129+AS87-$F144*AS12</f>
        <v>887.727694520745</v>
      </c>
      <c r="AT191" s="35" t="n">
        <f aca="false">AT60+AT106+AT99+AT120+AT103+AT101+AT129+AT87-$F144*AT12</f>
        <v>928.88022647735</v>
      </c>
      <c r="AU191" s="35" t="n">
        <f aca="false">AU60+AU106+AU99+AU120+AU103+AU101+AU129+AU87-$F144*AU12</f>
        <v>912.638411235669</v>
      </c>
      <c r="AV191" s="35" t="n">
        <f aca="false">AV60+AV106+AV99+AV120+AV103+AV101+AV129+AV87-$F144*AV12</f>
        <v>890.70113207518</v>
      </c>
      <c r="AW191" s="35" t="n">
        <f aca="false">AW60+AW106+AW99+AW120+AW103+AW101+AW129+AW87-$F144*AW12</f>
        <v>888.020385021271</v>
      </c>
      <c r="AX191" s="35" t="n">
        <f aca="false">AX60+AX106+AX99+AX120+AX103+AX101+AX129+AX87-$F144*AX12</f>
        <v>929.16022862069</v>
      </c>
      <c r="AY191" s="35" t="n">
        <f aca="false">AY60+AY106+AY99+AY120+AY103+AY101+AY129+AY87-$F144*AY12</f>
        <v>912.699544478946</v>
      </c>
      <c r="AZ191" s="35" t="n">
        <f aca="false">AZ60+AZ106+AZ99+AZ120+AZ103+AZ101+AZ129+AZ87-$F144*AZ12</f>
        <v>846.278418220016</v>
      </c>
      <c r="BA191" s="35" t="n">
        <f aca="false">BA60+BA106+BA99+BA120+BA103+BA101+BA129+BA87-$F144*BA12</f>
        <v>887.43027860781</v>
      </c>
      <c r="BB191" s="35" t="n">
        <f aca="false">BB60+BB106+BB99+BB120+BB103+BB101+BB129+BB87-$F144*BB12</f>
        <v>928.546922512905</v>
      </c>
      <c r="BC191" s="35" t="n">
        <f aca="false">BC60+BC106+BC99+BC120+BC103+BC101+BC129+BC87-$F144*BC12</f>
        <v>911.86031268293</v>
      </c>
      <c r="BD191" s="35" t="n">
        <f aca="false">BD60+BD106+BD99+BD120+BD103+BD101+BD129+BD87-$F144*BD12</f>
        <v>844.798079926203</v>
      </c>
      <c r="BE191" s="35" t="n">
        <f aca="false">BE60+BE106+BE99+BE120+BE103+BE101+BE129+BE87-$F144*BE12</f>
        <v>885.917544416721</v>
      </c>
      <c r="BF191" s="35" t="n">
        <f aca="false">BF60+BF106+BF99+BF120+BF103+BF101+BF129+BF87-$F144*BF12</f>
        <v>926.999998308965</v>
      </c>
      <c r="BG191" s="35" t="n">
        <f aca="false">BG60+BG106+BG99+BG120+BG103+BG101+BG129+BG87-$F144*BG12</f>
        <v>910.080065163074</v>
      </c>
      <c r="BH191" s="35" t="n">
        <f aca="false">BH60+BH106+BH99+BH120+BH103+BH101+BH129+BH87-$F144*BH12</f>
        <v>842.36495707647</v>
      </c>
      <c r="BI191" s="35" t="n">
        <f aca="false">BI60+BI106+BI99+BI120+BI103+BI101+BI129+BI87-$F144*BI12</f>
        <v>883.440626714007</v>
      </c>
      <c r="BJ191" s="35" t="n">
        <f aca="false">BJ60+BJ106+BJ99+BJ120+BJ103+BJ101+BJ129+BJ87-$F144*BJ12</f>
        <v>924.477400235871</v>
      </c>
      <c r="BK191" s="35" t="n">
        <f aca="false">BK60+BK106+BK99+BK120+BK103+BK101+BK129+BK87-$F144*BK12</f>
        <v>907.316387876432</v>
      </c>
      <c r="BL191" s="35" t="n">
        <f aca="false">BL60+BL106+BL99+BL120+BL103+BL101+BL129+BL87-$F144*BL12</f>
        <v>883.226380985904</v>
      </c>
      <c r="BM191" s="35" t="n">
        <f aca="false">BM60+BM106+BM99+BM120+BM103+BM101+BM129+BM87-$F144*BM12</f>
        <v>879.956165674805</v>
      </c>
      <c r="BN191" s="35" t="n">
        <f aca="false">BN60+BN106+BN99+BN120+BN103+BN101+BN129+BN87-$F144*BN12</f>
        <v>920.935246394432</v>
      </c>
      <c r="BO191" s="35" t="n">
        <f aca="false">BO60+BO106+BO99+BO120+BO103+BO101+BO129+BO87-$F144*BO12</f>
        <v>903.525022330628</v>
      </c>
      <c r="BP191" s="35" t="n">
        <f aca="false">BP60+BP106+BP99+BP120+BP103+BP101+BP129+BP87-$F144*BP12</f>
        <v>834.467123776132</v>
      </c>
      <c r="BQ191" s="35" t="n">
        <f aca="false">BQ60+BQ106+BQ99+BQ120+BQ103+BQ101+BQ129+BQ87-$F144*BQ12</f>
        <v>875.418914346086</v>
      </c>
      <c r="BR191" s="35" t="n">
        <f aca="false">BR60+BR106+BR99+BR120+BR103+BR101+BR129+BR87-$F144*BR12</f>
        <v>916.32774469689</v>
      </c>
      <c r="BS191" s="35" t="n">
        <f aca="false">BS60+BS106+BS99+BS120+BS103+BS101+BS129+BS87-$F144*BS12</f>
        <v>4069.60725622995</v>
      </c>
      <c r="BT191" s="35" t="n">
        <f aca="false">BT60+BT106+BT99+BT120+BT103+BT101+BT129+BT87-$F144*BT12</f>
        <v>4003.42584117317</v>
      </c>
      <c r="BU191" s="35" t="n">
        <f aca="false">BU60+BU106+BU99+BU120+BU103+BU101+BU129+BU87-$F144*BU12</f>
        <v>4047.90835051954</v>
      </c>
      <c r="BV191" s="35" t="n">
        <f aca="false">BV60+BV106+BV99+BV120+BV103+BV101+BV129+BV87-$F144*BV12</f>
        <v>4092.39085986591</v>
      </c>
      <c r="BW191" s="35" t="n">
        <f aca="false">BW60+BW106+BW99+BW120+BW103+BW101+BW129+BW87-$F144*BW12</f>
        <v>4078.15898065686</v>
      </c>
      <c r="BX191" s="35" t="n">
        <f aca="false">BX60+BX106+BX99+BX120+BX103+BX101+BX129+BX87-$F144*BX12</f>
        <v>4011.45486590955</v>
      </c>
      <c r="BY191" s="35" t="n">
        <f aca="false">BY60+BY106+BY99+BY120+BY103+BY101+BY129+BY87-$F144*BY12</f>
        <v>4056.02658664188</v>
      </c>
      <c r="BZ191" s="35" t="n">
        <f aca="false">BZ60+BZ106+BZ99+BZ120+BZ103+BZ101+BZ129+BZ87-$F144*BZ12</f>
        <v>4100.59830737421</v>
      </c>
      <c r="CA191" s="35" t="n">
        <f aca="false">CA60+CA106+CA99+CA120+CA103+CA101+CA129+CA87-$F144*CA12</f>
        <v>4086.27900066486</v>
      </c>
      <c r="CB191" s="35" t="n">
        <f aca="false">CB60+CB106+CB99+CB120+CB103+CB101+CB129+CB87-$F144*CB12</f>
        <v>4063.70340708089</v>
      </c>
      <c r="CC191" s="35" t="n">
        <f aca="false">CC60+CC106+CC99+CC120+CC103+CC101+CC129+CC87-$F144*CC12</f>
        <v>4063.70340708089</v>
      </c>
      <c r="CD191" s="35" t="n">
        <f aca="false">CD60+CD106+CD99+CD120+CD103+CD101+CD129+CD87-$F144*CD12</f>
        <v>4108.35948847738</v>
      </c>
      <c r="CE191" s="35" t="n">
        <f aca="false">CE60+CE106+CE99+CE120+CE103+CE101+CE129+CE87-$F144*CE12</f>
        <v>4093.95252293801</v>
      </c>
      <c r="CF191" s="35" t="n">
        <f aca="false">CF60+CF106+CF99+CF120+CF103+CF101+CF129+CF87-$F144*CF12</f>
        <v>4026.18836092788</v>
      </c>
      <c r="CG191" s="35" t="n">
        <f aca="false">CG60+CG106+CG99+CG120+CG103+CG101+CG129+CG87-$F144*CG12</f>
        <v>4070.92378716041</v>
      </c>
      <c r="CH191" s="35" t="n">
        <f aca="false">CH60+CH106+CH99+CH120+CH103+CH101+CH129+CH87-$F144*CH12</f>
        <v>4115.65921339294</v>
      </c>
      <c r="CI191" s="35" t="n">
        <f aca="false">CI60+CI106+CI99+CI120+CI103+CI101+CI129+CI87-$F144*CI12</f>
        <v>4101.16436400994</v>
      </c>
      <c r="CJ191" s="35" t="n">
        <f aca="false">CJ60+CJ106+CJ99+CJ120+CJ103+CJ101+CJ129+CJ87-$F144*CJ12</f>
        <v>4032.86272067897</v>
      </c>
      <c r="CK191" s="35" t="n">
        <f aca="false">CK60+CK106+CK99+CK120+CK103+CK101+CK129+CK87-$F144*CK12</f>
        <v>4077.6723064643</v>
      </c>
      <c r="CL191" s="35" t="n">
        <f aca="false">CL60+CL106+CL99+CL120+CL103+CL101+CL129+CL87-$F144*CL12</f>
        <v>4122.48189224962</v>
      </c>
      <c r="CM191" s="35" t="n">
        <f aca="false">CM60+CM106+CM99+CM120+CM103+CM101+CM129+CM87-$F144*CM12</f>
        <v>4107.89894054444</v>
      </c>
      <c r="CN191" s="35" t="n">
        <f aca="false">CN60+CN106+CN99+CN120+CN103+CN101+CN129+CN87-$F144*CN12</f>
        <v>4039.05475283845</v>
      </c>
      <c r="CO191" s="35" t="n">
        <f aca="false">CO60+CO106+CO99+CO120+CO103+CO101+CO129+CO87-$F144*CO12</f>
        <v>4083.9331389811</v>
      </c>
      <c r="CP191" s="35" t="n">
        <f aca="false">CP60+CP106+CP99+CP120+CP103+CP101+CP129+CP87-$F144*CP12</f>
        <v>4128.81152512375</v>
      </c>
      <c r="CQ191" s="35" t="n">
        <f aca="false">CQ60+CQ106+CQ99+CQ120+CQ103+CQ101+CQ129+CQ87-$F144*CQ12</f>
        <v>4114.14025937721</v>
      </c>
      <c r="CR191" s="35" t="n">
        <f aca="false">CR60+CR106+CR99+CR120+CR103+CR101+CR129+CR87-$F144*CR12</f>
        <v>4089.69004300646</v>
      </c>
      <c r="CS191" s="35" t="n">
        <f aca="false">CS60+CS106+CS99+CS120+CS103+CS101+CS129+CS87-$F144*CS12</f>
        <v>4089.69004300646</v>
      </c>
      <c r="CT191" s="35" t="n">
        <f aca="false">CT60+CT106+CT99+CT120+CT103+CT101+CT129+CT87-$F144*CT12</f>
        <v>4134.63169183071</v>
      </c>
      <c r="CU191" s="35" t="n">
        <f aca="false">CU60+CU106+CU99+CU120+CU103+CU101+CU129+CU87-$F144*CU12</f>
        <v>4119.87190731273</v>
      </c>
      <c r="CV191" s="35" t="n">
        <f aca="false">CV60+CV106+CV99+CV120+CV103+CV101+CV129+CV87-$F144*CV12</f>
        <v>4049.92716012924</v>
      </c>
      <c r="CW191" s="35" t="n">
        <f aca="false">CW60+CW106+CW99+CW120+CW103+CW101+CW129+CW87-$F144*CW12</f>
        <v>4094.92635079735</v>
      </c>
      <c r="CX191" s="35" t="n">
        <f aca="false">CX60+CX106+CX99+CX120+CX103+CX101+CX129+CX87-$F144*CX12</f>
        <v>4139.92554146545</v>
      </c>
      <c r="CY191" s="35" t="n">
        <f aca="false">CY60+CY106+CY99+CY120+CY103+CY101+CY129+CY87-$F144*CY12</f>
        <v>4125.07704067048</v>
      </c>
      <c r="CZ191" s="35" t="n">
        <f aca="false">CZ60+CZ106+CZ99+CZ120+CZ103+CZ101+CZ129+CZ87-$F144*CZ12</f>
        <v>4054.57413425806</v>
      </c>
      <c r="DA191" s="35" t="n">
        <f aca="false">DA60+DA106+DA99+DA120+DA103+DA101+DA129+DA87-$F144*DA12</f>
        <v>4099.62495797204</v>
      </c>
      <c r="DB191" s="35" t="n">
        <f aca="false">DB60+DB106+DB99+DB120+DB103+DB101+DB129+DB87-$F144*DB12</f>
        <v>4144.67578168601</v>
      </c>
      <c r="DC191" s="35" t="n">
        <f aca="false">DC60+DC106+DC99+DC120+DC103+DC101+DC129+DC87-$F144*DC12</f>
        <v>4129.73837457408</v>
      </c>
      <c r="DD191" s="35" t="n">
        <f aca="false">DD60+DD106+DD99+DD120+DD103+DD101+DD129+DD87-$F144*DD12</f>
        <v>4058.67195756549</v>
      </c>
      <c r="DE191" s="35" t="n">
        <f aca="false">DE60+DE106+DE99+DE120+DE103+DE101+DE129+DE87-$F144*DE12</f>
        <v>4103.76831264955</v>
      </c>
      <c r="DF191" s="35" t="n">
        <f aca="false">DF60+DF106+DF99+DF120+DF103+DF101+DF129+DF87-$F144*DF12</f>
        <v>4148.86466773361</v>
      </c>
      <c r="DG191" s="35" t="n">
        <f aca="false">DG60+DG106+DG99+DG120+DG103+DG101+DG129+DG87-$F144*DG12</f>
        <v>3948.00494486583</v>
      </c>
      <c r="DH191" s="35" t="n">
        <f aca="false">DH60+DH106+DH99+DH120+DH103+DH101+DH129+DH87-$F144*DH12</f>
        <v>3923.5251035924</v>
      </c>
      <c r="DI191" s="35" t="n">
        <f aca="false">DI60+DI106+DI99+DI120+DI103+DI101+DI129+DI87-$F144*DI12</f>
        <v>3923.5251035924</v>
      </c>
      <c r="DJ191" s="35" t="n">
        <f aca="false">DJ60+DJ106+DJ99+DJ120+DJ103+DJ101+DJ129+DJ87-$F144*DJ12</f>
        <v>3966.64076407144</v>
      </c>
      <c r="DK191" s="35" t="n">
        <f aca="false">DK60+DK106+DK99+DK120+DK103+DK101+DK129+DK87-$F144*DK12</f>
        <v>3951.52500530895</v>
      </c>
      <c r="DL191" s="35" t="n">
        <f aca="false">DL60+DL106+DL99+DL120+DL103+DL101+DL129+DL87-$F144*DL12</f>
        <v>3883.35506214572</v>
      </c>
      <c r="DM191" s="35" t="n">
        <f aca="false">DM60+DM106+DM99+DM120+DM103+DM101+DM129+DM87-$F144*DM12</f>
        <v>3926.50345172512</v>
      </c>
      <c r="DN191" s="35" t="n">
        <f aca="false">DN60+DN106+DN99+DN120+DN103+DN101+DN129+DN87-$F144*DN12</f>
        <v>3969.65184130451</v>
      </c>
      <c r="DO191" s="35" t="n">
        <f aca="false">DO60+DO106+DO99+DO120+DO103+DO101+DO129+DO87-$F144*DO12</f>
        <v>3954.44665339857</v>
      </c>
      <c r="DP191" s="35" t="n">
        <f aca="false">DP60+DP106+DP99+DP120+DP103+DP101+DP129+DP87-$F144*DP12</f>
        <v>3885.69668644693</v>
      </c>
      <c r="DQ191" s="35" t="n">
        <f aca="false">DQ60+DQ106+DQ99+DQ120+DQ103+DQ101+DQ129+DQ87-$F144*DQ12</f>
        <v>3928.87109407412</v>
      </c>
      <c r="DR191" s="35" t="n">
        <f aca="false">DR60+DR106+DR99+DR120+DR103+DR101+DR129+DR87-$F144*DR12</f>
        <v>3972.04550170131</v>
      </c>
      <c r="DS191" s="35" t="n">
        <f aca="false">DS60+DS106+DS99+DS120+DS103+DS101+DS129+DS87-$F144*DS12</f>
        <v>3956.75072700462</v>
      </c>
      <c r="DT191" s="35" t="n">
        <f aca="false">DT60+DT106+DT99+DT120+DT103+DT101+DT129+DT87-$F144*DT12</f>
        <v>3887.415073898</v>
      </c>
      <c r="DU191" s="35" t="n">
        <f aca="false">DU60+DU106+DU99+DU120+DU103+DU101+DU129+DU87-$F144*DU12</f>
        <v>3930.60857471908</v>
      </c>
      <c r="DV191" s="35" t="n">
        <f aca="false">DV60+DV106+DV99+DV120+DV103+DV101+DV129+DV87-$F144*DV12</f>
        <v>3973.80207554017</v>
      </c>
      <c r="DW191" s="35" t="n">
        <f aca="false">DW60+DW106+DW99+DW120+DW103+DW101+DW129+DW87-$F144*DW12</f>
        <v>3958.41756516718</v>
      </c>
      <c r="DX191" s="35" t="n">
        <f aca="false">DX60+DX106+DX99+DX120+DX103+DX101+DX129+DX87-$F144*DX12</f>
        <v>3931.695931801</v>
      </c>
      <c r="DY191" s="35" t="n">
        <f aca="false">DY60+DY106+DY99+DY120+DY103+DY101+DY129+DY87-$F144*DY12</f>
        <v>3931.695931801</v>
      </c>
      <c r="DZ191" s="35" t="n">
        <f aca="false">DZ60+DZ106+DZ99+DZ120+DZ103+DZ101+DZ129+DZ87-$F144*DZ12</f>
        <v>3974.90138160101</v>
      </c>
      <c r="EA191" s="35" t="n">
        <f aca="false">EA60+EA106+EA99+EA120+EA103+EA101+EA129+EA87-$F144*EA12</f>
        <v>3959.42699570617</v>
      </c>
      <c r="EB191" s="35" t="n">
        <f aca="false">EB60+EB106+EB99+EB120+EB103+EB101+EB129+EB87-$F144*EB12</f>
        <v>3888.90265545373</v>
      </c>
      <c r="EC191" s="35" t="n">
        <f aca="false">EC60+EC106+EC99+EC120+EC103+EC101+EC129+EC87-$F144*EC12</f>
        <v>3932.11268495877</v>
      </c>
      <c r="ED191" s="35" t="n">
        <f aca="false">ED60+ED106+ED99+ED120+ED103+ED101+ED129+ED87-$F144*ED12</f>
        <v>3975.32271446381</v>
      </c>
      <c r="EE191" s="35" t="n">
        <f aca="false">EE60+EE106+EE99+EE120+EE103+EE101+EE129+EE87-$F144*EE12</f>
        <v>3959.75832252664</v>
      </c>
      <c r="EF191" s="35" t="n">
        <f aca="false">EF60+EF106+EF99+EF120+EF103+EF101+EF129+EF87-$F144*EF12</f>
        <v>3888.63081341921</v>
      </c>
      <c r="EG191" s="35" t="n">
        <f aca="false">EG60+EG106+EG99+EG120+EG103+EG101+EG129+EG87-$F144*EG12</f>
        <v>3931.8378224572</v>
      </c>
      <c r="EH191" s="35" t="n">
        <f aca="false">EH60+EH106+EH99+EH120+EH103+EH101+EH129+EH87-$F144*EH12</f>
        <v>3975.04483149519</v>
      </c>
      <c r="EI191" s="35" t="n">
        <f aca="false">EI60+EI106+EI99+EI120+EI103+EI101+EI129+EI87-$F144*EI12</f>
        <v>3959.39031261208</v>
      </c>
      <c r="EJ191" s="35" t="n">
        <f aca="false">EJ60+EJ106+EJ99+EJ120+EJ103+EJ101+EJ129+EJ87-$F144*EJ12</f>
        <v>3887.65363648219</v>
      </c>
      <c r="EK191" s="35" t="n">
        <f aca="false">EK60+EK106+EK99+EK120+EK103+EK101+EK129+EK87-$F144*EK12</f>
        <v>3930.84978799866</v>
      </c>
      <c r="EL191" s="35" t="n">
        <f aca="false">EL60+EL106+EL99+EL120+EL103+EL101+EL129+EL87-$F144*EL12</f>
        <v>3974.04593951513</v>
      </c>
      <c r="EM191" s="35" t="n">
        <f aca="false">EM60+EM106+EM99+EM120+EM103+EM101+EM129+EM87-$F144*EM12</f>
        <v>3958.30118269824</v>
      </c>
      <c r="EN191" s="35" t="n">
        <f aca="false">EN60+EN106+EN99+EN120+EN103+EN101+EN129+EN87-$F144*EN12</f>
        <v>3929.12646721084</v>
      </c>
      <c r="EO191" s="35" t="n">
        <f aca="false">EO60+EO106+EO99+EO120+EO103+EO101+EO129+EO87-$F144*EO12</f>
        <v>3929.12646721084</v>
      </c>
      <c r="EP191" s="35" t="n">
        <f aca="false">EP60+EP106+EP99+EP120+EP103+EP101+EP129+EP87-$F144*EP12</f>
        <v>3972.30368113624</v>
      </c>
      <c r="EQ191" s="35" t="n">
        <f aca="false">EQ60+EQ106+EQ99+EQ120+EQ103+EQ101+EQ129+EQ87-$F144*EQ12</f>
        <v>3956.46858561953</v>
      </c>
      <c r="ER191" s="35" t="n">
        <f aca="false">ER60+ER106+ER99+ER120+ER103+ER101+ER129+ER87-$F144*ER12</f>
        <v>3883.49522683763</v>
      </c>
      <c r="ES191" s="35" t="n">
        <f aca="false">ES60+ES106+ES99+ES120+ES103+ES101+ES129+ES87-$F144*ES12</f>
        <v>3926.6451738025</v>
      </c>
      <c r="ET191" s="35" t="n">
        <f aca="false">ET60+ET106+ET99+ET120+ET103+ET101+ET129+ET87-$F144*ET12</f>
        <v>3969.79512076736</v>
      </c>
    </row>
    <row r="192" customFormat="false" ht="15" hidden="false" customHeight="false" outlineLevel="0" collapsed="false">
      <c r="C192" s="30" t="s">
        <v>81</v>
      </c>
      <c r="D192" s="11" t="s">
        <v>35</v>
      </c>
      <c r="E192" s="57" t="n">
        <f aca="false">XIRR($J191:$ET191,$J$4:$ET$4)</f>
        <v>0.0887506658196496</v>
      </c>
    </row>
    <row r="193" customFormat="false" ht="15" hidden="false" customHeight="false" outlineLevel="0" collapsed="false">
      <c r="C193" s="30" t="s">
        <v>179</v>
      </c>
      <c r="D193" s="11" t="s">
        <v>13</v>
      </c>
      <c r="E193" s="58" t="n">
        <f aca="false">SUMIF($J191:$ET191,"&gt;0")/-SUMIF($J191:$ET191,"&lt;0")</f>
        <v>4.59742181090224</v>
      </c>
    </row>
    <row r="194" customFormat="false" ht="15" hidden="false" customHeight="false" outlineLevel="0" collapsed="false">
      <c r="C194" s="30" t="s">
        <v>83</v>
      </c>
      <c r="D194" s="11" t="s">
        <v>253</v>
      </c>
      <c r="E194" s="35" t="n">
        <f aca="false">XNPV(In_Discount_Rate,$J191:$ET191,$J$4:$ET$4)</f>
        <v>8141.80305533397</v>
      </c>
    </row>
    <row r="195" customFormat="false" ht="15" hidden="false" customHeight="false" outlineLevel="0" collapsed="false">
      <c r="C195" s="0" t="s">
        <v>622</v>
      </c>
      <c r="D195" s="11" t="s">
        <v>13</v>
      </c>
      <c r="E195" s="50" t="n">
        <f aca="false">MIN($J195:$ET195)</f>
        <v>1.26316018482958</v>
      </c>
      <c r="J195" s="50" t="str">
        <f aca="false">IF(J103+J101&lt;0,(J120+J129)/-(J103+J101),"")</f>
        <v/>
      </c>
      <c r="K195" s="50" t="str">
        <f aca="false">IF(K103+K101&lt;0,(K120+K129)/-(K103+K101),"")</f>
        <v/>
      </c>
      <c r="L195" s="50" t="str">
        <f aca="false">IF(L103+L101&lt;0,(L120+L129)/-(L103+L101),"")</f>
        <v/>
      </c>
      <c r="M195" s="50" t="str">
        <f aca="false">IF(M103+M101&lt;0,(M120+M129)/-(M103+M101),"")</f>
        <v/>
      </c>
      <c r="N195" s="50" t="str">
        <f aca="false">IF(N103+N101&lt;0,(N120+N129)/-(N103+N101),"")</f>
        <v/>
      </c>
      <c r="O195" s="50" t="str">
        <f aca="false">IF(O103+O101&lt;0,(O120+O129)/-(O103+O101),"")</f>
        <v/>
      </c>
      <c r="P195" s="50" t="str">
        <f aca="false">IF(P103+P101&lt;0,(P120+P129)/-(P103+P101),"")</f>
        <v/>
      </c>
      <c r="Q195" s="50" t="str">
        <f aca="false">IF(Q103+Q101&lt;0,(Q120+Q129)/-(Q103+Q101),"")</f>
        <v/>
      </c>
      <c r="R195" s="50" t="str">
        <f aca="false">IF(R103+R101&lt;0,(R120+R129)/-(R103+R101),"")</f>
        <v/>
      </c>
      <c r="S195" s="50" t="str">
        <f aca="false">IF(S103+S101&lt;0,(S120+S129)/-(S103+S101),"")</f>
        <v/>
      </c>
      <c r="T195" s="50" t="str">
        <f aca="false">IF(T103+T101&lt;0,(T120+T129)/-(T103+T101),"")</f>
        <v/>
      </c>
      <c r="U195" s="50" t="str">
        <f aca="false">IF(U103+U101&lt;0,(U120+U129)/-(U103+U101),"")</f>
        <v/>
      </c>
      <c r="V195" s="50" t="str">
        <f aca="false">IF(V103+V101&lt;0,(V120+V129)/-(V103+V101),"")</f>
        <v/>
      </c>
      <c r="W195" s="50" t="str">
        <f aca="false">IF(W103+W101&lt;0,(W120+W129)/-(W103+W101),"")</f>
        <v/>
      </c>
      <c r="X195" s="50" t="str">
        <f aca="false">IF(X103+X101&lt;0,(X120+X129)/-(X103+X101),"")</f>
        <v/>
      </c>
      <c r="Y195" s="50" t="str">
        <f aca="false">IF(Y103+Y101&lt;0,(Y120+Y129)/-(Y103+Y101),"")</f>
        <v/>
      </c>
      <c r="Z195" s="50" t="str">
        <f aca="false">IF(Z103+Z101&lt;0,(Z120+Z129)/-(Z103+Z101),"")</f>
        <v/>
      </c>
      <c r="AA195" s="50" t="str">
        <f aca="false">IF(AA103+AA101&lt;0,(AA120+AA129)/-(AA103+AA101),"")</f>
        <v/>
      </c>
      <c r="AB195" s="50" t="str">
        <f aca="false">IF(AB103+AB101&lt;0,(AB120+AB129)/-(AB103+AB101),"")</f>
        <v/>
      </c>
      <c r="AC195" s="50" t="str">
        <f aca="false">IF(AC103+AC101&lt;0,(AC120+AC129)/-(AC103+AC101),"")</f>
        <v/>
      </c>
      <c r="AD195" s="50" t="str">
        <f aca="false">IF(AD103+AD101&lt;0,(AD120+AD129)/-(AD103+AD101),"")</f>
        <v/>
      </c>
      <c r="AE195" s="50" t="n">
        <f aca="false">IF(AE103+AE101&lt;0,(AE120+AE129)/-(AE103+AE101),"")</f>
        <v>1.30910605086437</v>
      </c>
      <c r="AF195" s="50" t="n">
        <f aca="false">IF(AF103+AF101&lt;0,(AF120+AF129)/-(AF103+AF101),"")</f>
        <v>1.30361975201342</v>
      </c>
      <c r="AG195" s="50" t="n">
        <f aca="false">IF(AG103+AG101&lt;0,(AG120+AG129)/-(AG103+AG101),"")</f>
        <v>1.30361975201342</v>
      </c>
      <c r="AH195" s="50" t="n">
        <f aca="false">IF(AH103+AH101&lt;0,(AH120+AH129)/-(AH103+AH101),"")</f>
        <v>1.31794524379379</v>
      </c>
      <c r="AI195" s="50" t="n">
        <f aca="false">IF(AI103+AI101&lt;0,(AI120+AI129)/-(AI103+AI101),"")</f>
        <v>1.31331128702642</v>
      </c>
      <c r="AJ195" s="50" t="n">
        <f aca="false">IF(AJ103+AJ101&lt;0,(AJ120+AJ129)/-(AJ103+AJ101),"")</f>
        <v>1.29333402298692</v>
      </c>
      <c r="AK195" s="50" t="n">
        <f aca="false">IF(AK103+AK101&lt;0,(AK120+AK129)/-(AK103+AK101),"")</f>
        <v>1.30404074630601</v>
      </c>
      <c r="AL195" s="50" t="n">
        <f aca="false">IF(AL103+AL101&lt;0,(AL120+AL129)/-(AL103+AL101),"")</f>
        <v>1.29196108414819</v>
      </c>
      <c r="AM195" s="50" t="n">
        <f aca="false">IF(AM103+AM101&lt;0,(AM120+AM129)/-(AM103+AM101),"")</f>
        <v>1.2869707881353</v>
      </c>
      <c r="AN195" s="50" t="n">
        <f aca="false">IF(AN103+AN101&lt;0,(AN120+AN129)/-(AN103+AN101),"")</f>
        <v>1.26660955062812</v>
      </c>
      <c r="AO195" s="50" t="n">
        <f aca="false">IF(AO103+AO101&lt;0,(AO120+AO129)/-(AO103+AO101),"")</f>
        <v>1.27959794209534</v>
      </c>
      <c r="AP195" s="50" t="n">
        <f aca="false">IF(AP103+AP101&lt;0,(AP120+AP129)/-(AP103+AP101),"")</f>
        <v>1.29257676566432</v>
      </c>
      <c r="AQ195" s="50" t="n">
        <f aca="false">IF(AQ103+AQ101&lt;0,(AQ120+AQ129)/-(AQ103+AQ101),"")</f>
        <v>1.28752159556316</v>
      </c>
      <c r="AR195" s="50" t="n">
        <f aca="false">IF(AR103+AR101&lt;0,(AR120+AR129)/-(AR103+AR101),"")</f>
        <v>1.26696855880362</v>
      </c>
      <c r="AS195" s="50" t="n">
        <f aca="false">IF(AS103+AS101&lt;0,(AS120+AS129)/-(AS103+AS101),"")</f>
        <v>1.27995660645235</v>
      </c>
      <c r="AT195" s="50" t="n">
        <f aca="false">IF(AT103+AT101&lt;0,(AT120+AT129)/-(AT103+AT101),"")</f>
        <v>1.29293459876306</v>
      </c>
      <c r="AU195" s="50" t="n">
        <f aca="false">IF(AU103+AU101&lt;0,(AU120+AU129)/-(AU103+AU101),"")</f>
        <v>1.28781252866684</v>
      </c>
      <c r="AV195" s="50" t="n">
        <f aca="false">IF(AV103+AV101&lt;0,(AV120+AV129)/-(AV103+AV101),"")</f>
        <v>1.28089431910047</v>
      </c>
      <c r="AW195" s="50" t="n">
        <f aca="false">IF(AW103+AW101&lt;0,(AW120+AW129)/-(AW103+AW101),"")</f>
        <v>1.28004891025201</v>
      </c>
      <c r="AX195" s="50" t="n">
        <f aca="false">IF(AX103+AX101&lt;0,(AX120+AX129)/-(AX103+AX101),"")</f>
        <v>1.29302290112236</v>
      </c>
      <c r="AY195" s="50" t="n">
        <f aca="false">IF(AY103+AY101&lt;0,(AY120+AY129)/-(AY103+AY101),"")</f>
        <v>1.28783180783931</v>
      </c>
      <c r="AZ195" s="50" t="n">
        <f aca="false">IF(AZ103+AZ101&lt;0,(AZ120+AZ129)/-(AZ103+AZ101),"")</f>
        <v>1.26688503190907</v>
      </c>
      <c r="BA195" s="50" t="n">
        <f aca="false">IF(BA103+BA101&lt;0,(BA120+BA129)/-(BA103+BA101),"")</f>
        <v>1.27986281243172</v>
      </c>
      <c r="BB195" s="50" t="n">
        <f aca="false">IF(BB103+BB101&lt;0,(BB120+BB129)/-(BB103+BB101),"")</f>
        <v>1.29282948697328</v>
      </c>
      <c r="BC195" s="50" t="n">
        <f aca="false">IF(BC103+BC101&lt;0,(BC120+BC129)/-(BC103+BC101),"")</f>
        <v>1.28756714505241</v>
      </c>
      <c r="BD195" s="50" t="n">
        <f aca="false">IF(BD103+BD101&lt;0,(BD120+BD129)/-(BD103+BD101),"")</f>
        <v>1.26641818775439</v>
      </c>
      <c r="BE195" s="50" t="n">
        <f aca="false">IF(BE103+BE101&lt;0,(BE120+BE129)/-(BE103+BE101),"")</f>
        <v>1.27938575180467</v>
      </c>
      <c r="BF195" s="50" t="n">
        <f aca="false">IF(BF103+BF101&lt;0,(BF120+BF129)/-(BF103+BF101),"")</f>
        <v>1.29234164407591</v>
      </c>
      <c r="BG195" s="50" t="n">
        <f aca="false">IF(BG103+BG101&lt;0,(BG120+BG129)/-(BG103+BG101),"")</f>
        <v>1.28700572057801</v>
      </c>
      <c r="BH195" s="50" t="n">
        <f aca="false">IF(BH103+BH101&lt;0,(BH120+BH129)/-(BH103+BH101),"")</f>
        <v>1.26565087045619</v>
      </c>
      <c r="BI195" s="50" t="n">
        <f aca="false">IF(BI103+BI101&lt;0,(BI120+BI129)/-(BI103+BI101),"")</f>
        <v>1.27860462322347</v>
      </c>
      <c r="BJ195" s="50" t="n">
        <f aca="false">IF(BJ103+BJ101&lt;0,(BJ120+BJ129)/-(BJ103+BJ101),"")</f>
        <v>1.29154610958899</v>
      </c>
      <c r="BK195" s="50" t="n">
        <f aca="false">IF(BK103+BK101&lt;0,(BK120+BK129)/-(BK103+BK101),"")</f>
        <v>1.28613415858972</v>
      </c>
      <c r="BL195" s="50" t="n">
        <f aca="false">IF(BL103+BL101&lt;0,(BL120+BL129)/-(BL103+BL101),"")</f>
        <v>1.27853705801472</v>
      </c>
      <c r="BM195" s="50" t="n">
        <f aca="false">IF(BM103+BM101&lt;0,(BM120+BM129)/-(BM103+BM101),"")</f>
        <v>1.27750575259695</v>
      </c>
      <c r="BN195" s="50" t="n">
        <f aca="false">IF(BN103+BN101&lt;0,(BN120+BN129)/-(BN103+BN101),"")</f>
        <v>1.29042904477834</v>
      </c>
      <c r="BO195" s="50" t="n">
        <f aca="false">IF(BO103+BO101&lt;0,(BO120+BO129)/-(BO103+BO101),"")</f>
        <v>1.28493850158975</v>
      </c>
      <c r="BP195" s="50" t="n">
        <f aca="false">IF(BP103+BP101&lt;0,(BP120+BP129)/-(BP103+BP101),"")</f>
        <v>1.26316018482958</v>
      </c>
      <c r="BQ195" s="50" t="n">
        <f aca="false">IF(BQ103+BQ101&lt;0,(BQ120+BQ129)/-(BQ103+BQ101),"")</f>
        <v>1.27607487070327</v>
      </c>
      <c r="BR195" s="50" t="n">
        <f aca="false">IF(BR103+BR101&lt;0,(BR120+BR129)/-(BR103+BR101),"")</f>
        <v>1.28897600850672</v>
      </c>
      <c r="BS195" s="50" t="str">
        <f aca="false">IF(BS103+BS101&lt;0,(BS120+BS129)/-(BS103+BS101),"")</f>
        <v/>
      </c>
      <c r="BT195" s="50" t="str">
        <f aca="false">IF(BT103+BT101&lt;0,(BT120+BT129)/-(BT103+BT101),"")</f>
        <v/>
      </c>
      <c r="BU195" s="50" t="str">
        <f aca="false">IF(BU103+BU101&lt;0,(BU120+BU129)/-(BU103+BU101),"")</f>
        <v/>
      </c>
      <c r="BV195" s="50" t="str">
        <f aca="false">IF(BV103+BV101&lt;0,(BV120+BV129)/-(BV103+BV101),"")</f>
        <v/>
      </c>
      <c r="BW195" s="50" t="str">
        <f aca="false">IF(BW103+BW101&lt;0,(BW120+BW129)/-(BW103+BW101),"")</f>
        <v/>
      </c>
      <c r="BX195" s="50" t="str">
        <f aca="false">IF(BX103+BX101&lt;0,(BX120+BX129)/-(BX103+BX101),"")</f>
        <v/>
      </c>
      <c r="BY195" s="50" t="str">
        <f aca="false">IF(BY103+BY101&lt;0,(BY120+BY129)/-(BY103+BY101),"")</f>
        <v/>
      </c>
      <c r="BZ195" s="50" t="str">
        <f aca="false">IF(BZ103+BZ101&lt;0,(BZ120+BZ129)/-(BZ103+BZ101),"")</f>
        <v/>
      </c>
      <c r="CA195" s="50" t="str">
        <f aca="false">IF(CA103+CA101&lt;0,(CA120+CA129)/-(CA103+CA101),"")</f>
        <v/>
      </c>
      <c r="CB195" s="50" t="str">
        <f aca="false">IF(CB103+CB101&lt;0,(CB120+CB129)/-(CB103+CB101),"")</f>
        <v/>
      </c>
      <c r="CC195" s="50" t="str">
        <f aca="false">IF(CC103+CC101&lt;0,(CC120+CC129)/-(CC103+CC101),"")</f>
        <v/>
      </c>
      <c r="CD195" s="50" t="str">
        <f aca="false">IF(CD103+CD101&lt;0,(CD120+CD129)/-(CD103+CD101),"")</f>
        <v/>
      </c>
      <c r="CE195" s="50" t="str">
        <f aca="false">IF(CE103+CE101&lt;0,(CE120+CE129)/-(CE103+CE101),"")</f>
        <v/>
      </c>
      <c r="CF195" s="50" t="str">
        <f aca="false">IF(CF103+CF101&lt;0,(CF120+CF129)/-(CF103+CF101),"")</f>
        <v/>
      </c>
      <c r="CG195" s="50" t="str">
        <f aca="false">IF(CG103+CG101&lt;0,(CG120+CG129)/-(CG103+CG101),"")</f>
        <v/>
      </c>
      <c r="CH195" s="50" t="str">
        <f aca="false">IF(CH103+CH101&lt;0,(CH120+CH129)/-(CH103+CH101),"")</f>
        <v/>
      </c>
      <c r="CI195" s="50" t="str">
        <f aca="false">IF(CI103+CI101&lt;0,(CI120+CI129)/-(CI103+CI101),"")</f>
        <v/>
      </c>
      <c r="CJ195" s="50" t="str">
        <f aca="false">IF(CJ103+CJ101&lt;0,(CJ120+CJ129)/-(CJ103+CJ101),"")</f>
        <v/>
      </c>
      <c r="CK195" s="50" t="str">
        <f aca="false">IF(CK103+CK101&lt;0,(CK120+CK129)/-(CK103+CK101),"")</f>
        <v/>
      </c>
      <c r="CL195" s="50" t="str">
        <f aca="false">IF(CL103+CL101&lt;0,(CL120+CL129)/-(CL103+CL101),"")</f>
        <v/>
      </c>
      <c r="CM195" s="50" t="str">
        <f aca="false">IF(CM103+CM101&lt;0,(CM120+CM129)/-(CM103+CM101),"")</f>
        <v/>
      </c>
      <c r="CN195" s="50" t="str">
        <f aca="false">IF(CN103+CN101&lt;0,(CN120+CN129)/-(CN103+CN101),"")</f>
        <v/>
      </c>
      <c r="CO195" s="50" t="str">
        <f aca="false">IF(CO103+CO101&lt;0,(CO120+CO129)/-(CO103+CO101),"")</f>
        <v/>
      </c>
      <c r="CP195" s="50" t="str">
        <f aca="false">IF(CP103+CP101&lt;0,(CP120+CP129)/-(CP103+CP101),"")</f>
        <v/>
      </c>
      <c r="CQ195" s="50" t="str">
        <f aca="false">IF(CQ103+CQ101&lt;0,(CQ120+CQ129)/-(CQ103+CQ101),"")</f>
        <v/>
      </c>
      <c r="CR195" s="50" t="str">
        <f aca="false">IF(CR103+CR101&lt;0,(CR120+CR129)/-(CR103+CR101),"")</f>
        <v/>
      </c>
      <c r="CS195" s="50" t="str">
        <f aca="false">IF(CS103+CS101&lt;0,(CS120+CS129)/-(CS103+CS101),"")</f>
        <v/>
      </c>
      <c r="CT195" s="50" t="str">
        <f aca="false">IF(CT103+CT101&lt;0,(CT120+CT129)/-(CT103+CT101),"")</f>
        <v/>
      </c>
      <c r="CU195" s="50" t="str">
        <f aca="false">IF(CU103+CU101&lt;0,(CU120+CU129)/-(CU103+CU101),"")</f>
        <v/>
      </c>
      <c r="CV195" s="50" t="str">
        <f aca="false">IF(CV103+CV101&lt;0,(CV120+CV129)/-(CV103+CV101),"")</f>
        <v/>
      </c>
      <c r="CW195" s="50" t="str">
        <f aca="false">IF(CW103+CW101&lt;0,(CW120+CW129)/-(CW103+CW101),"")</f>
        <v/>
      </c>
      <c r="CX195" s="50" t="str">
        <f aca="false">IF(CX103+CX101&lt;0,(CX120+CX129)/-(CX103+CX101),"")</f>
        <v/>
      </c>
      <c r="CY195" s="50" t="str">
        <f aca="false">IF(CY103+CY101&lt;0,(CY120+CY129)/-(CY103+CY101),"")</f>
        <v/>
      </c>
      <c r="CZ195" s="50" t="str">
        <f aca="false">IF(CZ103+CZ101&lt;0,(CZ120+CZ129)/-(CZ103+CZ101),"")</f>
        <v/>
      </c>
      <c r="DA195" s="50" t="str">
        <f aca="false">IF(DA103+DA101&lt;0,(DA120+DA129)/-(DA103+DA101),"")</f>
        <v/>
      </c>
      <c r="DB195" s="50" t="str">
        <f aca="false">IF(DB103+DB101&lt;0,(DB120+DB129)/-(DB103+DB101),"")</f>
        <v/>
      </c>
      <c r="DC195" s="50" t="str">
        <f aca="false">IF(DC103+DC101&lt;0,(DC120+DC129)/-(DC103+DC101),"")</f>
        <v/>
      </c>
      <c r="DD195" s="50" t="str">
        <f aca="false">IF(DD103+DD101&lt;0,(DD120+DD129)/-(DD103+DD101),"")</f>
        <v/>
      </c>
      <c r="DE195" s="50" t="str">
        <f aca="false">IF(DE103+DE101&lt;0,(DE120+DE129)/-(DE103+DE101),"")</f>
        <v/>
      </c>
      <c r="DF195" s="50" t="str">
        <f aca="false">IF(DF103+DF101&lt;0,(DF120+DF129)/-(DF103+DF101),"")</f>
        <v/>
      </c>
      <c r="DG195" s="50" t="str">
        <f aca="false">IF(DG103+DG101&lt;0,(DG120+DG129)/-(DG103+DG101),"")</f>
        <v/>
      </c>
      <c r="DH195" s="50" t="str">
        <f aca="false">IF(DH103+DH101&lt;0,(DH120+DH129)/-(DH103+DH101),"")</f>
        <v/>
      </c>
      <c r="DI195" s="50" t="str">
        <f aca="false">IF(DI103+DI101&lt;0,(DI120+DI129)/-(DI103+DI101),"")</f>
        <v/>
      </c>
      <c r="DJ195" s="50" t="str">
        <f aca="false">IF(DJ103+DJ101&lt;0,(DJ120+DJ129)/-(DJ103+DJ101),"")</f>
        <v/>
      </c>
      <c r="DK195" s="50" t="str">
        <f aca="false">IF(DK103+DK101&lt;0,(DK120+DK129)/-(DK103+DK101),"")</f>
        <v/>
      </c>
      <c r="DL195" s="50" t="str">
        <f aca="false">IF(DL103+DL101&lt;0,(DL120+DL129)/-(DL103+DL101),"")</f>
        <v/>
      </c>
      <c r="DM195" s="50" t="str">
        <f aca="false">IF(DM103+DM101&lt;0,(DM120+DM129)/-(DM103+DM101),"")</f>
        <v/>
      </c>
      <c r="DN195" s="50" t="str">
        <f aca="false">IF(DN103+DN101&lt;0,(DN120+DN129)/-(DN103+DN101),"")</f>
        <v/>
      </c>
      <c r="DO195" s="50" t="str">
        <f aca="false">IF(DO103+DO101&lt;0,(DO120+DO129)/-(DO103+DO101),"")</f>
        <v/>
      </c>
      <c r="DP195" s="50" t="str">
        <f aca="false">IF(DP103+DP101&lt;0,(DP120+DP129)/-(DP103+DP101),"")</f>
        <v/>
      </c>
      <c r="DQ195" s="50" t="str">
        <f aca="false">IF(DQ103+DQ101&lt;0,(DQ120+DQ129)/-(DQ103+DQ101),"")</f>
        <v/>
      </c>
      <c r="DR195" s="50" t="str">
        <f aca="false">IF(DR103+DR101&lt;0,(DR120+DR129)/-(DR103+DR101),"")</f>
        <v/>
      </c>
      <c r="DS195" s="50" t="str">
        <f aca="false">IF(DS103+DS101&lt;0,(DS120+DS129)/-(DS103+DS101),"")</f>
        <v/>
      </c>
      <c r="DT195" s="50" t="str">
        <f aca="false">IF(DT103+DT101&lt;0,(DT120+DT129)/-(DT103+DT101),"")</f>
        <v/>
      </c>
      <c r="DU195" s="50" t="str">
        <f aca="false">IF(DU103+DU101&lt;0,(DU120+DU129)/-(DU103+DU101),"")</f>
        <v/>
      </c>
      <c r="DV195" s="50" t="str">
        <f aca="false">IF(DV103+DV101&lt;0,(DV120+DV129)/-(DV103+DV101),"")</f>
        <v/>
      </c>
      <c r="DW195" s="50" t="str">
        <f aca="false">IF(DW103+DW101&lt;0,(DW120+DW129)/-(DW103+DW101),"")</f>
        <v/>
      </c>
      <c r="DX195" s="50" t="str">
        <f aca="false">IF(DX103+DX101&lt;0,(DX120+DX129)/-(DX103+DX101),"")</f>
        <v/>
      </c>
      <c r="DY195" s="50" t="str">
        <f aca="false">IF(DY103+DY101&lt;0,(DY120+DY129)/-(DY103+DY101),"")</f>
        <v/>
      </c>
      <c r="DZ195" s="50" t="str">
        <f aca="false">IF(DZ103+DZ101&lt;0,(DZ120+DZ129)/-(DZ103+DZ101),"")</f>
        <v/>
      </c>
      <c r="EA195" s="50" t="str">
        <f aca="false">IF(EA103+EA101&lt;0,(EA120+EA129)/-(EA103+EA101),"")</f>
        <v/>
      </c>
      <c r="EB195" s="50" t="str">
        <f aca="false">IF(EB103+EB101&lt;0,(EB120+EB129)/-(EB103+EB101),"")</f>
        <v/>
      </c>
      <c r="EC195" s="50" t="str">
        <f aca="false">IF(EC103+EC101&lt;0,(EC120+EC129)/-(EC103+EC101),"")</f>
        <v/>
      </c>
      <c r="ED195" s="50" t="str">
        <f aca="false">IF(ED103+ED101&lt;0,(ED120+ED129)/-(ED103+ED101),"")</f>
        <v/>
      </c>
      <c r="EE195" s="50" t="str">
        <f aca="false">IF(EE103+EE101&lt;0,(EE120+EE129)/-(EE103+EE101),"")</f>
        <v/>
      </c>
      <c r="EF195" s="50" t="str">
        <f aca="false">IF(EF103+EF101&lt;0,(EF120+EF129)/-(EF103+EF101),"")</f>
        <v/>
      </c>
      <c r="EG195" s="50" t="str">
        <f aca="false">IF(EG103+EG101&lt;0,(EG120+EG129)/-(EG103+EG101),"")</f>
        <v/>
      </c>
      <c r="EH195" s="50" t="str">
        <f aca="false">IF(EH103+EH101&lt;0,(EH120+EH129)/-(EH103+EH101),"")</f>
        <v/>
      </c>
      <c r="EI195" s="50" t="str">
        <f aca="false">IF(EI103+EI101&lt;0,(EI120+EI129)/-(EI103+EI101),"")</f>
        <v/>
      </c>
      <c r="EJ195" s="50" t="str">
        <f aca="false">IF(EJ103+EJ101&lt;0,(EJ120+EJ129)/-(EJ103+EJ101),"")</f>
        <v/>
      </c>
      <c r="EK195" s="50" t="str">
        <f aca="false">IF(EK103+EK101&lt;0,(EK120+EK129)/-(EK103+EK101),"")</f>
        <v/>
      </c>
      <c r="EL195" s="50" t="str">
        <f aca="false">IF(EL103+EL101&lt;0,(EL120+EL129)/-(EL103+EL101),"")</f>
        <v/>
      </c>
      <c r="EM195" s="50" t="str">
        <f aca="false">IF(EM103+EM101&lt;0,(EM120+EM129)/-(EM103+EM101),"")</f>
        <v/>
      </c>
      <c r="EN195" s="50" t="str">
        <f aca="false">IF(EN103+EN101&lt;0,(EN120+EN129)/-(EN103+EN101),"")</f>
        <v/>
      </c>
      <c r="EO195" s="50" t="str">
        <f aca="false">IF(EO103+EO101&lt;0,(EO120+EO129)/-(EO103+EO101),"")</f>
        <v/>
      </c>
      <c r="EP195" s="50" t="str">
        <f aca="false">IF(EP103+EP101&lt;0,(EP120+EP129)/-(EP103+EP101),"")</f>
        <v/>
      </c>
      <c r="EQ195" s="50" t="str">
        <f aca="false">IF(EQ103+EQ101&lt;0,(EQ120+EQ129)/-(EQ103+EQ101),"")</f>
        <v/>
      </c>
      <c r="ER195" s="50" t="str">
        <f aca="false">IF(ER103+ER101&lt;0,(ER120+ER129)/-(ER103+ER101),"")</f>
        <v/>
      </c>
      <c r="ES195" s="50" t="str">
        <f aca="false">IF(ES103+ES101&lt;0,(ES120+ES129)/-(ES103+ES101),"")</f>
        <v/>
      </c>
      <c r="ET195" s="50" t="str">
        <f aca="false">IF(ET103+ET101&lt;0,(ET120+ET129)/-(ET103+ET101),"")</f>
        <v/>
      </c>
    </row>
    <row r="197" customFormat="false" ht="15" hidden="false" customHeight="false" outlineLevel="0" collapsed="false">
      <c r="C197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4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479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623</v>
      </c>
      <c r="F9" s="8" t="s">
        <v>624</v>
      </c>
    </row>
    <row r="11" customFormat="false" ht="15" hidden="false" customHeight="false" outlineLevel="0" collapsed="false">
      <c r="A11" s="9" t="s">
        <v>13</v>
      </c>
      <c r="B11" s="9"/>
      <c r="C11" s="9" t="s">
        <v>625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626</v>
      </c>
      <c r="D12" s="11" t="s">
        <v>41</v>
      </c>
      <c r="E12" s="36" t="str">
        <f aca="false">IF(F12=0,"OK","CHECK")</f>
        <v>OK</v>
      </c>
      <c r="F12" s="46" t="n">
        <f aca="false">N(Calc_1!$E42+Calc_1!$F42&gt;0)</f>
        <v>0</v>
      </c>
    </row>
    <row r="13" customFormat="false" ht="15" hidden="false" customHeight="false" outlineLevel="0" collapsed="false">
      <c r="C13" s="0" t="s">
        <v>627</v>
      </c>
      <c r="D13" s="11" t="s">
        <v>41</v>
      </c>
      <c r="E13" s="36" t="str">
        <f aca="false">IF(F13=0,"OK","CHECK")</f>
        <v>OK</v>
      </c>
      <c r="F13" s="46" t="n">
        <f aca="false">N(Calc_2!$E42+Calc_2!$F42&gt;0)</f>
        <v>0</v>
      </c>
    </row>
    <row r="14" customFormat="false" ht="15" hidden="false" customHeight="false" outlineLevel="0" collapsed="false">
      <c r="C14" s="0" t="s">
        <v>628</v>
      </c>
      <c r="D14" s="11" t="s">
        <v>41</v>
      </c>
      <c r="E14" s="36" t="str">
        <f aca="false">IF(F14=0,"OK","CHECK")</f>
        <v>OK</v>
      </c>
      <c r="F14" s="46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629</v>
      </c>
      <c r="D15" s="11" t="s">
        <v>41</v>
      </c>
      <c r="E15" s="36" t="str">
        <f aca="false">IF(F15=0,"OK","CHECK")</f>
        <v>OK</v>
      </c>
      <c r="F15" s="46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630</v>
      </c>
      <c r="D16" s="11" t="s">
        <v>41</v>
      </c>
      <c r="E16" s="36" t="str">
        <f aca="false">IF(F16=0,"OK","CHECK")</f>
        <v>OK</v>
      </c>
      <c r="F16" s="46" t="n">
        <f aca="false">N(ABS(Calc_1!$E61-Calc_1!$E134-Calc_1!$E47)&gt;Tolerance)</f>
        <v>0</v>
      </c>
    </row>
    <row r="17" customFormat="false" ht="15" hidden="false" customHeight="false" outlineLevel="0" collapsed="false">
      <c r="C17" s="0" t="s">
        <v>631</v>
      </c>
      <c r="D17" s="11" t="s">
        <v>41</v>
      </c>
      <c r="E17" s="36" t="str">
        <f aca="false">IF(F17=0,"OK","CHECK")</f>
        <v>OK</v>
      </c>
      <c r="F17" s="46" t="n">
        <f aca="false">N(ABS(Calc_2!$E61-Calc_2!$E134-Calc_2!$E47)&gt;Tolerance)</f>
        <v>0</v>
      </c>
    </row>
    <row r="18" customFormat="false" ht="15" hidden="false" customHeight="false" outlineLevel="0" collapsed="false">
      <c r="C18" s="0" t="s">
        <v>632</v>
      </c>
      <c r="D18" s="11" t="s">
        <v>41</v>
      </c>
      <c r="E18" s="36" t="str">
        <f aca="false">IF(F18=0,"OK","CHECK")</f>
        <v>OK</v>
      </c>
      <c r="F18" s="46" t="n">
        <f aca="false">N(ABS(Calc_1!$F143+Calc_1!$F144+Calc_1!$F135-Calc_1!$F134)&gt;Tolerance)</f>
        <v>0</v>
      </c>
    </row>
    <row r="19" customFormat="false" ht="15" hidden="false" customHeight="false" outlineLevel="0" collapsed="false">
      <c r="C19" s="0" t="s">
        <v>633</v>
      </c>
      <c r="D19" s="11" t="s">
        <v>41</v>
      </c>
      <c r="E19" s="36" t="str">
        <f aca="false">IF(F19=0,"OK","CHECK")</f>
        <v>OK</v>
      </c>
      <c r="F19" s="46" t="n">
        <f aca="false">N(ABS(Calc_2!$F143+Calc_2!$F144+Calc_2!$F135-Calc_2!$F134)&gt;Tolerance)</f>
        <v>0</v>
      </c>
    </row>
    <row r="20" customFormat="false" ht="15" hidden="false" customHeight="false" outlineLevel="0" collapsed="false">
      <c r="C20" s="0" t="s">
        <v>634</v>
      </c>
      <c r="D20" s="11" t="s">
        <v>41</v>
      </c>
      <c r="E20" s="36" t="str">
        <f aca="false">IF(F20=0,"OK","CHECK")</f>
        <v>OK</v>
      </c>
      <c r="F20" s="46" t="n">
        <f aca="false">N(ABS(Calc_1!$F148+Calc_1!$E154-Calc_1!$I153)&gt;Tolerance)</f>
        <v>0</v>
      </c>
    </row>
    <row r="21" customFormat="false" ht="15" hidden="false" customHeight="false" outlineLevel="0" collapsed="false">
      <c r="C21" s="0" t="s">
        <v>635</v>
      </c>
      <c r="D21" s="11" t="s">
        <v>41</v>
      </c>
      <c r="E21" s="36" t="str">
        <f aca="false">IF(F21=0,"OK","CHECK")</f>
        <v>OK</v>
      </c>
      <c r="F21" s="46" t="n">
        <f aca="false">N(ABS(Calc_2!$F148+Calc_2!$E154-Calc_2!$I153)&gt;Tolerance)</f>
        <v>0</v>
      </c>
    </row>
    <row r="22" customFormat="false" ht="15" hidden="false" customHeight="false" outlineLevel="0" collapsed="false">
      <c r="C22" s="0" t="s">
        <v>636</v>
      </c>
      <c r="D22" s="11" t="s">
        <v>41</v>
      </c>
      <c r="E22" s="36" t="str">
        <f aca="false">IF(F22=0,"OK","CHECK")</f>
        <v>OK</v>
      </c>
      <c r="F22" s="46" t="n">
        <f aca="false">N(SUMPRODUCT(--(Calc_1!$F135:$F141&gt;Calc_1!$E135:$E141+Tolerance))&gt;0)</f>
        <v>0</v>
      </c>
    </row>
    <row r="23" customFormat="false" ht="15" hidden="false" customHeight="false" outlineLevel="0" collapsed="false">
      <c r="C23" s="0" t="s">
        <v>637</v>
      </c>
      <c r="D23" s="11" t="s">
        <v>41</v>
      </c>
      <c r="E23" s="36" t="str">
        <f aca="false">IF(F23=0,"OK","CHECK")</f>
        <v>OK</v>
      </c>
      <c r="F23" s="46" t="n">
        <f aca="false">N(SUMPRODUCT(--(Calc_2!$F135:$F141&gt;Calc_2!$E135:$E141+Tolerance))&gt;0)</f>
        <v>0</v>
      </c>
    </row>
    <row r="24" customFormat="false" ht="15" hidden="false" customHeight="false" outlineLevel="0" collapsed="false">
      <c r="C24" s="0" t="s">
        <v>638</v>
      </c>
      <c r="D24" s="11" t="s">
        <v>41</v>
      </c>
      <c r="E24" s="36" t="str">
        <f aca="false">IF(F24=0,"OK","CHECK")</f>
        <v>OK</v>
      </c>
      <c r="F24" s="46" t="n">
        <f aca="false">N(Calc_1!$F169&lt;-Tolerance)+N(SUM(Calc_1!$F165:$F168)&gt;Calc_1!$F164+Tolerance)</f>
        <v>0</v>
      </c>
    </row>
    <row r="25" customFormat="false" ht="15" hidden="false" customHeight="false" outlineLevel="0" collapsed="false">
      <c r="C25" s="0" t="s">
        <v>639</v>
      </c>
      <c r="D25" s="11" t="s">
        <v>41</v>
      </c>
      <c r="E25" s="36" t="str">
        <f aca="false">IF(F25=0,"OK","CHECK")</f>
        <v>OK</v>
      </c>
      <c r="F25" s="46" t="n">
        <f aca="false">N(Calc_2!$F169&lt;-Tolerance)+N(SUM(Calc_2!$F165:$F168)&gt;Calc_2!$F164+Tolerance)</f>
        <v>0</v>
      </c>
    </row>
    <row r="26" customFormat="false" ht="15" hidden="false" customHeight="false" outlineLevel="0" collapsed="false">
      <c r="C26" s="0" t="s">
        <v>640</v>
      </c>
      <c r="D26" s="11" t="s">
        <v>41</v>
      </c>
      <c r="E26" s="36" t="str">
        <f aca="false">IF(F26=0,"OK","CHECK")</f>
        <v>OK</v>
      </c>
      <c r="F26" s="46" t="n">
        <f aca="false">N(ABS(Calc_1!$E183-Calc_1!$F183)&gt;Tolerance)</f>
        <v>0</v>
      </c>
    </row>
    <row r="27" customFormat="false" ht="15" hidden="false" customHeight="false" outlineLevel="0" collapsed="false">
      <c r="C27" s="0" t="s">
        <v>641</v>
      </c>
      <c r="D27" s="11" t="s">
        <v>41</v>
      </c>
      <c r="E27" s="36" t="str">
        <f aca="false">IF(F27=0,"OK","CHECK")</f>
        <v>OK</v>
      </c>
      <c r="F27" s="46" t="n">
        <f aca="false">N(ABS(Calc_2!$E183-Calc_2!$F183)&gt;Tolerance)</f>
        <v>0</v>
      </c>
    </row>
    <row r="28" customFormat="false" ht="15" hidden="false" customHeight="false" outlineLevel="0" collapsed="false">
      <c r="C28" s="0" t="s">
        <v>642</v>
      </c>
      <c r="D28" s="11" t="s">
        <v>41</v>
      </c>
      <c r="E28" s="36" t="str">
        <f aca="false">IF(F28=0,"OK","CHECK")</f>
        <v>OK</v>
      </c>
      <c r="F28" s="46" t="n">
        <f aca="false">N(ABS(Funding_Cum_Last-Out_Funding_Equity_To_COD)&gt;Tolerance)</f>
        <v>0</v>
      </c>
    </row>
    <row r="29" customFormat="false" ht="15" hidden="false" customHeight="false" outlineLevel="0" collapsed="false">
      <c r="C29" s="0" t="s">
        <v>643</v>
      </c>
      <c r="D29" s="11" t="s">
        <v>41</v>
      </c>
      <c r="E29" s="36" t="str">
        <f aca="false">IF(F29=0,"OK","CHECK")</f>
        <v>OK</v>
      </c>
      <c r="F29" s="46" t="n">
        <f aca="false">N(SUM(Capex_Items)-Out_Capex_Total&gt;Tolerance)+N(Out_Capex_Total-SUM(Capex_Items)&gt;Tolerance)</f>
        <v>0</v>
      </c>
    </row>
    <row r="30" customFormat="false" ht="15" hidden="false" customHeight="false" outlineLevel="0" collapsed="false">
      <c r="C30" s="0" t="s">
        <v>644</v>
      </c>
      <c r="D30" s="11" t="s">
        <v>41</v>
      </c>
      <c r="E30" s="36" t="str">
        <f aca="false">IF(F30=0,"OK","CHECK")</f>
        <v>OK</v>
      </c>
      <c r="F30" s="46" t="n">
        <f aca="false">SUM(J30:ET30)</f>
        <v>0</v>
      </c>
      <c r="J30" s="46" t="n">
        <f aca="false">N((Calc_1!J$4&gt;=Calc_1!$F17)*ABS(Calc_1!J102)&gt;Tolerance)</f>
        <v>0</v>
      </c>
      <c r="K30" s="46" t="n">
        <f aca="false">N((Calc_1!K$4&gt;=Calc_1!$F17)*ABS(Calc_1!K102)&gt;Tolerance)</f>
        <v>0</v>
      </c>
      <c r="L30" s="46" t="n">
        <f aca="false">N((Calc_1!L$4&gt;=Calc_1!$F17)*ABS(Calc_1!L102)&gt;Tolerance)</f>
        <v>0</v>
      </c>
      <c r="M30" s="46" t="n">
        <f aca="false">N((Calc_1!M$4&gt;=Calc_1!$F17)*ABS(Calc_1!M102)&gt;Tolerance)</f>
        <v>0</v>
      </c>
      <c r="N30" s="46" t="n">
        <f aca="false">N((Calc_1!N$4&gt;=Calc_1!$F17)*ABS(Calc_1!N102)&gt;Tolerance)</f>
        <v>0</v>
      </c>
      <c r="O30" s="46" t="n">
        <f aca="false">N((Calc_1!O$4&gt;=Calc_1!$F17)*ABS(Calc_1!O102)&gt;Tolerance)</f>
        <v>0</v>
      </c>
      <c r="P30" s="46" t="n">
        <f aca="false">N((Calc_1!P$4&gt;=Calc_1!$F17)*ABS(Calc_1!P102)&gt;Tolerance)</f>
        <v>0</v>
      </c>
      <c r="Q30" s="46" t="n">
        <f aca="false">N((Calc_1!Q$4&gt;=Calc_1!$F17)*ABS(Calc_1!Q102)&gt;Tolerance)</f>
        <v>0</v>
      </c>
      <c r="R30" s="46" t="n">
        <f aca="false">N((Calc_1!R$4&gt;=Calc_1!$F17)*ABS(Calc_1!R102)&gt;Tolerance)</f>
        <v>0</v>
      </c>
      <c r="S30" s="46" t="n">
        <f aca="false">N((Calc_1!S$4&gt;=Calc_1!$F17)*ABS(Calc_1!S102)&gt;Tolerance)</f>
        <v>0</v>
      </c>
      <c r="T30" s="46" t="n">
        <f aca="false">N((Calc_1!T$4&gt;=Calc_1!$F17)*ABS(Calc_1!T102)&gt;Tolerance)</f>
        <v>0</v>
      </c>
      <c r="U30" s="46" t="n">
        <f aca="false">N((Calc_1!U$4&gt;=Calc_1!$F17)*ABS(Calc_1!U102)&gt;Tolerance)</f>
        <v>0</v>
      </c>
      <c r="V30" s="46" t="n">
        <f aca="false">N((Calc_1!V$4&gt;=Calc_1!$F17)*ABS(Calc_1!V102)&gt;Tolerance)</f>
        <v>0</v>
      </c>
      <c r="W30" s="46" t="n">
        <f aca="false">N((Calc_1!W$4&gt;=Calc_1!$F17)*ABS(Calc_1!W102)&gt;Tolerance)</f>
        <v>0</v>
      </c>
      <c r="X30" s="46" t="n">
        <f aca="false">N((Calc_1!X$4&gt;=Calc_1!$F17)*ABS(Calc_1!X102)&gt;Tolerance)</f>
        <v>0</v>
      </c>
      <c r="Y30" s="46" t="n">
        <f aca="false">N((Calc_1!Y$4&gt;=Calc_1!$F17)*ABS(Calc_1!Y102)&gt;Tolerance)</f>
        <v>0</v>
      </c>
      <c r="Z30" s="46" t="n">
        <f aca="false">N((Calc_1!Z$4&gt;=Calc_1!$F17)*ABS(Calc_1!Z102)&gt;Tolerance)</f>
        <v>0</v>
      </c>
      <c r="AA30" s="46" t="n">
        <f aca="false">N((Calc_1!AA$4&gt;=Calc_1!$F17)*ABS(Calc_1!AA102)&gt;Tolerance)</f>
        <v>0</v>
      </c>
      <c r="AB30" s="46" t="n">
        <f aca="false">N((Calc_1!AB$4&gt;=Calc_1!$F17)*ABS(Calc_1!AB102)&gt;Tolerance)</f>
        <v>0</v>
      </c>
      <c r="AC30" s="46" t="n">
        <f aca="false">N((Calc_1!AC$4&gt;=Calc_1!$F17)*ABS(Calc_1!AC102)&gt;Tolerance)</f>
        <v>0</v>
      </c>
      <c r="AD30" s="46" t="n">
        <f aca="false">N((Calc_1!AD$4&gt;=Calc_1!$F17)*ABS(Calc_1!AD102)&gt;Tolerance)</f>
        <v>0</v>
      </c>
      <c r="AE30" s="46" t="n">
        <f aca="false">N((Calc_1!AE$4&gt;=Calc_1!$F17)*ABS(Calc_1!AE102)&gt;Tolerance)</f>
        <v>0</v>
      </c>
      <c r="AF30" s="46" t="n">
        <f aca="false">N((Calc_1!AF$4&gt;=Calc_1!$F17)*ABS(Calc_1!AF102)&gt;Tolerance)</f>
        <v>0</v>
      </c>
      <c r="AG30" s="46" t="n">
        <f aca="false">N((Calc_1!AG$4&gt;=Calc_1!$F17)*ABS(Calc_1!AG102)&gt;Tolerance)</f>
        <v>0</v>
      </c>
      <c r="AH30" s="46" t="n">
        <f aca="false">N((Calc_1!AH$4&gt;=Calc_1!$F17)*ABS(Calc_1!AH102)&gt;Tolerance)</f>
        <v>0</v>
      </c>
      <c r="AI30" s="46" t="n">
        <f aca="false">N((Calc_1!AI$4&gt;=Calc_1!$F17)*ABS(Calc_1!AI102)&gt;Tolerance)</f>
        <v>0</v>
      </c>
      <c r="AJ30" s="46" t="n">
        <f aca="false">N((Calc_1!AJ$4&gt;=Calc_1!$F17)*ABS(Calc_1!AJ102)&gt;Tolerance)</f>
        <v>0</v>
      </c>
      <c r="AK30" s="46" t="n">
        <f aca="false">N((Calc_1!AK$4&gt;=Calc_1!$F17)*ABS(Calc_1!AK102)&gt;Tolerance)</f>
        <v>0</v>
      </c>
      <c r="AL30" s="46" t="n">
        <f aca="false">N((Calc_1!AL$4&gt;=Calc_1!$F17)*ABS(Calc_1!AL102)&gt;Tolerance)</f>
        <v>0</v>
      </c>
      <c r="AM30" s="46" t="n">
        <f aca="false">N((Calc_1!AM$4&gt;=Calc_1!$F17)*ABS(Calc_1!AM102)&gt;Tolerance)</f>
        <v>0</v>
      </c>
      <c r="AN30" s="46" t="n">
        <f aca="false">N((Calc_1!AN$4&gt;=Calc_1!$F17)*ABS(Calc_1!AN102)&gt;Tolerance)</f>
        <v>0</v>
      </c>
      <c r="AO30" s="46" t="n">
        <f aca="false">N((Calc_1!AO$4&gt;=Calc_1!$F17)*ABS(Calc_1!AO102)&gt;Tolerance)</f>
        <v>0</v>
      </c>
      <c r="AP30" s="46" t="n">
        <f aca="false">N((Calc_1!AP$4&gt;=Calc_1!$F17)*ABS(Calc_1!AP102)&gt;Tolerance)</f>
        <v>0</v>
      </c>
      <c r="AQ30" s="46" t="n">
        <f aca="false">N((Calc_1!AQ$4&gt;=Calc_1!$F17)*ABS(Calc_1!AQ102)&gt;Tolerance)</f>
        <v>0</v>
      </c>
      <c r="AR30" s="46" t="n">
        <f aca="false">N((Calc_1!AR$4&gt;=Calc_1!$F17)*ABS(Calc_1!AR102)&gt;Tolerance)</f>
        <v>0</v>
      </c>
      <c r="AS30" s="46" t="n">
        <f aca="false">N((Calc_1!AS$4&gt;=Calc_1!$F17)*ABS(Calc_1!AS102)&gt;Tolerance)</f>
        <v>0</v>
      </c>
      <c r="AT30" s="46" t="n">
        <f aca="false">N((Calc_1!AT$4&gt;=Calc_1!$F17)*ABS(Calc_1!AT102)&gt;Tolerance)</f>
        <v>0</v>
      </c>
      <c r="AU30" s="46" t="n">
        <f aca="false">N((Calc_1!AU$4&gt;=Calc_1!$F17)*ABS(Calc_1!AU102)&gt;Tolerance)</f>
        <v>0</v>
      </c>
      <c r="AV30" s="46" t="n">
        <f aca="false">N((Calc_1!AV$4&gt;=Calc_1!$F17)*ABS(Calc_1!AV102)&gt;Tolerance)</f>
        <v>0</v>
      </c>
      <c r="AW30" s="46" t="n">
        <f aca="false">N((Calc_1!AW$4&gt;=Calc_1!$F17)*ABS(Calc_1!AW102)&gt;Tolerance)</f>
        <v>0</v>
      </c>
      <c r="AX30" s="46" t="n">
        <f aca="false">N((Calc_1!AX$4&gt;=Calc_1!$F17)*ABS(Calc_1!AX102)&gt;Tolerance)</f>
        <v>0</v>
      </c>
      <c r="AY30" s="46" t="n">
        <f aca="false">N((Calc_1!AY$4&gt;=Calc_1!$F17)*ABS(Calc_1!AY102)&gt;Tolerance)</f>
        <v>0</v>
      </c>
      <c r="AZ30" s="46" t="n">
        <f aca="false">N((Calc_1!AZ$4&gt;=Calc_1!$F17)*ABS(Calc_1!AZ102)&gt;Tolerance)</f>
        <v>0</v>
      </c>
      <c r="BA30" s="46" t="n">
        <f aca="false">N((Calc_1!BA$4&gt;=Calc_1!$F17)*ABS(Calc_1!BA102)&gt;Tolerance)</f>
        <v>0</v>
      </c>
      <c r="BB30" s="46" t="n">
        <f aca="false">N((Calc_1!BB$4&gt;=Calc_1!$F17)*ABS(Calc_1!BB102)&gt;Tolerance)</f>
        <v>0</v>
      </c>
      <c r="BC30" s="46" t="n">
        <f aca="false">N((Calc_1!BC$4&gt;=Calc_1!$F17)*ABS(Calc_1!BC102)&gt;Tolerance)</f>
        <v>0</v>
      </c>
      <c r="BD30" s="46" t="n">
        <f aca="false">N((Calc_1!BD$4&gt;=Calc_1!$F17)*ABS(Calc_1!BD102)&gt;Tolerance)</f>
        <v>0</v>
      </c>
      <c r="BE30" s="46" t="n">
        <f aca="false">N((Calc_1!BE$4&gt;=Calc_1!$F17)*ABS(Calc_1!BE102)&gt;Tolerance)</f>
        <v>0</v>
      </c>
      <c r="BF30" s="46" t="n">
        <f aca="false">N((Calc_1!BF$4&gt;=Calc_1!$F17)*ABS(Calc_1!BF102)&gt;Tolerance)</f>
        <v>0</v>
      </c>
      <c r="BG30" s="46" t="n">
        <f aca="false">N((Calc_1!BG$4&gt;=Calc_1!$F17)*ABS(Calc_1!BG102)&gt;Tolerance)</f>
        <v>0</v>
      </c>
      <c r="BH30" s="46" t="n">
        <f aca="false">N((Calc_1!BH$4&gt;=Calc_1!$F17)*ABS(Calc_1!BH102)&gt;Tolerance)</f>
        <v>0</v>
      </c>
      <c r="BI30" s="46" t="n">
        <f aca="false">N((Calc_1!BI$4&gt;=Calc_1!$F17)*ABS(Calc_1!BI102)&gt;Tolerance)</f>
        <v>0</v>
      </c>
      <c r="BJ30" s="46" t="n">
        <f aca="false">N((Calc_1!BJ$4&gt;=Calc_1!$F17)*ABS(Calc_1!BJ102)&gt;Tolerance)</f>
        <v>0</v>
      </c>
      <c r="BK30" s="46" t="n">
        <f aca="false">N((Calc_1!BK$4&gt;=Calc_1!$F17)*ABS(Calc_1!BK102)&gt;Tolerance)</f>
        <v>0</v>
      </c>
      <c r="BL30" s="46" t="n">
        <f aca="false">N((Calc_1!BL$4&gt;=Calc_1!$F17)*ABS(Calc_1!BL102)&gt;Tolerance)</f>
        <v>0</v>
      </c>
      <c r="BM30" s="46" t="n">
        <f aca="false">N((Calc_1!BM$4&gt;=Calc_1!$F17)*ABS(Calc_1!BM102)&gt;Tolerance)</f>
        <v>0</v>
      </c>
      <c r="BN30" s="46" t="n">
        <f aca="false">N((Calc_1!BN$4&gt;=Calc_1!$F17)*ABS(Calc_1!BN102)&gt;Tolerance)</f>
        <v>0</v>
      </c>
      <c r="BO30" s="46" t="n">
        <f aca="false">N((Calc_1!BO$4&gt;=Calc_1!$F17)*ABS(Calc_1!BO102)&gt;Tolerance)</f>
        <v>0</v>
      </c>
      <c r="BP30" s="46" t="n">
        <f aca="false">N((Calc_1!BP$4&gt;=Calc_1!$F17)*ABS(Calc_1!BP102)&gt;Tolerance)</f>
        <v>0</v>
      </c>
      <c r="BQ30" s="46" t="n">
        <f aca="false">N((Calc_1!BQ$4&gt;=Calc_1!$F17)*ABS(Calc_1!BQ102)&gt;Tolerance)</f>
        <v>0</v>
      </c>
      <c r="BR30" s="46" t="n">
        <f aca="false">N((Calc_1!BR$4&gt;=Calc_1!$F17)*ABS(Calc_1!BR102)&gt;Tolerance)</f>
        <v>0</v>
      </c>
      <c r="BS30" s="46" t="n">
        <f aca="false">N((Calc_1!BS$4&gt;=Calc_1!$F17)*ABS(Calc_1!BS102)&gt;Tolerance)</f>
        <v>0</v>
      </c>
      <c r="BT30" s="46" t="n">
        <f aca="false">N((Calc_1!BT$4&gt;=Calc_1!$F17)*ABS(Calc_1!BT102)&gt;Tolerance)</f>
        <v>0</v>
      </c>
      <c r="BU30" s="46" t="n">
        <f aca="false">N((Calc_1!BU$4&gt;=Calc_1!$F17)*ABS(Calc_1!BU102)&gt;Tolerance)</f>
        <v>0</v>
      </c>
      <c r="BV30" s="46" t="n">
        <f aca="false">N((Calc_1!BV$4&gt;=Calc_1!$F17)*ABS(Calc_1!BV102)&gt;Tolerance)</f>
        <v>0</v>
      </c>
      <c r="BW30" s="46" t="n">
        <f aca="false">N((Calc_1!BW$4&gt;=Calc_1!$F17)*ABS(Calc_1!BW102)&gt;Tolerance)</f>
        <v>0</v>
      </c>
      <c r="BX30" s="46" t="n">
        <f aca="false">N((Calc_1!BX$4&gt;=Calc_1!$F17)*ABS(Calc_1!BX102)&gt;Tolerance)</f>
        <v>0</v>
      </c>
      <c r="BY30" s="46" t="n">
        <f aca="false">N((Calc_1!BY$4&gt;=Calc_1!$F17)*ABS(Calc_1!BY102)&gt;Tolerance)</f>
        <v>0</v>
      </c>
      <c r="BZ30" s="46" t="n">
        <f aca="false">N((Calc_1!BZ$4&gt;=Calc_1!$F17)*ABS(Calc_1!BZ102)&gt;Tolerance)</f>
        <v>0</v>
      </c>
      <c r="CA30" s="46" t="n">
        <f aca="false">N((Calc_1!CA$4&gt;=Calc_1!$F17)*ABS(Calc_1!CA102)&gt;Tolerance)</f>
        <v>0</v>
      </c>
      <c r="CB30" s="46" t="n">
        <f aca="false">N((Calc_1!CB$4&gt;=Calc_1!$F17)*ABS(Calc_1!CB102)&gt;Tolerance)</f>
        <v>0</v>
      </c>
      <c r="CC30" s="46" t="n">
        <f aca="false">N((Calc_1!CC$4&gt;=Calc_1!$F17)*ABS(Calc_1!CC102)&gt;Tolerance)</f>
        <v>0</v>
      </c>
      <c r="CD30" s="46" t="n">
        <f aca="false">N((Calc_1!CD$4&gt;=Calc_1!$F17)*ABS(Calc_1!CD102)&gt;Tolerance)</f>
        <v>0</v>
      </c>
      <c r="CE30" s="46" t="n">
        <f aca="false">N((Calc_1!CE$4&gt;=Calc_1!$F17)*ABS(Calc_1!CE102)&gt;Tolerance)</f>
        <v>0</v>
      </c>
      <c r="CF30" s="46" t="n">
        <f aca="false">N((Calc_1!CF$4&gt;=Calc_1!$F17)*ABS(Calc_1!CF102)&gt;Tolerance)</f>
        <v>0</v>
      </c>
      <c r="CG30" s="46" t="n">
        <f aca="false">N((Calc_1!CG$4&gt;=Calc_1!$F17)*ABS(Calc_1!CG102)&gt;Tolerance)</f>
        <v>0</v>
      </c>
      <c r="CH30" s="46" t="n">
        <f aca="false">N((Calc_1!CH$4&gt;=Calc_1!$F17)*ABS(Calc_1!CH102)&gt;Tolerance)</f>
        <v>0</v>
      </c>
      <c r="CI30" s="46" t="n">
        <f aca="false">N((Calc_1!CI$4&gt;=Calc_1!$F17)*ABS(Calc_1!CI102)&gt;Tolerance)</f>
        <v>0</v>
      </c>
      <c r="CJ30" s="46" t="n">
        <f aca="false">N((Calc_1!CJ$4&gt;=Calc_1!$F17)*ABS(Calc_1!CJ102)&gt;Tolerance)</f>
        <v>0</v>
      </c>
      <c r="CK30" s="46" t="n">
        <f aca="false">N((Calc_1!CK$4&gt;=Calc_1!$F17)*ABS(Calc_1!CK102)&gt;Tolerance)</f>
        <v>0</v>
      </c>
      <c r="CL30" s="46" t="n">
        <f aca="false">N((Calc_1!CL$4&gt;=Calc_1!$F17)*ABS(Calc_1!CL102)&gt;Tolerance)</f>
        <v>0</v>
      </c>
      <c r="CM30" s="46" t="n">
        <f aca="false">N((Calc_1!CM$4&gt;=Calc_1!$F17)*ABS(Calc_1!CM102)&gt;Tolerance)</f>
        <v>0</v>
      </c>
      <c r="CN30" s="46" t="n">
        <f aca="false">N((Calc_1!CN$4&gt;=Calc_1!$F17)*ABS(Calc_1!CN102)&gt;Tolerance)</f>
        <v>0</v>
      </c>
      <c r="CO30" s="46" t="n">
        <f aca="false">N((Calc_1!CO$4&gt;=Calc_1!$F17)*ABS(Calc_1!CO102)&gt;Tolerance)</f>
        <v>0</v>
      </c>
      <c r="CP30" s="46" t="n">
        <f aca="false">N((Calc_1!CP$4&gt;=Calc_1!$F17)*ABS(Calc_1!CP102)&gt;Tolerance)</f>
        <v>0</v>
      </c>
      <c r="CQ30" s="46" t="n">
        <f aca="false">N((Calc_1!CQ$4&gt;=Calc_1!$F17)*ABS(Calc_1!CQ102)&gt;Tolerance)</f>
        <v>0</v>
      </c>
      <c r="CR30" s="46" t="n">
        <f aca="false">N((Calc_1!CR$4&gt;=Calc_1!$F17)*ABS(Calc_1!CR102)&gt;Tolerance)</f>
        <v>0</v>
      </c>
      <c r="CS30" s="46" t="n">
        <f aca="false">N((Calc_1!CS$4&gt;=Calc_1!$F17)*ABS(Calc_1!CS102)&gt;Tolerance)</f>
        <v>0</v>
      </c>
      <c r="CT30" s="46" t="n">
        <f aca="false">N((Calc_1!CT$4&gt;=Calc_1!$F17)*ABS(Calc_1!CT102)&gt;Tolerance)</f>
        <v>0</v>
      </c>
      <c r="CU30" s="46" t="n">
        <f aca="false">N((Calc_1!CU$4&gt;=Calc_1!$F17)*ABS(Calc_1!CU102)&gt;Tolerance)</f>
        <v>0</v>
      </c>
      <c r="CV30" s="46" t="n">
        <f aca="false">N((Calc_1!CV$4&gt;=Calc_1!$F17)*ABS(Calc_1!CV102)&gt;Tolerance)</f>
        <v>0</v>
      </c>
      <c r="CW30" s="46" t="n">
        <f aca="false">N((Calc_1!CW$4&gt;=Calc_1!$F17)*ABS(Calc_1!CW102)&gt;Tolerance)</f>
        <v>0</v>
      </c>
      <c r="CX30" s="46" t="n">
        <f aca="false">N((Calc_1!CX$4&gt;=Calc_1!$F17)*ABS(Calc_1!CX102)&gt;Tolerance)</f>
        <v>0</v>
      </c>
      <c r="CY30" s="46" t="n">
        <f aca="false">N((Calc_1!CY$4&gt;=Calc_1!$F17)*ABS(Calc_1!CY102)&gt;Tolerance)</f>
        <v>0</v>
      </c>
      <c r="CZ30" s="46" t="n">
        <f aca="false">N((Calc_1!CZ$4&gt;=Calc_1!$F17)*ABS(Calc_1!CZ102)&gt;Tolerance)</f>
        <v>0</v>
      </c>
      <c r="DA30" s="46" t="n">
        <f aca="false">N((Calc_1!DA$4&gt;=Calc_1!$F17)*ABS(Calc_1!DA102)&gt;Tolerance)</f>
        <v>0</v>
      </c>
      <c r="DB30" s="46" t="n">
        <f aca="false">N((Calc_1!DB$4&gt;=Calc_1!$F17)*ABS(Calc_1!DB102)&gt;Tolerance)</f>
        <v>0</v>
      </c>
      <c r="DC30" s="46" t="n">
        <f aca="false">N((Calc_1!DC$4&gt;=Calc_1!$F17)*ABS(Calc_1!DC102)&gt;Tolerance)</f>
        <v>0</v>
      </c>
      <c r="DD30" s="46" t="n">
        <f aca="false">N((Calc_1!DD$4&gt;=Calc_1!$F17)*ABS(Calc_1!DD102)&gt;Tolerance)</f>
        <v>0</v>
      </c>
      <c r="DE30" s="46" t="n">
        <f aca="false">N((Calc_1!DE$4&gt;=Calc_1!$F17)*ABS(Calc_1!DE102)&gt;Tolerance)</f>
        <v>0</v>
      </c>
      <c r="DF30" s="46" t="n">
        <f aca="false">N((Calc_1!DF$4&gt;=Calc_1!$F17)*ABS(Calc_1!DF102)&gt;Tolerance)</f>
        <v>0</v>
      </c>
      <c r="DG30" s="46" t="n">
        <f aca="false">N((Calc_1!DG$4&gt;=Calc_1!$F17)*ABS(Calc_1!DG102)&gt;Tolerance)</f>
        <v>0</v>
      </c>
      <c r="DH30" s="46" t="n">
        <f aca="false">N((Calc_1!DH$4&gt;=Calc_1!$F17)*ABS(Calc_1!DH102)&gt;Tolerance)</f>
        <v>0</v>
      </c>
      <c r="DI30" s="46" t="n">
        <f aca="false">N((Calc_1!DI$4&gt;=Calc_1!$F17)*ABS(Calc_1!DI102)&gt;Tolerance)</f>
        <v>0</v>
      </c>
      <c r="DJ30" s="46" t="n">
        <f aca="false">N((Calc_1!DJ$4&gt;=Calc_1!$F17)*ABS(Calc_1!DJ102)&gt;Tolerance)</f>
        <v>0</v>
      </c>
      <c r="DK30" s="46" t="n">
        <f aca="false">N((Calc_1!DK$4&gt;=Calc_1!$F17)*ABS(Calc_1!DK102)&gt;Tolerance)</f>
        <v>0</v>
      </c>
      <c r="DL30" s="46" t="n">
        <f aca="false">N((Calc_1!DL$4&gt;=Calc_1!$F17)*ABS(Calc_1!DL102)&gt;Tolerance)</f>
        <v>0</v>
      </c>
      <c r="DM30" s="46" t="n">
        <f aca="false">N((Calc_1!DM$4&gt;=Calc_1!$F17)*ABS(Calc_1!DM102)&gt;Tolerance)</f>
        <v>0</v>
      </c>
      <c r="DN30" s="46" t="n">
        <f aca="false">N((Calc_1!DN$4&gt;=Calc_1!$F17)*ABS(Calc_1!DN102)&gt;Tolerance)</f>
        <v>0</v>
      </c>
      <c r="DO30" s="46" t="n">
        <f aca="false">N((Calc_1!DO$4&gt;=Calc_1!$F17)*ABS(Calc_1!DO102)&gt;Tolerance)</f>
        <v>0</v>
      </c>
      <c r="DP30" s="46" t="n">
        <f aca="false">N((Calc_1!DP$4&gt;=Calc_1!$F17)*ABS(Calc_1!DP102)&gt;Tolerance)</f>
        <v>0</v>
      </c>
      <c r="DQ30" s="46" t="n">
        <f aca="false">N((Calc_1!DQ$4&gt;=Calc_1!$F17)*ABS(Calc_1!DQ102)&gt;Tolerance)</f>
        <v>0</v>
      </c>
      <c r="DR30" s="46" t="n">
        <f aca="false">N((Calc_1!DR$4&gt;=Calc_1!$F17)*ABS(Calc_1!DR102)&gt;Tolerance)</f>
        <v>0</v>
      </c>
      <c r="DS30" s="46" t="n">
        <f aca="false">N((Calc_1!DS$4&gt;=Calc_1!$F17)*ABS(Calc_1!DS102)&gt;Tolerance)</f>
        <v>0</v>
      </c>
      <c r="DT30" s="46" t="n">
        <f aca="false">N((Calc_1!DT$4&gt;=Calc_1!$F17)*ABS(Calc_1!DT102)&gt;Tolerance)</f>
        <v>0</v>
      </c>
      <c r="DU30" s="46" t="n">
        <f aca="false">N((Calc_1!DU$4&gt;=Calc_1!$F17)*ABS(Calc_1!DU102)&gt;Tolerance)</f>
        <v>0</v>
      </c>
      <c r="DV30" s="46" t="n">
        <f aca="false">N((Calc_1!DV$4&gt;=Calc_1!$F17)*ABS(Calc_1!DV102)&gt;Tolerance)</f>
        <v>0</v>
      </c>
      <c r="DW30" s="46" t="n">
        <f aca="false">N((Calc_1!DW$4&gt;=Calc_1!$F17)*ABS(Calc_1!DW102)&gt;Tolerance)</f>
        <v>0</v>
      </c>
      <c r="DX30" s="46" t="n">
        <f aca="false">N((Calc_1!DX$4&gt;=Calc_1!$F17)*ABS(Calc_1!DX102)&gt;Tolerance)</f>
        <v>0</v>
      </c>
      <c r="DY30" s="46" t="n">
        <f aca="false">N((Calc_1!DY$4&gt;=Calc_1!$F17)*ABS(Calc_1!DY102)&gt;Tolerance)</f>
        <v>0</v>
      </c>
      <c r="DZ30" s="46" t="n">
        <f aca="false">N((Calc_1!DZ$4&gt;=Calc_1!$F17)*ABS(Calc_1!DZ102)&gt;Tolerance)</f>
        <v>0</v>
      </c>
      <c r="EA30" s="46" t="n">
        <f aca="false">N((Calc_1!EA$4&gt;=Calc_1!$F17)*ABS(Calc_1!EA102)&gt;Tolerance)</f>
        <v>0</v>
      </c>
      <c r="EB30" s="46" t="n">
        <f aca="false">N((Calc_1!EB$4&gt;=Calc_1!$F17)*ABS(Calc_1!EB102)&gt;Tolerance)</f>
        <v>0</v>
      </c>
      <c r="EC30" s="46" t="n">
        <f aca="false">N((Calc_1!EC$4&gt;=Calc_1!$F17)*ABS(Calc_1!EC102)&gt;Tolerance)</f>
        <v>0</v>
      </c>
      <c r="ED30" s="46" t="n">
        <f aca="false">N((Calc_1!ED$4&gt;=Calc_1!$F17)*ABS(Calc_1!ED102)&gt;Tolerance)</f>
        <v>0</v>
      </c>
      <c r="EE30" s="46" t="n">
        <f aca="false">N((Calc_1!EE$4&gt;=Calc_1!$F17)*ABS(Calc_1!EE102)&gt;Tolerance)</f>
        <v>0</v>
      </c>
      <c r="EF30" s="46" t="n">
        <f aca="false">N((Calc_1!EF$4&gt;=Calc_1!$F17)*ABS(Calc_1!EF102)&gt;Tolerance)</f>
        <v>0</v>
      </c>
      <c r="EG30" s="46" t="n">
        <f aca="false">N((Calc_1!EG$4&gt;=Calc_1!$F17)*ABS(Calc_1!EG102)&gt;Tolerance)</f>
        <v>0</v>
      </c>
      <c r="EH30" s="46" t="n">
        <f aca="false">N((Calc_1!EH$4&gt;=Calc_1!$F17)*ABS(Calc_1!EH102)&gt;Tolerance)</f>
        <v>0</v>
      </c>
      <c r="EI30" s="46" t="n">
        <f aca="false">N((Calc_1!EI$4&gt;=Calc_1!$F17)*ABS(Calc_1!EI102)&gt;Tolerance)</f>
        <v>0</v>
      </c>
      <c r="EJ30" s="46" t="n">
        <f aca="false">N((Calc_1!EJ$4&gt;=Calc_1!$F17)*ABS(Calc_1!EJ102)&gt;Tolerance)</f>
        <v>0</v>
      </c>
      <c r="EK30" s="46" t="n">
        <f aca="false">N((Calc_1!EK$4&gt;=Calc_1!$F17)*ABS(Calc_1!EK102)&gt;Tolerance)</f>
        <v>0</v>
      </c>
      <c r="EL30" s="46" t="n">
        <f aca="false">N((Calc_1!EL$4&gt;=Calc_1!$F17)*ABS(Calc_1!EL102)&gt;Tolerance)</f>
        <v>0</v>
      </c>
      <c r="EM30" s="46" t="n">
        <f aca="false">N((Calc_1!EM$4&gt;=Calc_1!$F17)*ABS(Calc_1!EM102)&gt;Tolerance)</f>
        <v>0</v>
      </c>
      <c r="EN30" s="46" t="n">
        <f aca="false">N((Calc_1!EN$4&gt;=Calc_1!$F17)*ABS(Calc_1!EN102)&gt;Tolerance)</f>
        <v>0</v>
      </c>
      <c r="EO30" s="46" t="n">
        <f aca="false">N((Calc_1!EO$4&gt;=Calc_1!$F17)*ABS(Calc_1!EO102)&gt;Tolerance)</f>
        <v>0</v>
      </c>
      <c r="EP30" s="46" t="n">
        <f aca="false">N((Calc_1!EP$4&gt;=Calc_1!$F17)*ABS(Calc_1!EP102)&gt;Tolerance)</f>
        <v>0</v>
      </c>
      <c r="EQ30" s="46" t="n">
        <f aca="false">N((Calc_1!EQ$4&gt;=Calc_1!$F17)*ABS(Calc_1!EQ102)&gt;Tolerance)</f>
        <v>0</v>
      </c>
      <c r="ER30" s="46" t="n">
        <f aca="false">N((Calc_1!ER$4&gt;=Calc_1!$F17)*ABS(Calc_1!ER102)&gt;Tolerance)</f>
        <v>0</v>
      </c>
      <c r="ES30" s="46" t="n">
        <f aca="false">N((Calc_1!ES$4&gt;=Calc_1!$F17)*ABS(Calc_1!ES102)&gt;Tolerance)</f>
        <v>0</v>
      </c>
      <c r="ET30" s="46" t="n">
        <f aca="false">N((Calc_1!ET$4&gt;=Calc_1!$F17)*ABS(Calc_1!ET102)&gt;Tolerance)</f>
        <v>0</v>
      </c>
    </row>
    <row r="31" customFormat="false" ht="15" hidden="false" customHeight="false" outlineLevel="0" collapsed="false">
      <c r="C31" s="0" t="s">
        <v>645</v>
      </c>
      <c r="D31" s="11" t="s">
        <v>41</v>
      </c>
      <c r="E31" s="36" t="str">
        <f aca="false">IF(F31=0,"OK","CHECK")</f>
        <v>OK</v>
      </c>
      <c r="F31" s="46" t="n">
        <f aca="false">SUM(J31:ET31)</f>
        <v>0</v>
      </c>
      <c r="J31" s="46" t="n">
        <f aca="false">N((Calc_2!J$4&gt;=Calc_2!$F17)*ABS(Calc_2!J102)&gt;Tolerance)</f>
        <v>0</v>
      </c>
      <c r="K31" s="46" t="n">
        <f aca="false">N((Calc_2!K$4&gt;=Calc_2!$F17)*ABS(Calc_2!K102)&gt;Tolerance)</f>
        <v>0</v>
      </c>
      <c r="L31" s="46" t="n">
        <f aca="false">N((Calc_2!L$4&gt;=Calc_2!$F17)*ABS(Calc_2!L102)&gt;Tolerance)</f>
        <v>0</v>
      </c>
      <c r="M31" s="46" t="n">
        <f aca="false">N((Calc_2!M$4&gt;=Calc_2!$F17)*ABS(Calc_2!M102)&gt;Tolerance)</f>
        <v>0</v>
      </c>
      <c r="N31" s="46" t="n">
        <f aca="false">N((Calc_2!N$4&gt;=Calc_2!$F17)*ABS(Calc_2!N102)&gt;Tolerance)</f>
        <v>0</v>
      </c>
      <c r="O31" s="46" t="n">
        <f aca="false">N((Calc_2!O$4&gt;=Calc_2!$F17)*ABS(Calc_2!O102)&gt;Tolerance)</f>
        <v>0</v>
      </c>
      <c r="P31" s="46" t="n">
        <f aca="false">N((Calc_2!P$4&gt;=Calc_2!$F17)*ABS(Calc_2!P102)&gt;Tolerance)</f>
        <v>0</v>
      </c>
      <c r="Q31" s="46" t="n">
        <f aca="false">N((Calc_2!Q$4&gt;=Calc_2!$F17)*ABS(Calc_2!Q102)&gt;Tolerance)</f>
        <v>0</v>
      </c>
      <c r="R31" s="46" t="n">
        <f aca="false">N((Calc_2!R$4&gt;=Calc_2!$F17)*ABS(Calc_2!R102)&gt;Tolerance)</f>
        <v>0</v>
      </c>
      <c r="S31" s="46" t="n">
        <f aca="false">N((Calc_2!S$4&gt;=Calc_2!$F17)*ABS(Calc_2!S102)&gt;Tolerance)</f>
        <v>0</v>
      </c>
      <c r="T31" s="46" t="n">
        <f aca="false">N((Calc_2!T$4&gt;=Calc_2!$F17)*ABS(Calc_2!T102)&gt;Tolerance)</f>
        <v>0</v>
      </c>
      <c r="U31" s="46" t="n">
        <f aca="false">N((Calc_2!U$4&gt;=Calc_2!$F17)*ABS(Calc_2!U102)&gt;Tolerance)</f>
        <v>0</v>
      </c>
      <c r="V31" s="46" t="n">
        <f aca="false">N((Calc_2!V$4&gt;=Calc_2!$F17)*ABS(Calc_2!V102)&gt;Tolerance)</f>
        <v>0</v>
      </c>
      <c r="W31" s="46" t="n">
        <f aca="false">N((Calc_2!W$4&gt;=Calc_2!$F17)*ABS(Calc_2!W102)&gt;Tolerance)</f>
        <v>0</v>
      </c>
      <c r="X31" s="46" t="n">
        <f aca="false">N((Calc_2!X$4&gt;=Calc_2!$F17)*ABS(Calc_2!X102)&gt;Tolerance)</f>
        <v>0</v>
      </c>
      <c r="Y31" s="46" t="n">
        <f aca="false">N((Calc_2!Y$4&gt;=Calc_2!$F17)*ABS(Calc_2!Y102)&gt;Tolerance)</f>
        <v>0</v>
      </c>
      <c r="Z31" s="46" t="n">
        <f aca="false">N((Calc_2!Z$4&gt;=Calc_2!$F17)*ABS(Calc_2!Z102)&gt;Tolerance)</f>
        <v>0</v>
      </c>
      <c r="AA31" s="46" t="n">
        <f aca="false">N((Calc_2!AA$4&gt;=Calc_2!$F17)*ABS(Calc_2!AA102)&gt;Tolerance)</f>
        <v>0</v>
      </c>
      <c r="AB31" s="46" t="n">
        <f aca="false">N((Calc_2!AB$4&gt;=Calc_2!$F17)*ABS(Calc_2!AB102)&gt;Tolerance)</f>
        <v>0</v>
      </c>
      <c r="AC31" s="46" t="n">
        <f aca="false">N((Calc_2!AC$4&gt;=Calc_2!$F17)*ABS(Calc_2!AC102)&gt;Tolerance)</f>
        <v>0</v>
      </c>
      <c r="AD31" s="46" t="n">
        <f aca="false">N((Calc_2!AD$4&gt;=Calc_2!$F17)*ABS(Calc_2!AD102)&gt;Tolerance)</f>
        <v>0</v>
      </c>
      <c r="AE31" s="46" t="n">
        <f aca="false">N((Calc_2!AE$4&gt;=Calc_2!$F17)*ABS(Calc_2!AE102)&gt;Tolerance)</f>
        <v>0</v>
      </c>
      <c r="AF31" s="46" t="n">
        <f aca="false">N((Calc_2!AF$4&gt;=Calc_2!$F17)*ABS(Calc_2!AF102)&gt;Tolerance)</f>
        <v>0</v>
      </c>
      <c r="AG31" s="46" t="n">
        <f aca="false">N((Calc_2!AG$4&gt;=Calc_2!$F17)*ABS(Calc_2!AG102)&gt;Tolerance)</f>
        <v>0</v>
      </c>
      <c r="AH31" s="46" t="n">
        <f aca="false">N((Calc_2!AH$4&gt;=Calc_2!$F17)*ABS(Calc_2!AH102)&gt;Tolerance)</f>
        <v>0</v>
      </c>
      <c r="AI31" s="46" t="n">
        <f aca="false">N((Calc_2!AI$4&gt;=Calc_2!$F17)*ABS(Calc_2!AI102)&gt;Tolerance)</f>
        <v>0</v>
      </c>
      <c r="AJ31" s="46" t="n">
        <f aca="false">N((Calc_2!AJ$4&gt;=Calc_2!$F17)*ABS(Calc_2!AJ102)&gt;Tolerance)</f>
        <v>0</v>
      </c>
      <c r="AK31" s="46" t="n">
        <f aca="false">N((Calc_2!AK$4&gt;=Calc_2!$F17)*ABS(Calc_2!AK102)&gt;Tolerance)</f>
        <v>0</v>
      </c>
      <c r="AL31" s="46" t="n">
        <f aca="false">N((Calc_2!AL$4&gt;=Calc_2!$F17)*ABS(Calc_2!AL102)&gt;Tolerance)</f>
        <v>0</v>
      </c>
      <c r="AM31" s="46" t="n">
        <f aca="false">N((Calc_2!AM$4&gt;=Calc_2!$F17)*ABS(Calc_2!AM102)&gt;Tolerance)</f>
        <v>0</v>
      </c>
      <c r="AN31" s="46" t="n">
        <f aca="false">N((Calc_2!AN$4&gt;=Calc_2!$F17)*ABS(Calc_2!AN102)&gt;Tolerance)</f>
        <v>0</v>
      </c>
      <c r="AO31" s="46" t="n">
        <f aca="false">N((Calc_2!AO$4&gt;=Calc_2!$F17)*ABS(Calc_2!AO102)&gt;Tolerance)</f>
        <v>0</v>
      </c>
      <c r="AP31" s="46" t="n">
        <f aca="false">N((Calc_2!AP$4&gt;=Calc_2!$F17)*ABS(Calc_2!AP102)&gt;Tolerance)</f>
        <v>0</v>
      </c>
      <c r="AQ31" s="46" t="n">
        <f aca="false">N((Calc_2!AQ$4&gt;=Calc_2!$F17)*ABS(Calc_2!AQ102)&gt;Tolerance)</f>
        <v>0</v>
      </c>
      <c r="AR31" s="46" t="n">
        <f aca="false">N((Calc_2!AR$4&gt;=Calc_2!$F17)*ABS(Calc_2!AR102)&gt;Tolerance)</f>
        <v>0</v>
      </c>
      <c r="AS31" s="46" t="n">
        <f aca="false">N((Calc_2!AS$4&gt;=Calc_2!$F17)*ABS(Calc_2!AS102)&gt;Tolerance)</f>
        <v>0</v>
      </c>
      <c r="AT31" s="46" t="n">
        <f aca="false">N((Calc_2!AT$4&gt;=Calc_2!$F17)*ABS(Calc_2!AT102)&gt;Tolerance)</f>
        <v>0</v>
      </c>
      <c r="AU31" s="46" t="n">
        <f aca="false">N((Calc_2!AU$4&gt;=Calc_2!$F17)*ABS(Calc_2!AU102)&gt;Tolerance)</f>
        <v>0</v>
      </c>
      <c r="AV31" s="46" t="n">
        <f aca="false">N((Calc_2!AV$4&gt;=Calc_2!$F17)*ABS(Calc_2!AV102)&gt;Tolerance)</f>
        <v>0</v>
      </c>
      <c r="AW31" s="46" t="n">
        <f aca="false">N((Calc_2!AW$4&gt;=Calc_2!$F17)*ABS(Calc_2!AW102)&gt;Tolerance)</f>
        <v>0</v>
      </c>
      <c r="AX31" s="46" t="n">
        <f aca="false">N((Calc_2!AX$4&gt;=Calc_2!$F17)*ABS(Calc_2!AX102)&gt;Tolerance)</f>
        <v>0</v>
      </c>
      <c r="AY31" s="46" t="n">
        <f aca="false">N((Calc_2!AY$4&gt;=Calc_2!$F17)*ABS(Calc_2!AY102)&gt;Tolerance)</f>
        <v>0</v>
      </c>
      <c r="AZ31" s="46" t="n">
        <f aca="false">N((Calc_2!AZ$4&gt;=Calc_2!$F17)*ABS(Calc_2!AZ102)&gt;Tolerance)</f>
        <v>0</v>
      </c>
      <c r="BA31" s="46" t="n">
        <f aca="false">N((Calc_2!BA$4&gt;=Calc_2!$F17)*ABS(Calc_2!BA102)&gt;Tolerance)</f>
        <v>0</v>
      </c>
      <c r="BB31" s="46" t="n">
        <f aca="false">N((Calc_2!BB$4&gt;=Calc_2!$F17)*ABS(Calc_2!BB102)&gt;Tolerance)</f>
        <v>0</v>
      </c>
      <c r="BC31" s="46" t="n">
        <f aca="false">N((Calc_2!BC$4&gt;=Calc_2!$F17)*ABS(Calc_2!BC102)&gt;Tolerance)</f>
        <v>0</v>
      </c>
      <c r="BD31" s="46" t="n">
        <f aca="false">N((Calc_2!BD$4&gt;=Calc_2!$F17)*ABS(Calc_2!BD102)&gt;Tolerance)</f>
        <v>0</v>
      </c>
      <c r="BE31" s="46" t="n">
        <f aca="false">N((Calc_2!BE$4&gt;=Calc_2!$F17)*ABS(Calc_2!BE102)&gt;Tolerance)</f>
        <v>0</v>
      </c>
      <c r="BF31" s="46" t="n">
        <f aca="false">N((Calc_2!BF$4&gt;=Calc_2!$F17)*ABS(Calc_2!BF102)&gt;Tolerance)</f>
        <v>0</v>
      </c>
      <c r="BG31" s="46" t="n">
        <f aca="false">N((Calc_2!BG$4&gt;=Calc_2!$F17)*ABS(Calc_2!BG102)&gt;Tolerance)</f>
        <v>0</v>
      </c>
      <c r="BH31" s="46" t="n">
        <f aca="false">N((Calc_2!BH$4&gt;=Calc_2!$F17)*ABS(Calc_2!BH102)&gt;Tolerance)</f>
        <v>0</v>
      </c>
      <c r="BI31" s="46" t="n">
        <f aca="false">N((Calc_2!BI$4&gt;=Calc_2!$F17)*ABS(Calc_2!BI102)&gt;Tolerance)</f>
        <v>0</v>
      </c>
      <c r="BJ31" s="46" t="n">
        <f aca="false">N((Calc_2!BJ$4&gt;=Calc_2!$F17)*ABS(Calc_2!BJ102)&gt;Tolerance)</f>
        <v>0</v>
      </c>
      <c r="BK31" s="46" t="n">
        <f aca="false">N((Calc_2!BK$4&gt;=Calc_2!$F17)*ABS(Calc_2!BK102)&gt;Tolerance)</f>
        <v>0</v>
      </c>
      <c r="BL31" s="46" t="n">
        <f aca="false">N((Calc_2!BL$4&gt;=Calc_2!$F17)*ABS(Calc_2!BL102)&gt;Tolerance)</f>
        <v>0</v>
      </c>
      <c r="BM31" s="46" t="n">
        <f aca="false">N((Calc_2!BM$4&gt;=Calc_2!$F17)*ABS(Calc_2!BM102)&gt;Tolerance)</f>
        <v>0</v>
      </c>
      <c r="BN31" s="46" t="n">
        <f aca="false">N((Calc_2!BN$4&gt;=Calc_2!$F17)*ABS(Calc_2!BN102)&gt;Tolerance)</f>
        <v>0</v>
      </c>
      <c r="BO31" s="46" t="n">
        <f aca="false">N((Calc_2!BO$4&gt;=Calc_2!$F17)*ABS(Calc_2!BO102)&gt;Tolerance)</f>
        <v>0</v>
      </c>
      <c r="BP31" s="46" t="n">
        <f aca="false">N((Calc_2!BP$4&gt;=Calc_2!$F17)*ABS(Calc_2!BP102)&gt;Tolerance)</f>
        <v>0</v>
      </c>
      <c r="BQ31" s="46" t="n">
        <f aca="false">N((Calc_2!BQ$4&gt;=Calc_2!$F17)*ABS(Calc_2!BQ102)&gt;Tolerance)</f>
        <v>0</v>
      </c>
      <c r="BR31" s="46" t="n">
        <f aca="false">N((Calc_2!BR$4&gt;=Calc_2!$F17)*ABS(Calc_2!BR102)&gt;Tolerance)</f>
        <v>0</v>
      </c>
      <c r="BS31" s="46" t="n">
        <f aca="false">N((Calc_2!BS$4&gt;=Calc_2!$F17)*ABS(Calc_2!BS102)&gt;Tolerance)</f>
        <v>0</v>
      </c>
      <c r="BT31" s="46" t="n">
        <f aca="false">N((Calc_2!BT$4&gt;=Calc_2!$F17)*ABS(Calc_2!BT102)&gt;Tolerance)</f>
        <v>0</v>
      </c>
      <c r="BU31" s="46" t="n">
        <f aca="false">N((Calc_2!BU$4&gt;=Calc_2!$F17)*ABS(Calc_2!BU102)&gt;Tolerance)</f>
        <v>0</v>
      </c>
      <c r="BV31" s="46" t="n">
        <f aca="false">N((Calc_2!BV$4&gt;=Calc_2!$F17)*ABS(Calc_2!BV102)&gt;Tolerance)</f>
        <v>0</v>
      </c>
      <c r="BW31" s="46" t="n">
        <f aca="false">N((Calc_2!BW$4&gt;=Calc_2!$F17)*ABS(Calc_2!BW102)&gt;Tolerance)</f>
        <v>0</v>
      </c>
      <c r="BX31" s="46" t="n">
        <f aca="false">N((Calc_2!BX$4&gt;=Calc_2!$F17)*ABS(Calc_2!BX102)&gt;Tolerance)</f>
        <v>0</v>
      </c>
      <c r="BY31" s="46" t="n">
        <f aca="false">N((Calc_2!BY$4&gt;=Calc_2!$F17)*ABS(Calc_2!BY102)&gt;Tolerance)</f>
        <v>0</v>
      </c>
      <c r="BZ31" s="46" t="n">
        <f aca="false">N((Calc_2!BZ$4&gt;=Calc_2!$F17)*ABS(Calc_2!BZ102)&gt;Tolerance)</f>
        <v>0</v>
      </c>
      <c r="CA31" s="46" t="n">
        <f aca="false">N((Calc_2!CA$4&gt;=Calc_2!$F17)*ABS(Calc_2!CA102)&gt;Tolerance)</f>
        <v>0</v>
      </c>
      <c r="CB31" s="46" t="n">
        <f aca="false">N((Calc_2!CB$4&gt;=Calc_2!$F17)*ABS(Calc_2!CB102)&gt;Tolerance)</f>
        <v>0</v>
      </c>
      <c r="CC31" s="46" t="n">
        <f aca="false">N((Calc_2!CC$4&gt;=Calc_2!$F17)*ABS(Calc_2!CC102)&gt;Tolerance)</f>
        <v>0</v>
      </c>
      <c r="CD31" s="46" t="n">
        <f aca="false">N((Calc_2!CD$4&gt;=Calc_2!$F17)*ABS(Calc_2!CD102)&gt;Tolerance)</f>
        <v>0</v>
      </c>
      <c r="CE31" s="46" t="n">
        <f aca="false">N((Calc_2!CE$4&gt;=Calc_2!$F17)*ABS(Calc_2!CE102)&gt;Tolerance)</f>
        <v>0</v>
      </c>
      <c r="CF31" s="46" t="n">
        <f aca="false">N((Calc_2!CF$4&gt;=Calc_2!$F17)*ABS(Calc_2!CF102)&gt;Tolerance)</f>
        <v>0</v>
      </c>
      <c r="CG31" s="46" t="n">
        <f aca="false">N((Calc_2!CG$4&gt;=Calc_2!$F17)*ABS(Calc_2!CG102)&gt;Tolerance)</f>
        <v>0</v>
      </c>
      <c r="CH31" s="46" t="n">
        <f aca="false">N((Calc_2!CH$4&gt;=Calc_2!$F17)*ABS(Calc_2!CH102)&gt;Tolerance)</f>
        <v>0</v>
      </c>
      <c r="CI31" s="46" t="n">
        <f aca="false">N((Calc_2!CI$4&gt;=Calc_2!$F17)*ABS(Calc_2!CI102)&gt;Tolerance)</f>
        <v>0</v>
      </c>
      <c r="CJ31" s="46" t="n">
        <f aca="false">N((Calc_2!CJ$4&gt;=Calc_2!$F17)*ABS(Calc_2!CJ102)&gt;Tolerance)</f>
        <v>0</v>
      </c>
      <c r="CK31" s="46" t="n">
        <f aca="false">N((Calc_2!CK$4&gt;=Calc_2!$F17)*ABS(Calc_2!CK102)&gt;Tolerance)</f>
        <v>0</v>
      </c>
      <c r="CL31" s="46" t="n">
        <f aca="false">N((Calc_2!CL$4&gt;=Calc_2!$F17)*ABS(Calc_2!CL102)&gt;Tolerance)</f>
        <v>0</v>
      </c>
      <c r="CM31" s="46" t="n">
        <f aca="false">N((Calc_2!CM$4&gt;=Calc_2!$F17)*ABS(Calc_2!CM102)&gt;Tolerance)</f>
        <v>0</v>
      </c>
      <c r="CN31" s="46" t="n">
        <f aca="false">N((Calc_2!CN$4&gt;=Calc_2!$F17)*ABS(Calc_2!CN102)&gt;Tolerance)</f>
        <v>0</v>
      </c>
      <c r="CO31" s="46" t="n">
        <f aca="false">N((Calc_2!CO$4&gt;=Calc_2!$F17)*ABS(Calc_2!CO102)&gt;Tolerance)</f>
        <v>0</v>
      </c>
      <c r="CP31" s="46" t="n">
        <f aca="false">N((Calc_2!CP$4&gt;=Calc_2!$F17)*ABS(Calc_2!CP102)&gt;Tolerance)</f>
        <v>0</v>
      </c>
      <c r="CQ31" s="46" t="n">
        <f aca="false">N((Calc_2!CQ$4&gt;=Calc_2!$F17)*ABS(Calc_2!CQ102)&gt;Tolerance)</f>
        <v>0</v>
      </c>
      <c r="CR31" s="46" t="n">
        <f aca="false">N((Calc_2!CR$4&gt;=Calc_2!$F17)*ABS(Calc_2!CR102)&gt;Tolerance)</f>
        <v>0</v>
      </c>
      <c r="CS31" s="46" t="n">
        <f aca="false">N((Calc_2!CS$4&gt;=Calc_2!$F17)*ABS(Calc_2!CS102)&gt;Tolerance)</f>
        <v>0</v>
      </c>
      <c r="CT31" s="46" t="n">
        <f aca="false">N((Calc_2!CT$4&gt;=Calc_2!$F17)*ABS(Calc_2!CT102)&gt;Tolerance)</f>
        <v>0</v>
      </c>
      <c r="CU31" s="46" t="n">
        <f aca="false">N((Calc_2!CU$4&gt;=Calc_2!$F17)*ABS(Calc_2!CU102)&gt;Tolerance)</f>
        <v>0</v>
      </c>
      <c r="CV31" s="46" t="n">
        <f aca="false">N((Calc_2!CV$4&gt;=Calc_2!$F17)*ABS(Calc_2!CV102)&gt;Tolerance)</f>
        <v>0</v>
      </c>
      <c r="CW31" s="46" t="n">
        <f aca="false">N((Calc_2!CW$4&gt;=Calc_2!$F17)*ABS(Calc_2!CW102)&gt;Tolerance)</f>
        <v>0</v>
      </c>
      <c r="CX31" s="46" t="n">
        <f aca="false">N((Calc_2!CX$4&gt;=Calc_2!$F17)*ABS(Calc_2!CX102)&gt;Tolerance)</f>
        <v>0</v>
      </c>
      <c r="CY31" s="46" t="n">
        <f aca="false">N((Calc_2!CY$4&gt;=Calc_2!$F17)*ABS(Calc_2!CY102)&gt;Tolerance)</f>
        <v>0</v>
      </c>
      <c r="CZ31" s="46" t="n">
        <f aca="false">N((Calc_2!CZ$4&gt;=Calc_2!$F17)*ABS(Calc_2!CZ102)&gt;Tolerance)</f>
        <v>0</v>
      </c>
      <c r="DA31" s="46" t="n">
        <f aca="false">N((Calc_2!DA$4&gt;=Calc_2!$F17)*ABS(Calc_2!DA102)&gt;Tolerance)</f>
        <v>0</v>
      </c>
      <c r="DB31" s="46" t="n">
        <f aca="false">N((Calc_2!DB$4&gt;=Calc_2!$F17)*ABS(Calc_2!DB102)&gt;Tolerance)</f>
        <v>0</v>
      </c>
      <c r="DC31" s="46" t="n">
        <f aca="false">N((Calc_2!DC$4&gt;=Calc_2!$F17)*ABS(Calc_2!DC102)&gt;Tolerance)</f>
        <v>0</v>
      </c>
      <c r="DD31" s="46" t="n">
        <f aca="false">N((Calc_2!DD$4&gt;=Calc_2!$F17)*ABS(Calc_2!DD102)&gt;Tolerance)</f>
        <v>0</v>
      </c>
      <c r="DE31" s="46" t="n">
        <f aca="false">N((Calc_2!DE$4&gt;=Calc_2!$F17)*ABS(Calc_2!DE102)&gt;Tolerance)</f>
        <v>0</v>
      </c>
      <c r="DF31" s="46" t="n">
        <f aca="false">N((Calc_2!DF$4&gt;=Calc_2!$F17)*ABS(Calc_2!DF102)&gt;Tolerance)</f>
        <v>0</v>
      </c>
      <c r="DG31" s="46" t="n">
        <f aca="false">N((Calc_2!DG$4&gt;=Calc_2!$F17)*ABS(Calc_2!DG102)&gt;Tolerance)</f>
        <v>0</v>
      </c>
      <c r="DH31" s="46" t="n">
        <f aca="false">N((Calc_2!DH$4&gt;=Calc_2!$F17)*ABS(Calc_2!DH102)&gt;Tolerance)</f>
        <v>0</v>
      </c>
      <c r="DI31" s="46" t="n">
        <f aca="false">N((Calc_2!DI$4&gt;=Calc_2!$F17)*ABS(Calc_2!DI102)&gt;Tolerance)</f>
        <v>0</v>
      </c>
      <c r="DJ31" s="46" t="n">
        <f aca="false">N((Calc_2!DJ$4&gt;=Calc_2!$F17)*ABS(Calc_2!DJ102)&gt;Tolerance)</f>
        <v>0</v>
      </c>
      <c r="DK31" s="46" t="n">
        <f aca="false">N((Calc_2!DK$4&gt;=Calc_2!$F17)*ABS(Calc_2!DK102)&gt;Tolerance)</f>
        <v>0</v>
      </c>
      <c r="DL31" s="46" t="n">
        <f aca="false">N((Calc_2!DL$4&gt;=Calc_2!$F17)*ABS(Calc_2!DL102)&gt;Tolerance)</f>
        <v>0</v>
      </c>
      <c r="DM31" s="46" t="n">
        <f aca="false">N((Calc_2!DM$4&gt;=Calc_2!$F17)*ABS(Calc_2!DM102)&gt;Tolerance)</f>
        <v>0</v>
      </c>
      <c r="DN31" s="46" t="n">
        <f aca="false">N((Calc_2!DN$4&gt;=Calc_2!$F17)*ABS(Calc_2!DN102)&gt;Tolerance)</f>
        <v>0</v>
      </c>
      <c r="DO31" s="46" t="n">
        <f aca="false">N((Calc_2!DO$4&gt;=Calc_2!$F17)*ABS(Calc_2!DO102)&gt;Tolerance)</f>
        <v>0</v>
      </c>
      <c r="DP31" s="46" t="n">
        <f aca="false">N((Calc_2!DP$4&gt;=Calc_2!$F17)*ABS(Calc_2!DP102)&gt;Tolerance)</f>
        <v>0</v>
      </c>
      <c r="DQ31" s="46" t="n">
        <f aca="false">N((Calc_2!DQ$4&gt;=Calc_2!$F17)*ABS(Calc_2!DQ102)&gt;Tolerance)</f>
        <v>0</v>
      </c>
      <c r="DR31" s="46" t="n">
        <f aca="false">N((Calc_2!DR$4&gt;=Calc_2!$F17)*ABS(Calc_2!DR102)&gt;Tolerance)</f>
        <v>0</v>
      </c>
      <c r="DS31" s="46" t="n">
        <f aca="false">N((Calc_2!DS$4&gt;=Calc_2!$F17)*ABS(Calc_2!DS102)&gt;Tolerance)</f>
        <v>0</v>
      </c>
      <c r="DT31" s="46" t="n">
        <f aca="false">N((Calc_2!DT$4&gt;=Calc_2!$F17)*ABS(Calc_2!DT102)&gt;Tolerance)</f>
        <v>0</v>
      </c>
      <c r="DU31" s="46" t="n">
        <f aca="false">N((Calc_2!DU$4&gt;=Calc_2!$F17)*ABS(Calc_2!DU102)&gt;Tolerance)</f>
        <v>0</v>
      </c>
      <c r="DV31" s="46" t="n">
        <f aca="false">N((Calc_2!DV$4&gt;=Calc_2!$F17)*ABS(Calc_2!DV102)&gt;Tolerance)</f>
        <v>0</v>
      </c>
      <c r="DW31" s="46" t="n">
        <f aca="false">N((Calc_2!DW$4&gt;=Calc_2!$F17)*ABS(Calc_2!DW102)&gt;Tolerance)</f>
        <v>0</v>
      </c>
      <c r="DX31" s="46" t="n">
        <f aca="false">N((Calc_2!DX$4&gt;=Calc_2!$F17)*ABS(Calc_2!DX102)&gt;Tolerance)</f>
        <v>0</v>
      </c>
      <c r="DY31" s="46" t="n">
        <f aca="false">N((Calc_2!DY$4&gt;=Calc_2!$F17)*ABS(Calc_2!DY102)&gt;Tolerance)</f>
        <v>0</v>
      </c>
      <c r="DZ31" s="46" t="n">
        <f aca="false">N((Calc_2!DZ$4&gt;=Calc_2!$F17)*ABS(Calc_2!DZ102)&gt;Tolerance)</f>
        <v>0</v>
      </c>
      <c r="EA31" s="46" t="n">
        <f aca="false">N((Calc_2!EA$4&gt;=Calc_2!$F17)*ABS(Calc_2!EA102)&gt;Tolerance)</f>
        <v>0</v>
      </c>
      <c r="EB31" s="46" t="n">
        <f aca="false">N((Calc_2!EB$4&gt;=Calc_2!$F17)*ABS(Calc_2!EB102)&gt;Tolerance)</f>
        <v>0</v>
      </c>
      <c r="EC31" s="46" t="n">
        <f aca="false">N((Calc_2!EC$4&gt;=Calc_2!$F17)*ABS(Calc_2!EC102)&gt;Tolerance)</f>
        <v>0</v>
      </c>
      <c r="ED31" s="46" t="n">
        <f aca="false">N((Calc_2!ED$4&gt;=Calc_2!$F17)*ABS(Calc_2!ED102)&gt;Tolerance)</f>
        <v>0</v>
      </c>
      <c r="EE31" s="46" t="n">
        <f aca="false">N((Calc_2!EE$4&gt;=Calc_2!$F17)*ABS(Calc_2!EE102)&gt;Tolerance)</f>
        <v>0</v>
      </c>
      <c r="EF31" s="46" t="n">
        <f aca="false">N((Calc_2!EF$4&gt;=Calc_2!$F17)*ABS(Calc_2!EF102)&gt;Tolerance)</f>
        <v>0</v>
      </c>
      <c r="EG31" s="46" t="n">
        <f aca="false">N((Calc_2!EG$4&gt;=Calc_2!$F17)*ABS(Calc_2!EG102)&gt;Tolerance)</f>
        <v>0</v>
      </c>
      <c r="EH31" s="46" t="n">
        <f aca="false">N((Calc_2!EH$4&gt;=Calc_2!$F17)*ABS(Calc_2!EH102)&gt;Tolerance)</f>
        <v>0</v>
      </c>
      <c r="EI31" s="46" t="n">
        <f aca="false">N((Calc_2!EI$4&gt;=Calc_2!$F17)*ABS(Calc_2!EI102)&gt;Tolerance)</f>
        <v>0</v>
      </c>
      <c r="EJ31" s="46" t="n">
        <f aca="false">N((Calc_2!EJ$4&gt;=Calc_2!$F17)*ABS(Calc_2!EJ102)&gt;Tolerance)</f>
        <v>0</v>
      </c>
      <c r="EK31" s="46" t="n">
        <f aca="false">N((Calc_2!EK$4&gt;=Calc_2!$F17)*ABS(Calc_2!EK102)&gt;Tolerance)</f>
        <v>0</v>
      </c>
      <c r="EL31" s="46" t="n">
        <f aca="false">N((Calc_2!EL$4&gt;=Calc_2!$F17)*ABS(Calc_2!EL102)&gt;Tolerance)</f>
        <v>0</v>
      </c>
      <c r="EM31" s="46" t="n">
        <f aca="false">N((Calc_2!EM$4&gt;=Calc_2!$F17)*ABS(Calc_2!EM102)&gt;Tolerance)</f>
        <v>0</v>
      </c>
      <c r="EN31" s="46" t="n">
        <f aca="false">N((Calc_2!EN$4&gt;=Calc_2!$F17)*ABS(Calc_2!EN102)&gt;Tolerance)</f>
        <v>0</v>
      </c>
      <c r="EO31" s="46" t="n">
        <f aca="false">N((Calc_2!EO$4&gt;=Calc_2!$F17)*ABS(Calc_2!EO102)&gt;Tolerance)</f>
        <v>0</v>
      </c>
      <c r="EP31" s="46" t="n">
        <f aca="false">N((Calc_2!EP$4&gt;=Calc_2!$F17)*ABS(Calc_2!EP102)&gt;Tolerance)</f>
        <v>0</v>
      </c>
      <c r="EQ31" s="46" t="n">
        <f aca="false">N((Calc_2!EQ$4&gt;=Calc_2!$F17)*ABS(Calc_2!EQ102)&gt;Tolerance)</f>
        <v>0</v>
      </c>
      <c r="ER31" s="46" t="n">
        <f aca="false">N((Calc_2!ER$4&gt;=Calc_2!$F17)*ABS(Calc_2!ER102)&gt;Tolerance)</f>
        <v>0</v>
      </c>
      <c r="ES31" s="46" t="n">
        <f aca="false">N((Calc_2!ES$4&gt;=Calc_2!$F17)*ABS(Calc_2!ES102)&gt;Tolerance)</f>
        <v>0</v>
      </c>
      <c r="ET31" s="46" t="n">
        <f aca="false">N((Calc_2!ET$4&gt;=Calc_2!$F17)*ABS(Calc_2!ET102)&gt;Tolerance)</f>
        <v>0</v>
      </c>
    </row>
    <row r="32" customFormat="false" ht="15" hidden="false" customHeight="false" outlineLevel="0" collapsed="false">
      <c r="C32" s="0" t="s">
        <v>646</v>
      </c>
      <c r="D32" s="11" t="s">
        <v>41</v>
      </c>
      <c r="E32" s="36" t="str">
        <f aca="false">IF(F32=0,"OK","CHECK")</f>
        <v>OK</v>
      </c>
      <c r="F32" s="46" t="n">
        <f aca="false">N(ISTEXT(Calc_1!$E155))+N(ISERROR(Calc_1!$E192))+N(ISERROR(Calc_1!$E172))</f>
        <v>0</v>
      </c>
    </row>
    <row r="33" customFormat="false" ht="15" hidden="false" customHeight="false" outlineLevel="0" collapsed="false">
      <c r="C33" s="0" t="s">
        <v>647</v>
      </c>
      <c r="D33" s="11" t="s">
        <v>41</v>
      </c>
      <c r="E33" s="36" t="str">
        <f aca="false">IF(F33=0,"OK","CHECK")</f>
        <v>OK</v>
      </c>
      <c r="F33" s="46" t="n">
        <f aca="false">N(ISTEXT(Calc_2!$E155))+N(ISERROR(Calc_2!$E192))+N(ISERROR(Calc_2!$E172))</f>
        <v>0</v>
      </c>
    </row>
    <row r="34" customFormat="false" ht="15" hidden="false" customHeight="false" outlineLevel="0" collapsed="false">
      <c r="C34" s="0" t="s">
        <v>648</v>
      </c>
      <c r="D34" s="11" t="s">
        <v>41</v>
      </c>
      <c r="E34" s="36" t="str">
        <f aca="false">IF(F34=0,"OK","CHECK")</f>
        <v>OK</v>
      </c>
      <c r="F34" s="46" t="n">
        <f aca="false">(Scenario_Selected=1)*(SUMPRODUCT(ABS(ZB_Live_1-ZB_Zero_Stored-ZB_Delta_1_Stored))&gt;Tolerance)</f>
        <v>0</v>
      </c>
    </row>
    <row r="35" customFormat="false" ht="15" hidden="false" customHeight="false" outlineLevel="0" collapsed="false">
      <c r="C35" s="0" t="s">
        <v>649</v>
      </c>
      <c r="D35" s="11" t="s">
        <v>41</v>
      </c>
      <c r="E35" s="36" t="str">
        <f aca="false">IF(F35=0,"OK","CHECK")</f>
        <v>OK</v>
      </c>
      <c r="F35" s="46" t="n">
        <f aca="false">(Scenario_Selected=1)*(SUMPRODUCT(ABS(ZB_Live_2-ZB_Zero_Stored-ZB_Delta_2_Stored))&gt;Tolerance)</f>
        <v>0</v>
      </c>
    </row>
    <row r="36" customFormat="false" ht="15" hidden="false" customHeight="false" outlineLevel="0" collapsed="false">
      <c r="C36" s="0" t="s">
        <v>650</v>
      </c>
      <c r="D36" s="11" t="s">
        <v>41</v>
      </c>
      <c r="E36" s="36" t="str">
        <f aca="false">IF(F36=0,"OK","CHECK")</f>
        <v>OK</v>
      </c>
      <c r="F36" s="46" t="n">
        <f aca="false">--(SUMPRODUCT(ABS(Stored_Results-Live_Results)*(Scenario_Names=Scenario_Name))&gt;Tolerance)</f>
        <v>0</v>
      </c>
    </row>
    <row r="38" customFormat="false" ht="15" hidden="false" customHeight="false" outlineLevel="0" collapsed="false">
      <c r="C38" s="30" t="s">
        <v>6</v>
      </c>
      <c r="E38" s="59" t="str">
        <f aca="false">IF(F38=0,"OK","CHECK")</f>
        <v>OK</v>
      </c>
      <c r="F38" s="60" t="n">
        <f aca="false">SUMPRODUCT(ABS(F12:F36))</f>
        <v>0</v>
      </c>
    </row>
    <row r="40" customFormat="false" ht="15" hidden="false" customHeight="false" outlineLevel="0" collapsed="false">
      <c r="C40" s="40" t="s">
        <v>198</v>
      </c>
    </row>
  </sheetData>
  <conditionalFormatting sqref="E12:E3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2026-10-15T08:00:09Z</dcterms:created>
  <dc:creator>openpyxl</dc:creator>
  <dc:description/>
  <dc:language>en-US</dc:language>
  <cp:lastModifiedBy/>
  <dcterms:modified xsi:type="dcterms:W3CDTF">2026-10-15T08:00:23Z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