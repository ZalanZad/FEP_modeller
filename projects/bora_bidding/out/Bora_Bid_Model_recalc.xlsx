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  <sheet name="Curves" sheetId="3" state="visible" r:id="rId5"/>
    <sheet name="Calc_1" sheetId="4" state="visible" r:id="rId6"/>
    <sheet name="Calc_2" sheetId="5" state="visible" r:id="rId7"/>
    <sheet name="Checks" sheetId="6" state="visible" r:id="rId8"/>
  </sheets>
  <definedNames>
    <definedName function="false" hidden="false" name="Bid_Labels" vbProcedure="false">Dashboard!$E$9:$F$9</definedName>
    <definedName function="false" hidden="false" name="COD_IRR_1_Stored" vbProcedure="false">Dashboard!$H$107:$M$107</definedName>
    <definedName function="false" hidden="false" name="COD_IRR_2_Stored" vbProcedure="false">Dashboard!$H$108:$M$108</definedName>
    <definedName function="false" hidden="false" name="Cost_To_COD_1_Stored" vbProcedure="false">Dashboard!$H$113:$M$113</definedName>
    <definedName function="false" hidden="false" name="Cost_To_COD_2_Stored" vbProcedure="false">Dashboard!$H$114:$M$114</definedName>
    <definedName function="false" hidden="false" name="Dash_BESS" vbProcedure="false">Dashboard!$E$15:$F$15</definedName>
    <definedName function="false" hidden="false" name="Dash_BESS_Hours" vbProcedure="false">Dashboard!$E$16:$F$16</definedName>
    <definedName function="false" hidden="false" name="Dash_Brownfield" vbProcedure="false">Dashboard!$E$19:$F$19</definedName>
    <definedName function="false" hidden="false" name="Dash_Community" vbProcedure="false">Dashboard!$E$13:$F$13</definedName>
    <definedName function="false" hidden="false" name="Dash_EU_Transformer" vbProcedure="false">Dashboard!$E$22:$F$22</definedName>
    <definedName function="false" hidden="false" name="Dash_EU_Turbine" vbProcedure="false">Dashboard!$E$21:$F$21</definedName>
    <definedName function="false" hidden="false" name="Dash_Exit_Date" vbProcedure="false">Dashboard!$E$60:$F$60</definedName>
    <definedName function="false" hidden="false" name="Dash_Municipal" vbProcedure="false">Dashboard!$E$12:$F$12</definedName>
    <definedName function="false" hidden="false" name="Dash_Overbuild" vbProcedure="false">Dashboard!$E$14:$F$14</definedName>
    <definedName function="false" hidden="false" name="Dash_Partial" vbProcedure="false">Dashboard!$E$18:$F$18</definedName>
    <definedName function="false" hidden="false" name="Dash_PB_Mult" vbProcedure="false">Dashboard!$E$17:$F$17</definedName>
    <definedName function="false" hidden="false" name="Dash_Shared" vbProcedure="false">Dashboard!$E$20:$F$20</definedName>
    <definedName function="false" hidden="false" name="Days_In_Year" vbProcedure="false">Inputs!$F$13</definedName>
    <definedName function="false" hidden="false" name="Devex_Date" vbProcedure="false">Curves!$J$30:$J$63</definedName>
    <definedName function="false" hidden="false" name="Devex_Keur" vbProcedure="false">Curves!$I$30:$I$63</definedName>
    <definedName function="false" hidden="false" name="Devex_Land" vbProcedure="false">Curves!$K$30:$K$63</definedName>
    <definedName function="false" hidden="false" name="Distributable_1_Stored" vbProcedure="false">Dashboard!$H$111:$M$111</definedName>
    <definedName function="false" hidden="false" name="Distributable_2_Stored" vbProcedure="false">Dashboard!$H$112:$M$112</definedName>
    <definedName function="false" hidden="false" name="HTM_IRR_1_Stored" vbProcedure="false">Dashboard!$H$109:$M$109</definedName>
    <definedName function="false" hidden="false" name="HTM_IRR_2_Stored" vbProcedure="false">Dashboard!$H$110:$M$110</definedName>
    <definedName function="false" hidden="false" name="Impact_Stored" vbProcedure="false">Dashboard!$K$12:$R$22</definedName>
    <definedName function="false" hidden="false" name="In_Admin" vbProcedure="false">Inputs!$F$107</definedName>
    <definedName function="false" hidden="false" name="In_AtRisk_Rate" vbProcedure="false">Inputs!$F$69</definedName>
    <definedName function="false" hidden="false" name="In_Award_Date" vbProcedure="false">Inputs!$F$55</definedName>
    <definedName function="false" hidden="false" name="In_Bench_BESS" vbProcedure="false">Inputs!$F$51</definedName>
    <definedName function="false" hidden="false" name="In_Bench_Wind" vbProcedure="false">Inputs!$F$50</definedName>
    <definedName function="false" hidden="false" name="In_BESS_Built" vbProcedure="false">Inputs!$F$84</definedName>
    <definedName function="false" hidden="false" name="In_BESS_Capex" vbProcedure="false">Inputs!$F$96</definedName>
    <definedName function="false" hidden="false" name="In_Bid_Date" vbProcedure="false">Inputs!$F$52</definedName>
    <definedName function="false" hidden="false" name="In_Bid_Rate" vbProcedure="false">Inputs!$F$54</definedName>
    <definedName function="false" hidden="false" name="In_Bottleneck_Loss" vbProcedure="false">Inputs!$F$86</definedName>
    <definedName function="false" hidden="false" name="In_Buyer_Rate" vbProcedure="false">Inputs!$F$80</definedName>
    <definedName function="false" hidden="false" name="In_Capex_Contingency" vbProcedure="false">Inputs!$F$95</definedName>
    <definedName function="false" hidden="false" name="In_Cash_Rate" vbProcedure="false">Inputs!$F$67</definedName>
    <definedName function="false" hidden="false" name="In_CIT" vbProcedure="false">Inputs!$F$33</definedName>
    <definedName function="false" hidden="false" name="In_CN_Turbine" vbProcedure="false">Inputs!$F$89</definedName>
    <definedName function="false" hidden="false" name="In_COD" vbProcedure="false">Inputs!$F$24</definedName>
    <definedName function="false" hidden="false" name="In_COD_Price" vbProcedure="false">Inputs!$F$76</definedName>
    <definedName function="false" hidden="false" name="In_COD_Price_CN" vbProcedure="false">Inputs!$F$77</definedName>
    <definedName function="false" hidden="false" name="In_Commitment_Fee" vbProcedure="false">Inputs!$F$118</definedName>
    <definedName function="false" hidden="false" name="In_Contingency_Date" vbProcedure="false">Inputs!$F$22</definedName>
    <definedName function="false" hidden="false" name="In_Curtailment" vbProcedure="false">Inputs!$F$100</definedName>
    <definedName function="false" hidden="false" name="In_DD" vbProcedure="false">Inputs!$F$35</definedName>
    <definedName function="false" hidden="false" name="In_Debt_Rate" vbProcedure="false">Inputs!$F$116</definedName>
    <definedName function="false" hidden="false" name="In_Debt_Tenor" vbProcedure="false">Inputs!$F$119</definedName>
    <definedName function="false" hidden="false" name="In_Degradation" vbProcedure="false">Inputs!$F$101</definedName>
    <definedName function="false" hidden="false" name="In_Dep_Years" vbProcedure="false">Inputs!$F$120</definedName>
    <definedName function="false" hidden="false" name="In_Devex_Contingency" vbProcedure="false">Inputs!$F$71</definedName>
    <definedName function="false" hidden="false" name="In_Direct_Fee" vbProcedure="false">Inputs!$F$61</definedName>
    <definedName function="false" hidden="false" name="In_Discount_Rate" vbProcedure="false">Inputs!$F$75</definedName>
    <definedName function="false" hidden="false" name="In_DSA_Cap" vbProcedure="false">Inputs!$F$39</definedName>
    <definedName function="false" hidden="false" name="In_DSA_Rate" vbProcedure="false">Inputs!$F$38</definedName>
    <definedName function="false" hidden="false" name="In_FEP_Share" vbProcedure="false">Inputs!$F$37</definedName>
    <definedName function="false" hidden="false" name="In_Fixed_Opex" vbProcedure="false">Inputs!$F$105</definedName>
    <definedName function="false" hidden="false" name="In_Freeze_End" vbProcedure="false">Inputs!$F$27</definedName>
    <definedName function="false" hidden="false" name="In_Freeze_On" vbProcedure="false">Inputs!$F$28</definedName>
    <definedName function="false" hidden="false" name="In_Freeze_Start" vbProcedure="false">Inputs!$F$26</definedName>
    <definedName function="false" hidden="false" name="In_FX" vbProcedure="false">Inputs!$F$32</definedName>
    <definedName function="false" hidden="false" name="In_Gearing" vbProcedure="false">Inputs!$F$114</definedName>
    <definedName function="false" hidden="false" name="In_Gearing_CN" vbProcedure="false">Inputs!$F$115</definedName>
    <definedName function="false" hidden="false" name="In_Group_Cap" vbProcedure="false">Inputs!$F$44</definedName>
    <definedName function="false" hidden="false" name="In_Guarantee_Fee" vbProcedure="false">Inputs!$F$64</definedName>
    <definedName function="false" hidden="false" name="In_Guar_Credit" vbProcedure="false">Inputs!$F$68</definedName>
    <definedName function="false" hidden="false" name="In_HCSSZ_Date" vbProcedure="false">Inputs!$F$60</definedName>
    <definedName function="false" hidden="false" name="In_HIPA" vbProcedure="false">Inputs!$F$111</definedName>
    <definedName function="false" hidden="false" name="In_Indirect_Fee" vbProcedure="false">Inputs!$F$62</definedName>
    <definedName function="false" hidden="false" name="In_Invest_Date" vbProcedure="false">Inputs!$F$20</definedName>
    <definedName function="false" hidden="false" name="In_Lease" vbProcedure="false">Inputs!$F$106</definedName>
    <definedName function="false" hidden="false" name="In_Life" vbProcedure="false">Inputs!$F$25</definedName>
    <definedName function="false" hidden="false" name="In_MEKH" vbProcedure="false">Inputs!$F$110</definedName>
    <definedName function="false" hidden="false" name="In_Min_Hours" vbProcedure="false">Inputs!$F$46</definedName>
    <definedName function="false" hidden="false" name="In_Min_Multiple" vbProcedure="false">Inputs!$F$70</definedName>
    <definedName function="false" hidden="false" name="In_Model_Start" vbProcedure="false">Inputs!$F$19</definedName>
    <definedName function="false" hidden="false" name="In_MVA" vbProcedure="false">Inputs!$F$43</definedName>
    <definedName function="false" hidden="false" name="In_NTP" vbProcedure="false">Inputs!$F$23</definedName>
    <definedName function="false" hidden="false" name="In_Opex_Contingency" vbProcedure="false">Inputs!$F$108</definedName>
    <definedName function="false" hidden="false" name="In_Opex_Esc" vbProcedure="false">Inputs!$F$109</definedName>
    <definedName function="false" hidden="false" name="In_OSZ4_Basis" vbProcedure="false">Inputs!$F$47</definedName>
    <definedName function="false" hidden="false" name="In_Other_Wind" vbProcedure="false">Inputs!$F$92</definedName>
    <definedName function="false" hidden="false" name="In_Overbuild_Built" vbProcedure="false">Inputs!$F$83</definedName>
    <definedName function="false" hidden="false" name="In_P50_Hours" vbProcedure="false">Inputs!$F$99</definedName>
    <definedName function="false" hidden="false" name="In_Part_Fee" vbProcedure="false">Inputs!$F$53</definedName>
    <definedName function="false" hidden="false" name="In_Pass_Through" vbProcedure="false">Inputs!$F$79</definedName>
    <definedName function="false" hidden="false" name="In_PB_Days" vbProcedure="false">Inputs!$F$56</definedName>
    <definedName function="false" hidden="false" name="In_PB_Rate" vbProcedure="false">Inputs!$F$57</definedName>
    <definedName function="false" hidden="false" name="In_PB_Release" vbProcedure="false">Inputs!$F$63</definedName>
    <definedName function="false" hidden="false" name="In_PPA_Esc" vbProcedure="false">Inputs!$F$103</definedName>
    <definedName function="false" hidden="false" name="In_PPA_Price" vbProcedure="false">Inputs!$F$102</definedName>
    <definedName function="false" hidden="false" name="In_Ref_Community" vbProcedure="false">Inputs!$F$78</definedName>
    <definedName function="false" hidden="false" name="In_RtB_Premium" vbProcedure="false">Inputs!$F$74</definedName>
    <definedName function="false" hidden="false" name="In_Sale_Costs" vbProcedure="false">Inputs!$F$36</definedName>
    <definedName function="false" hidden="false" name="In_Sanction_Lag" vbProcedure="false">Inputs!$F$29</definedName>
    <definedName function="false" hidden="false" name="In_Sanction_Regime" vbProcedure="false">Inputs!$F$85</definedName>
    <definedName function="false" hidden="false" name="In_Signing_Date" vbProcedure="false">Inputs!$F$21</definedName>
    <definedName function="false" hidden="false" name="In_Signing_Fee" vbProcedure="false">Inputs!$F$34</definedName>
    <definedName function="false" hidden="false" name="In_Substation" vbProcedure="false">Inputs!$F$93</definedName>
    <definedName function="false" hidden="false" name="In_Substation_CN" vbProcedure="false">Inputs!$F$94</definedName>
    <definedName function="false" hidden="false" name="In_Tolerance_Cap" vbProcedure="false">Inputs!$F$45</definedName>
    <definedName function="false" hidden="false" name="In_TSO_Date" vbProcedure="false">Inputs!$F$58</definedName>
    <definedName function="false" hidden="false" name="In_TSO_Security" vbProcedure="false">Inputs!$F$59</definedName>
    <definedName function="false" hidden="false" name="In_Turbine" vbProcedure="false">Inputs!$F$90</definedName>
    <definedName function="false" hidden="false" name="In_Turbine_CN" vbProcedure="false">Inputs!$F$91</definedName>
    <definedName function="false" hidden="false" name="In_Upfront_Fee" vbProcedure="false">Inputs!$F$117</definedName>
    <definedName function="false" hidden="false" name="In_Var_Opex" vbProcedure="false">Inputs!$F$104</definedName>
    <definedName function="false" hidden="false" name="Live_Results" vbProcedure="false">Dashboard!$E$103:$E$114</definedName>
    <definedName function="false" hidden="false" name="Master_Check" vbProcedure="false">Checks!$F$36</definedName>
    <definedName function="false" hidden="false" name="Million" vbProcedure="false">Inputs!$F$12</definedName>
    <definedName function="false" hidden="false" name="Months_In_Year" vbProcedure="false">Inputs!$F$14</definedName>
    <definedName function="false" hidden="false" name="Months_Per_Period" vbProcedure="false">Inputs!$F$15</definedName>
    <definedName function="false" hidden="false" name="Osz1_Incl" vbProcedure="false">Curves!$J$8:$R$8</definedName>
    <definedName function="false" hidden="false" name="Osz1_LB" vbProcedure="false">Curves!$J$7:$R$7</definedName>
    <definedName function="false" hidden="false" name="Osz1_Max" vbProcedure="false">Curves!$F$7</definedName>
    <definedName function="false" hidden="false" name="Osz1_Min" vbProcedure="false">Curves!$E$7</definedName>
    <definedName function="false" hidden="false" name="Osz1_Pts" vbProcedure="false">Curves!$J$9:$S$9</definedName>
    <definedName function="false" hidden="false" name="Osz1_W" vbProcedure="false">Curves!$E$9</definedName>
    <definedName function="false" hidden="false" name="Osz2_Incl" vbProcedure="false">Curves!$J$11:$T$11</definedName>
    <definedName function="false" hidden="false" name="Osz2_LB" vbProcedure="false">Curves!$J$10:$T$10</definedName>
    <definedName function="false" hidden="false" name="Osz2_Max" vbProcedure="false">Curves!$F$10</definedName>
    <definedName function="false" hidden="false" name="Osz2_Min" vbProcedure="false">Curves!$E$10</definedName>
    <definedName function="false" hidden="false" name="Osz2_Pts" vbProcedure="false">Curves!$J$12:$U$12</definedName>
    <definedName function="false" hidden="false" name="Osz2_W" vbProcedure="false">Curves!$E$12</definedName>
    <definedName function="false" hidden="false" name="Osz3_Incl" vbProcedure="false">Curves!$J$14:$S$14</definedName>
    <definedName function="false" hidden="false" name="Osz3_LB" vbProcedure="false">Curves!$J$13:$S$13</definedName>
    <definedName function="false" hidden="false" name="Osz3_Pts" vbProcedure="false">Curves!$J$15:$T$15</definedName>
    <definedName function="false" hidden="false" name="Osz3_W" vbProcedure="false">Curves!$E$15</definedName>
    <definedName function="false" hidden="false" name="Osz4_Incl" vbProcedure="false">Curves!$J$17:$S$17</definedName>
    <definedName function="false" hidden="false" name="Osz4_LB" vbProcedure="false">Curves!$J$16:$S$16</definedName>
    <definedName function="false" hidden="false" name="Osz4_Min" vbProcedure="false">Curves!$E$16</definedName>
    <definedName function="false" hidden="false" name="Osz4_Pts" vbProcedure="false">Curves!$J$18:$T$18</definedName>
    <definedName function="false" hidden="false" name="Osz4_W" vbProcedure="false">Curves!$E$18</definedName>
    <definedName function="false" hidden="false" name="Osz5_Pts" vbProcedure="false">Curves!$J$22:$J$22</definedName>
    <definedName function="false" hidden="false" name="Osz5_W" vbProcedure="false">Curves!$E$22</definedName>
    <definedName function="false" hidden="false" name="Osz6_Incl" vbProcedure="false">Curves!$J$20:$S$20</definedName>
    <definedName function="false" hidden="false" name="Osz6_LB" vbProcedure="false">Curves!$J$19:$S$19</definedName>
    <definedName function="false" hidden="false" name="Osz6_Pts" vbProcedure="false">Curves!$J$21:$T$21</definedName>
    <definedName function="false" hidden="false" name="Osz6_W" vbProcedure="false">Curves!$E$21</definedName>
    <definedName function="false" hidden="false" name="Osz7_Pts" vbProcedure="false">Curves!$J$23:$J$23</definedName>
    <definedName function="false" hidden="false" name="Osz7_W" vbProcedure="false">Curves!$E$23</definedName>
    <definedName function="false" hidden="false" name="Osz8_Pts" vbProcedure="false">Curves!$J$24:$J$24</definedName>
    <definedName function="false" hidden="false" name="Osz8_W" vbProcedure="false">Curves!$E$24</definedName>
    <definedName function="false" hidden="false" name="Osz9a_Pts" vbProcedure="false">Curves!$J$25:$J$25</definedName>
    <definedName function="false" hidden="false" name="Osz9b_Pts" vbProcedure="false">Curves!$J$26:$J$26</definedName>
    <definedName function="false" hidden="false" name="Osz9_W" vbProcedure="false">Curves!$E$25</definedName>
    <definedName function="false" hidden="false" name="Out_BESS_MW_1" vbProcedure="false">Dashboard!$E$45</definedName>
    <definedName function="false" hidden="false" name="Out_BESS_MW_2" vbProcedure="false">Dashboard!$F$45</definedName>
    <definedName function="false" hidden="false" name="Out_COD_Debt_1" vbProcedure="false">Dashboard!$E$93</definedName>
    <definedName function="false" hidden="false" name="Out_COD_Debt_2" vbProcedure="false">Dashboard!$F$93</definedName>
    <definedName function="false" hidden="false" name="Out_COD_IRR_1" vbProcedure="false">Dashboard!$E$28</definedName>
    <definedName function="false" hidden="false" name="Out_COD_IRR_2" vbProcedure="false">Dashboard!$F$28</definedName>
    <definedName function="false" hidden="false" name="Out_COD_MOIC_1" vbProcedure="false">Dashboard!$E$96</definedName>
    <definedName function="false" hidden="false" name="Out_COD_MOIC_2" vbProcedure="false">Dashboard!$F$96</definedName>
    <definedName function="false" hidden="false" name="Out_COD_NPV_1" vbProcedure="false">Dashboard!$E$29</definedName>
    <definedName function="false" hidden="false" name="Out_COD_NPV_2" vbProcedure="false">Dashboard!$F$29</definedName>
    <definedName function="false" hidden="false" name="Out_COD_Price_1" vbProcedure="false">Dashboard!$E$91</definedName>
    <definedName function="false" hidden="false" name="Out_COD_Price_2" vbProcedure="false">Dashboard!$F$91</definedName>
    <definedName function="false" hidden="false" name="Out_COD_Price_Effect_1" vbProcedure="false">Dashboard!$E$92</definedName>
    <definedName function="false" hidden="false" name="Out_COD_Price_Effect_2" vbProcedure="false">Dashboard!$F$92</definedName>
    <definedName function="false" hidden="false" name="Out_COD_Proceeds_1" vbProcedure="false">Dashboard!$E$94</definedName>
    <definedName function="false" hidden="false" name="Out_COD_Proceeds_2" vbProcedure="false">Dashboard!$F$94</definedName>
    <definedName function="false" hidden="false" name="Out_COD_Profit_1" vbProcedure="false">Dashboard!$E$95</definedName>
    <definedName function="false" hidden="false" name="Out_COD_Profit_2" vbProcedure="false">Dashboard!$F$95</definedName>
    <definedName function="false" hidden="false" name="Out_Commitment_Construction_1" vbProcedure="false">Dashboard!$E$37</definedName>
    <definedName function="false" hidden="false" name="Out_Commitment_Construction_2" vbProcedure="false">Dashboard!$F$37</definedName>
    <definedName function="false" hidden="false" name="Out_Commitment_Devex_1" vbProcedure="false">Dashboard!$E$36</definedName>
    <definedName function="false" hidden="false" name="Out_Commitment_Devex_2" vbProcedure="false">Dashboard!$F$36</definedName>
    <definedName function="false" hidden="false" name="Out_Commitment_Financing_1" vbProcedure="false">Dashboard!$E$38</definedName>
    <definedName function="false" hidden="false" name="Out_Commitment_Financing_2" vbProcedure="false">Dashboard!$F$38</definedName>
    <definedName function="false" hidden="false" name="Out_Commitment_Penalty_1" vbProcedure="false">Dashboard!$E$39</definedName>
    <definedName function="false" hidden="false" name="Out_Commitment_Penalty_2" vbProcedure="false">Dashboard!$F$39</definedName>
    <definedName function="false" hidden="false" name="Out_Commitment_Securities_1" vbProcedure="false">Dashboard!$E$35</definedName>
    <definedName function="false" hidden="false" name="Out_Commitment_Securities_2" vbProcedure="false">Dashboard!$F$35</definedName>
    <definedName function="false" hidden="false" name="Out_Commitment_Total_1" vbProcedure="false">Dashboard!$E$32</definedName>
    <definedName function="false" hidden="false" name="Out_Commitment_Total_2" vbProcedure="false">Dashboard!$F$32</definedName>
    <definedName function="false" hidden="false" name="Out_Cost_To_COD_1" vbProcedure="false">Dashboard!$E$89</definedName>
    <definedName function="false" hidden="false" name="Out_Cost_To_COD_2" vbProcedure="false">Dashboard!$F$89</definedName>
    <definedName function="false" hidden="false" name="Out_Cost_To_COD_MW_1" vbProcedure="false">Dashboard!$E$90</definedName>
    <definedName function="false" hidden="false" name="Out_Cost_To_COD_MW_2" vbProcedure="false">Dashboard!$F$90</definedName>
    <definedName function="false" hidden="false" name="Out_Distributable_1" vbProcedure="false">Dashboard!$E$71</definedName>
    <definedName function="false" hidden="false" name="Out_Distributable_2" vbProcedure="false">Dashboard!$F$71</definedName>
    <definedName function="false" hidden="false" name="Out_Exclusion_1" vbProcedure="false">Dashboard!$E$57</definedName>
    <definedName function="false" hidden="false" name="Out_Exclusion_2" vbProcedure="false">Dashboard!$F$57</definedName>
    <definedName function="false" hidden="false" name="Out_FEP_Proceeds_1" vbProcedure="false">Dashboard!$E$80</definedName>
    <definedName function="false" hidden="false" name="Out_FEP_Proceeds_2" vbProcedure="false">Dashboard!$F$80</definedName>
    <definedName function="false" hidden="false" name="Out_Guarantee_Fees_1" vbProcedure="false">Dashboard!$E$82</definedName>
    <definedName function="false" hidden="false" name="Out_Guarantee_Fees_2" vbProcedure="false">Dashboard!$F$82</definedName>
    <definedName function="false" hidden="false" name="Out_HTM_IRR_1" vbProcedure="false">Dashboard!$E$30</definedName>
    <definedName function="false" hidden="false" name="Out_HTM_IRR_2" vbProcedure="false">Dashboard!$F$30</definedName>
    <definedName function="false" hidden="false" name="Out_HTM_MOIC_1" vbProcedure="false">Dashboard!$E$99</definedName>
    <definedName function="false" hidden="false" name="Out_HTM_MOIC_2" vbProcedure="false">Dashboard!$F$99</definedName>
    <definedName function="false" hidden="false" name="Out_HTM_NPV_1" vbProcedure="false">Dashboard!$E$31</definedName>
    <definedName function="false" hidden="false" name="Out_HTM_NPV_2" vbProcedure="false">Dashboard!$F$31</definedName>
    <definedName function="false" hidden="false" name="Out_Min_DSCR_1" vbProcedure="false">Dashboard!$E$100</definedName>
    <definedName function="false" hidden="false" name="Out_Min_DSCR_2" vbProcedure="false">Dashboard!$F$100</definedName>
    <definedName function="false" hidden="false" name="Out_MVA_At_Risk_1" vbProcedure="false">Dashboard!$E$56</definedName>
    <definedName function="false" hidden="false" name="Out_MVA_At_Risk_2" vbProcedure="false">Dashboard!$F$56</definedName>
    <definedName function="false" hidden="false" name="Out_Points_1" vbProcedure="false">Dashboard!$E$25</definedName>
    <definedName function="false" hidden="false" name="Out_Points_2" vbProcedure="false">Dashboard!$F$25</definedName>
    <definedName function="false" hidden="false" name="Out_RtB_IRR_1" vbProcedure="false">Dashboard!$E$27</definedName>
    <definedName function="false" hidden="false" name="Out_RtB_IRR_2" vbProcedure="false">Dashboard!$F$27</definedName>
    <definedName function="false" hidden="false" name="Out_RtB_MOIC_1" vbProcedure="false">Dashboard!$E$85</definedName>
    <definedName function="false" hidden="false" name="Out_RtB_MOIC_2" vbProcedure="false">Dashboard!$F$85</definedName>
    <definedName function="false" hidden="false" name="Out_RtB_NPV_1" vbProcedure="false">Dashboard!$E$86</definedName>
    <definedName function="false" hidden="false" name="Out_RtB_NPV_2" vbProcedure="false">Dashboard!$F$86</definedName>
    <definedName function="false" hidden="false" name="Out_RtB_Outlay_1" vbProcedure="false">Dashboard!$E$81</definedName>
    <definedName function="false" hidden="false" name="Out_RtB_Outlay_2" vbProcedure="false">Dashboard!$F$81</definedName>
    <definedName function="false" hidden="false" name="Out_RtB_Price_1" vbProcedure="false">Dashboard!$E$61</definedName>
    <definedName function="false" hidden="false" name="Out_RtB_Price_2" vbProcedure="false">Dashboard!$F$61</definedName>
    <definedName function="false" hidden="false" name="Out_RtB_Profit_1" vbProcedure="false">Dashboard!$E$26</definedName>
    <definedName function="false" hidden="false" name="Out_RtB_Profit_2" vbProcedure="false">Dashboard!$F$26</definedName>
    <definedName function="false" hidden="false" name="Out_RtB_Profit_Buildup_1" vbProcedure="false">Dashboard!$E$84</definedName>
    <definedName function="false" hidden="false" name="Out_RtB_Profit_Buildup_2" vbProcedure="false">Dashboard!$F$84</definedName>
    <definedName function="false" hidden="false" name="Out_RtB_Tax_1" vbProcedure="false">Dashboard!$E$83</definedName>
    <definedName function="false" hidden="false" name="Out_RtB_Tax_2" vbProcedure="false">Dashboard!$F$83</definedName>
    <definedName function="false" hidden="false" name="Out_Sanction_Full_1" vbProcedure="false">Dashboard!$E$40</definedName>
    <definedName function="false" hidden="false" name="Out_Sanction_Full_2" vbProcedure="false">Dashboard!$F$40</definedName>
    <definedName function="false" hidden="false" name="Out_Split_ARES_1" vbProcedure="false">Dashboard!$E$74</definedName>
    <definedName function="false" hidden="false" name="Out_Split_ARES_2" vbProcedure="false">Dashboard!$F$74</definedName>
    <definedName function="false" hidden="false" name="Out_Split_ARES_MW_1" vbProcedure="false">Dashboard!$E$77</definedName>
    <definedName function="false" hidden="false" name="Out_Split_ARES_MW_2" vbProcedure="false">Dashboard!$F$77</definedName>
    <definedName function="false" hidden="false" name="Out_Split_FEP_1" vbProcedure="false">Dashboard!$E$73</definedName>
    <definedName function="false" hidden="false" name="Out_Split_FEP_2" vbProcedure="false">Dashboard!$F$73</definedName>
    <definedName function="false" hidden="false" name="Out_Split_FEP_MW_1" vbProcedure="false">Dashboard!$E$76</definedName>
    <definedName function="false" hidden="false" name="Out_Split_FEP_MW_2" vbProcedure="false">Dashboard!$F$76</definedName>
    <definedName function="false" hidden="false" name="Out_Split_Total_1" vbProcedure="false">Dashboard!$E$75</definedName>
    <definedName function="false" hidden="false" name="Out_Split_Total_2" vbProcedure="false">Dashboard!$F$75</definedName>
    <definedName function="false" hidden="false" name="Out_Split_Total_MW_1" vbProcedure="false">Dashboard!$E$78</definedName>
    <definedName function="false" hidden="false" name="Out_Split_Total_MW_2" vbProcedure="false">Dashboard!$F$78</definedName>
    <definedName function="false" hidden="false" name="Out_WF_Available_1" vbProcedure="false">Dashboard!$E$63</definedName>
    <definedName function="false" hidden="false" name="Out_WF_Available_2" vbProcedure="false">Dashboard!$F$63</definedName>
    <definedName function="false" hidden="false" name="Out_WF_DSA_1" vbProcedure="false">Dashboard!$E$70</definedName>
    <definedName function="false" hidden="false" name="Out_WF_DSA_2" vbProcedure="false">Dashboard!$F$70</definedName>
    <definedName function="false" hidden="false" name="Out_WF_Land_1" vbProcedure="false">Dashboard!$E$67</definedName>
    <definedName function="false" hidden="false" name="Out_WF_Land_2" vbProcedure="false">Dashboard!$F$67</definedName>
    <definedName function="false" hidden="false" name="Out_WF_Principal_1" vbProcedure="false">Dashboard!$E$65</definedName>
    <definedName function="false" hidden="false" name="Out_WF_Principal_2" vbProcedure="false">Dashboard!$F$65</definedName>
    <definedName function="false" hidden="false" name="Out_WF_Return_12_1" vbProcedure="false">Dashboard!$E$66</definedName>
    <definedName function="false" hidden="false" name="Out_WF_Return_12_2" vbProcedure="false">Dashboard!$F$66</definedName>
    <definedName function="false" hidden="false" name="Out_WF_Return_6_1" vbProcedure="false">Dashboard!$E$69</definedName>
    <definedName function="false" hidden="false" name="Out_WF_Return_6_2" vbProcedure="false">Dashboard!$F$69</definedName>
    <definedName function="false" hidden="false" name="Out_WF_Return_AtRisk_1" vbProcedure="false">Dashboard!$E$68</definedName>
    <definedName function="false" hidden="false" name="Out_WF_Return_AtRisk_2" vbProcedure="false">Dashboard!$F$68</definedName>
    <definedName function="false" hidden="false" name="Out_WF_Sale_Costs_1" vbProcedure="false">Dashboard!$E$64</definedName>
    <definedName function="false" hidden="false" name="Out_WF_Sale_Costs_2" vbProcedure="false">Dashboard!$F$64</definedName>
    <definedName function="false" hidden="false" name="Out_Wind_Built_MW_1" vbProcedure="false">Dashboard!$E$44</definedName>
    <definedName function="false" hidden="false" name="Out_Wind_Built_MW_2" vbProcedure="false">Dashboard!$F$44</definedName>
    <definedName function="false" hidden="false" name="Out_Wind_MW_1" vbProcedure="false">Dashboard!$E$43</definedName>
    <definedName function="false" hidden="false" name="Out_Wind_MW_2" vbProcedure="false">Dashboard!$F$43</definedName>
    <definedName function="false" hidden="false" name="Period_Ends" vbProcedure="false">Calc_1!$J$4:$ET$4</definedName>
    <definedName function="false" hidden="false" name="Points_1_Stored" vbProcedure="false">Dashboard!$H$103:$M$103</definedName>
    <definedName function="false" hidden="false" name="Points_2_Stored" vbProcedure="false">Dashboard!$H$104:$M$104</definedName>
    <definedName function="false" hidden="false" name="Points_Decimals" vbProcedure="false">Inputs!$F$42</definedName>
    <definedName function="false" hidden="false" name="RtB_Profit_1_Stored" vbProcedure="false">Dashboard!$H$105:$M$105</definedName>
    <definedName function="false" hidden="false" name="RtB_Profit_2_Stored" vbProcedure="false">Dashboard!$H$106:$M$106</definedName>
    <definedName function="false" hidden="false" name="Scenario_Name" vbProcedure="false">Dashboard!$V$12</definedName>
    <definedName function="false" hidden="false" name="Scenario_Names" vbProcedure="false">Inputs!$H$7:$M$7</definedName>
    <definedName function="false" hidden="false" name="Scenario_Selected" vbProcedure="false">Inputs!$F$5</definedName>
    <definedName function="false" hidden="false" name="Stored_Results" vbProcedure="false">Dashboard!$H$103:$M$114</definedName>
    <definedName function="false" hidden="false" name="Thousand" vbProcedure="false">Inputs!$F$11</definedName>
    <definedName function="false" hidden="false" name="Tolerance" vbProcedure="false">Inputs!$F$16</definedName>
    <definedName function="false" hidden="false" name="ZB_Delta_1_Stored" vbProcedure="false">Dashboard!$I$28:$I$32</definedName>
    <definedName function="false" hidden="false" name="ZB_Delta_2_Stored" vbProcedure="false">Dashboard!$J$28:$J$32</definedName>
    <definedName function="false" hidden="false" name="ZB_Live_1" vbProcedure="false">Dashboard!$E$28:$E$32</definedName>
    <definedName function="false" hidden="false" name="ZB_Live_2" vbProcedure="false">Dashboard!$F$28:$F$32</definedName>
    <definedName function="false" hidden="false" name="ZB_Zero_Stored" vbProcedure="false">Dashboard!$H$28:$H$32</definedName>
    <definedName function="false" hidden="false" name="ZeroBid_Delta_Stored" vbProcedure="false">Dashboard!$I$26:$J$32</definedName>
    <definedName function="false" hidden="false" name="ZeroBid_Live" vbProcedure="false">Dashboard!$E$25:$F$32</definedName>
    <definedName function="false" hidden="false" name="ZeroBid_Stored" vbProcedure="false">Dashboard!$H$25:$H$32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<sst xmlns="http://schemas.openxmlformats.org/spreadsheetml/2006/main" count="1421" uniqueCount="596">
  <si>
    <t xml:space="preserve">Project Bora</t>
  </si>
  <si>
    <t xml:space="preserve">Bid strategy – BORA 1 / BORA 2 (2 x 100 MVA, Szombathely)</t>
  </si>
  <si>
    <t xml:space="preserve">Version</t>
  </si>
  <si>
    <t xml:space="preserve">v2</t>
  </si>
  <si>
    <t xml:space="preserve">Model date</t>
  </si>
  <si>
    <t xml:space="preserve">Key-assumption set</t>
  </si>
  <si>
    <t xml:space="preserve">Master check</t>
  </si>
  <si>
    <t xml:space="preserve">Item</t>
  </si>
  <si>
    <t xml:space="preserve">Unit</t>
  </si>
  <si>
    <t xml:space="preserve">BORA 1</t>
  </si>
  <si>
    <t xml:space="preserve">BORA 2</t>
  </si>
  <si>
    <t xml:space="preserve">Key assumptions</t>
  </si>
  <si>
    <t xml:space="preserve">Live</t>
  </si>
  <si>
    <t xml:space="preserve">x</t>
  </si>
  <si>
    <t xml:space="preserve">The bid: commitments, points and impact vs the zero bid (macro)</t>
  </si>
  <si>
    <t xml:space="preserve">Offerable range</t>
  </si>
  <si>
    <t xml:space="preserve">Points B1</t>
  </si>
  <si>
    <t xml:space="preserve">Points B2</t>
  </si>
  <si>
    <t xml:space="preserve">Δ RtB profit €m B1</t>
  </si>
  <si>
    <t xml:space="preserve">Δ RtB profit €m B2</t>
  </si>
  <si>
    <t xml:space="preserve">Δ COD IRR B1</t>
  </si>
  <si>
    <t xml:space="preserve">Δ COD IRR B2</t>
  </si>
  <si>
    <t xml:space="preserve">Δ HTM IRR B1</t>
  </si>
  <si>
    <t xml:space="preserve">Δ HTM IRR B2</t>
  </si>
  <si>
    <t xml:space="preserve">Δ securities €m B1</t>
  </si>
  <si>
    <t xml:space="preserve">Δ securities €m B2</t>
  </si>
  <si>
    <t xml:space="preserve">Municipal one-off (ÖSZ-1)</t>
  </si>
  <si>
    <t xml:space="preserve">EUR k/MW</t>
  </si>
  <si>
    <t xml:space="preserve">0 or 10–50</t>
  </si>
  <si>
    <t xml:space="preserve">text</t>
  </si>
  <si>
    <t xml:space="preserve">Base</t>
  </si>
  <si>
    <t xml:space="preserve">Community contribution (ÖSZ-2)</t>
  </si>
  <si>
    <t xml:space="preserve">EUR/MWh</t>
  </si>
  <si>
    <t xml:space="preserve">0 or 2–3</t>
  </si>
  <si>
    <t xml:space="preserve">Overbuild (ÖSZ-3)</t>
  </si>
  <si>
    <t xml:space="preserve">%</t>
  </si>
  <si>
    <t xml:space="preserve">≥ 0 %</t>
  </si>
  <si>
    <t xml:space="preserve">Key assumptions (live)</t>
  </si>
  <si>
    <t xml:space="preserve">BESS power, share of MVA (ÖSZ-4)</t>
  </si>
  <si>
    <t xml:space="preserve">≤ wind MW</t>
  </si>
  <si>
    <t xml:space="preserve">Chinese turbines (0 EU, 1 CN)</t>
  </si>
  <si>
    <t xml:space="preserve">flag</t>
  </si>
  <si>
    <t xml:space="preserve">BESS duration</t>
  </si>
  <si>
    <t xml:space="preserve">h</t>
  </si>
  <si>
    <t xml:space="preserve">≥ 4 h</t>
  </si>
  <si>
    <t xml:space="preserve">RtB price</t>
  </si>
  <si>
    <t xml:space="preserve">EUR k/MVA</t>
  </si>
  <si>
    <t xml:space="preserve">Performance security multiple (ÖSZ-6)</t>
  </si>
  <si>
    <t xml:space="preserve">≥ 1.0</t>
  </si>
  <si>
    <t xml:space="preserve">COD price, EU</t>
  </si>
  <si>
    <t xml:space="preserve">Partial award accepted (ÖSZ-5)</t>
  </si>
  <si>
    <t xml:space="preserve">0 / 1</t>
  </si>
  <si>
    <t xml:space="preserve">Turbine price, EU</t>
  </si>
  <si>
    <t xml:space="preserve">Brownfield site (ÖSZ-7)</t>
  </si>
  <si>
    <t xml:space="preserve">PPA price at COD</t>
  </si>
  <si>
    <t xml:space="preserve">Shared connection (ÖSZ-8)</t>
  </si>
  <si>
    <t xml:space="preserve">Gearing, EU</t>
  </si>
  <si>
    <t xml:space="preserve">EU turbines ≥ 80 % (ÖSZ-9)</t>
  </si>
  <si>
    <t xml:space="preserve">Debt rate</t>
  </si>
  <si>
    <t xml:space="preserve">EU transformers ≥ 80 % (ÖSZ-9)</t>
  </si>
  <si>
    <t xml:space="preserve">Discount rate</t>
  </si>
  <si>
    <t xml:space="preserve">COD</t>
  </si>
  <si>
    <t xml:space="preserve">date</t>
  </si>
  <si>
    <t xml:space="preserve">Returns at a glance</t>
  </si>
  <si>
    <t xml:space="preserve">Zero bid</t>
  </si>
  <si>
    <t xml:space="preserve">Δ B1</t>
  </si>
  <si>
    <t xml:space="preserve">Δ B2</t>
  </si>
  <si>
    <t xml:space="preserve">FX</t>
  </si>
  <si>
    <t xml:space="preserve">HUF/EUR</t>
  </si>
  <si>
    <t xml:space="preserve">Points, live turbine route</t>
  </si>
  <si>
    <t xml:space="preserve">points</t>
  </si>
  <si>
    <t xml:space="preserve">Interest freeze on</t>
  </si>
  <si>
    <t xml:space="preserve">FEP profit – RtB route</t>
  </si>
  <si>
    <t xml:space="preserve">EUR m</t>
  </si>
  <si>
    <t xml:space="preserve">Overbuild built</t>
  </si>
  <si>
    <t xml:space="preserve">FEP IRR – RtB route</t>
  </si>
  <si>
    <t xml:space="preserve">BESS built</t>
  </si>
  <si>
    <t xml:space="preserve">FEP IRR – sale at COD</t>
  </si>
  <si>
    <t xml:space="preserve">Sanction regime (1 pro rata, 2 full)</t>
  </si>
  <si>
    <t xml:space="preserve">FEP NPV – sale at COD</t>
  </si>
  <si>
    <t xml:space="preserve">ÖSZ-4 basis (0 MVA, 1 wind)</t>
  </si>
  <si>
    <t xml:space="preserve">FEP IRR – hold to maturity</t>
  </si>
  <si>
    <t xml:space="preserve">FEP NPV – hold to maturity</t>
  </si>
  <si>
    <t xml:space="preserve">Total commitment</t>
  </si>
  <si>
    <t xml:space="preserve">Commitment overview (total in Returns at a glance)</t>
  </si>
  <si>
    <t xml:space="preserve">Securities: cash posted and guarantee outstanding</t>
  </si>
  <si>
    <t xml:space="preserve">Devex, land, signing and DD</t>
  </si>
  <si>
    <t xml:space="preserve">Construction capex incl. connection fees, municipal, pre-COD lease</t>
  </si>
  <si>
    <t xml:space="preserve">Financing: IDC, debt fees, guarantee fees</t>
  </si>
  <si>
    <t xml:space="preserve">Memo, not in the total: PB call if overbuild not built</t>
  </si>
  <si>
    <t xml:space="preserve">Memo, not in the total: full PB call</t>
  </si>
  <si>
    <t xml:space="preserve">Points and validity</t>
  </si>
  <si>
    <t xml:space="preserve">Wind committed</t>
  </si>
  <si>
    <t xml:space="preserve">MW</t>
  </si>
  <si>
    <t xml:space="preserve">Wind built</t>
  </si>
  <si>
    <t xml:space="preserve">BESS committed</t>
  </si>
  <si>
    <t xml:space="preserve">Capacity tests (group cap, overbuild, BESS ≤ wind, 4 h)</t>
  </si>
  <si>
    <t xml:space="preserve">Commitments within the offerable range</t>
  </si>
  <si>
    <t xml:space="preserve">Securities and fees</t>
  </si>
  <si>
    <t xml:space="preserve">Form</t>
  </si>
  <si>
    <t xml:space="preserve">Posted</t>
  </si>
  <si>
    <t xml:space="preserve">Released</t>
  </si>
  <si>
    <t xml:space="preserve">Participation fee</t>
  </si>
  <si>
    <t xml:space="preserve">cash</t>
  </si>
  <si>
    <t xml:space="preserve">–</t>
  </si>
  <si>
    <t xml:space="preserve">Bid security</t>
  </si>
  <si>
    <t xml:space="preserve">guarantee</t>
  </si>
  <si>
    <t xml:space="preserve">Performance security</t>
  </si>
  <si>
    <t xml:space="preserve">exit / PB release</t>
  </si>
  <si>
    <t xml:space="preserve">TSO connection-request security</t>
  </si>
  <si>
    <t xml:space="preserve">credited</t>
  </si>
  <si>
    <t xml:space="preserve">Direct connection fee</t>
  </si>
  <si>
    <t xml:space="preserve">Indirect connection fee, net</t>
  </si>
  <si>
    <t xml:space="preserve">Connection capacity at risk</t>
  </si>
  <si>
    <t xml:space="preserve">MVA</t>
  </si>
  <si>
    <t xml:space="preserve">3-year group exclusion possible (if the PB loss counts as a call)</t>
  </si>
  <si>
    <t xml:space="preserve">RtB exit</t>
  </si>
  <si>
    <t xml:space="preserve">RtB exit date (a quarter end)</t>
  </si>
  <si>
    <t xml:space="preserve">Exit waterfall (paid)</t>
  </si>
  <si>
    <t xml:space="preserve">Cash available (price + buyer reimbursement)</t>
  </si>
  <si>
    <t xml:space="preserve">Sale costs</t>
  </si>
  <si>
    <t xml:space="preserve">Recoverable principal</t>
  </si>
  <si>
    <t xml:space="preserve">12 % return</t>
  </si>
  <si>
    <t xml:space="preserve">Land principal</t>
  </si>
  <si>
    <t xml:space="preserve">At-risk return (20 %, 2x floor)</t>
  </si>
  <si>
    <t xml:space="preserve">6 % guarantee return</t>
  </si>
  <si>
    <t xml:space="preserve">DSA</t>
  </si>
  <si>
    <t xml:space="preserve">Distributable at the exit</t>
  </si>
  <si>
    <t xml:space="preserve">Exit split, devex-file view</t>
  </si>
  <si>
    <t xml:space="preserve">FEP: claims + 70 %</t>
  </si>
  <si>
    <t xml:space="preserve">A.RES: DSA + 30 %</t>
  </si>
  <si>
    <t xml:space="preserve">Total</t>
  </si>
  <si>
    <t xml:space="preserve">FEP per installed wind MW</t>
  </si>
  <si>
    <t xml:space="preserve">A.RES per installed wind MW</t>
  </si>
  <si>
    <t xml:space="preserve">Total per installed wind MW</t>
  </si>
  <si>
    <t xml:space="preserve">FEP result – RtB route</t>
  </si>
  <si>
    <t xml:space="preserve">Receipts at the exit</t>
  </si>
  <si>
    <t xml:space="preserve">Outlays: devex, land, deposits, connection fees, signing</t>
  </si>
  <si>
    <t xml:space="preserve">Guarantee fees (6 % carry)</t>
  </si>
  <si>
    <t xml:space="preserve">Tax at the exit</t>
  </si>
  <si>
    <t xml:space="preserve">FEP profit</t>
  </si>
  <si>
    <t xml:space="preserve">FEP MOIC – RtB route</t>
  </si>
  <si>
    <t xml:space="preserve">FEP NPV – RtB route</t>
  </si>
  <si>
    <t xml:space="preserve">Sale at COD</t>
  </si>
  <si>
    <t xml:space="preserve">All-in cost to COD</t>
  </si>
  <si>
    <t xml:space="preserve">All-in cost per built MW</t>
  </si>
  <si>
    <t xml:space="preserve">Sale price (built MW, after bottleneck loss)</t>
  </si>
  <si>
    <t xml:space="preserve">COD price effect (community, sanction)</t>
  </si>
  <si>
    <t xml:space="preserve">Debt repaid at COD</t>
  </si>
  <si>
    <t xml:space="preserve">FEP proceeds at COD</t>
  </si>
  <si>
    <t xml:space="preserve">FEP profit – sale at COD</t>
  </si>
  <si>
    <t xml:space="preserve">FEP MOIC – sale at COD</t>
  </si>
  <si>
    <t xml:space="preserve">Hold to maturity</t>
  </si>
  <si>
    <t xml:space="preserve">FEP MOIC – hold to maturity</t>
  </si>
  <si>
    <t xml:space="preserve">Minimum DSCR (memo)</t>
  </si>
  <si>
    <t xml:space="preserve">Stored results by key-assumption set</t>
  </si>
  <si>
    <t xml:space="preserve">Points, live turbine route – BORA 1</t>
  </si>
  <si>
    <t xml:space="preserve">Points, live turbine route – BORA 2</t>
  </si>
  <si>
    <t xml:space="preserve">FEP profit – RtB route – BORA 1</t>
  </si>
  <si>
    <t xml:space="preserve">FEP profit – RtB route – BORA 2</t>
  </si>
  <si>
    <t xml:space="preserve">FEP IRR – sale at COD – BORA 1</t>
  </si>
  <si>
    <t xml:space="preserve">FEP IRR – sale at COD – BORA 2</t>
  </si>
  <si>
    <t xml:space="preserve">FEP IRR – hold to maturity – BORA 1</t>
  </si>
  <si>
    <t xml:space="preserve">FEP IRR – hold to maturity – BORA 2</t>
  </si>
  <si>
    <t xml:space="preserve">Distributable at the exit – BORA 1</t>
  </si>
  <si>
    <t xml:space="preserve">Distributable at the exit – BORA 2</t>
  </si>
  <si>
    <t xml:space="preserve">All-in cost to COD – BORA 1</t>
  </si>
  <si>
    <t xml:space="preserve">All-in cost to COD – BORA 2</t>
  </si>
  <si>
    <t xml:space="preserve">***END***</t>
  </si>
  <si>
    <t xml:space="preserve">Scenario selected</t>
  </si>
  <si>
    <t xml:space="preserve">Set on the Dashboard</t>
  </si>
  <si>
    <t xml:space="preserve">Scenario number</t>
  </si>
  <si>
    <t xml:space="preserve">Input</t>
  </si>
  <si>
    <t xml:space="preserve">Source / note</t>
  </si>
  <si>
    <t xml:space="preserve">Full PB call</t>
  </si>
  <si>
    <t xml:space="preserve">Freeze off</t>
  </si>
  <si>
    <t xml:space="preserve">Low premium</t>
  </si>
  <si>
    <t xml:space="preserve">ÖSZ-4 on wind</t>
  </si>
  <si>
    <t xml:space="preserve">Constants</t>
  </si>
  <si>
    <t xml:space="preserve">Thousand</t>
  </si>
  <si>
    <t xml:space="preserve">#</t>
  </si>
  <si>
    <t xml:space="preserve">Scale</t>
  </si>
  <si>
    <t xml:space="preserve">Million</t>
  </si>
  <si>
    <t xml:space="preserve">Days In Year</t>
  </si>
  <si>
    <t xml:space="preserve">days</t>
  </si>
  <si>
    <t xml:space="preserve">Day count for year fractions and XIRR</t>
  </si>
  <si>
    <t xml:space="preserve">Months In Year</t>
  </si>
  <si>
    <t xml:space="preserve">months</t>
  </si>
  <si>
    <t xml:space="preserve">Months Per Period</t>
  </si>
  <si>
    <t xml:space="preserve">Timeline periodicity (quarterly)</t>
  </si>
  <si>
    <t xml:space="preserve">Tolerance</t>
  </si>
  <si>
    <t xml:space="preserve">Check and solver tolerance</t>
  </si>
  <si>
    <t xml:space="preserve">Timing</t>
  </si>
  <si>
    <t xml:space="preserve">Model start date</t>
  </si>
  <si>
    <t xml:space="preserve">Timeline start</t>
  </si>
  <si>
    <t xml:space="preserve">Signing fee and DD paid</t>
  </si>
  <si>
    <t xml:space="preserve">Old engine Inputs E27</t>
  </si>
  <si>
    <t xml:space="preserve">Signing (DSA accrual start)</t>
  </si>
  <si>
    <t xml:space="preserve">Old engine Inputs E70</t>
  </si>
  <si>
    <t xml:space="preserve">Devex contingency paid</t>
  </si>
  <si>
    <t xml:space="preserve">Old engine Devex_FEP row 38</t>
  </si>
  <si>
    <t xml:space="preserve">Notice to proceed</t>
  </si>
  <si>
    <t xml:space="preserve">Old engine Inputs E154</t>
  </si>
  <si>
    <t xml:space="preserve">Commercial operation date</t>
  </si>
  <si>
    <t xml:space="preserve">Bora!N16</t>
  </si>
  <si>
    <t xml:space="preserve">Operating life</t>
  </si>
  <si>
    <t xml:space="preserve">years</t>
  </si>
  <si>
    <t xml:space="preserve">Old engine Inputs E157</t>
  </si>
  <si>
    <t xml:space="preserve">Interest freeze start</t>
  </si>
  <si>
    <t xml:space="preserve">Old engine Inputs E64</t>
  </si>
  <si>
    <t xml:space="preserve">Interest freeze end (accrual resumes)</t>
  </si>
  <si>
    <t xml:space="preserve">Old engine Inputs E73</t>
  </si>
  <si>
    <t xml:space="preserve">Interest freeze on (1 = yes)</t>
  </si>
  <si>
    <t xml:space="preserve">User 09-Oct-26 (Inputs E64)</t>
  </si>
  <si>
    <t xml:space="preserve">Sanction paid after COD</t>
  </si>
  <si>
    <t xml:space="preserve">Kiírás XIII.17; old Tender E31</t>
  </si>
  <si>
    <t xml:space="preserve">Money, tax and JV</t>
  </si>
  <si>
    <t xml:space="preserve">FX rate</t>
  </si>
  <si>
    <t xml:space="preserve">Old engine Inputs E11</t>
  </si>
  <si>
    <t xml:space="preserve">Corporate income tax</t>
  </si>
  <si>
    <t xml:space="preserve">Old engine Inputs E12</t>
  </si>
  <si>
    <t xml:space="preserve">Signing fee to current owners</t>
  </si>
  <si>
    <t xml:space="preserve">EUR k</t>
  </si>
  <si>
    <t xml:space="preserve">Old engine Inputs E24</t>
  </si>
  <si>
    <t xml:space="preserve">Transaction and DD costs</t>
  </si>
  <si>
    <t xml:space="preserve">Old engine Inputs E25</t>
  </si>
  <si>
    <t xml:space="preserve">Sale costs at exit</t>
  </si>
  <si>
    <t xml:space="preserve">Old engine Inputs E26</t>
  </si>
  <si>
    <t xml:space="preserve">FEP share of distributable proceeds</t>
  </si>
  <si>
    <t xml:space="preserve">Old engine Inputs E33</t>
  </si>
  <si>
    <t xml:space="preserve">Developer success fee (DSA) per year</t>
  </si>
  <si>
    <t xml:space="preserve">Old engine Inputs E36</t>
  </si>
  <si>
    <t xml:space="preserve">DSA cap</t>
  </si>
  <si>
    <t xml:space="preserve">Old engine Inputs E37</t>
  </si>
  <si>
    <t xml:space="preserve">Tender</t>
  </si>
  <si>
    <t xml:space="preserve">Points rounded to decimals</t>
  </si>
  <si>
    <t xml:space="preserve">Kiírás X.1 b</t>
  </si>
  <si>
    <t xml:space="preserve">Net connection capacity per bid</t>
  </si>
  <si>
    <t xml:space="preserve">Old engine Calc E74</t>
  </si>
  <si>
    <t xml:space="preserve">Cap per group per node</t>
  </si>
  <si>
    <t xml:space="preserve">Kiírás V.2</t>
  </si>
  <si>
    <t xml:space="preserve">Build shortfall tolerated without sanction</t>
  </si>
  <si>
    <t xml:space="preserve">GYIK 28, 30</t>
  </si>
  <si>
    <t xml:space="preserve">Minimum BESS duration</t>
  </si>
  <si>
    <t xml:space="preserve">Kiírás Annex 8; GYIK Q5</t>
  </si>
  <si>
    <t xml:space="preserve">ÖSZ-4 basis (0 = net MVA, 1 = committed wind)</t>
  </si>
  <si>
    <t xml:space="preserve">User 12-Oct-26; GYIK Q20 = 1</t>
  </si>
  <si>
    <t xml:space="preserve">Deposits and fees (timeline order)</t>
  </si>
  <si>
    <t xml:space="preserve">Security base: benchmark investment, wind</t>
  </si>
  <si>
    <t xml:space="preserve">mHUF/MW</t>
  </si>
  <si>
    <t xml:space="preserve">Kiírás Annex 2</t>
  </si>
  <si>
    <t xml:space="preserve">Security base: benchmark investment, BESS</t>
  </si>
  <si>
    <t xml:space="preserve">mHUF/MWh</t>
  </si>
  <si>
    <t xml:space="preserve">Bid submission: fee paid, bid security posted</t>
  </si>
  <si>
    <t xml:space="preserve">Kiírás VI.5; Old engine Inputs E95</t>
  </si>
  <si>
    <t xml:space="preserve">Participation fee per bid (cash, not refunded)</t>
  </si>
  <si>
    <t xml:space="preserve">mHUF</t>
  </si>
  <si>
    <t xml:space="preserve">Kiírás VI.4</t>
  </si>
  <si>
    <t xml:space="preserve">Bid security (guarantee), share of base</t>
  </si>
  <si>
    <t xml:space="preserve">Kiírás VIII.2</t>
  </si>
  <si>
    <t xml:space="preserve">Award decision</t>
  </si>
  <si>
    <t xml:space="preserve">Old engine Inputs E96</t>
  </si>
  <si>
    <t xml:space="preserve">Performance security posted after award (bid released)</t>
  </si>
  <si>
    <t xml:space="preserve">Kiírás XII.5, GYIK 68</t>
  </si>
  <si>
    <t xml:space="preserve">Performance security (guarantee), minimum share of base</t>
  </si>
  <si>
    <t xml:space="preserve">Kiírás XII.3</t>
  </si>
  <si>
    <t xml:space="preserve">Connection request: TSO security posted</t>
  </si>
  <si>
    <t xml:space="preserve">Old engine Inputs E97</t>
  </si>
  <si>
    <t xml:space="preserve">TSO security (cash, credited to the indirect fee)</t>
  </si>
  <si>
    <t xml:space="preserve">mHUF/MVA</t>
  </si>
  <si>
    <t xml:space="preserve">Old engine Inputs E83</t>
  </si>
  <si>
    <t xml:space="preserve">Connection agreement (HCSSZ): fees paid</t>
  </si>
  <si>
    <t xml:space="preserve">Old engine Inputs E99</t>
  </si>
  <si>
    <t xml:space="preserve">Direct connection fee per connection point (cash)</t>
  </si>
  <si>
    <t xml:space="preserve">BORA_Devex 02-Oct row 19</t>
  </si>
  <si>
    <t xml:space="preserve">Indirect connection fee (cash)</t>
  </si>
  <si>
    <t xml:space="preserve">BORA_Devex 02-Oct row 18</t>
  </si>
  <si>
    <t xml:space="preserve">Performance security released (hold route)</t>
  </si>
  <si>
    <t xml:space="preserve">Kiírás XII.8 (COD deadline + 6 m)</t>
  </si>
  <si>
    <t xml:space="preserve">Bank guarantee fee on guarantees outstanding</t>
  </si>
  <si>
    <t xml:space="preserve">Old engine Inputs E113</t>
  </si>
  <si>
    <t xml:space="preserve">FEP claims and fees</t>
  </si>
  <si>
    <t xml:space="preserve">Return on cash lines</t>
  </si>
  <si>
    <t xml:space="preserve">BORA_Devex 02-Oct V18</t>
  </si>
  <si>
    <t xml:space="preserve">Return on guarantee face value</t>
  </si>
  <si>
    <t xml:space="preserve">BORA_Devex 02-Oct V17</t>
  </si>
  <si>
    <t xml:space="preserve">Return on devex and land (at risk)</t>
  </si>
  <si>
    <t xml:space="preserve">BORA_Devex 02-Oct V19</t>
  </si>
  <si>
    <t xml:space="preserve">Minimum multiple on at-risk principal</t>
  </si>
  <si>
    <t xml:space="preserve">BORA_Devex 02-Oct V20</t>
  </si>
  <si>
    <t xml:space="preserve">Contingency on devex, land and fee</t>
  </si>
  <si>
    <t xml:space="preserve">Old engine Inputs E68</t>
  </si>
  <si>
    <t xml:space="preserve">Exit prices</t>
  </si>
  <si>
    <t xml:space="preserve">RtB price (no price effect)</t>
  </si>
  <si>
    <t xml:space="preserve">Bora!N5; user 12-Oct-26</t>
  </si>
  <si>
    <t xml:space="preserve">FEP discount rate (NPV, price PV)</t>
  </si>
  <si>
    <t xml:space="preserve">Old engine Inputs E253</t>
  </si>
  <si>
    <t xml:space="preserve">Sale price at COD per built MW, EU turbines</t>
  </si>
  <si>
    <t xml:space="preserve">Bora!N6</t>
  </si>
  <si>
    <t xml:space="preserve">Sale price at COD per built MW, CN turbines</t>
  </si>
  <si>
    <t xml:space="preserve">Bora!N7</t>
  </si>
  <si>
    <t xml:space="preserve">COD price reference: community contribution</t>
  </si>
  <si>
    <t xml:space="preserve">Bora!E7</t>
  </si>
  <si>
    <t xml:space="preserve">COD price effect passed into the price</t>
  </si>
  <si>
    <t xml:space="preserve">Old engine Tender E30</t>
  </si>
  <si>
    <t xml:space="preserve">Buyer discount rate</t>
  </si>
  <si>
    <t xml:space="preserve">Old engine Inputs E224</t>
  </si>
  <si>
    <t xml:space="preserve">Build switches</t>
  </si>
  <si>
    <t xml:space="preserve">Overbuild built (1 = yes)</t>
  </si>
  <si>
    <t xml:space="preserve">SPEC v2 §6 (set = meeting file)</t>
  </si>
  <si>
    <t xml:space="preserve">BESS built (1 = yes)</t>
  </si>
  <si>
    <t xml:space="preserve">SPEC v2 §6</t>
  </si>
  <si>
    <t xml:space="preserve">Sanction regime (1 pro rata, 2 full call)</t>
  </si>
  <si>
    <t xml:space="preserve">GYIK 28/30 (1); Kiírás XIII.17, GYIK 72 (2)</t>
  </si>
  <si>
    <t xml:space="preserve">Energy lost on overbuilt MW</t>
  </si>
  <si>
    <t xml:space="preserve">Bora!N18</t>
  </si>
  <si>
    <t xml:space="preserve">Capex</t>
  </si>
  <si>
    <t xml:space="preserve">User 12-Oct-26 (SPEC v2.1)</t>
  </si>
  <si>
    <t xml:space="preserve">Turbine supply, EU</t>
  </si>
  <si>
    <t xml:space="preserve">Turbine supply, CN</t>
  </si>
  <si>
    <t xml:space="preserve">Old engine Calc G101</t>
  </si>
  <si>
    <t xml:space="preserve">Other wind capex (install, foundations, BoP, owner, land)</t>
  </si>
  <si>
    <t xml:space="preserve">Old engine Inputs E163:E166, E169:E170</t>
  </si>
  <si>
    <t xml:space="preserve">Substation and 132 kV bay, EU</t>
  </si>
  <si>
    <t xml:space="preserve">Old engine Inputs E167</t>
  </si>
  <si>
    <t xml:space="preserve">Substation and 132 kV bay, CN</t>
  </si>
  <si>
    <t xml:space="preserve">Old engine Tender E29</t>
  </si>
  <si>
    <t xml:space="preserve">Contingency on wind and substation capex</t>
  </si>
  <si>
    <t xml:space="preserve">Old engine Inputs E171</t>
  </si>
  <si>
    <t xml:space="preserve">BESS capex</t>
  </si>
  <si>
    <t xml:space="preserve">User 12-Oct-26</t>
  </si>
  <si>
    <t xml:space="preserve">Operations</t>
  </si>
  <si>
    <t xml:space="preserve">Net P50 hours</t>
  </si>
  <si>
    <t xml:space="preserve">h/yr</t>
  </si>
  <si>
    <t xml:space="preserve">Old engine Inputs E179</t>
  </si>
  <si>
    <t xml:space="preserve">Curtailment</t>
  </si>
  <si>
    <t xml:space="preserve">Old engine Inputs E181</t>
  </si>
  <si>
    <t xml:space="preserve">Degradation per year</t>
  </si>
  <si>
    <t xml:space="preserve">Old engine Inputs E182</t>
  </si>
  <si>
    <t xml:space="preserve">PPA price at COD (whole life)</t>
  </si>
  <si>
    <t xml:space="preserve">PPA escalation</t>
  </si>
  <si>
    <t xml:space="preserve">Old engine Inputs E192</t>
  </si>
  <si>
    <t xml:space="preserve">Variable opex (balancing 4, grid 1)</t>
  </si>
  <si>
    <t xml:space="preserve">Old engine Inputs E194:E195</t>
  </si>
  <si>
    <t xml:space="preserve">Fixed opex (O&amp;M, BoP, insurance, AM, property tax)</t>
  </si>
  <si>
    <t xml:space="preserve">Old engine Inputs E201:E202, E204:E206</t>
  </si>
  <si>
    <t xml:space="preserve">Land lease from NTP</t>
  </si>
  <si>
    <t xml:space="preserve">Old engine Inputs E203</t>
  </si>
  <si>
    <t xml:space="preserve">Administration</t>
  </si>
  <si>
    <t xml:space="preserve">Old engine Inputs E207</t>
  </si>
  <si>
    <t xml:space="preserve">Opex contingency</t>
  </si>
  <si>
    <t xml:space="preserve">Old engine Inputs E208</t>
  </si>
  <si>
    <t xml:space="preserve">Opex escalation from the COD year</t>
  </si>
  <si>
    <t xml:space="preserve">Old engine Inputs E209</t>
  </si>
  <si>
    <t xml:space="preserve">MEKH fee</t>
  </si>
  <si>
    <t xml:space="preserve">Old engine Inputs E196</t>
  </si>
  <si>
    <t xml:space="preserve">Local business tax (HIPA)</t>
  </si>
  <si>
    <t xml:space="preserve">Old engine Inputs E210</t>
  </si>
  <si>
    <t xml:space="preserve">Debt and tax</t>
  </si>
  <si>
    <t xml:space="preserve">Gearing on capex, connection, municipal, EU</t>
  </si>
  <si>
    <t xml:space="preserve">Old engine Inputs E217</t>
  </si>
  <si>
    <t xml:space="preserve">Gearing on capex, connection, municipal, CN</t>
  </si>
  <si>
    <t xml:space="preserve">Old engine case 3</t>
  </si>
  <si>
    <t xml:space="preserve">Debt interest rate</t>
  </si>
  <si>
    <t xml:space="preserve">Old engine Inputs E218</t>
  </si>
  <si>
    <t xml:space="preserve">Upfront fee</t>
  </si>
  <si>
    <t xml:space="preserve">Old engine Inputs E219</t>
  </si>
  <si>
    <t xml:space="preserve">Commitment fee on undrawn debt</t>
  </si>
  <si>
    <t xml:space="preserve">Old engine Inputs E222</t>
  </si>
  <si>
    <t xml:space="preserve">Annuity tenor from COD</t>
  </si>
  <si>
    <t xml:space="preserve">Old engine Inputs E220</t>
  </si>
  <si>
    <t xml:space="preserve">Tax depreciation period</t>
  </si>
  <si>
    <t xml:space="preserve">Old engine Inputs E213</t>
  </si>
  <si>
    <t xml:space="preserve">Tender scoring bands</t>
  </si>
  <si>
    <t xml:space="preserve">Kiírás Annex 3-4; old engine Tender D93:F161</t>
  </si>
  <si>
    <t xml:space="preserve">Weight / min</t>
  </si>
  <si>
    <t xml:space="preserve">Max</t>
  </si>
  <si>
    <t xml:space="preserve">Bands →</t>
  </si>
  <si>
    <t xml:space="preserve">ÖSZ-1 municipal one-off – lower bound</t>
  </si>
  <si>
    <t xml:space="preserve">ÖSZ-1 municipal one-off – lower bound included</t>
  </si>
  <si>
    <t xml:space="preserve">ÖSZ-1 municipal one-off – inner points (below, bands)</t>
  </si>
  <si>
    <t xml:space="preserve">ÖSZ-2 community contribution – lower bound</t>
  </si>
  <si>
    <t xml:space="preserve">ÖSZ-2 community contribution – lower bound included</t>
  </si>
  <si>
    <t xml:space="preserve">ÖSZ-2 community contribution – inner points (below, bands)</t>
  </si>
  <si>
    <t xml:space="preserve">ÖSZ-3 overbuild – lower bound</t>
  </si>
  <si>
    <t xml:space="preserve">ÖSZ-3 overbuild – lower bound included</t>
  </si>
  <si>
    <t xml:space="preserve">ÖSZ-3 overbuild – inner points (below, bands)</t>
  </si>
  <si>
    <t xml:space="preserve">ÖSZ-4 BESS ratio – lower bound</t>
  </si>
  <si>
    <t xml:space="preserve">ÖSZ-4 BESS ratio – lower bound included</t>
  </si>
  <si>
    <t xml:space="preserve">ÖSZ-4 BESS ratio – inner points (below, bands)</t>
  </si>
  <si>
    <t xml:space="preserve">ÖSZ-6 performance security multiple – lower bound</t>
  </si>
  <si>
    <t xml:space="preserve">ÖSZ-6 performance security multiple – lower bound included</t>
  </si>
  <si>
    <t xml:space="preserve">ÖSZ-6 performance security multiple – inner points (below, bands)</t>
  </si>
  <si>
    <t xml:space="preserve">ÖSZ-5 partial award – inner points</t>
  </si>
  <si>
    <t xml:space="preserve">ÖSZ-7 brownfield – inner points</t>
  </si>
  <si>
    <t xml:space="preserve">ÖSZ-8 shared connection – inner points</t>
  </si>
  <si>
    <t xml:space="preserve">ÖSZ-9 EU turbines – inner points</t>
  </si>
  <si>
    <t xml:space="preserve">ÖSZ-9 EU transformers – inner points</t>
  </si>
  <si>
    <t xml:space="preserve">Devex schedule</t>
  </si>
  <si>
    <t xml:space="preserve">BORA_Devex 25-Sep (meeting file Devex_FEP); excl. Other costs</t>
  </si>
  <si>
    <t xml:space="preserve">Line (BORA_Devex row)</t>
  </si>
  <si>
    <t xml:space="preserve">HUF m</t>
  </si>
  <si>
    <t xml:space="preserve">EUR k at FX</t>
  </si>
  <si>
    <t xml:space="preserve">Pay date</t>
  </si>
  <si>
    <t xml:space="preserve">Land</t>
  </si>
  <si>
    <t xml:space="preserve">r14 Capacity allocation process - Awarding – Land reservation fee</t>
  </si>
  <si>
    <t xml:space="preserve">r15 Land purchase price</t>
  </si>
  <si>
    <t xml:space="preserve">r16 Grid connection plan – Design fee</t>
  </si>
  <si>
    <t xml:space="preserve">r17 Administrative fee</t>
  </si>
  <si>
    <t xml:space="preserve">r20 Land contracting (additional land) – Legal fee, agent fee</t>
  </si>
  <si>
    <t xml:space="preserve">r21 Wind measurement – Met Masts</t>
  </si>
  <si>
    <t xml:space="preserve">r22 Design fee</t>
  </si>
  <si>
    <t xml:space="preserve">r23 EYA</t>
  </si>
  <si>
    <t xml:space="preserve">r24 Land reclassification – Administrative fee</t>
  </si>
  <si>
    <t xml:space="preserve">r25 Report fee</t>
  </si>
  <si>
    <t xml:space="preserve">r26 Zoning plan modification – Design fee</t>
  </si>
  <si>
    <t xml:space="preserve">r27 Municipality donation – Donation</t>
  </si>
  <si>
    <t xml:space="preserve">r28 Environmental assessment – Bird-bat monitoring</t>
  </si>
  <si>
    <t xml:space="preserve">r29 Administrative fee</t>
  </si>
  <si>
    <t xml:space="preserve">r30 Assessment fee</t>
  </si>
  <si>
    <t xml:space="preserve">r31 Other project development – Geotechnical assessment fee</t>
  </si>
  <si>
    <t xml:space="preserve">r32 Archaeological</t>
  </si>
  <si>
    <t xml:space="preserve">r33 Topography</t>
  </si>
  <si>
    <t xml:space="preserve">r34 Building permit - Turbines – Administrative fee</t>
  </si>
  <si>
    <t xml:space="preserve">r35 Design fee</t>
  </si>
  <si>
    <t xml:space="preserve">r36 Cable right – Administrative fee</t>
  </si>
  <si>
    <t xml:space="preserve">r37 Design fee</t>
  </si>
  <si>
    <t xml:space="preserve">r38 Compensation</t>
  </si>
  <si>
    <t xml:space="preserve">r39 Building permit - Substation, switching station – Administrative fee</t>
  </si>
  <si>
    <t xml:space="preserve">r40 Design fee</t>
  </si>
  <si>
    <t xml:space="preserve">r41 Building permit - BESS – Administrative fee</t>
  </si>
  <si>
    <t xml:space="preserve">r42 Design fee</t>
  </si>
  <si>
    <t xml:space="preserve">r43 HEPURA permit – Administrative fee</t>
  </si>
  <si>
    <t xml:space="preserve">r44 Report fee</t>
  </si>
  <si>
    <t xml:space="preserve">r45 Legal costs</t>
  </si>
  <si>
    <t xml:space="preserve">r46 Financial costs</t>
  </si>
  <si>
    <t xml:space="preserve">r48 RtB – Land purchase price</t>
  </si>
  <si>
    <t xml:space="preserve">Bid number</t>
  </si>
  <si>
    <t xml:space="preserve">Period start</t>
  </si>
  <si>
    <t xml:space="preserve">Period end</t>
  </si>
  <si>
    <t xml:space="preserve">Days in period</t>
  </si>
  <si>
    <t xml:space="preserve">Year fraction</t>
  </si>
  <si>
    <t xml:space="preserve">factor</t>
  </si>
  <si>
    <t xml:space="preserve">Year</t>
  </si>
  <si>
    <t xml:space="preserve">year</t>
  </si>
  <si>
    <t xml:space="preserve">Period counter</t>
  </si>
  <si>
    <t xml:space="preserve">Timing and flags</t>
  </si>
  <si>
    <t xml:space="preserve">Construction share (NTP → COD)</t>
  </si>
  <si>
    <t xml:space="preserve">Land lease period (NTP → end of life)</t>
  </si>
  <si>
    <t xml:space="preserve">Debt repayment period</t>
  </si>
  <si>
    <t xml:space="preserve">Tax depreciation share</t>
  </si>
  <si>
    <t xml:space="preserve">Interest freeze (no accrual)</t>
  </si>
  <si>
    <t xml:space="preserve">31-Dec capitalisation</t>
  </si>
  <si>
    <t xml:space="preserve">Buyer discount factor to COD</t>
  </si>
  <si>
    <t xml:space="preserve">Capacity (E: committed, F: built)</t>
  </si>
  <si>
    <t xml:space="preserve">Wind</t>
  </si>
  <si>
    <t xml:space="preserve">BESS power</t>
  </si>
  <si>
    <t xml:space="preserve">BESS energy</t>
  </si>
  <si>
    <t xml:space="preserve">MWh</t>
  </si>
  <si>
    <t xml:space="preserve">Grid-bottleneck loss on built wind</t>
  </si>
  <si>
    <t xml:space="preserve">Tender points (E: commitment, F: weighted points)</t>
  </si>
  <si>
    <t xml:space="preserve">ÖSZ-1 municipal one-off</t>
  </si>
  <si>
    <t xml:space="preserve">ÖSZ-2 community contribution</t>
  </si>
  <si>
    <t xml:space="preserve">ÖSZ-3 overbuild</t>
  </si>
  <si>
    <t xml:space="preserve">ÖSZ-4 BESS ratio</t>
  </si>
  <si>
    <t xml:space="preserve">ÖSZ-5 partial award</t>
  </si>
  <si>
    <t xml:space="preserve">ÖSZ-6 performance security multiple</t>
  </si>
  <si>
    <t xml:space="preserve">ÖSZ-7 brownfield</t>
  </si>
  <si>
    <t xml:space="preserve">ÖSZ-8 shared connection</t>
  </si>
  <si>
    <t xml:space="preserve">ÖSZ-9 EU turbines</t>
  </si>
  <si>
    <t xml:space="preserve">ÖSZ-9 EU transformers</t>
  </si>
  <si>
    <t xml:space="preserve">Points total (E: EU route, F: CN route)</t>
  </si>
  <si>
    <t xml:space="preserve">Failed tests (E: capacity, F: offerable range)</t>
  </si>
  <si>
    <t xml:space="preserve">Securities, fees and development costs (E: amount, F: date)</t>
  </si>
  <si>
    <t xml:space="preserve">Security base</t>
  </si>
  <si>
    <t xml:space="preserve">Signing fee and DD</t>
  </si>
  <si>
    <t xml:space="preserve">Participation fee (cash)</t>
  </si>
  <si>
    <t xml:space="preserve">Bid security outstanding (guarantee)</t>
  </si>
  <si>
    <t xml:space="preserve">Performance security outstanding (guarantee)</t>
  </si>
  <si>
    <t xml:space="preserve">TSO connection-request security (cash)</t>
  </si>
  <si>
    <t xml:space="preserve">Direct connection fee (cash)</t>
  </si>
  <si>
    <t xml:space="preserve">Indirect connection fee, net of TSO security</t>
  </si>
  <si>
    <t xml:space="preserve">Connection fees</t>
  </si>
  <si>
    <t xml:space="preserve">Devex (FEP-borne)</t>
  </si>
  <si>
    <t xml:space="preserve">Land (E: paid to the exit)</t>
  </si>
  <si>
    <t xml:space="preserve">Devex contingency</t>
  </si>
  <si>
    <t xml:space="preserve">Devex, land and contingency (E: to the exit, F: to COD)</t>
  </si>
  <si>
    <t xml:space="preserve">Guarantee fees (E: to the exit, F: to COD)</t>
  </si>
  <si>
    <t xml:space="preserve">Development cash flow (excl. connection fees)</t>
  </si>
  <si>
    <t xml:space="preserve">Cash posted incl. land, cumulative (E: at the exit)</t>
  </si>
  <si>
    <t xml:space="preserve">FEP claims, devex-file method, accrued to COD (E: to the exit, F: to COD)</t>
  </si>
  <si>
    <t xml:space="preserve">Cash 12 %: participation fee, TSO security, connection fees</t>
  </si>
  <si>
    <t xml:space="preserve">New principal (E: recoverable, to the exit)</t>
  </si>
  <si>
    <t xml:space="preserve">Date-weighted new principal</t>
  </si>
  <si>
    <t xml:space="preserve">Opening balance</t>
  </si>
  <si>
    <t xml:space="preserve">Return accrued</t>
  </si>
  <si>
    <t xml:space="preserve">Capitalised at 31-Dec</t>
  </si>
  <si>
    <t xml:space="preserve">Closing balance</t>
  </si>
  <si>
    <t xml:space="preserve">Guarantee 6 %: bid security and performance security face value</t>
  </si>
  <si>
    <t xml:space="preserve">Opening capitalised return</t>
  </si>
  <si>
    <t xml:space="preserve">Closing capitalised return</t>
  </si>
  <si>
    <t xml:space="preserve">At risk 20 % with 2x floor: devex, land, contingency</t>
  </si>
  <si>
    <t xml:space="preserve">Return accrued (E, F: with the floor)</t>
  </si>
  <si>
    <t xml:space="preserve">Overbuild and BESS sanction (E: wind / pro rata, F: BESS / full call)</t>
  </si>
  <si>
    <t xml:space="preserve">Build shortfall share</t>
  </si>
  <si>
    <t xml:space="preserve">Performance security by technology</t>
  </si>
  <si>
    <t xml:space="preserve">Sanction amount</t>
  </si>
  <si>
    <t xml:space="preserve">Sanction paid, selected regime (E: date)</t>
  </si>
  <si>
    <t xml:space="preserve">Connection capacity lost pro rata</t>
  </si>
  <si>
    <t xml:space="preserve">Build and debt</t>
  </si>
  <si>
    <t xml:space="preserve">Turbine supply, live route</t>
  </si>
  <si>
    <t xml:space="preserve">Substation and 132 kV bay, live route</t>
  </si>
  <si>
    <t xml:space="preserve">Capex on built MW (E: total)</t>
  </si>
  <si>
    <t xml:space="preserve">Municipal one-off at COD</t>
  </si>
  <si>
    <t xml:space="preserve">Senior debt</t>
  </si>
  <si>
    <t xml:space="preserve">Drawdown (E: debt size)</t>
  </si>
  <si>
    <t xml:space="preserve">Interest capitalised (F: rate per period)</t>
  </si>
  <si>
    <t xml:space="preserve">Repayment (level annuity)</t>
  </si>
  <si>
    <t xml:space="preserve">Interest paid</t>
  </si>
  <si>
    <t xml:space="preserve">Commitment fee</t>
  </si>
  <si>
    <t xml:space="preserve">Build cost (capex, connection, municipal, debt fees)</t>
  </si>
  <si>
    <t xml:space="preserve">Operating year</t>
  </si>
  <si>
    <t xml:space="preserve">Opex escalation index</t>
  </si>
  <si>
    <t xml:space="preserve">PPA price</t>
  </si>
  <si>
    <t xml:space="preserve">Net generation</t>
  </si>
  <si>
    <t xml:space="preserve">Revenue</t>
  </si>
  <si>
    <t xml:space="preserve">Variable opex (balancing, grid)</t>
  </si>
  <si>
    <t xml:space="preserve">Fixed opex and administration</t>
  </si>
  <si>
    <t xml:space="preserve">Land lease</t>
  </si>
  <si>
    <t xml:space="preserve">MEKH fee and HIPA</t>
  </si>
  <si>
    <t xml:space="preserve">EBITDA</t>
  </si>
  <si>
    <t xml:space="preserve">Tax</t>
  </si>
  <si>
    <t xml:space="preserve">Tax depreciation (E: base)</t>
  </si>
  <si>
    <t xml:space="preserve">Taxable income</t>
  </si>
  <si>
    <t xml:space="preserve">Tax losses: opening</t>
  </si>
  <si>
    <t xml:space="preserve">Losses added</t>
  </si>
  <si>
    <t xml:space="preserve">Losses used</t>
  </si>
  <si>
    <t xml:space="preserve">Tax losses: closing</t>
  </si>
  <si>
    <t xml:space="preserve">Exit waterfall (E: due, F: paid)</t>
  </si>
  <si>
    <t xml:space="preserve">Cash available (E: buyer reimbursement)</t>
  </si>
  <si>
    <t xml:space="preserve">At-risk return</t>
  </si>
  <si>
    <t xml:space="preserve">Developer success fee (DSA)</t>
  </si>
  <si>
    <t xml:space="preserve">Distributable</t>
  </si>
  <si>
    <t xml:space="preserve">FEP receipts at the exit</t>
  </si>
  <si>
    <t xml:space="preserve">Developer: DSA and share</t>
  </si>
  <si>
    <t xml:space="preserve">Exit split, devex-file view (E: FEP claims + 70 %, F: A.RES DSA + 30 %)</t>
  </si>
  <si>
    <t xml:space="preserve">Split of the price</t>
  </si>
  <si>
    <t xml:space="preserve">Split total</t>
  </si>
  <si>
    <t xml:space="preserve">Split per installed wind MW (E: FEP, F: A.RES)</t>
  </si>
  <si>
    <t xml:space="preserve">FEP outlay to the exit: devex, deposits, signing and DD</t>
  </si>
  <si>
    <t xml:space="preserve">Split total per installed wind MW</t>
  </si>
  <si>
    <t xml:space="preserve">FEP returns – RtB route</t>
  </si>
  <si>
    <t xml:space="preserve">FEP pre-tax cash flow (E: tax at the exit)</t>
  </si>
  <si>
    <t xml:space="preserve">FEP cash flow – RtB route</t>
  </si>
  <si>
    <t xml:space="preserve">FEP MOIC – RtB route (receipts after tax ÷ outlays)</t>
  </si>
  <si>
    <t xml:space="preserve">FEP contributions to COD</t>
  </si>
  <si>
    <t xml:space="preserve">Buyer: community contribution vs reference (E: PV at COD)</t>
  </si>
  <si>
    <t xml:space="preserve">COD price (E: gross, F: price effect)</t>
  </si>
  <si>
    <t xml:space="preserve">JV waterfall at COD (E: due, F: paid)</t>
  </si>
  <si>
    <t xml:space="preserve">Cash available (E: debt repaid)</t>
  </si>
  <si>
    <t xml:space="preserve">FEP funding returned</t>
  </si>
  <si>
    <t xml:space="preserve">FEP claims to COD</t>
  </si>
  <si>
    <t xml:space="preserve">FEP cash flow – sale at COD</t>
  </si>
  <si>
    <t xml:space="preserve">FEP MOIC – sale at COD (proceeds ÷ contributions)</t>
  </si>
  <si>
    <t xml:space="preserve">Commitment overview</t>
  </si>
  <si>
    <t xml:space="preserve">Penalty if overbuild not built, a call on the PB (F: full call)</t>
  </si>
  <si>
    <t xml:space="preserve">All-in cost to COD (E: uses, F: sources)</t>
  </si>
  <si>
    <t xml:space="preserve">All-in cost to COD per built MW</t>
  </si>
  <si>
    <t xml:space="preserve">FEP equity cash flow – hold to maturity</t>
  </si>
  <si>
    <t xml:space="preserve">DSCR (E: minimum)</t>
  </si>
  <si>
    <t xml:space="preserve">Status</t>
  </si>
  <si>
    <t xml:space="preserve">Fails</t>
  </si>
  <si>
    <t xml:space="preserve">Checks (0 = OK)</t>
  </si>
  <si>
    <t xml:space="preserve">Levers within the tender rules – Calc_1</t>
  </si>
  <si>
    <t xml:space="preserve">Levers within the tender rules – Calc_2</t>
  </si>
  <si>
    <t xml:space="preserve">Exit and COD fall on a quarter end – Calc_1</t>
  </si>
  <si>
    <t xml:space="preserve">Exit and COD fall on a quarter end – Calc_2</t>
  </si>
  <si>
    <t xml:space="preserve">Cash posted to the exit = buyer reimbursement + participation fee – Calc_1</t>
  </si>
  <si>
    <t xml:space="preserve">Cash posted to the exit = buyer reimbursement + participation fee – Calc_2</t>
  </si>
  <si>
    <t xml:space="preserve">RtB waterfall: paid + distributable = cash available – Calc_1</t>
  </si>
  <si>
    <t xml:space="preserve">RtB waterfall: paid + distributable = cash available – Calc_2</t>
  </si>
  <si>
    <t xml:space="preserve">FEP RtB build-up adds up to the profit – Calc_1</t>
  </si>
  <si>
    <t xml:space="preserve">FEP RtB build-up adds up to the profit – Calc_2</t>
  </si>
  <si>
    <t xml:space="preserve">RtB waterfall: no step paid above its amount due – Calc_1</t>
  </si>
  <si>
    <t xml:space="preserve">RtB waterfall: no step paid above its amount due – Calc_2</t>
  </si>
  <si>
    <t xml:space="preserve">COD waterfall: distributable not negative, paid within cash available – Calc_1</t>
  </si>
  <si>
    <t xml:space="preserve">COD waterfall: distributable not negative, paid within cash available – Calc_2</t>
  </si>
  <si>
    <t xml:space="preserve">Sources = uses to COD (equity + debt vs all-in cost lines) – Calc_1</t>
  </si>
  <si>
    <t xml:space="preserve">Sources = uses to COD (equity + debt vs all-in cost lines) – Calc_2</t>
  </si>
  <si>
    <t xml:space="preserve">Debt repaid by the end of the tenor – Calc_1</t>
  </si>
  <si>
    <t xml:space="preserve">Debt repaid by the end of the tenor – Calc_2</t>
  </si>
  <si>
    <t xml:space="preserve">XIRR returned a number on every route – Calc_1</t>
  </si>
  <si>
    <t xml:space="preserve">XIRR returned a number on every route – Calc_2</t>
  </si>
  <si>
    <t xml:space="preserve">Stored zero bid + Δ = live, base set – bid 1</t>
  </si>
  <si>
    <t xml:space="preserve">Stored zero bid + Δ = live, base set – bid 2</t>
  </si>
  <si>
    <t xml:space="preserve">Stored results = live case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</si>
</sst>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@"/>
    <numFmt numFmtId="166" formatCode="dd\-mmm\-yy"/>
    <numFmt numFmtId="167" formatCode="#,##0;\(#,##0\);\–"/>
    <numFmt numFmtId="168" formatCode="#,##0.00;\(#,##0.00\);\–"/>
    <numFmt numFmtId="169" formatCode="0.00%"/>
    <numFmt numFmtId="170" formatCode="0.0%;\(0.0%\);\–"/>
    <numFmt numFmtId="171" formatCode="0;\-0;\–"/>
    <numFmt numFmtId="172" formatCode="#,##0.0;\(#,##0.0\);\–"/>
    <numFmt numFmtId="173" formatCode="0.00\x"/>
    <numFmt numFmtId="174" formatCode="0.000"/>
    <numFmt numFmtId="175" formatCode="0"/>
    <numFmt numFmtId="176" formatCode="0.000;\(0.000\);\–"/>
    <numFmt numFmtId="177" formatCode="0.000%"/>
    <numFmt numFmtId="178" formatCode="General"/>
  </numFmts>
  <fonts count="15">
    <font>
      <sz val="10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ptos Narrow"/>
      <family val="0"/>
      <charset val="1"/>
    </font>
    <font>
      <b val="true"/>
      <sz val="10"/>
      <color rgb="FF808080"/>
      <name val="Aptos Narrow"/>
      <family val="0"/>
      <charset val="1"/>
    </font>
    <font>
      <b val="true"/>
      <sz val="10"/>
      <color rgb="FF3C3C3B"/>
      <name val="Aptos Narrow"/>
      <family val="0"/>
      <charset val="1"/>
    </font>
    <font>
      <sz val="10"/>
      <color rgb="FF0000FF"/>
      <name val="Aptos Narrow"/>
      <family val="0"/>
      <charset val="1"/>
    </font>
    <font>
      <sz val="10"/>
      <color rgb="FF00B050"/>
      <name val="Aptos Narrow"/>
      <family val="0"/>
      <charset val="1"/>
    </font>
    <font>
      <sz val="10"/>
      <color rgb="FF7030A0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i val="true"/>
      <sz val="10"/>
      <color rgb="FF808080"/>
      <name val="Aptos Narrow"/>
      <family val="0"/>
      <charset val="1"/>
    </font>
    <font>
      <b val="true"/>
      <sz val="16"/>
      <color rgb="FF0000FF"/>
      <name val="Aptos Narrow"/>
      <family val="0"/>
      <charset val="1"/>
    </font>
    <font>
      <b val="true"/>
      <sz val="10"/>
      <name val="Aptos Narro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563C"/>
        <bgColor rgb="FF003300"/>
      </patternFill>
    </fill>
    <fill>
      <patternFill patternType="solid">
        <fgColor rgb="FFFFF2CC"/>
        <bgColor rgb="FFF2F2F2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6F4EC"/>
        <bgColor rgb="FFEDEDED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B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4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23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8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3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3" borderId="2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9" fillId="4" borderId="2" xfId="2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3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3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6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2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7" fillId="3" borderId="2" xfId="24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5" borderId="0" xfId="2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0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11" fillId="0" borderId="3" xfId="31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ep_banner" xfId="20"/>
    <cellStyle name="fep_calc" xfId="21"/>
    <cellStyle name="fep_end" xfId="22"/>
    <cellStyle name="fep_header" xfId="23"/>
    <cellStyle name="fep_input" xfId="24"/>
    <cellStyle name="fep_label" xfId="25"/>
    <cellStyle name="fep_link" xfId="26"/>
    <cellStyle name="fep_macro" xfId="27"/>
    <cellStyle name="fep_section" xfId="28"/>
    <cellStyle name="fep_seed" xfId="29"/>
    <cellStyle name="fep_subheader" xfId="30"/>
    <cellStyle name="fep_total" xfId="31"/>
    <cellStyle name="fep_unit" xfId="32"/>
  </cellStyles>
  <dxfs count="2">
    <dxf>
      <font>
        <b val="1"/>
        <color rgb="FF00B050"/>
      </font>
    </dxf>
    <dxf>
      <font>
        <b val="1"/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6F4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DE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63C"/>
      <rgbColor rgb="FF00B050"/>
      <rgbColor rgb="FF003300"/>
      <rgbColor rgb="FF333300"/>
      <rgbColor rgb="FF993300"/>
      <rgbColor rgb="FF993366"/>
      <rgbColor rgb="FF333399"/>
      <rgbColor rgb="FF3C3C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V1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4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2"/>
    <col collapsed="false" customWidth="true" hidden="false" outlineLevel="0" max="18" min="8" style="1" width="12"/>
    <col collapsed="false" customWidth="true" hidden="false" outlineLevel="0" max="19" min="19" style="1" width="3"/>
    <col collapsed="false" customWidth="true" hidden="false" outlineLevel="0" max="20" min="20" style="1" width="34"/>
    <col collapsed="false" customWidth="true" hidden="false" outlineLevel="0" max="21" min="21" style="1" width="10"/>
    <col collapsed="false" customWidth="true" hidden="false" outlineLevel="0" max="22" min="22" style="1" width="12"/>
    <col collapsed="false" customWidth="false" hidden="true" outlineLevel="1" max="16384" min="23" style="1" width="13"/>
  </cols>
  <sheetData>
    <row r="2" customFormat="false" ht="15" hidden="false" customHeight="false" outlineLevel="0" collapsed="false">
      <c r="A2" s="2"/>
      <c r="B2" s="2" t="str">
        <f aca="false">C3&amp;" – Dashboard"</f>
        <v>Project Bora – Dashboard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19.7" hidden="false" customHeight="false" outlineLevel="0" collapsed="false">
      <c r="C3" s="3" t="s">
        <v>0</v>
      </c>
    </row>
    <row r="4" customFormat="false" ht="15" hidden="false" customHeight="false" outlineLevel="0" collapsed="false">
      <c r="C4" s="1" t="s">
        <v>1</v>
      </c>
    </row>
    <row r="5" customFormat="false" ht="15" hidden="false" customHeight="false" outlineLevel="0" collapsed="false">
      <c r="C5" s="1" t="s">
        <v>2</v>
      </c>
      <c r="E5" s="4" t="s">
        <v>3</v>
      </c>
    </row>
    <row r="6" customFormat="false" ht="15" hidden="false" customHeight="false" outlineLevel="0" collapsed="false">
      <c r="C6" s="1" t="s">
        <v>4</v>
      </c>
      <c r="E6" s="5" t="n">
        <v>46307</v>
      </c>
    </row>
    <row r="7" customFormat="false" ht="15" hidden="false" customHeight="false" outlineLevel="0" collapsed="false">
      <c r="C7" s="1" t="s">
        <v>5</v>
      </c>
      <c r="E7" s="6" t="str">
        <f aca="false">Scenario_Name</f>
        <v>Base</v>
      </c>
    </row>
    <row r="8" customFormat="false" ht="15" hidden="false" customHeight="false" outlineLevel="0" collapsed="false">
      <c r="C8" s="1" t="s">
        <v>6</v>
      </c>
      <c r="E8" s="7" t="str">
        <f aca="false">IF(Master_Check=0,"OK","CHECK")</f>
        <v>OK</v>
      </c>
    </row>
    <row r="9" customFormat="false" ht="15" hidden="false" customHeight="false" outlineLevel="0" collapsed="false">
      <c r="C9" s="8" t="s">
        <v>7</v>
      </c>
      <c r="D9" s="8" t="s">
        <v>8</v>
      </c>
      <c r="E9" s="9" t="s">
        <v>9</v>
      </c>
      <c r="F9" s="9" t="s">
        <v>10</v>
      </c>
      <c r="T9" s="8" t="s">
        <v>11</v>
      </c>
      <c r="U9" s="8" t="s">
        <v>8</v>
      </c>
      <c r="V9" s="9" t="s">
        <v>12</v>
      </c>
    </row>
    <row r="11" customFormat="false" ht="15" hidden="false" customHeight="false" outlineLevel="0" collapsed="false">
      <c r="A11" s="10" t="s">
        <v>13</v>
      </c>
      <c r="B11" s="10"/>
      <c r="C11" s="10" t="s">
        <v>14</v>
      </c>
      <c r="D11" s="10"/>
      <c r="E11" s="11" t="s">
        <v>9</v>
      </c>
      <c r="F11" s="11" t="s">
        <v>10</v>
      </c>
      <c r="G11" s="10"/>
      <c r="H11" s="11" t="s">
        <v>15</v>
      </c>
      <c r="I11" s="11" t="s">
        <v>16</v>
      </c>
      <c r="J11" s="11" t="s">
        <v>17</v>
      </c>
      <c r="K11" s="11" t="s">
        <v>18</v>
      </c>
      <c r="L11" s="11" t="s">
        <v>19</v>
      </c>
      <c r="M11" s="11" t="s">
        <v>20</v>
      </c>
      <c r="N11" s="11" t="s">
        <v>21</v>
      </c>
      <c r="O11" s="11" t="s">
        <v>22</v>
      </c>
      <c r="P11" s="11" t="s">
        <v>23</v>
      </c>
      <c r="Q11" s="11" t="s">
        <v>24</v>
      </c>
      <c r="R11" s="11" t="s">
        <v>25</v>
      </c>
      <c r="T11" s="10" t="s">
        <v>5</v>
      </c>
      <c r="U11" s="10"/>
      <c r="V11" s="10"/>
    </row>
    <row r="12" customFormat="false" ht="15" hidden="false" customHeight="false" outlineLevel="0" collapsed="false">
      <c r="C12" s="1" t="s">
        <v>26</v>
      </c>
      <c r="D12" s="12" t="s">
        <v>27</v>
      </c>
      <c r="E12" s="13" t="n">
        <v>50</v>
      </c>
      <c r="F12" s="13" t="n">
        <v>50</v>
      </c>
      <c r="H12" s="14" t="s">
        <v>28</v>
      </c>
      <c r="I12" s="15" t="n">
        <f aca="false">Calc_1!$F$30</f>
        <v>20</v>
      </c>
      <c r="J12" s="15" t="n">
        <f aca="false">Calc_2!$F$30</f>
        <v>20</v>
      </c>
      <c r="K12" s="16" t="n">
        <v>0</v>
      </c>
      <c r="L12" s="16" t="n">
        <v>0</v>
      </c>
      <c r="M12" s="17" t="n">
        <v>-0.011627183566342</v>
      </c>
      <c r="N12" s="17" t="n">
        <v>-0.011627183566342</v>
      </c>
      <c r="O12" s="17" t="n">
        <v>-0.00426661763368345</v>
      </c>
      <c r="P12" s="17" t="n">
        <v>-0.00426661763368345</v>
      </c>
      <c r="Q12" s="16" t="n">
        <v>0</v>
      </c>
      <c r="R12" s="16" t="n">
        <v>0</v>
      </c>
      <c r="T12" s="14" t="s">
        <v>5</v>
      </c>
      <c r="U12" s="12" t="s">
        <v>29</v>
      </c>
      <c r="V12" s="18" t="s">
        <v>30</v>
      </c>
    </row>
    <row r="13" customFormat="false" ht="15" hidden="false" customHeight="false" outlineLevel="0" collapsed="false">
      <c r="C13" s="1" t="s">
        <v>31</v>
      </c>
      <c r="D13" s="12" t="s">
        <v>32</v>
      </c>
      <c r="E13" s="19" t="n">
        <v>3</v>
      </c>
      <c r="F13" s="19" t="n">
        <v>2.01</v>
      </c>
      <c r="H13" s="14" t="s">
        <v>33</v>
      </c>
      <c r="I13" s="15" t="n">
        <f aca="false">Calc_1!$F$31</f>
        <v>15</v>
      </c>
      <c r="J13" s="15" t="n">
        <f aca="false">Calc_2!$F$31</f>
        <v>0.75</v>
      </c>
      <c r="K13" s="16" t="n">
        <v>0</v>
      </c>
      <c r="L13" s="16" t="n">
        <v>0</v>
      </c>
      <c r="M13" s="17" t="n">
        <v>-0.0256631536392726</v>
      </c>
      <c r="N13" s="17" t="n">
        <v>-0.0170979953666643</v>
      </c>
      <c r="O13" s="17" t="n">
        <v>-0.00608428062140405</v>
      </c>
      <c r="P13" s="17" t="n">
        <v>-0.00407139479710583</v>
      </c>
      <c r="Q13" s="16" t="n">
        <v>0</v>
      </c>
      <c r="R13" s="16" t="n">
        <v>0</v>
      </c>
    </row>
    <row r="14" customFormat="false" ht="15" hidden="false" customHeight="false" outlineLevel="0" collapsed="false">
      <c r="C14" s="1" t="s">
        <v>34</v>
      </c>
      <c r="D14" s="12" t="s">
        <v>35</v>
      </c>
      <c r="E14" s="20" t="n">
        <v>0.51</v>
      </c>
      <c r="F14" s="20" t="n">
        <v>0.4</v>
      </c>
      <c r="H14" s="14" t="s">
        <v>36</v>
      </c>
      <c r="I14" s="15" t="n">
        <f aca="false">Calc_1!$F$32</f>
        <v>10</v>
      </c>
      <c r="J14" s="15" t="n">
        <f aca="false">Calc_2!$F$32</f>
        <v>9</v>
      </c>
      <c r="K14" s="16" t="n">
        <v>-0.472016523939481</v>
      </c>
      <c r="L14" s="16" t="n">
        <v>-0.370209038383906</v>
      </c>
      <c r="M14" s="17" t="n">
        <v>-0.0114884312103539</v>
      </c>
      <c r="N14" s="17" t="n">
        <v>-0.00901802707761074</v>
      </c>
      <c r="O14" s="17" t="n">
        <v>-0.00245398179669998</v>
      </c>
      <c r="P14" s="17" t="n">
        <v>-0.00193165803601952</v>
      </c>
      <c r="Q14" s="16" t="n">
        <v>1.41821917808219</v>
      </c>
      <c r="R14" s="16" t="n">
        <v>1.11232876712329</v>
      </c>
      <c r="T14" s="10" t="s">
        <v>37</v>
      </c>
      <c r="U14" s="10"/>
      <c r="V14" s="10"/>
    </row>
    <row r="15" customFormat="false" ht="15" hidden="false" customHeight="false" outlineLevel="0" collapsed="false">
      <c r="C15" s="1" t="s">
        <v>38</v>
      </c>
      <c r="D15" s="12" t="s">
        <v>35</v>
      </c>
      <c r="E15" s="20" t="n">
        <v>0.51</v>
      </c>
      <c r="F15" s="20" t="n">
        <v>0.4</v>
      </c>
      <c r="H15" s="14" t="s">
        <v>39</v>
      </c>
      <c r="I15" s="15" t="n">
        <f aca="false">Calc_1!$F$33</f>
        <v>15</v>
      </c>
      <c r="J15" s="15" t="n">
        <f aca="false">Calc_2!$F$33</f>
        <v>13.5</v>
      </c>
      <c r="K15" s="16" t="n">
        <v>-0.370742740110629</v>
      </c>
      <c r="L15" s="16" t="n">
        <v>-0.290778619694614</v>
      </c>
      <c r="M15" s="17" t="n">
        <v>-0.0650761204818859</v>
      </c>
      <c r="N15" s="17" t="n">
        <v>-0.051092496085978</v>
      </c>
      <c r="O15" s="17" t="n">
        <v>-0.012392661209204</v>
      </c>
      <c r="P15" s="17" t="n">
        <v>-0.0098626548277283</v>
      </c>
      <c r="Q15" s="16" t="n">
        <v>2.79452054794521</v>
      </c>
      <c r="R15" s="16" t="n">
        <v>2.19178082191781</v>
      </c>
      <c r="T15" s="14" t="s">
        <v>40</v>
      </c>
      <c r="U15" s="12" t="s">
        <v>41</v>
      </c>
      <c r="V15" s="21" t="n">
        <f aca="false">In_CN_Turbine</f>
        <v>0</v>
      </c>
    </row>
    <row r="16" customFormat="false" ht="15" hidden="false" customHeight="false" outlineLevel="0" collapsed="false">
      <c r="C16" s="1" t="s">
        <v>42</v>
      </c>
      <c r="D16" s="12" t="s">
        <v>43</v>
      </c>
      <c r="E16" s="22" t="n">
        <v>4</v>
      </c>
      <c r="F16" s="22" t="n">
        <v>4</v>
      </c>
      <c r="H16" s="14" t="s">
        <v>44</v>
      </c>
      <c r="K16" s="16"/>
      <c r="L16" s="16"/>
      <c r="M16" s="17"/>
      <c r="N16" s="17"/>
      <c r="O16" s="17"/>
      <c r="P16" s="17"/>
      <c r="Q16" s="16"/>
      <c r="R16" s="16"/>
      <c r="T16" s="14" t="s">
        <v>45</v>
      </c>
      <c r="U16" s="12" t="s">
        <v>46</v>
      </c>
      <c r="V16" s="23" t="n">
        <f aca="false">In_RtB_Premium</f>
        <v>150</v>
      </c>
    </row>
    <row r="17" customFormat="false" ht="15" hidden="false" customHeight="false" outlineLevel="0" collapsed="false">
      <c r="C17" s="1" t="s">
        <v>47</v>
      </c>
      <c r="D17" s="12" t="s">
        <v>13</v>
      </c>
      <c r="E17" s="24" t="n">
        <v>1</v>
      </c>
      <c r="F17" s="24" t="n">
        <v>1</v>
      </c>
      <c r="H17" s="14" t="s">
        <v>48</v>
      </c>
      <c r="I17" s="15" t="n">
        <f aca="false">Calc_1!$F$35</f>
        <v>0</v>
      </c>
      <c r="J17" s="15" t="n">
        <f aca="false">Calc_2!$F$35</f>
        <v>0</v>
      </c>
      <c r="K17" s="16" t="n">
        <v>0</v>
      </c>
      <c r="L17" s="16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6" t="n">
        <v>0</v>
      </c>
      <c r="R17" s="16" t="n">
        <v>0</v>
      </c>
      <c r="T17" s="14" t="s">
        <v>49</v>
      </c>
      <c r="U17" s="12" t="s">
        <v>27</v>
      </c>
      <c r="V17" s="23" t="n">
        <f aca="false">In_COD_Price</f>
        <v>2450</v>
      </c>
    </row>
    <row r="18" customFormat="false" ht="15" hidden="false" customHeight="false" outlineLevel="0" collapsed="false">
      <c r="C18" s="1" t="s">
        <v>50</v>
      </c>
      <c r="D18" s="12" t="s">
        <v>41</v>
      </c>
      <c r="E18" s="25" t="n">
        <v>1</v>
      </c>
      <c r="F18" s="25" t="n">
        <v>1</v>
      </c>
      <c r="H18" s="14" t="s">
        <v>51</v>
      </c>
      <c r="I18" s="15" t="n">
        <f aca="false">Calc_1!$F$34</f>
        <v>5</v>
      </c>
      <c r="J18" s="15" t="n">
        <f aca="false">Calc_2!$F$34</f>
        <v>5</v>
      </c>
      <c r="K18" s="16" t="n">
        <v>0</v>
      </c>
      <c r="L18" s="16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6" t="n">
        <v>0</v>
      </c>
      <c r="R18" s="16" t="n">
        <v>0</v>
      </c>
      <c r="T18" s="14" t="s">
        <v>52</v>
      </c>
      <c r="U18" s="12" t="s">
        <v>27</v>
      </c>
      <c r="V18" s="23" t="n">
        <f aca="false">In_Turbine</f>
        <v>600</v>
      </c>
    </row>
    <row r="19" customFormat="false" ht="15" hidden="false" customHeight="false" outlineLevel="0" collapsed="false">
      <c r="C19" s="1" t="s">
        <v>53</v>
      </c>
      <c r="D19" s="12" t="s">
        <v>41</v>
      </c>
      <c r="E19" s="25" t="n">
        <v>0</v>
      </c>
      <c r="F19" s="25" t="n">
        <v>0</v>
      </c>
      <c r="H19" s="14" t="s">
        <v>51</v>
      </c>
      <c r="I19" s="15" t="n">
        <f aca="false">Calc_1!$F$36</f>
        <v>0</v>
      </c>
      <c r="J19" s="15" t="n">
        <f aca="false">Calc_2!$F$36</f>
        <v>0</v>
      </c>
      <c r="K19" s="16" t="n">
        <v>0</v>
      </c>
      <c r="L19" s="16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6" t="n">
        <v>0</v>
      </c>
      <c r="R19" s="16" t="n">
        <v>0</v>
      </c>
      <c r="T19" s="14" t="s">
        <v>54</v>
      </c>
      <c r="U19" s="12" t="s">
        <v>32</v>
      </c>
      <c r="V19" s="26" t="n">
        <f aca="false">In_PPA_Price</f>
        <v>90</v>
      </c>
    </row>
    <row r="20" customFormat="false" ht="15" hidden="false" customHeight="false" outlineLevel="0" collapsed="false">
      <c r="C20" s="1" t="s">
        <v>55</v>
      </c>
      <c r="D20" s="12" t="s">
        <v>41</v>
      </c>
      <c r="E20" s="25" t="n">
        <v>1</v>
      </c>
      <c r="F20" s="25" t="n">
        <v>1</v>
      </c>
      <c r="H20" s="14" t="s">
        <v>51</v>
      </c>
      <c r="I20" s="15" t="n">
        <f aca="false">Calc_1!$F$37</f>
        <v>5</v>
      </c>
      <c r="J20" s="15" t="n">
        <f aca="false">Calc_2!$F$37</f>
        <v>5</v>
      </c>
      <c r="K20" s="16" t="n">
        <v>0</v>
      </c>
      <c r="L20" s="16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6" t="n">
        <v>0</v>
      </c>
      <c r="R20" s="16" t="n">
        <v>0</v>
      </c>
      <c r="T20" s="14" t="s">
        <v>56</v>
      </c>
      <c r="U20" s="12" t="s">
        <v>35</v>
      </c>
      <c r="V20" s="27" t="n">
        <f aca="false">In_Gearing</f>
        <v>0.6</v>
      </c>
    </row>
    <row r="21" customFormat="false" ht="15" hidden="false" customHeight="false" outlineLevel="0" collapsed="false">
      <c r="C21" s="1" t="s">
        <v>57</v>
      </c>
      <c r="D21" s="12" t="s">
        <v>41</v>
      </c>
      <c r="E21" s="25" t="n">
        <v>1</v>
      </c>
      <c r="F21" s="25" t="n">
        <v>1</v>
      </c>
      <c r="H21" s="14" t="s">
        <v>51</v>
      </c>
      <c r="I21" s="15" t="n">
        <f aca="false">Calc_1!$F$38</f>
        <v>12</v>
      </c>
      <c r="J21" s="15" t="n">
        <f aca="false">Calc_2!$F$38</f>
        <v>12</v>
      </c>
      <c r="K21" s="16" t="n">
        <v>0</v>
      </c>
      <c r="L21" s="16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6" t="n">
        <v>0</v>
      </c>
      <c r="R21" s="16" t="n">
        <v>0</v>
      </c>
      <c r="T21" s="14" t="s">
        <v>58</v>
      </c>
      <c r="U21" s="12" t="s">
        <v>35</v>
      </c>
      <c r="V21" s="27" t="n">
        <f aca="false">In_Debt_Rate</f>
        <v>0.05</v>
      </c>
    </row>
    <row r="22" customFormat="false" ht="15" hidden="false" customHeight="false" outlineLevel="0" collapsed="false">
      <c r="C22" s="1" t="s">
        <v>59</v>
      </c>
      <c r="D22" s="12" t="s">
        <v>41</v>
      </c>
      <c r="E22" s="25" t="n">
        <v>1</v>
      </c>
      <c r="F22" s="25" t="n">
        <v>1</v>
      </c>
      <c r="H22" s="14" t="s">
        <v>51</v>
      </c>
      <c r="I22" s="15" t="n">
        <f aca="false">Calc_1!$F$39</f>
        <v>3</v>
      </c>
      <c r="J22" s="15" t="n">
        <f aca="false">Calc_2!$F$39</f>
        <v>3</v>
      </c>
      <c r="K22" s="16" t="n">
        <v>0</v>
      </c>
      <c r="L22" s="16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6" t="n">
        <v>0</v>
      </c>
      <c r="R22" s="16" t="n">
        <v>0</v>
      </c>
      <c r="T22" s="14" t="s">
        <v>60</v>
      </c>
      <c r="U22" s="12" t="s">
        <v>35</v>
      </c>
      <c r="V22" s="27" t="n">
        <f aca="false">In_Discount_Rate</f>
        <v>0.08</v>
      </c>
    </row>
    <row r="23" customFormat="false" ht="15" hidden="false" customHeight="false" outlineLevel="0" collapsed="false">
      <c r="T23" s="1" t="s">
        <v>61</v>
      </c>
      <c r="U23" s="12" t="s">
        <v>62</v>
      </c>
      <c r="V23" s="28" t="n">
        <f aca="false">In_COD</f>
        <v>48121</v>
      </c>
    </row>
    <row r="24" customFormat="false" ht="15" hidden="false" customHeight="false" outlineLevel="0" collapsed="false">
      <c r="A24" s="10" t="s">
        <v>13</v>
      </c>
      <c r="B24" s="10"/>
      <c r="C24" s="10" t="s">
        <v>63</v>
      </c>
      <c r="D24" s="10"/>
      <c r="E24" s="11" t="s">
        <v>9</v>
      </c>
      <c r="F24" s="11" t="s">
        <v>10</v>
      </c>
      <c r="G24" s="10"/>
      <c r="H24" s="11" t="s">
        <v>64</v>
      </c>
      <c r="I24" s="11" t="s">
        <v>65</v>
      </c>
      <c r="J24" s="11" t="s">
        <v>66</v>
      </c>
      <c r="K24" s="10"/>
      <c r="L24" s="10"/>
      <c r="M24" s="10"/>
      <c r="N24" s="10"/>
      <c r="O24" s="10"/>
      <c r="P24" s="10"/>
      <c r="Q24" s="10"/>
      <c r="R24" s="10"/>
      <c r="T24" s="14" t="s">
        <v>67</v>
      </c>
      <c r="U24" s="12" t="s">
        <v>68</v>
      </c>
      <c r="V24" s="23" t="n">
        <f aca="false">In_FX</f>
        <v>365</v>
      </c>
    </row>
    <row r="25" customFormat="false" ht="15" hidden="false" customHeight="false" outlineLevel="0" collapsed="false">
      <c r="C25" s="1" t="s">
        <v>69</v>
      </c>
      <c r="D25" s="12" t="s">
        <v>70</v>
      </c>
      <c r="E25" s="15" t="n">
        <f aca="false">Calc_1!$E41</f>
        <v>85</v>
      </c>
      <c r="F25" s="15" t="n">
        <f aca="false">Calc_2!$E41</f>
        <v>68.25</v>
      </c>
      <c r="H25" s="16" t="n">
        <v>0</v>
      </c>
      <c r="T25" s="14" t="s">
        <v>71</v>
      </c>
      <c r="U25" s="12" t="s">
        <v>41</v>
      </c>
      <c r="V25" s="21" t="n">
        <f aca="false">In_Freeze_On</f>
        <v>1</v>
      </c>
    </row>
    <row r="26" customFormat="false" ht="15" hidden="false" customHeight="false" outlineLevel="0" collapsed="false">
      <c r="C26" s="1" t="s">
        <v>72</v>
      </c>
      <c r="D26" s="12" t="s">
        <v>73</v>
      </c>
      <c r="E26" s="29" t="n">
        <f aca="false">Calc_1!$I151/Thousand</f>
        <v>6.54675873853232</v>
      </c>
      <c r="F26" s="29" t="n">
        <f aca="false">Calc_2!$I151/Thousand</f>
        <v>6.7285303445039</v>
      </c>
      <c r="H26" s="16" t="n">
        <v>7.38951800258242</v>
      </c>
      <c r="I26" s="16" t="n">
        <v>-0.842759264050099</v>
      </c>
      <c r="J26" s="16" t="n">
        <v>-0.660987658078513</v>
      </c>
      <c r="T26" s="14" t="s">
        <v>74</v>
      </c>
      <c r="U26" s="12" t="s">
        <v>41</v>
      </c>
      <c r="V26" s="21" t="n">
        <f aca="false">In_Overbuild_Built</f>
        <v>0</v>
      </c>
    </row>
    <row r="27" customFormat="false" ht="15" hidden="false" customHeight="false" outlineLevel="0" collapsed="false">
      <c r="C27" s="1" t="s">
        <v>75</v>
      </c>
      <c r="D27" s="12" t="s">
        <v>35</v>
      </c>
      <c r="E27" s="27" t="n">
        <f aca="false">Calc_1!$E152</f>
        <v>0.221510760619134</v>
      </c>
      <c r="F27" s="27" t="n">
        <f aca="false">Calc_2!$E152</f>
        <v>0.229148555941046</v>
      </c>
      <c r="H27" s="30" t="n">
        <v>0.257826283818653</v>
      </c>
      <c r="I27" s="30" t="n">
        <v>-0.0363155231995194</v>
      </c>
      <c r="J27" s="30" t="n">
        <v>-0.0286777278776068</v>
      </c>
      <c r="T27" s="14" t="s">
        <v>76</v>
      </c>
      <c r="U27" s="12" t="s">
        <v>41</v>
      </c>
      <c r="V27" s="21" t="n">
        <f aca="false">In_BESS_Built</f>
        <v>1</v>
      </c>
    </row>
    <row r="28" customFormat="false" ht="15" hidden="false" customHeight="false" outlineLevel="0" collapsed="false">
      <c r="C28" s="1" t="s">
        <v>77</v>
      </c>
      <c r="D28" s="12" t="s">
        <v>35</v>
      </c>
      <c r="E28" s="27" t="n">
        <f aca="false">Calc_1!$E169</f>
        <v>0.378454368531697</v>
      </c>
      <c r="F28" s="27" t="n">
        <f aca="false">Calc_2!$E169</f>
        <v>0.404581523786068</v>
      </c>
      <c r="H28" s="30" t="n">
        <v>0.495635416758283</v>
      </c>
      <c r="I28" s="30" t="n">
        <v>-0.117181048226587</v>
      </c>
      <c r="J28" s="30" t="n">
        <v>-0.0910538929722154</v>
      </c>
      <c r="T28" s="14" t="s">
        <v>78</v>
      </c>
      <c r="U28" s="12" t="s">
        <v>41</v>
      </c>
      <c r="V28" s="21" t="n">
        <f aca="false">In_Sanction_Regime</f>
        <v>1</v>
      </c>
    </row>
    <row r="29" customFormat="false" ht="15" hidden="false" customHeight="false" outlineLevel="0" collapsed="false">
      <c r="C29" s="1" t="s">
        <v>79</v>
      </c>
      <c r="D29" s="12" t="s">
        <v>73</v>
      </c>
      <c r="E29" s="29" t="n">
        <f aca="false">Calc_1!$E171/Thousand</f>
        <v>30.7548631039482</v>
      </c>
      <c r="F29" s="29" t="n">
        <f aca="false">Calc_2!$E171/Thousand</f>
        <v>33.641146565739</v>
      </c>
      <c r="H29" s="16" t="n">
        <v>44.6105521842832</v>
      </c>
      <c r="I29" s="16" t="n">
        <v>-13.855689080335</v>
      </c>
      <c r="J29" s="16" t="n">
        <v>-10.9694056185442</v>
      </c>
      <c r="T29" s="14" t="s">
        <v>80</v>
      </c>
      <c r="U29" s="12" t="s">
        <v>41</v>
      </c>
      <c r="V29" s="21" t="n">
        <f aca="false">In_OSZ4_Basis</f>
        <v>0</v>
      </c>
    </row>
    <row r="30" customFormat="false" ht="15" hidden="false" customHeight="false" outlineLevel="0" collapsed="false">
      <c r="C30" s="1" t="s">
        <v>81</v>
      </c>
      <c r="D30" s="12" t="s">
        <v>35</v>
      </c>
      <c r="E30" s="27" t="n">
        <f aca="false">Calc_1!$E184</f>
        <v>0.0949073005175575</v>
      </c>
      <c r="F30" s="27" t="n">
        <f aca="false">Calc_2!$E184</f>
        <v>0.0994965790593217</v>
      </c>
      <c r="H30" s="30" t="n">
        <v>0.118654233690466</v>
      </c>
      <c r="I30" s="30" t="n">
        <v>-0.0237469331729081</v>
      </c>
      <c r="J30" s="30" t="n">
        <v>-0.0191576546311438</v>
      </c>
    </row>
    <row r="31" customFormat="false" ht="15" hidden="false" customHeight="false" outlineLevel="0" collapsed="false">
      <c r="C31" s="1" t="s">
        <v>82</v>
      </c>
      <c r="D31" s="12" t="s">
        <v>73</v>
      </c>
      <c r="E31" s="29" t="n">
        <f aca="false">Calc_1!$E186/Thousand</f>
        <v>13.3631648488628</v>
      </c>
      <c r="F31" s="29" t="n">
        <f aca="false">Calc_2!$E186/Thousand</f>
        <v>17.1991009115114</v>
      </c>
      <c r="H31" s="16" t="n">
        <v>31.4248287787171</v>
      </c>
      <c r="I31" s="16" t="n">
        <v>-18.0616639298542</v>
      </c>
      <c r="J31" s="16" t="n">
        <v>-14.2257278672057</v>
      </c>
    </row>
    <row r="32" customFormat="false" ht="15" hidden="false" customHeight="false" outlineLevel="0" collapsed="false">
      <c r="C32" s="31" t="s">
        <v>83</v>
      </c>
      <c r="D32" s="12" t="s">
        <v>73</v>
      </c>
      <c r="E32" s="32" t="n">
        <f aca="false">Calc_1!$E177/Thousand</f>
        <v>171.213786622901</v>
      </c>
      <c r="F32" s="32" t="n">
        <f aca="false">Calc_2!$E177/Thousand</f>
        <v>167.289008729419</v>
      </c>
      <c r="H32" s="16" t="n">
        <v>147.799682151735</v>
      </c>
      <c r="I32" s="16" t="n">
        <v>23.4141044711663</v>
      </c>
      <c r="J32" s="16" t="n">
        <v>19.4893265776842</v>
      </c>
    </row>
    <row r="34" customFormat="false" ht="15" hidden="false" customHeight="false" outlineLevel="0" collapsed="false">
      <c r="A34" s="10" t="s">
        <v>13</v>
      </c>
      <c r="B34" s="10"/>
      <c r="C34" s="10" t="s">
        <v>84</v>
      </c>
      <c r="D34" s="10"/>
      <c r="E34" s="11" t="s">
        <v>9</v>
      </c>
      <c r="F34" s="11" t="s">
        <v>10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customFormat="false" ht="15" hidden="false" customHeight="false" outlineLevel="0" collapsed="false">
      <c r="C35" s="1" t="s">
        <v>85</v>
      </c>
      <c r="D35" s="12" t="s">
        <v>73</v>
      </c>
      <c r="E35" s="29" t="n">
        <f aca="false">Calc_1!$E173/Thousand</f>
        <v>8.23465753424658</v>
      </c>
      <c r="F35" s="29" t="n">
        <f aca="false">Calc_2!$E173/Thousand</f>
        <v>7.32602739726027</v>
      </c>
    </row>
    <row r="36" customFormat="false" ht="15" hidden="false" customHeight="false" outlineLevel="0" collapsed="false">
      <c r="C36" s="1" t="s">
        <v>86</v>
      </c>
      <c r="D36" s="12" t="s">
        <v>73</v>
      </c>
      <c r="E36" s="29" t="n">
        <f aca="false">Calc_1!$E174/Thousand</f>
        <v>3.51962451197093</v>
      </c>
      <c r="F36" s="29" t="n">
        <f aca="false">Calc_2!$E174/Thousand</f>
        <v>3.51962451197093</v>
      </c>
    </row>
    <row r="37" customFormat="false" ht="15" hidden="false" customHeight="false" outlineLevel="0" collapsed="false">
      <c r="C37" s="1" t="s">
        <v>87</v>
      </c>
      <c r="D37" s="12" t="s">
        <v>73</v>
      </c>
      <c r="E37" s="29" t="n">
        <f aca="false">Calc_1!$E175/Thousand</f>
        <v>150.912878676463</v>
      </c>
      <c r="F37" s="29" t="n">
        <f aca="false">Calc_2!$E175/Thousand</f>
        <v>148.272878676463</v>
      </c>
    </row>
    <row r="38" customFormat="false" ht="15" hidden="false" customHeight="false" outlineLevel="0" collapsed="false">
      <c r="C38" s="1" t="s">
        <v>88</v>
      </c>
      <c r="D38" s="12" t="s">
        <v>73</v>
      </c>
      <c r="E38" s="29" t="n">
        <f aca="false">Calc_1!$E176/Thousand</f>
        <v>8.54662590022075</v>
      </c>
      <c r="F38" s="29" t="n">
        <f aca="false">Calc_2!$E176/Thousand</f>
        <v>8.17047814372495</v>
      </c>
    </row>
    <row r="39" customFormat="false" ht="15" hidden="false" customHeight="false" outlineLevel="0" collapsed="false">
      <c r="C39" s="1" t="s">
        <v>89</v>
      </c>
      <c r="D39" s="12" t="s">
        <v>73</v>
      </c>
      <c r="E39" s="29" t="n">
        <f aca="false">Calc_1!$E178/Thousand</f>
        <v>1.41821917808219</v>
      </c>
      <c r="F39" s="29" t="n">
        <f aca="false">Calc_2!$E178/Thousand</f>
        <v>1.11232876712329</v>
      </c>
    </row>
    <row r="40" customFormat="false" ht="15" hidden="false" customHeight="false" outlineLevel="0" collapsed="false">
      <c r="C40" s="1" t="s">
        <v>90</v>
      </c>
      <c r="D40" s="12" t="s">
        <v>73</v>
      </c>
      <c r="E40" s="29" t="n">
        <f aca="false">Calc_1!$F178/Thousand</f>
        <v>6.99356164383562</v>
      </c>
      <c r="F40" s="29" t="n">
        <f aca="false">Calc_2!$F178/Thousand</f>
        <v>6.08493150684932</v>
      </c>
    </row>
    <row r="42" customFormat="false" ht="15" hidden="false" customHeight="false" outlineLevel="0" collapsed="false">
      <c r="A42" s="10" t="s">
        <v>13</v>
      </c>
      <c r="B42" s="10"/>
      <c r="C42" s="10" t="s">
        <v>91</v>
      </c>
      <c r="D42" s="10"/>
      <c r="E42" s="11" t="s">
        <v>9</v>
      </c>
      <c r="F42" s="11" t="s">
        <v>10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customFormat="false" ht="15" hidden="false" customHeight="false" outlineLevel="0" collapsed="false">
      <c r="C43" s="1" t="s">
        <v>92</v>
      </c>
      <c r="D43" s="12" t="s">
        <v>93</v>
      </c>
      <c r="E43" s="26" t="n">
        <f aca="false">Calc_1!$E24</f>
        <v>151</v>
      </c>
      <c r="F43" s="26" t="n">
        <f aca="false">Calc_2!$E24</f>
        <v>140</v>
      </c>
    </row>
    <row r="44" customFormat="false" ht="15" hidden="false" customHeight="false" outlineLevel="0" collapsed="false">
      <c r="C44" s="1" t="s">
        <v>94</v>
      </c>
      <c r="D44" s="12" t="s">
        <v>93</v>
      </c>
      <c r="E44" s="26" t="n">
        <f aca="false">Calc_1!$F24</f>
        <v>100</v>
      </c>
      <c r="F44" s="26" t="n">
        <f aca="false">Calc_2!$F24</f>
        <v>100</v>
      </c>
    </row>
    <row r="45" customFormat="false" ht="15" hidden="false" customHeight="false" outlineLevel="0" collapsed="false">
      <c r="C45" s="1" t="s">
        <v>95</v>
      </c>
      <c r="D45" s="12" t="s">
        <v>93</v>
      </c>
      <c r="E45" s="26" t="n">
        <f aca="false">Calc_1!$E25</f>
        <v>51</v>
      </c>
      <c r="F45" s="26" t="n">
        <f aca="false">Calc_2!$E25</f>
        <v>40</v>
      </c>
    </row>
    <row r="46" customFormat="false" ht="15" hidden="false" customHeight="false" outlineLevel="0" collapsed="false">
      <c r="C46" s="1" t="s">
        <v>96</v>
      </c>
      <c r="D46" s="12" t="s">
        <v>41</v>
      </c>
      <c r="E46" s="33" t="str">
        <f aca="false">IF(Calc_1!$E42=0,"OK","CHECK")</f>
        <v>OK</v>
      </c>
      <c r="F46" s="33" t="str">
        <f aca="false">IF(Calc_2!$E42=0,"OK","CHECK")</f>
        <v>OK</v>
      </c>
    </row>
    <row r="47" customFormat="false" ht="15" hidden="false" customHeight="false" outlineLevel="0" collapsed="false">
      <c r="C47" s="1" t="s">
        <v>97</v>
      </c>
      <c r="D47" s="12" t="s">
        <v>41</v>
      </c>
      <c r="E47" s="33" t="str">
        <f aca="false">IF(Calc_1!$F42=0,"OK","CHECK")</f>
        <v>OK</v>
      </c>
      <c r="F47" s="33" t="str">
        <f aca="false">IF(Calc_2!$F42=0,"OK","CHECK")</f>
        <v>OK</v>
      </c>
    </row>
    <row r="49" customFormat="false" ht="15" hidden="false" customHeight="false" outlineLevel="0" collapsed="false">
      <c r="A49" s="10" t="s">
        <v>13</v>
      </c>
      <c r="B49" s="10"/>
      <c r="C49" s="10" t="s">
        <v>98</v>
      </c>
      <c r="D49" s="10"/>
      <c r="E49" s="11" t="s">
        <v>9</v>
      </c>
      <c r="F49" s="11" t="s">
        <v>10</v>
      </c>
      <c r="G49" s="10"/>
      <c r="H49" s="11" t="s">
        <v>99</v>
      </c>
      <c r="I49" s="11" t="s">
        <v>100</v>
      </c>
      <c r="J49" s="11" t="s">
        <v>101</v>
      </c>
      <c r="K49" s="10"/>
      <c r="L49" s="10"/>
      <c r="M49" s="10"/>
      <c r="N49" s="10"/>
      <c r="O49" s="10"/>
      <c r="P49" s="10"/>
      <c r="Q49" s="10"/>
      <c r="R49" s="10"/>
    </row>
    <row r="50" customFormat="false" ht="15" hidden="false" customHeight="false" outlineLevel="0" collapsed="false">
      <c r="C50" s="1" t="s">
        <v>102</v>
      </c>
      <c r="D50" s="12" t="s">
        <v>73</v>
      </c>
      <c r="E50" s="34" t="n">
        <f aca="false">Calc_1!$E47/Thousand</f>
        <v>0.00821917808219178</v>
      </c>
      <c r="F50" s="34" t="n">
        <f aca="false">Calc_2!$E47/Thousand</f>
        <v>0.00821917808219178</v>
      </c>
      <c r="H50" s="14" t="s">
        <v>103</v>
      </c>
      <c r="I50" s="28" t="n">
        <f aca="false">In_Bid_Date</f>
        <v>46325</v>
      </c>
      <c r="J50" s="35" t="s">
        <v>104</v>
      </c>
    </row>
    <row r="51" customFormat="false" ht="15" hidden="false" customHeight="false" outlineLevel="0" collapsed="false">
      <c r="C51" s="1" t="s">
        <v>105</v>
      </c>
      <c r="D51" s="12" t="s">
        <v>73</v>
      </c>
      <c r="E51" s="34" t="n">
        <f aca="false">Calc_1!$E48/Thousand</f>
        <v>1.39871232876712</v>
      </c>
      <c r="F51" s="34" t="n">
        <f aca="false">Calc_2!$E48/Thousand</f>
        <v>1.21698630136986</v>
      </c>
      <c r="H51" s="14" t="s">
        <v>106</v>
      </c>
      <c r="I51" s="28" t="n">
        <f aca="false">In_Bid_Date</f>
        <v>46325</v>
      </c>
      <c r="J51" s="28" t="n">
        <f aca="false">Calc_1!$F$49</f>
        <v>46384</v>
      </c>
    </row>
    <row r="52" customFormat="false" ht="15" hidden="false" customHeight="false" outlineLevel="0" collapsed="false">
      <c r="C52" s="1" t="s">
        <v>107</v>
      </c>
      <c r="D52" s="12" t="s">
        <v>73</v>
      </c>
      <c r="E52" s="34" t="n">
        <f aca="false">Calc_1!$E49/Thousand</f>
        <v>6.99356164383562</v>
      </c>
      <c r="F52" s="34" t="n">
        <f aca="false">Calc_2!$E49/Thousand</f>
        <v>6.08493150684932</v>
      </c>
      <c r="H52" s="14" t="s">
        <v>106</v>
      </c>
      <c r="I52" s="28" t="n">
        <f aca="false">Calc_1!$F$49</f>
        <v>46384</v>
      </c>
      <c r="J52" s="35" t="s">
        <v>108</v>
      </c>
    </row>
    <row r="53" customFormat="false" ht="15" hidden="false" customHeight="false" outlineLevel="0" collapsed="false">
      <c r="C53" s="1" t="s">
        <v>109</v>
      </c>
      <c r="D53" s="12" t="s">
        <v>73</v>
      </c>
      <c r="E53" s="34" t="n">
        <f aca="false">Calc_1!$E50/Thousand</f>
        <v>1.23287671232877</v>
      </c>
      <c r="F53" s="34" t="n">
        <f aca="false">Calc_2!$E50/Thousand</f>
        <v>1.23287671232877</v>
      </c>
      <c r="H53" s="14" t="s">
        <v>103</v>
      </c>
      <c r="I53" s="28" t="n">
        <f aca="false">In_TSO_Date</f>
        <v>46386</v>
      </c>
      <c r="J53" s="35" t="s">
        <v>110</v>
      </c>
    </row>
    <row r="54" customFormat="false" ht="15" hidden="false" customHeight="false" outlineLevel="0" collapsed="false">
      <c r="C54" s="1" t="s">
        <v>111</v>
      </c>
      <c r="D54" s="12" t="s">
        <v>73</v>
      </c>
      <c r="E54" s="34" t="n">
        <f aca="false">Calc_1!$E51/Thousand</f>
        <v>1.39272823013699</v>
      </c>
      <c r="F54" s="34" t="n">
        <f aca="false">Calc_2!$E51/Thousand</f>
        <v>1.39272823013699</v>
      </c>
      <c r="H54" s="14" t="s">
        <v>103</v>
      </c>
      <c r="I54" s="28" t="n">
        <f aca="false">In_HCSSZ_Date</f>
        <v>47126</v>
      </c>
      <c r="J54" s="35" t="s">
        <v>104</v>
      </c>
    </row>
    <row r="55" customFormat="false" ht="15" hidden="false" customHeight="false" outlineLevel="0" collapsed="false">
      <c r="C55" s="1" t="s">
        <v>112</v>
      </c>
      <c r="D55" s="12" t="s">
        <v>73</v>
      </c>
      <c r="E55" s="34" t="n">
        <f aca="false">Calc_1!$E52/Thousand</f>
        <v>18.7866591780822</v>
      </c>
      <c r="F55" s="34" t="n">
        <f aca="false">Calc_2!$E52/Thousand</f>
        <v>18.7866591780822</v>
      </c>
      <c r="H55" s="14" t="s">
        <v>103</v>
      </c>
      <c r="I55" s="28" t="n">
        <f aca="false">In_HCSSZ_Date</f>
        <v>47126</v>
      </c>
      <c r="J55" s="35" t="s">
        <v>104</v>
      </c>
    </row>
    <row r="56" customFormat="false" ht="15" hidden="false" customHeight="false" outlineLevel="0" collapsed="false">
      <c r="C56" s="1" t="s">
        <v>113</v>
      </c>
      <c r="D56" s="12" t="s">
        <v>114</v>
      </c>
      <c r="E56" s="23" t="n">
        <f aca="false">Calc_1!$E87</f>
        <v>33.7748344370861</v>
      </c>
      <c r="F56" s="23" t="n">
        <f aca="false">Calc_2!$E87</f>
        <v>28.5714285714286</v>
      </c>
    </row>
    <row r="57" customFormat="false" ht="15" hidden="false" customHeight="false" outlineLevel="0" collapsed="false">
      <c r="C57" s="1" t="s">
        <v>115</v>
      </c>
      <c r="D57" s="12" t="s">
        <v>41</v>
      </c>
      <c r="E57" s="21" t="n">
        <f aca="false">Calc_1!$E88</f>
        <v>1</v>
      </c>
      <c r="F57" s="21" t="n">
        <f aca="false">Calc_2!$E88</f>
        <v>1</v>
      </c>
    </row>
    <row r="59" customFormat="false" ht="15" hidden="false" customHeight="false" outlineLevel="0" collapsed="false">
      <c r="A59" s="10" t="s">
        <v>13</v>
      </c>
      <c r="B59" s="10"/>
      <c r="C59" s="10" t="s">
        <v>116</v>
      </c>
      <c r="D59" s="10"/>
      <c r="E59" s="11" t="s">
        <v>9</v>
      </c>
      <c r="F59" s="11" t="s">
        <v>10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customFormat="false" ht="15" hidden="false" customHeight="false" outlineLevel="0" collapsed="false">
      <c r="C60" s="1" t="s">
        <v>117</v>
      </c>
      <c r="D60" s="12" t="s">
        <v>62</v>
      </c>
      <c r="E60" s="5" t="n">
        <v>47483</v>
      </c>
      <c r="F60" s="5" t="n">
        <v>47483</v>
      </c>
    </row>
    <row r="61" customFormat="false" ht="15" hidden="false" customHeight="false" outlineLevel="0" collapsed="false">
      <c r="C61" s="31" t="s">
        <v>45</v>
      </c>
      <c r="D61" s="12" t="s">
        <v>73</v>
      </c>
      <c r="E61" s="32" t="n">
        <f aca="false">Calc_1!$E130/Thousand</f>
        <v>15</v>
      </c>
      <c r="F61" s="32" t="n">
        <f aca="false">Calc_2!$E130/Thousand</f>
        <v>15</v>
      </c>
    </row>
    <row r="62" customFormat="false" ht="15" hidden="false" customHeight="false" outlineLevel="0" collapsed="false">
      <c r="A62" s="36"/>
      <c r="B62" s="36"/>
      <c r="C62" s="36" t="s">
        <v>118</v>
      </c>
      <c r="D62" s="36"/>
      <c r="E62" s="37" t="s">
        <v>9</v>
      </c>
      <c r="F62" s="37" t="s">
        <v>10</v>
      </c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customFormat="false" ht="15" hidden="false" customHeight="false" outlineLevel="0" collapsed="false">
      <c r="C63" s="1" t="s">
        <v>119</v>
      </c>
      <c r="D63" s="12" t="s">
        <v>73</v>
      </c>
      <c r="E63" s="29" t="n">
        <f aca="false">Calc_1!$F132/Thousand</f>
        <v>36.8427086410959</v>
      </c>
      <c r="F63" s="29" t="n">
        <f aca="false">Calc_2!$F132/Thousand</f>
        <v>36.8427086410959</v>
      </c>
    </row>
    <row r="64" customFormat="false" ht="15" hidden="false" customHeight="false" outlineLevel="0" collapsed="false">
      <c r="C64" s="1" t="s">
        <v>120</v>
      </c>
      <c r="D64" s="12" t="s">
        <v>73</v>
      </c>
      <c r="E64" s="29" t="n">
        <f aca="false">Calc_1!$F133/Thousand</f>
        <v>0.5</v>
      </c>
      <c r="F64" s="29" t="n">
        <f aca="false">Calc_2!$F133/Thousand</f>
        <v>0.5</v>
      </c>
    </row>
    <row r="65" customFormat="false" ht="15" hidden="false" customHeight="false" outlineLevel="0" collapsed="false">
      <c r="C65" s="1" t="s">
        <v>121</v>
      </c>
      <c r="D65" s="12" t="s">
        <v>73</v>
      </c>
      <c r="E65" s="29" t="n">
        <f aca="false">Calc_1!$F134/Thousand</f>
        <v>21.4122641205479</v>
      </c>
      <c r="F65" s="29" t="n">
        <f aca="false">Calc_2!$F134/Thousand</f>
        <v>21.4122641205479</v>
      </c>
    </row>
    <row r="66" customFormat="false" ht="15" hidden="false" customHeight="false" outlineLevel="0" collapsed="false">
      <c r="C66" s="1" t="s">
        <v>122</v>
      </c>
      <c r="D66" s="12" t="s">
        <v>73</v>
      </c>
      <c r="E66" s="29" t="n">
        <f aca="false">Calc_1!$F135/Thousand</f>
        <v>1.56453664418093</v>
      </c>
      <c r="F66" s="29" t="n">
        <f aca="false">Calc_2!$F135/Thousand</f>
        <v>1.56453664418093</v>
      </c>
    </row>
    <row r="67" customFormat="false" ht="15" hidden="false" customHeight="false" outlineLevel="0" collapsed="false">
      <c r="C67" s="1" t="s">
        <v>123</v>
      </c>
      <c r="D67" s="12" t="s">
        <v>73</v>
      </c>
      <c r="E67" s="29" t="n">
        <f aca="false">Calc_1!$F136/Thousand</f>
        <v>0.430444520547945</v>
      </c>
      <c r="F67" s="29" t="n">
        <f aca="false">Calc_2!$F136/Thousand</f>
        <v>0.430444520547945</v>
      </c>
    </row>
    <row r="68" customFormat="false" ht="15" hidden="false" customHeight="false" outlineLevel="0" collapsed="false">
      <c r="C68" s="1" t="s">
        <v>124</v>
      </c>
      <c r="D68" s="12" t="s">
        <v>73</v>
      </c>
      <c r="E68" s="29" t="n">
        <f aca="false">Calc_1!$F137/Thousand</f>
        <v>3.11962451197093</v>
      </c>
      <c r="F68" s="29" t="n">
        <f aca="false">Calc_2!$F137/Thousand</f>
        <v>3.11962451197093</v>
      </c>
    </row>
    <row r="69" customFormat="false" ht="15" hidden="false" customHeight="false" outlineLevel="0" collapsed="false">
      <c r="C69" s="1" t="s">
        <v>125</v>
      </c>
      <c r="D69" s="12" t="s">
        <v>73</v>
      </c>
      <c r="E69" s="29" t="n">
        <f aca="false">Calc_1!$F138/Thousand</f>
        <v>1.12048016110676</v>
      </c>
      <c r="F69" s="29" t="n">
        <f aca="false">Calc_2!$F138/Thousand</f>
        <v>0.974903115514509</v>
      </c>
    </row>
    <row r="70" customFormat="false" ht="15" hidden="false" customHeight="false" outlineLevel="0" collapsed="false">
      <c r="C70" s="1" t="s">
        <v>126</v>
      </c>
      <c r="D70" s="12" t="s">
        <v>73</v>
      </c>
      <c r="E70" s="29" t="n">
        <f aca="false">Calc_1!$F139/Thousand</f>
        <v>1.20065972222222</v>
      </c>
      <c r="F70" s="29" t="n">
        <f aca="false">Calc_2!$F139/Thousand</f>
        <v>1.11319444444444</v>
      </c>
    </row>
    <row r="71" customFormat="false" ht="15" hidden="false" customHeight="false" outlineLevel="0" collapsed="false">
      <c r="C71" s="31" t="s">
        <v>127</v>
      </c>
      <c r="D71" s="12" t="s">
        <v>73</v>
      </c>
      <c r="E71" s="32" t="n">
        <f aca="false">Calc_1!$F140/Thousand</f>
        <v>7.49469896051916</v>
      </c>
      <c r="F71" s="32" t="n">
        <f aca="false">Calc_2!$F140/Thousand</f>
        <v>7.72774128388919</v>
      </c>
    </row>
    <row r="72" customFormat="false" ht="15" hidden="false" customHeight="false" outlineLevel="0" collapsed="false">
      <c r="A72" s="36"/>
      <c r="B72" s="36"/>
      <c r="C72" s="36" t="s">
        <v>128</v>
      </c>
      <c r="D72" s="36"/>
      <c r="E72" s="37" t="s">
        <v>9</v>
      </c>
      <c r="F72" s="37" t="s">
        <v>10</v>
      </c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 customFormat="false" ht="15" hidden="false" customHeight="false" outlineLevel="0" collapsed="false">
      <c r="C73" s="1" t="s">
        <v>129</v>
      </c>
      <c r="D73" s="12" t="s">
        <v>73</v>
      </c>
      <c r="E73" s="29" t="n">
        <f aca="false">Calc_1!$E144/Thousand</f>
        <v>11.050930589622</v>
      </c>
      <c r="F73" s="29" t="n">
        <f aca="false">Calc_2!$E144/Thousand</f>
        <v>11.0684831703888</v>
      </c>
    </row>
    <row r="74" customFormat="false" ht="15" hidden="false" customHeight="false" outlineLevel="0" collapsed="false">
      <c r="C74" s="1" t="s">
        <v>130</v>
      </c>
      <c r="D74" s="12" t="s">
        <v>73</v>
      </c>
      <c r="E74" s="29" t="n">
        <f aca="false">Calc_1!$F144/Thousand</f>
        <v>3.44906941037797</v>
      </c>
      <c r="F74" s="29" t="n">
        <f aca="false">Calc_2!$F144/Thousand</f>
        <v>3.4315168296112</v>
      </c>
    </row>
    <row r="75" customFormat="false" ht="15" hidden="false" customHeight="false" outlineLevel="0" collapsed="false">
      <c r="C75" s="31" t="s">
        <v>131</v>
      </c>
      <c r="D75" s="12" t="s">
        <v>73</v>
      </c>
      <c r="E75" s="32" t="n">
        <f aca="false">Calc_1!$E145/Thousand</f>
        <v>14.5</v>
      </c>
      <c r="F75" s="32" t="n">
        <f aca="false">Calc_2!$E145/Thousand</f>
        <v>14.5</v>
      </c>
    </row>
    <row r="76" customFormat="false" ht="15" hidden="false" customHeight="false" outlineLevel="0" collapsed="false">
      <c r="C76" s="1" t="s">
        <v>132</v>
      </c>
      <c r="D76" s="12" t="s">
        <v>27</v>
      </c>
      <c r="E76" s="26" t="n">
        <f aca="false">Calc_1!$E146</f>
        <v>73.1849707921988</v>
      </c>
      <c r="F76" s="26" t="n">
        <f aca="false">Calc_2!$E146</f>
        <v>79.0605940742057</v>
      </c>
    </row>
    <row r="77" customFormat="false" ht="15" hidden="false" customHeight="false" outlineLevel="0" collapsed="false">
      <c r="C77" s="1" t="s">
        <v>133</v>
      </c>
      <c r="D77" s="12" t="s">
        <v>27</v>
      </c>
      <c r="E77" s="26" t="n">
        <f aca="false">Calc_1!$F146</f>
        <v>22.8415192740263</v>
      </c>
      <c r="F77" s="26" t="n">
        <f aca="false">Calc_2!$F146</f>
        <v>24.5108344972229</v>
      </c>
    </row>
    <row r="78" customFormat="false" ht="15" hidden="false" customHeight="false" outlineLevel="0" collapsed="false">
      <c r="C78" s="31" t="s">
        <v>134</v>
      </c>
      <c r="D78" s="12" t="s">
        <v>27</v>
      </c>
      <c r="E78" s="38" t="n">
        <f aca="false">Calc_1!$E148</f>
        <v>96.0264900662251</v>
      </c>
      <c r="F78" s="38" t="n">
        <f aca="false">Calc_2!$E148</f>
        <v>103.571428571429</v>
      </c>
    </row>
    <row r="79" customFormat="false" ht="15" hidden="false" customHeight="false" outlineLevel="0" collapsed="false">
      <c r="A79" s="36"/>
      <c r="B79" s="36"/>
      <c r="C79" s="36" t="s">
        <v>135</v>
      </c>
      <c r="D79" s="36"/>
      <c r="E79" s="37" t="s">
        <v>9</v>
      </c>
      <c r="F79" s="37" t="s">
        <v>10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</row>
    <row r="80" customFormat="false" ht="15" hidden="false" customHeight="false" outlineLevel="0" collapsed="false">
      <c r="C80" s="1" t="s">
        <v>136</v>
      </c>
      <c r="D80" s="12" t="s">
        <v>73</v>
      </c>
      <c r="E80" s="29" t="n">
        <f aca="false">Calc_1!$F141/Thousand</f>
        <v>32.8936392307179</v>
      </c>
      <c r="F80" s="29" t="n">
        <f aca="false">Calc_2!$F141/Thousand</f>
        <v>32.9111918114847</v>
      </c>
    </row>
    <row r="81" customFormat="false" ht="15" hidden="false" customHeight="false" outlineLevel="0" collapsed="false">
      <c r="C81" s="1" t="s">
        <v>137</v>
      </c>
      <c r="D81" s="12" t="s">
        <v>73</v>
      </c>
      <c r="E81" s="29" t="n">
        <f aca="false">Calc_1!$E147/Thousand</f>
        <v>-24.9401078106011</v>
      </c>
      <c r="F81" s="29" t="n">
        <f aca="false">Calc_2!$E147/Thousand</f>
        <v>-24.9401078106011</v>
      </c>
    </row>
    <row r="82" customFormat="false" ht="15" hidden="false" customHeight="false" outlineLevel="0" collapsed="false">
      <c r="C82" s="1" t="s">
        <v>138</v>
      </c>
      <c r="D82" s="12" t="s">
        <v>73</v>
      </c>
      <c r="E82" s="29" t="n">
        <f aca="false">Calc_1!$E58/Thousand</f>
        <v>-1.27815482229311</v>
      </c>
      <c r="F82" s="29" t="n">
        <f aca="false">Calc_2!$E58/Thousand</f>
        <v>-1.11209208481892</v>
      </c>
    </row>
    <row r="83" customFormat="false" ht="15" hidden="false" customHeight="false" outlineLevel="0" collapsed="false">
      <c r="C83" s="1" t="s">
        <v>139</v>
      </c>
      <c r="D83" s="12" t="s">
        <v>73</v>
      </c>
      <c r="E83" s="29" t="n">
        <f aca="false">Calc_1!$E150/Thousand</f>
        <v>-0.12861785929143</v>
      </c>
      <c r="F83" s="29" t="n">
        <f aca="false">Calc_2!$E150/Thousand</f>
        <v>-0.130461571560805</v>
      </c>
    </row>
    <row r="84" customFormat="false" ht="15" hidden="false" customHeight="false" outlineLevel="0" collapsed="false">
      <c r="C84" s="31" t="s">
        <v>140</v>
      </c>
      <c r="D84" s="12" t="s">
        <v>73</v>
      </c>
      <c r="E84" s="32" t="n">
        <f aca="false">Calc_1!$I151/Thousand</f>
        <v>6.54675873853232</v>
      </c>
      <c r="F84" s="32" t="n">
        <f aca="false">Calc_2!$I151/Thousand</f>
        <v>6.7285303445039</v>
      </c>
    </row>
    <row r="85" customFormat="false" ht="15" hidden="false" customHeight="false" outlineLevel="0" collapsed="false">
      <c r="C85" s="1" t="s">
        <v>141</v>
      </c>
      <c r="D85" s="12" t="s">
        <v>13</v>
      </c>
      <c r="E85" s="39" t="n">
        <f aca="false">Calc_1!$E153</f>
        <v>1.24970223352323</v>
      </c>
      <c r="F85" s="39" t="n">
        <f aca="false">Calc_2!$E153</f>
        <v>1.25827110077129</v>
      </c>
    </row>
    <row r="86" customFormat="false" ht="15" hidden="false" customHeight="false" outlineLevel="0" collapsed="false">
      <c r="C86" s="1" t="s">
        <v>142</v>
      </c>
      <c r="D86" s="12" t="s">
        <v>73</v>
      </c>
      <c r="E86" s="29" t="n">
        <f aca="false">Calc_1!$E154/Thousand</f>
        <v>3.32854248477583</v>
      </c>
      <c r="F86" s="29" t="n">
        <f aca="false">Calc_2!$E154/Thousand</f>
        <v>3.48506538772661</v>
      </c>
    </row>
    <row r="88" customFormat="false" ht="15" hidden="false" customHeight="false" outlineLevel="0" collapsed="false">
      <c r="A88" s="10" t="s">
        <v>13</v>
      </c>
      <c r="B88" s="10"/>
      <c r="C88" s="10" t="s">
        <v>143</v>
      </c>
      <c r="D88" s="10"/>
      <c r="E88" s="11" t="s">
        <v>9</v>
      </c>
      <c r="F88" s="11" t="s">
        <v>10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customFormat="false" ht="15" hidden="false" customHeight="false" outlineLevel="0" collapsed="false">
      <c r="C89" s="31" t="s">
        <v>144</v>
      </c>
      <c r="D89" s="12" t="s">
        <v>73</v>
      </c>
      <c r="E89" s="32" t="n">
        <f aca="false">Calc_1!$E179/Thousand</f>
        <v>164.220224979066</v>
      </c>
      <c r="F89" s="32" t="n">
        <f aca="false">Calc_2!$E179/Thousand</f>
        <v>161.20407722257</v>
      </c>
    </row>
    <row r="90" customFormat="false" ht="15" hidden="false" customHeight="false" outlineLevel="0" collapsed="false">
      <c r="C90" s="1" t="s">
        <v>145</v>
      </c>
      <c r="D90" s="12" t="s">
        <v>27</v>
      </c>
      <c r="E90" s="23" t="n">
        <f aca="false">Calc_1!$E180</f>
        <v>1642.20224979066</v>
      </c>
      <c r="F90" s="23" t="n">
        <f aca="false">Calc_2!$E180</f>
        <v>1612.0407722257</v>
      </c>
    </row>
    <row r="91" customFormat="false" ht="15" hidden="false" customHeight="false" outlineLevel="0" collapsed="false">
      <c r="C91" s="1" t="s">
        <v>146</v>
      </c>
      <c r="D91" s="12" t="s">
        <v>73</v>
      </c>
      <c r="E91" s="29" t="n">
        <f aca="false">Calc_1!$E159/Thousand</f>
        <v>245</v>
      </c>
      <c r="F91" s="29" t="n">
        <f aca="false">Calc_2!$E159/Thousand</f>
        <v>245</v>
      </c>
    </row>
    <row r="92" customFormat="false" ht="15" hidden="false" customHeight="false" outlineLevel="0" collapsed="false">
      <c r="C92" s="1" t="s">
        <v>147</v>
      </c>
      <c r="D92" s="12" t="s">
        <v>73</v>
      </c>
      <c r="E92" s="29" t="n">
        <f aca="false">Calc_1!$F159/Thousand</f>
        <v>-3.83908122210466</v>
      </c>
      <c r="F92" s="29" t="n">
        <f aca="false">Calc_2!$F159/Thousand</f>
        <v>-1.09497144999633</v>
      </c>
    </row>
    <row r="93" customFormat="false" ht="15" hidden="false" customHeight="false" outlineLevel="0" collapsed="false">
      <c r="C93" s="1" t="s">
        <v>148</v>
      </c>
      <c r="D93" s="12" t="s">
        <v>73</v>
      </c>
      <c r="E93" s="29" t="n">
        <f aca="false">Calc_1!$E161/Thousand</f>
        <v>94.2205039225694</v>
      </c>
      <c r="F93" s="29" t="n">
        <f aca="false">Calc_2!$E161/Thousand</f>
        <v>92.5654711921723</v>
      </c>
    </row>
    <row r="94" customFormat="false" ht="15" hidden="false" customHeight="false" outlineLevel="0" collapsed="false">
      <c r="C94" s="1" t="s">
        <v>149</v>
      </c>
      <c r="D94" s="12" t="s">
        <v>73</v>
      </c>
      <c r="E94" s="29" t="n">
        <f aca="false">Calc_1!$F167/Thousand</f>
        <v>124.442364391184</v>
      </c>
      <c r="F94" s="29" t="n">
        <f aca="false">Calc_2!$F167/Thousand</f>
        <v>127.191143481749</v>
      </c>
    </row>
    <row r="95" customFormat="false" ht="15" hidden="false" customHeight="false" outlineLevel="0" collapsed="false">
      <c r="C95" s="1" t="s">
        <v>150</v>
      </c>
      <c r="D95" s="12" t="s">
        <v>73</v>
      </c>
      <c r="E95" s="29" t="n">
        <f aca="false">Calc_1!$I168/Thousand</f>
        <v>54.4426433346878</v>
      </c>
      <c r="F95" s="29" t="n">
        <f aca="false">Calc_2!$I168/Thousand</f>
        <v>58.5525374513512</v>
      </c>
    </row>
    <row r="96" customFormat="false" ht="15" hidden="false" customHeight="false" outlineLevel="0" collapsed="false">
      <c r="C96" s="1" t="s">
        <v>151</v>
      </c>
      <c r="D96" s="12" t="s">
        <v>13</v>
      </c>
      <c r="E96" s="39" t="n">
        <f aca="false">Calc_1!$E170</f>
        <v>1.77775514692048</v>
      </c>
      <c r="F96" s="39" t="n">
        <f aca="false">Calc_2!$E170</f>
        <v>1.85305545723671</v>
      </c>
    </row>
    <row r="98" customFormat="false" ht="15" hidden="false" customHeight="false" outlineLevel="0" collapsed="false">
      <c r="A98" s="10" t="s">
        <v>13</v>
      </c>
      <c r="B98" s="10"/>
      <c r="C98" s="10" t="s">
        <v>152</v>
      </c>
      <c r="D98" s="10"/>
      <c r="E98" s="11" t="s">
        <v>9</v>
      </c>
      <c r="F98" s="11" t="s">
        <v>10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customFormat="false" ht="15" hidden="false" customHeight="false" outlineLevel="0" collapsed="false">
      <c r="C99" s="1" t="s">
        <v>153</v>
      </c>
      <c r="D99" s="12" t="s">
        <v>13</v>
      </c>
      <c r="E99" s="39" t="n">
        <f aca="false">Calc_1!$E185</f>
        <v>4.89335391904422</v>
      </c>
      <c r="F99" s="39" t="n">
        <f aca="false">Calc_2!$E185</f>
        <v>5.12573169894475</v>
      </c>
    </row>
    <row r="100" customFormat="false" ht="15" hidden="false" customHeight="false" outlineLevel="0" collapsed="false">
      <c r="C100" s="1" t="s">
        <v>154</v>
      </c>
      <c r="D100" s="12" t="s">
        <v>13</v>
      </c>
      <c r="E100" s="39" t="n">
        <f aca="false">Calc_1!$E187</f>
        <v>1.32847346238474</v>
      </c>
      <c r="F100" s="39" t="n">
        <f aca="false">Calc_2!$E187</f>
        <v>1.36879038642014</v>
      </c>
    </row>
    <row r="102" customFormat="false" ht="15" hidden="false" customHeight="false" outlineLevel="0" collapsed="false">
      <c r="A102" s="10" t="s">
        <v>13</v>
      </c>
      <c r="B102" s="10"/>
      <c r="C102" s="10" t="s">
        <v>155</v>
      </c>
      <c r="D102" s="10"/>
      <c r="E102" s="11" t="s">
        <v>12</v>
      </c>
      <c r="F102" s="11"/>
      <c r="G102" s="10"/>
      <c r="H102" s="11" t="str">
        <f aca="false">Inputs!H$7</f>
        <v>Base</v>
      </c>
      <c r="I102" s="11" t="str">
        <f aca="false">Inputs!I$7</f>
        <v>Overbuild built</v>
      </c>
      <c r="J102" s="11" t="str">
        <f aca="false">Inputs!J$7</f>
        <v>Full PB call</v>
      </c>
      <c r="K102" s="11" t="str">
        <f aca="false">Inputs!K$7</f>
        <v>Freeze off</v>
      </c>
      <c r="L102" s="11" t="str">
        <f aca="false">Inputs!L$7</f>
        <v>Low premium</v>
      </c>
      <c r="M102" s="11" t="str">
        <f aca="false">Inputs!M$7</f>
        <v>ÖSZ-4 on wind</v>
      </c>
      <c r="N102" s="10"/>
      <c r="O102" s="10"/>
      <c r="P102" s="10"/>
      <c r="Q102" s="10"/>
      <c r="R102" s="10"/>
    </row>
    <row r="103" customFormat="false" ht="15" hidden="false" customHeight="false" outlineLevel="0" collapsed="false">
      <c r="C103" s="1" t="s">
        <v>156</v>
      </c>
      <c r="D103" s="12" t="s">
        <v>70</v>
      </c>
      <c r="E103" s="15" t="n">
        <f aca="false">Calc_1!$E41</f>
        <v>85</v>
      </c>
      <c r="H103" s="16" t="n">
        <v>85</v>
      </c>
      <c r="I103" s="16" t="n">
        <v>85</v>
      </c>
      <c r="J103" s="16" t="n">
        <v>85</v>
      </c>
      <c r="K103" s="16" t="n">
        <v>85</v>
      </c>
      <c r="L103" s="16" t="n">
        <v>85</v>
      </c>
      <c r="M103" s="16" t="n">
        <v>80.5</v>
      </c>
    </row>
    <row r="104" customFormat="false" ht="15" hidden="false" customHeight="false" outlineLevel="0" collapsed="false">
      <c r="C104" s="1" t="s">
        <v>157</v>
      </c>
      <c r="D104" s="12" t="s">
        <v>70</v>
      </c>
      <c r="E104" s="15" t="n">
        <f aca="false">Calc_2!$E41</f>
        <v>68.25</v>
      </c>
      <c r="H104" s="16" t="n">
        <v>68.25</v>
      </c>
      <c r="I104" s="16" t="n">
        <v>68.25</v>
      </c>
      <c r="J104" s="16" t="n">
        <v>68.25</v>
      </c>
      <c r="K104" s="16" t="n">
        <v>68.25</v>
      </c>
      <c r="L104" s="16" t="n">
        <v>68.25</v>
      </c>
      <c r="M104" s="16" t="n">
        <v>63.75</v>
      </c>
    </row>
    <row r="105" customFormat="false" ht="15" hidden="false" customHeight="false" outlineLevel="0" collapsed="false">
      <c r="C105" s="1" t="s">
        <v>158</v>
      </c>
      <c r="D105" s="12" t="s">
        <v>73</v>
      </c>
      <c r="E105" s="29" t="n">
        <f aca="false">Calc_1!$I151/Thousand</f>
        <v>6.54675873853232</v>
      </c>
      <c r="H105" s="16" t="n">
        <v>6.54675873853232</v>
      </c>
      <c r="I105" s="16" t="n">
        <v>6.54675873853232</v>
      </c>
      <c r="J105" s="16" t="n">
        <v>6.54675873853232</v>
      </c>
      <c r="K105" s="16" t="n">
        <v>6.87295703790594</v>
      </c>
      <c r="L105" s="16" t="n">
        <v>3.04675873853231</v>
      </c>
      <c r="M105" s="16" t="n">
        <v>6.54675873853232</v>
      </c>
    </row>
    <row r="106" customFormat="false" ht="15" hidden="false" customHeight="false" outlineLevel="0" collapsed="false">
      <c r="C106" s="1" t="s">
        <v>159</v>
      </c>
      <c r="D106" s="12" t="s">
        <v>73</v>
      </c>
      <c r="E106" s="29" t="n">
        <f aca="false">Calc_2!$I151/Thousand</f>
        <v>6.7285303445039</v>
      </c>
      <c r="H106" s="16" t="n">
        <v>6.7285303445039</v>
      </c>
      <c r="I106" s="16" t="n">
        <v>6.7285303445039</v>
      </c>
      <c r="J106" s="16" t="n">
        <v>6.7285303445039</v>
      </c>
      <c r="K106" s="16" t="n">
        <v>7.04822602606214</v>
      </c>
      <c r="L106" s="16" t="n">
        <v>3.2285303445039</v>
      </c>
      <c r="M106" s="16" t="n">
        <v>6.7285303445039</v>
      </c>
    </row>
    <row r="107" customFormat="false" ht="15" hidden="false" customHeight="false" outlineLevel="0" collapsed="false">
      <c r="C107" s="1" t="s">
        <v>160</v>
      </c>
      <c r="D107" s="12" t="s">
        <v>35</v>
      </c>
      <c r="E107" s="27" t="n">
        <f aca="false">Calc_1!$E169</f>
        <v>0.378454368531697</v>
      </c>
      <c r="H107" s="30" t="n">
        <v>0.378454368531697</v>
      </c>
      <c r="I107" s="30" t="n">
        <v>0.544455538624024</v>
      </c>
      <c r="J107" s="30" t="n">
        <v>0.357802790721696</v>
      </c>
      <c r="K107" s="30" t="n">
        <v>0.381489407372956</v>
      </c>
      <c r="L107" s="30" t="n">
        <v>0.378454368531697</v>
      </c>
      <c r="M107" s="30" t="n">
        <v>0.378454368531697</v>
      </c>
    </row>
    <row r="108" customFormat="false" ht="15" hidden="false" customHeight="false" outlineLevel="0" collapsed="false">
      <c r="C108" s="1" t="s">
        <v>161</v>
      </c>
      <c r="D108" s="12" t="s">
        <v>35</v>
      </c>
      <c r="E108" s="27" t="n">
        <f aca="false">Calc_2!$E169</f>
        <v>0.404581523786068</v>
      </c>
      <c r="H108" s="30" t="n">
        <v>0.404581523786068</v>
      </c>
      <c r="I108" s="30" t="n">
        <v>0.538418881592159</v>
      </c>
      <c r="J108" s="30" t="n">
        <v>0.386601925171368</v>
      </c>
      <c r="K108" s="30" t="n">
        <v>0.40749531952725</v>
      </c>
      <c r="L108" s="30" t="n">
        <v>0.404581523786068</v>
      </c>
      <c r="M108" s="30" t="n">
        <v>0.404581523786068</v>
      </c>
    </row>
    <row r="109" customFormat="false" ht="15" hidden="false" customHeight="false" outlineLevel="0" collapsed="false">
      <c r="C109" s="1" t="s">
        <v>162</v>
      </c>
      <c r="D109" s="12" t="s">
        <v>35</v>
      </c>
      <c r="E109" s="27" t="n">
        <f aca="false">Calc_1!$E184</f>
        <v>0.0949073005175575</v>
      </c>
      <c r="H109" s="30" t="n">
        <v>0.0949073005175575</v>
      </c>
      <c r="I109" s="30" t="n">
        <v>0.114882860757191</v>
      </c>
      <c r="J109" s="30" t="n">
        <v>0.090505033756487</v>
      </c>
      <c r="K109" s="30" t="n">
        <v>0.0953747499696539</v>
      </c>
      <c r="L109" s="30" t="n">
        <v>0.0964262696931258</v>
      </c>
      <c r="M109" s="30" t="n">
        <v>0.0949073005175575</v>
      </c>
    </row>
    <row r="110" customFormat="false" ht="15" hidden="false" customHeight="false" outlineLevel="0" collapsed="false">
      <c r="C110" s="1" t="s">
        <v>163</v>
      </c>
      <c r="D110" s="12" t="s">
        <v>35</v>
      </c>
      <c r="E110" s="27" t="n">
        <f aca="false">Calc_2!$E184</f>
        <v>0.0994965790593217</v>
      </c>
      <c r="H110" s="30" t="n">
        <v>0.0994965790593217</v>
      </c>
      <c r="I110" s="30" t="n">
        <v>0.115898915410319</v>
      </c>
      <c r="J110" s="30" t="n">
        <v>0.0953662426258718</v>
      </c>
      <c r="K110" s="30" t="n">
        <v>0.0999817679599512</v>
      </c>
      <c r="L110" s="30" t="n">
        <v>0.101105952559172</v>
      </c>
      <c r="M110" s="30" t="n">
        <v>0.0994965790593217</v>
      </c>
    </row>
    <row r="111" customFormat="false" ht="15" hidden="false" customHeight="false" outlineLevel="0" collapsed="false">
      <c r="C111" s="1" t="s">
        <v>164</v>
      </c>
      <c r="D111" s="12" t="s">
        <v>73</v>
      </c>
      <c r="E111" s="29" t="n">
        <f aca="false">Calc_1!$F140/Thousand</f>
        <v>7.49469896051916</v>
      </c>
      <c r="H111" s="16" t="n">
        <v>7.49469896051916</v>
      </c>
      <c r="I111" s="16" t="n">
        <v>7.49469896051916</v>
      </c>
      <c r="J111" s="16" t="n">
        <v>7.49469896051916</v>
      </c>
      <c r="K111" s="16" t="n">
        <v>5.94137372540667</v>
      </c>
      <c r="L111" s="16" t="n">
        <v>2.49469896051917</v>
      </c>
      <c r="M111" s="16" t="n">
        <v>7.49469896051916</v>
      </c>
    </row>
    <row r="112" customFormat="false" ht="15" hidden="false" customHeight="false" outlineLevel="0" collapsed="false">
      <c r="C112" s="1" t="s">
        <v>165</v>
      </c>
      <c r="D112" s="12" t="s">
        <v>73</v>
      </c>
      <c r="E112" s="29" t="n">
        <f aca="false">Calc_2!$F140/Thousand</f>
        <v>7.72774128388919</v>
      </c>
      <c r="H112" s="16" t="n">
        <v>7.72774128388919</v>
      </c>
      <c r="I112" s="16" t="n">
        <v>7.72774128388919</v>
      </c>
      <c r="J112" s="16" t="n">
        <v>7.72774128388919</v>
      </c>
      <c r="K112" s="16" t="n">
        <v>6.20538089551662</v>
      </c>
      <c r="L112" s="16" t="n">
        <v>2.72774128388919</v>
      </c>
      <c r="M112" s="16" t="n">
        <v>7.72774128388919</v>
      </c>
    </row>
    <row r="113" customFormat="false" ht="15" hidden="false" customHeight="false" outlineLevel="0" collapsed="false">
      <c r="C113" s="1" t="s">
        <v>166</v>
      </c>
      <c r="D113" s="12" t="s">
        <v>73</v>
      </c>
      <c r="E113" s="29" t="n">
        <f aca="false">Calc_1!$E179/Thousand</f>
        <v>164.220224979066</v>
      </c>
      <c r="H113" s="16" t="n">
        <v>164.220224979066</v>
      </c>
      <c r="I113" s="16" t="n">
        <v>217.899554834464</v>
      </c>
      <c r="J113" s="16" t="n">
        <v>164.220224979066</v>
      </c>
      <c r="K113" s="16" t="n">
        <v>164.220224979066</v>
      </c>
      <c r="L113" s="16" t="n">
        <v>164.220224979066</v>
      </c>
      <c r="M113" s="16" t="n">
        <v>164.220224979066</v>
      </c>
    </row>
    <row r="114" customFormat="false" ht="15" hidden="false" customHeight="false" outlineLevel="0" collapsed="false">
      <c r="C114" s="1" t="s">
        <v>167</v>
      </c>
      <c r="D114" s="12" t="s">
        <v>73</v>
      </c>
      <c r="E114" s="29" t="n">
        <f aca="false">Calc_2!$E179/Thousand</f>
        <v>161.20407722257</v>
      </c>
      <c r="H114" s="16" t="n">
        <v>161.20407722257</v>
      </c>
      <c r="I114" s="16" t="n">
        <v>203.305512403274</v>
      </c>
      <c r="J114" s="16" t="n">
        <v>161.20407722257</v>
      </c>
      <c r="K114" s="16" t="n">
        <v>161.20407722257</v>
      </c>
      <c r="L114" s="16" t="n">
        <v>161.20407722257</v>
      </c>
      <c r="M114" s="16" t="n">
        <v>161.20407722257</v>
      </c>
    </row>
    <row r="116" customFormat="false" ht="15" hidden="false" customHeight="false" outlineLevel="0" collapsed="false">
      <c r="C116" s="40" t="s">
        <v>168</v>
      </c>
    </row>
  </sheetData>
  <conditionalFormatting sqref="E46:F4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E47:F47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"CHECK"</formula>
    </cfRule>
  </conditionalFormatting>
  <conditionalFormatting sqref="E8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"CHECK"</formula>
    </cfRule>
  </conditionalFormatting>
  <dataValidations count="7">
    <dataValidation allowBlank="false" errorStyle="stop" operator="between" showDropDown="false" showErrorMessage="false" showInputMessage="false" sqref="E18:F18" type="list">
      <formula1>"0,1"</formula1>
      <formula2>0</formula2>
    </dataValidation>
    <dataValidation allowBlank="false" errorStyle="stop" operator="between" showDropDown="false" showErrorMessage="false" showInputMessage="false" sqref="E19:F19" type="list">
      <formula1>"0,1"</formula1>
      <formula2>0</formula2>
    </dataValidation>
    <dataValidation allowBlank="false" errorStyle="stop" operator="between" showDropDown="false" showErrorMessage="false" showInputMessage="false" sqref="E20:F20" type="list">
      <formula1>"0,1"</formula1>
      <formula2>0</formula2>
    </dataValidation>
    <dataValidation allowBlank="false" errorStyle="stop" operator="between" showDropDown="false" showErrorMessage="false" showInputMessage="false" sqref="E21:F21" type="list">
      <formula1>"0,1"</formula1>
      <formula2>0</formula2>
    </dataValidation>
    <dataValidation allowBlank="false" errorStyle="stop" operator="between" showDropDown="false" showErrorMessage="false" showInputMessage="false" sqref="E22:F22" type="list">
      <formula1>"0,1"</formula1>
      <formula2>0</formula2>
    </dataValidation>
    <dataValidation allowBlank="false" errorStyle="stop" operator="between" showDropDown="false" showErrorMessage="false" showInputMessage="false" sqref="E60:F60" type="list">
      <formula1>Period_Ends</formula1>
      <formula2>0</formula2>
    </dataValidation>
    <dataValidation allowBlank="false" errorStyle="stop" operator="between" showDropDown="false" showErrorMessage="false" showInputMessage="false" sqref="V12" type="list">
      <formula1>Scenario_Names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0"/>
    <col collapsed="false" customWidth="true" hidden="false" outlineLevel="0" max="4" min="4" style="1" width="36"/>
    <col collapsed="false" customWidth="true" hidden="false" outlineLevel="0" max="5" min="5" style="1" width="2"/>
    <col collapsed="false" customWidth="true" hidden="false" outlineLevel="0" max="6" min="6" style="1" width="12"/>
    <col collapsed="false" customWidth="true" hidden="false" outlineLevel="0" max="7" min="7" style="1" width="2"/>
    <col collapsed="false" customWidth="true" hidden="false" outlineLevel="0" max="15" min="8" style="1" width="12"/>
    <col collapsed="false" customWidth="true" hidden="false" outlineLevel="0" max="16" min="16" style="1" width="2"/>
    <col collapsed="false" customWidth="false" hidden="true" outlineLevel="1" max="16384" min="17" style="1" width="13"/>
  </cols>
  <sheetData>
    <row r="2" customFormat="false" ht="15" hidden="false" customHeight="false" outlineLevel="0" collapsed="false">
      <c r="A2" s="2"/>
      <c r="B2" s="2" t="str">
        <f aca="false">Dashboard!$C$3&amp;" – Inputs and scenarios"</f>
        <v>Project Bora – Inputs and scenarios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B4" s="1" t="s">
        <v>169</v>
      </c>
      <c r="D4" s="1" t="s">
        <v>170</v>
      </c>
      <c r="F4" s="41" t="str">
        <f aca="false">Scenario_Name</f>
        <v>Base</v>
      </c>
    </row>
    <row r="5" customFormat="false" ht="15" hidden="false" customHeight="false" outlineLevel="0" collapsed="false">
      <c r="B5" s="1" t="s">
        <v>171</v>
      </c>
      <c r="F5" s="42" t="n">
        <f aca="false">MATCH(Scenario_Name,Scenario_Names,0)</f>
        <v>1</v>
      </c>
    </row>
    <row r="7" customFormat="false" ht="15" hidden="false" customHeight="false" outlineLevel="0" collapsed="false">
      <c r="B7" s="8" t="s">
        <v>172</v>
      </c>
      <c r="C7" s="8" t="s">
        <v>8</v>
      </c>
      <c r="D7" s="8" t="s">
        <v>173</v>
      </c>
      <c r="F7" s="9" t="s">
        <v>12</v>
      </c>
      <c r="H7" s="43" t="s">
        <v>30</v>
      </c>
      <c r="I7" s="43" t="s">
        <v>74</v>
      </c>
      <c r="J7" s="43" t="s">
        <v>174</v>
      </c>
      <c r="K7" s="43" t="s">
        <v>175</v>
      </c>
      <c r="L7" s="43" t="s">
        <v>176</v>
      </c>
      <c r="M7" s="43" t="s">
        <v>177</v>
      </c>
      <c r="N7" s="9"/>
      <c r="O7" s="9"/>
    </row>
    <row r="10" customFormat="false" ht="15" hidden="false" customHeight="false" outlineLevel="0" collapsed="false">
      <c r="A10" s="10" t="s">
        <v>13</v>
      </c>
      <c r="B10" s="10"/>
      <c r="C10" s="10" t="s">
        <v>178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customFormat="false" ht="15" hidden="false" customHeight="false" outlineLevel="0" collapsed="false">
      <c r="B11" s="1" t="s">
        <v>179</v>
      </c>
      <c r="C11" s="12" t="s">
        <v>180</v>
      </c>
      <c r="D11" s="14" t="s">
        <v>181</v>
      </c>
      <c r="F11" s="43" t="n">
        <v>1000</v>
      </c>
    </row>
    <row r="12" customFormat="false" ht="15" hidden="false" customHeight="false" outlineLevel="0" collapsed="false">
      <c r="B12" s="1" t="s">
        <v>182</v>
      </c>
      <c r="C12" s="12" t="s">
        <v>180</v>
      </c>
      <c r="D12" s="14" t="s">
        <v>181</v>
      </c>
      <c r="F12" s="43" t="n">
        <v>1000000</v>
      </c>
    </row>
    <row r="13" customFormat="false" ht="15" hidden="false" customHeight="false" outlineLevel="0" collapsed="false">
      <c r="B13" s="1" t="s">
        <v>183</v>
      </c>
      <c r="C13" s="12" t="s">
        <v>184</v>
      </c>
      <c r="D13" s="14" t="s">
        <v>185</v>
      </c>
      <c r="F13" s="43" t="n">
        <v>365</v>
      </c>
    </row>
    <row r="14" customFormat="false" ht="15" hidden="false" customHeight="false" outlineLevel="0" collapsed="false">
      <c r="B14" s="1" t="s">
        <v>186</v>
      </c>
      <c r="C14" s="12" t="s">
        <v>187</v>
      </c>
      <c r="F14" s="43" t="n">
        <v>12</v>
      </c>
    </row>
    <row r="15" customFormat="false" ht="15" hidden="false" customHeight="false" outlineLevel="0" collapsed="false">
      <c r="B15" s="1" t="s">
        <v>188</v>
      </c>
      <c r="C15" s="12" t="s">
        <v>187</v>
      </c>
      <c r="D15" s="14" t="s">
        <v>189</v>
      </c>
      <c r="F15" s="43" t="n">
        <v>3</v>
      </c>
    </row>
    <row r="16" customFormat="false" ht="15" hidden="false" customHeight="false" outlineLevel="0" collapsed="false">
      <c r="B16" s="1" t="s">
        <v>190</v>
      </c>
      <c r="C16" s="12" t="s">
        <v>180</v>
      </c>
      <c r="D16" s="14" t="s">
        <v>191</v>
      </c>
      <c r="F16" s="43" t="n">
        <v>1E-006</v>
      </c>
    </row>
    <row r="18" customFormat="false" ht="15" hidden="false" customHeight="false" outlineLevel="0" collapsed="false">
      <c r="A18" s="10" t="s">
        <v>13</v>
      </c>
      <c r="B18" s="10"/>
      <c r="C18" s="10" t="s">
        <v>192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5" hidden="false" customHeight="false" outlineLevel="0" collapsed="false">
      <c r="B19" s="1" t="s">
        <v>193</v>
      </c>
      <c r="C19" s="12" t="s">
        <v>62</v>
      </c>
      <c r="D19" s="14" t="s">
        <v>194</v>
      </c>
      <c r="F19" s="44" t="n">
        <f aca="false">IF(INDEX($H19:$O19,1,Scenario_Selected)="",$H19,INDEX($H19:$O19,1,Scenario_Selected))</f>
        <v>46204</v>
      </c>
      <c r="H19" s="5" t="n">
        <v>46204</v>
      </c>
      <c r="I19" s="5"/>
      <c r="J19" s="5"/>
      <c r="K19" s="5"/>
      <c r="L19" s="5"/>
      <c r="M19" s="5"/>
    </row>
    <row r="20" customFormat="false" ht="15" hidden="false" customHeight="false" outlineLevel="0" collapsed="false">
      <c r="B20" s="1" t="s">
        <v>195</v>
      </c>
      <c r="C20" s="12" t="s">
        <v>62</v>
      </c>
      <c r="D20" s="14" t="s">
        <v>196</v>
      </c>
      <c r="F20" s="44" t="n">
        <f aca="false">IF(INDEX($H20:$O20,1,Scenario_Selected)="",$H20,INDEX($H20:$O20,1,Scenario_Selected))</f>
        <v>46234</v>
      </c>
      <c r="H20" s="5" t="n">
        <v>46234</v>
      </c>
      <c r="I20" s="5"/>
      <c r="J20" s="5"/>
      <c r="K20" s="5"/>
      <c r="L20" s="5"/>
      <c r="M20" s="5"/>
    </row>
    <row r="21" customFormat="false" ht="15" hidden="false" customHeight="false" outlineLevel="0" collapsed="false">
      <c r="B21" s="1" t="s">
        <v>197</v>
      </c>
      <c r="C21" s="12" t="s">
        <v>62</v>
      </c>
      <c r="D21" s="14" t="s">
        <v>198</v>
      </c>
      <c r="F21" s="44" t="n">
        <f aca="false">IF(INDEX($H21:$O21,1,Scenario_Selected)="",$H21,INDEX($H21:$O21,1,Scenario_Selected))</f>
        <v>46321</v>
      </c>
      <c r="H21" s="5" t="n">
        <v>46321</v>
      </c>
      <c r="I21" s="5"/>
      <c r="J21" s="5"/>
      <c r="K21" s="5"/>
      <c r="L21" s="5"/>
      <c r="M21" s="5"/>
    </row>
    <row r="22" customFormat="false" ht="15" hidden="false" customHeight="false" outlineLevel="0" collapsed="false">
      <c r="B22" s="1" t="s">
        <v>199</v>
      </c>
      <c r="C22" s="12" t="s">
        <v>62</v>
      </c>
      <c r="D22" s="14" t="s">
        <v>200</v>
      </c>
      <c r="F22" s="44" t="n">
        <f aca="false">IF(INDEX($H22:$O22,1,Scenario_Selected)="",$H22,INDEX($H22:$O22,1,Scenario_Selected))</f>
        <v>47118</v>
      </c>
      <c r="H22" s="5" t="n">
        <v>47118</v>
      </c>
      <c r="I22" s="5"/>
      <c r="J22" s="5"/>
      <c r="K22" s="5"/>
      <c r="L22" s="5"/>
      <c r="M22" s="5"/>
    </row>
    <row r="23" customFormat="false" ht="15" hidden="false" customHeight="false" outlineLevel="0" collapsed="false">
      <c r="B23" s="1" t="s">
        <v>201</v>
      </c>
      <c r="C23" s="12" t="s">
        <v>62</v>
      </c>
      <c r="D23" s="14" t="s">
        <v>202</v>
      </c>
      <c r="F23" s="44" t="n">
        <f aca="false">IF(INDEX($H23:$O23,1,Scenario_Selected)="",$H23,INDEX($H23:$O23,1,Scenario_Selected))</f>
        <v>47391</v>
      </c>
      <c r="H23" s="5" t="n">
        <v>47391</v>
      </c>
      <c r="I23" s="5"/>
      <c r="J23" s="5"/>
      <c r="K23" s="5"/>
      <c r="L23" s="5"/>
      <c r="M23" s="5"/>
    </row>
    <row r="24" customFormat="false" ht="15" hidden="false" customHeight="false" outlineLevel="0" collapsed="false">
      <c r="B24" s="1" t="s">
        <v>203</v>
      </c>
      <c r="C24" s="12" t="s">
        <v>62</v>
      </c>
      <c r="D24" s="14" t="s">
        <v>204</v>
      </c>
      <c r="F24" s="44" t="n">
        <f aca="false">IF(INDEX($H24:$O24,1,Scenario_Selected)="",$H24,INDEX($H24:$O24,1,Scenario_Selected))</f>
        <v>48121</v>
      </c>
      <c r="H24" s="5" t="n">
        <v>48121</v>
      </c>
      <c r="I24" s="5"/>
      <c r="J24" s="5"/>
      <c r="K24" s="5"/>
      <c r="L24" s="5"/>
      <c r="M24" s="5"/>
    </row>
    <row r="25" customFormat="false" ht="15" hidden="false" customHeight="false" outlineLevel="0" collapsed="false">
      <c r="B25" s="1" t="s">
        <v>205</v>
      </c>
      <c r="C25" s="12" t="s">
        <v>206</v>
      </c>
      <c r="D25" s="14" t="s">
        <v>207</v>
      </c>
      <c r="F25" s="42" t="n">
        <f aca="false">IF(INDEX($H25:$O25,1,Scenario_Selected)="",$H25,INDEX($H25:$O25,1,Scenario_Selected))</f>
        <v>30</v>
      </c>
      <c r="H25" s="45" t="n">
        <v>30</v>
      </c>
      <c r="I25" s="45"/>
      <c r="J25" s="45"/>
      <c r="K25" s="45"/>
      <c r="L25" s="45"/>
      <c r="M25" s="45"/>
    </row>
    <row r="26" customFormat="false" ht="15" hidden="false" customHeight="false" outlineLevel="0" collapsed="false">
      <c r="B26" s="1" t="s">
        <v>208</v>
      </c>
      <c r="C26" s="12" t="s">
        <v>62</v>
      </c>
      <c r="D26" s="14" t="s">
        <v>209</v>
      </c>
      <c r="F26" s="44" t="n">
        <f aca="false">IF(INDEX($H26:$O26,1,Scenario_Selected)="",$H26,INDEX($H26:$O26,1,Scenario_Selected))</f>
        <v>47299</v>
      </c>
      <c r="H26" s="5" t="n">
        <v>47299</v>
      </c>
      <c r="I26" s="5"/>
      <c r="J26" s="5"/>
      <c r="K26" s="5"/>
      <c r="L26" s="5"/>
      <c r="M26" s="5"/>
    </row>
    <row r="27" customFormat="false" ht="15" hidden="false" customHeight="false" outlineLevel="0" collapsed="false">
      <c r="B27" s="1" t="s">
        <v>210</v>
      </c>
      <c r="C27" s="12" t="s">
        <v>62</v>
      </c>
      <c r="D27" s="14" t="s">
        <v>211</v>
      </c>
      <c r="F27" s="44" t="n">
        <f aca="false">IF(INDEX($H27:$O27,1,Scenario_Selected)="",$H27,INDEX($H27:$O27,1,Scenario_Selected))</f>
        <v>47484</v>
      </c>
      <c r="H27" s="5" t="n">
        <v>47484</v>
      </c>
      <c r="I27" s="5"/>
      <c r="J27" s="5"/>
      <c r="K27" s="5"/>
      <c r="L27" s="5"/>
      <c r="M27" s="5"/>
    </row>
    <row r="28" customFormat="false" ht="15" hidden="false" customHeight="false" outlineLevel="0" collapsed="false">
      <c r="B28" s="1" t="s">
        <v>212</v>
      </c>
      <c r="C28" s="12" t="s">
        <v>41</v>
      </c>
      <c r="D28" s="14" t="s">
        <v>213</v>
      </c>
      <c r="F28" s="46" t="n">
        <f aca="false">IF(INDEX($H28:$O28,1,Scenario_Selected)="",$H28,INDEX($H28:$O28,1,Scenario_Selected))</f>
        <v>1</v>
      </c>
      <c r="H28" s="25" t="n">
        <v>1</v>
      </c>
      <c r="I28" s="25"/>
      <c r="J28" s="25"/>
      <c r="K28" s="25" t="n">
        <v>0</v>
      </c>
      <c r="L28" s="25"/>
      <c r="M28" s="25"/>
    </row>
    <row r="29" customFormat="false" ht="15" hidden="false" customHeight="false" outlineLevel="0" collapsed="false">
      <c r="B29" s="1" t="s">
        <v>214</v>
      </c>
      <c r="C29" s="12" t="s">
        <v>187</v>
      </c>
      <c r="D29" s="14" t="s">
        <v>215</v>
      </c>
      <c r="F29" s="42" t="n">
        <f aca="false">IF(INDEX($H29:$O29,1,Scenario_Selected)="",$H29,INDEX($H29:$O29,1,Scenario_Selected))</f>
        <v>6</v>
      </c>
      <c r="H29" s="45" t="n">
        <v>6</v>
      </c>
      <c r="I29" s="45"/>
      <c r="J29" s="45"/>
      <c r="K29" s="45"/>
      <c r="L29" s="45"/>
      <c r="M29" s="45"/>
    </row>
    <row r="31" customFormat="false" ht="15" hidden="false" customHeight="false" outlineLevel="0" collapsed="false">
      <c r="A31" s="10" t="s">
        <v>13</v>
      </c>
      <c r="B31" s="10"/>
      <c r="C31" s="10" t="s">
        <v>216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customFormat="false" ht="15" hidden="false" customHeight="false" outlineLevel="0" collapsed="false">
      <c r="B32" s="1" t="s">
        <v>217</v>
      </c>
      <c r="C32" s="12" t="s">
        <v>68</v>
      </c>
      <c r="D32" s="14" t="s">
        <v>218</v>
      </c>
      <c r="F32" s="47" t="n">
        <f aca="false">IF(INDEX($H32:$O32,1,Scenario_Selected)="",$H32,INDEX($H32:$O32,1,Scenario_Selected))</f>
        <v>365</v>
      </c>
      <c r="H32" s="13" t="n">
        <v>365</v>
      </c>
      <c r="I32" s="13"/>
      <c r="J32" s="13"/>
      <c r="K32" s="13"/>
      <c r="L32" s="13"/>
      <c r="M32" s="13"/>
    </row>
    <row r="33" customFormat="false" ht="15" hidden="false" customHeight="false" outlineLevel="0" collapsed="false">
      <c r="B33" s="1" t="s">
        <v>219</v>
      </c>
      <c r="C33" s="12" t="s">
        <v>35</v>
      </c>
      <c r="D33" s="14" t="s">
        <v>220</v>
      </c>
      <c r="F33" s="48" t="n">
        <f aca="false">IF(INDEX($H33:$O33,1,Scenario_Selected)="",$H33,INDEX($H33:$O33,1,Scenario_Selected))</f>
        <v>0.09</v>
      </c>
      <c r="H33" s="20" t="n">
        <v>0.09</v>
      </c>
      <c r="I33" s="20"/>
      <c r="J33" s="20"/>
      <c r="K33" s="20"/>
      <c r="L33" s="20"/>
      <c r="M33" s="20"/>
    </row>
    <row r="34" customFormat="false" ht="15" hidden="false" customHeight="false" outlineLevel="0" collapsed="false">
      <c r="B34" s="1" t="s">
        <v>221</v>
      </c>
      <c r="C34" s="12" t="s">
        <v>222</v>
      </c>
      <c r="D34" s="14" t="s">
        <v>223</v>
      </c>
      <c r="F34" s="47" t="n">
        <f aca="false">IF(INDEX($H34:$O34,1,Scenario_Selected)="",$H34,INDEX($H34:$O34,1,Scenario_Selected))</f>
        <v>250</v>
      </c>
      <c r="H34" s="13" t="n">
        <v>250</v>
      </c>
      <c r="I34" s="13"/>
      <c r="J34" s="13"/>
      <c r="K34" s="13"/>
      <c r="L34" s="13"/>
      <c r="M34" s="13"/>
    </row>
    <row r="35" customFormat="false" ht="15" hidden="false" customHeight="false" outlineLevel="0" collapsed="false">
      <c r="B35" s="1" t="s">
        <v>224</v>
      </c>
      <c r="C35" s="12" t="s">
        <v>222</v>
      </c>
      <c r="D35" s="14" t="s">
        <v>225</v>
      </c>
      <c r="F35" s="47" t="n">
        <f aca="false">IF(INDEX($H35:$O35,1,Scenario_Selected)="",$H35,INDEX($H35:$O35,1,Scenario_Selected))</f>
        <v>150</v>
      </c>
      <c r="H35" s="13" t="n">
        <v>150</v>
      </c>
      <c r="I35" s="13"/>
      <c r="J35" s="13"/>
      <c r="K35" s="13"/>
      <c r="L35" s="13"/>
      <c r="M35" s="13"/>
    </row>
    <row r="36" customFormat="false" ht="15" hidden="false" customHeight="false" outlineLevel="0" collapsed="false">
      <c r="B36" s="1" t="s">
        <v>226</v>
      </c>
      <c r="C36" s="12" t="s">
        <v>222</v>
      </c>
      <c r="D36" s="14" t="s">
        <v>227</v>
      </c>
      <c r="F36" s="47" t="n">
        <f aca="false">IF(INDEX($H36:$O36,1,Scenario_Selected)="",$H36,INDEX($H36:$O36,1,Scenario_Selected))</f>
        <v>500</v>
      </c>
      <c r="H36" s="13" t="n">
        <v>500</v>
      </c>
      <c r="I36" s="13"/>
      <c r="J36" s="13"/>
      <c r="K36" s="13"/>
      <c r="L36" s="13"/>
      <c r="M36" s="13"/>
    </row>
    <row r="37" customFormat="false" ht="15" hidden="false" customHeight="false" outlineLevel="0" collapsed="false">
      <c r="B37" s="1" t="s">
        <v>228</v>
      </c>
      <c r="C37" s="12" t="s">
        <v>35</v>
      </c>
      <c r="D37" s="14" t="s">
        <v>229</v>
      </c>
      <c r="F37" s="48" t="n">
        <f aca="false">IF(INDEX($H37:$O37,1,Scenario_Selected)="",$H37,INDEX($H37:$O37,1,Scenario_Selected))</f>
        <v>0.7</v>
      </c>
      <c r="H37" s="20" t="n">
        <v>0.7</v>
      </c>
      <c r="I37" s="20"/>
      <c r="J37" s="20"/>
      <c r="K37" s="20"/>
      <c r="L37" s="20"/>
      <c r="M37" s="20"/>
    </row>
    <row r="38" customFormat="false" ht="15" hidden="false" customHeight="false" outlineLevel="0" collapsed="false">
      <c r="B38" s="1" t="s">
        <v>230</v>
      </c>
      <c r="C38" s="12" t="s">
        <v>27</v>
      </c>
      <c r="D38" s="14" t="s">
        <v>231</v>
      </c>
      <c r="F38" s="49" t="n">
        <f aca="false">IF(INDEX($H38:$O38,1,Scenario_Selected)="",$H38,INDEX($H38:$O38,1,Scenario_Selected))</f>
        <v>2.5</v>
      </c>
      <c r="H38" s="22" t="n">
        <v>2.5</v>
      </c>
      <c r="I38" s="22"/>
      <c r="J38" s="22"/>
      <c r="K38" s="22"/>
      <c r="L38" s="22"/>
      <c r="M38" s="22"/>
    </row>
    <row r="39" customFormat="false" ht="15" hidden="false" customHeight="false" outlineLevel="0" collapsed="false">
      <c r="B39" s="1" t="s">
        <v>232</v>
      </c>
      <c r="C39" s="12" t="s">
        <v>27</v>
      </c>
      <c r="D39" s="14" t="s">
        <v>233</v>
      </c>
      <c r="F39" s="47" t="n">
        <f aca="false">IF(INDEX($H39:$O39,1,Scenario_Selected)="",$H39,INDEX($H39:$O39,1,Scenario_Selected))</f>
        <v>10</v>
      </c>
      <c r="H39" s="13" t="n">
        <v>10</v>
      </c>
      <c r="I39" s="13"/>
      <c r="J39" s="13"/>
      <c r="K39" s="13"/>
      <c r="L39" s="13"/>
      <c r="M39" s="13"/>
    </row>
    <row r="41" customFormat="false" ht="15" hidden="false" customHeight="false" outlineLevel="0" collapsed="false">
      <c r="A41" s="10" t="s">
        <v>13</v>
      </c>
      <c r="B41" s="10"/>
      <c r="C41" s="10" t="s">
        <v>234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customFormat="false" ht="15" hidden="false" customHeight="false" outlineLevel="0" collapsed="false">
      <c r="B42" s="1" t="s">
        <v>235</v>
      </c>
      <c r="C42" s="12" t="s">
        <v>180</v>
      </c>
      <c r="D42" s="14" t="s">
        <v>236</v>
      </c>
      <c r="F42" s="43" t="n">
        <v>2</v>
      </c>
    </row>
    <row r="43" customFormat="false" ht="15" hidden="false" customHeight="false" outlineLevel="0" collapsed="false">
      <c r="B43" s="1" t="s">
        <v>237</v>
      </c>
      <c r="C43" s="12" t="s">
        <v>114</v>
      </c>
      <c r="D43" s="14" t="s">
        <v>238</v>
      </c>
      <c r="F43" s="47" t="n">
        <f aca="false">IF(INDEX($H43:$O43,1,Scenario_Selected)="",$H43,INDEX($H43:$O43,1,Scenario_Selected))</f>
        <v>100</v>
      </c>
      <c r="H43" s="13" t="n">
        <v>100</v>
      </c>
      <c r="I43" s="13"/>
      <c r="J43" s="13"/>
      <c r="K43" s="13"/>
      <c r="L43" s="13"/>
      <c r="M43" s="13"/>
    </row>
    <row r="44" customFormat="false" ht="15" hidden="false" customHeight="false" outlineLevel="0" collapsed="false">
      <c r="B44" s="1" t="s">
        <v>239</v>
      </c>
      <c r="C44" s="12" t="s">
        <v>114</v>
      </c>
      <c r="D44" s="14" t="s">
        <v>240</v>
      </c>
      <c r="F44" s="47" t="n">
        <f aca="false">IF(INDEX($H44:$O44,1,Scenario_Selected)="",$H44,INDEX($H44:$O44,1,Scenario_Selected))</f>
        <v>100</v>
      </c>
      <c r="H44" s="13" t="n">
        <v>100</v>
      </c>
      <c r="I44" s="13"/>
      <c r="J44" s="13"/>
      <c r="K44" s="13"/>
      <c r="L44" s="13"/>
      <c r="M44" s="13"/>
    </row>
    <row r="45" customFormat="false" ht="15" hidden="false" customHeight="false" outlineLevel="0" collapsed="false">
      <c r="B45" s="1" t="s">
        <v>241</v>
      </c>
      <c r="C45" s="12" t="s">
        <v>35</v>
      </c>
      <c r="D45" s="14" t="s">
        <v>242</v>
      </c>
      <c r="F45" s="48" t="n">
        <f aca="false">IF(INDEX($H45:$O45,1,Scenario_Selected)="",$H45,INDEX($H45:$O45,1,Scenario_Selected))</f>
        <v>0.1</v>
      </c>
      <c r="H45" s="20" t="n">
        <v>0.1</v>
      </c>
      <c r="I45" s="20"/>
      <c r="J45" s="20"/>
      <c r="K45" s="20"/>
      <c r="L45" s="20"/>
      <c r="M45" s="20"/>
    </row>
    <row r="46" customFormat="false" ht="15" hidden="false" customHeight="false" outlineLevel="0" collapsed="false">
      <c r="B46" s="1" t="s">
        <v>243</v>
      </c>
      <c r="C46" s="12" t="s">
        <v>43</v>
      </c>
      <c r="D46" s="14" t="s">
        <v>244</v>
      </c>
      <c r="F46" s="49" t="n">
        <f aca="false">IF(INDEX($H46:$O46,1,Scenario_Selected)="",$H46,INDEX($H46:$O46,1,Scenario_Selected))</f>
        <v>4</v>
      </c>
      <c r="H46" s="22" t="n">
        <v>4</v>
      </c>
      <c r="I46" s="22"/>
      <c r="J46" s="22"/>
      <c r="K46" s="22"/>
      <c r="L46" s="22"/>
      <c r="M46" s="22"/>
    </row>
    <row r="47" customFormat="false" ht="15" hidden="false" customHeight="false" outlineLevel="0" collapsed="false">
      <c r="B47" s="1" t="s">
        <v>245</v>
      </c>
      <c r="C47" s="12" t="s">
        <v>41</v>
      </c>
      <c r="D47" s="14" t="s">
        <v>246</v>
      </c>
      <c r="F47" s="46" t="n">
        <f aca="false">IF(INDEX($H47:$O47,1,Scenario_Selected)="",$H47,INDEX($H47:$O47,1,Scenario_Selected))</f>
        <v>0</v>
      </c>
      <c r="H47" s="25" t="n">
        <v>0</v>
      </c>
      <c r="I47" s="25"/>
      <c r="J47" s="25"/>
      <c r="K47" s="25"/>
      <c r="L47" s="25"/>
      <c r="M47" s="25" t="n">
        <v>1</v>
      </c>
    </row>
    <row r="49" customFormat="false" ht="15" hidden="false" customHeight="false" outlineLevel="0" collapsed="false">
      <c r="A49" s="10" t="s">
        <v>13</v>
      </c>
      <c r="B49" s="10"/>
      <c r="C49" s="10" t="s">
        <v>247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customFormat="false" ht="15" hidden="false" customHeight="false" outlineLevel="0" collapsed="false">
      <c r="B50" s="1" t="s">
        <v>248</v>
      </c>
      <c r="C50" s="12" t="s">
        <v>249</v>
      </c>
      <c r="D50" s="14" t="s">
        <v>250</v>
      </c>
      <c r="F50" s="47" t="n">
        <f aca="false">IF(INDEX($H50:$O50,1,Scenario_Selected)="",$H50,INDEX($H50:$O50,1,Scenario_Selected))</f>
        <v>406</v>
      </c>
      <c r="H50" s="13" t="n">
        <v>406</v>
      </c>
      <c r="I50" s="13"/>
      <c r="J50" s="13"/>
      <c r="K50" s="13"/>
      <c r="L50" s="13"/>
      <c r="M50" s="13"/>
    </row>
    <row r="51" customFormat="false" ht="15" hidden="false" customHeight="false" outlineLevel="0" collapsed="false">
      <c r="B51" s="1" t="s">
        <v>251</v>
      </c>
      <c r="C51" s="12" t="s">
        <v>252</v>
      </c>
      <c r="D51" s="14" t="s">
        <v>250</v>
      </c>
      <c r="F51" s="47" t="n">
        <f aca="false">IF(INDEX($H51:$O51,1,Scenario_Selected)="",$H51,INDEX($H51:$O51,1,Scenario_Selected))</f>
        <v>200</v>
      </c>
      <c r="H51" s="13" t="n">
        <v>200</v>
      </c>
      <c r="I51" s="13"/>
      <c r="J51" s="13"/>
      <c r="K51" s="13"/>
      <c r="L51" s="13"/>
      <c r="M51" s="13"/>
    </row>
    <row r="52" customFormat="false" ht="15" hidden="false" customHeight="false" outlineLevel="0" collapsed="false">
      <c r="B52" s="1" t="s">
        <v>253</v>
      </c>
      <c r="C52" s="12" t="s">
        <v>62</v>
      </c>
      <c r="D52" s="14" t="s">
        <v>254</v>
      </c>
      <c r="F52" s="44" t="n">
        <f aca="false">IF(INDEX($H52:$O52,1,Scenario_Selected)="",$H52,INDEX($H52:$O52,1,Scenario_Selected))</f>
        <v>46325</v>
      </c>
      <c r="H52" s="5" t="n">
        <v>46325</v>
      </c>
      <c r="I52" s="5"/>
      <c r="J52" s="5"/>
      <c r="K52" s="5"/>
      <c r="L52" s="5"/>
      <c r="M52" s="5"/>
    </row>
    <row r="53" customFormat="false" ht="15" hidden="false" customHeight="false" outlineLevel="0" collapsed="false">
      <c r="B53" s="1" t="s">
        <v>255</v>
      </c>
      <c r="C53" s="12" t="s">
        <v>256</v>
      </c>
      <c r="D53" s="14" t="s">
        <v>257</v>
      </c>
      <c r="F53" s="49" t="n">
        <f aca="false">IF(INDEX($H53:$O53,1,Scenario_Selected)="",$H53,INDEX($H53:$O53,1,Scenario_Selected))</f>
        <v>3</v>
      </c>
      <c r="H53" s="22" t="n">
        <v>3</v>
      </c>
      <c r="I53" s="22"/>
      <c r="J53" s="22"/>
      <c r="K53" s="22"/>
      <c r="L53" s="22"/>
      <c r="M53" s="22"/>
    </row>
    <row r="54" customFormat="false" ht="15" hidden="false" customHeight="false" outlineLevel="0" collapsed="false">
      <c r="B54" s="1" t="s">
        <v>258</v>
      </c>
      <c r="C54" s="12" t="s">
        <v>35</v>
      </c>
      <c r="D54" s="14" t="s">
        <v>259</v>
      </c>
      <c r="F54" s="50" t="n">
        <f aca="false">IF(INDEX($H54:$O54,1,Scenario_Selected)="",$H54,INDEX($H54:$O54,1,Scenario_Selected))</f>
        <v>0.005</v>
      </c>
      <c r="H54" s="51" t="n">
        <v>0.005</v>
      </c>
      <c r="I54" s="51"/>
      <c r="J54" s="51"/>
      <c r="K54" s="51"/>
      <c r="L54" s="51"/>
      <c r="M54" s="51"/>
    </row>
    <row r="55" customFormat="false" ht="15" hidden="false" customHeight="false" outlineLevel="0" collapsed="false">
      <c r="B55" s="1" t="s">
        <v>260</v>
      </c>
      <c r="C55" s="12" t="s">
        <v>62</v>
      </c>
      <c r="D55" s="14" t="s">
        <v>261</v>
      </c>
      <c r="F55" s="44" t="n">
        <f aca="false">IF(INDEX($H55:$O55,1,Scenario_Selected)="",$H55,INDEX($H55:$O55,1,Scenario_Selected))</f>
        <v>46369</v>
      </c>
      <c r="H55" s="5" t="n">
        <v>46369</v>
      </c>
      <c r="I55" s="5"/>
      <c r="J55" s="5"/>
      <c r="K55" s="5"/>
      <c r="L55" s="5"/>
      <c r="M55" s="5"/>
    </row>
    <row r="56" customFormat="false" ht="15" hidden="false" customHeight="false" outlineLevel="0" collapsed="false">
      <c r="B56" s="1" t="s">
        <v>262</v>
      </c>
      <c r="C56" s="12" t="s">
        <v>184</v>
      </c>
      <c r="D56" s="14" t="s">
        <v>263</v>
      </c>
      <c r="F56" s="42" t="n">
        <f aca="false">IF(INDEX($H56:$O56,1,Scenario_Selected)="",$H56,INDEX($H56:$O56,1,Scenario_Selected))</f>
        <v>15</v>
      </c>
      <c r="H56" s="45" t="n">
        <v>15</v>
      </c>
      <c r="I56" s="45"/>
      <c r="J56" s="45"/>
      <c r="K56" s="45"/>
      <c r="L56" s="45"/>
      <c r="M56" s="45"/>
    </row>
    <row r="57" customFormat="false" ht="15" hidden="false" customHeight="false" outlineLevel="0" collapsed="false">
      <c r="B57" s="1" t="s">
        <v>264</v>
      </c>
      <c r="C57" s="12" t="s">
        <v>35</v>
      </c>
      <c r="D57" s="14" t="s">
        <v>265</v>
      </c>
      <c r="F57" s="50" t="n">
        <f aca="false">IF(INDEX($H57:$O57,1,Scenario_Selected)="",$H57,INDEX($H57:$O57,1,Scenario_Selected))</f>
        <v>0.025</v>
      </c>
      <c r="H57" s="51" t="n">
        <v>0.025</v>
      </c>
      <c r="I57" s="51"/>
      <c r="J57" s="51"/>
      <c r="K57" s="51"/>
      <c r="L57" s="51"/>
      <c r="M57" s="51"/>
    </row>
    <row r="58" customFormat="false" ht="15" hidden="false" customHeight="false" outlineLevel="0" collapsed="false">
      <c r="B58" s="1" t="s">
        <v>266</v>
      </c>
      <c r="C58" s="12" t="s">
        <v>62</v>
      </c>
      <c r="D58" s="14" t="s">
        <v>267</v>
      </c>
      <c r="F58" s="44" t="n">
        <f aca="false">IF(INDEX($H58:$O58,1,Scenario_Selected)="",$H58,INDEX($H58:$O58,1,Scenario_Selected))</f>
        <v>46386</v>
      </c>
      <c r="H58" s="5" t="n">
        <v>46386</v>
      </c>
      <c r="I58" s="5"/>
      <c r="J58" s="5"/>
      <c r="K58" s="5"/>
      <c r="L58" s="5"/>
      <c r="M58" s="5"/>
    </row>
    <row r="59" customFormat="false" ht="15" hidden="false" customHeight="false" outlineLevel="0" collapsed="false">
      <c r="B59" s="1" t="s">
        <v>268</v>
      </c>
      <c r="C59" s="12" t="s">
        <v>269</v>
      </c>
      <c r="D59" s="14" t="s">
        <v>270</v>
      </c>
      <c r="F59" s="49" t="n">
        <f aca="false">IF(INDEX($H59:$O59,1,Scenario_Selected)="",$H59,INDEX($H59:$O59,1,Scenario_Selected))</f>
        <v>4.5</v>
      </c>
      <c r="H59" s="22" t="n">
        <v>4.5</v>
      </c>
      <c r="I59" s="22"/>
      <c r="J59" s="22"/>
      <c r="K59" s="22"/>
      <c r="L59" s="22"/>
      <c r="M59" s="22"/>
    </row>
    <row r="60" customFormat="false" ht="15" hidden="false" customHeight="false" outlineLevel="0" collapsed="false">
      <c r="B60" s="1" t="s">
        <v>271</v>
      </c>
      <c r="C60" s="12" t="s">
        <v>62</v>
      </c>
      <c r="D60" s="14" t="s">
        <v>272</v>
      </c>
      <c r="F60" s="44" t="n">
        <f aca="false">IF(INDEX($H60:$O60,1,Scenario_Selected)="",$H60,INDEX($H60:$O60,1,Scenario_Selected))</f>
        <v>47126</v>
      </c>
      <c r="H60" s="5" t="n">
        <v>47126</v>
      </c>
      <c r="I60" s="5"/>
      <c r="J60" s="5"/>
      <c r="K60" s="5"/>
      <c r="L60" s="5"/>
      <c r="M60" s="5"/>
    </row>
    <row r="61" customFormat="false" ht="15" hidden="false" customHeight="false" outlineLevel="0" collapsed="false">
      <c r="B61" s="1" t="s">
        <v>273</v>
      </c>
      <c r="C61" s="12" t="s">
        <v>256</v>
      </c>
      <c r="D61" s="14" t="s">
        <v>274</v>
      </c>
      <c r="F61" s="29" t="n">
        <f aca="false">IF(INDEX($H61:$O61,1,Scenario_Selected)="",$H61,INDEX($H61:$O61,1,Scenario_Selected))</f>
        <v>508.345804</v>
      </c>
      <c r="H61" s="19" t="n">
        <v>508.345804</v>
      </c>
      <c r="I61" s="19"/>
      <c r="J61" s="19"/>
      <c r="K61" s="19"/>
      <c r="L61" s="19"/>
      <c r="M61" s="19"/>
    </row>
    <row r="62" customFormat="false" ht="15" hidden="false" customHeight="false" outlineLevel="0" collapsed="false">
      <c r="B62" s="1" t="s">
        <v>275</v>
      </c>
      <c r="C62" s="12" t="s">
        <v>269</v>
      </c>
      <c r="D62" s="14" t="s">
        <v>276</v>
      </c>
      <c r="F62" s="29" t="n">
        <f aca="false">IF(INDEX($H62:$O62,1,Scenario_Selected)="",$H62,INDEX($H62:$O62,1,Scenario_Selected))</f>
        <v>73.071306</v>
      </c>
      <c r="H62" s="19" t="n">
        <v>73.071306</v>
      </c>
      <c r="I62" s="19"/>
      <c r="J62" s="19"/>
      <c r="K62" s="19"/>
      <c r="L62" s="19"/>
      <c r="M62" s="19"/>
    </row>
    <row r="63" customFormat="false" ht="15" hidden="false" customHeight="false" outlineLevel="0" collapsed="false">
      <c r="B63" s="1" t="s">
        <v>277</v>
      </c>
      <c r="C63" s="12" t="s">
        <v>62</v>
      </c>
      <c r="D63" s="14" t="s">
        <v>278</v>
      </c>
      <c r="F63" s="44" t="n">
        <f aca="false">IF(INDEX($H63:$O63,1,Scenario_Selected)="",$H63,INDEX($H63:$O63,1,Scenario_Selected))</f>
        <v>48669</v>
      </c>
      <c r="H63" s="5" t="n">
        <v>48669</v>
      </c>
      <c r="I63" s="5"/>
      <c r="J63" s="5"/>
      <c r="K63" s="5"/>
      <c r="L63" s="5"/>
      <c r="M63" s="5"/>
    </row>
    <row r="64" customFormat="false" ht="15" hidden="false" customHeight="false" outlineLevel="0" collapsed="false">
      <c r="B64" s="1" t="s">
        <v>279</v>
      </c>
      <c r="C64" s="12" t="s">
        <v>35</v>
      </c>
      <c r="D64" s="14" t="s">
        <v>280</v>
      </c>
      <c r="F64" s="48" t="n">
        <f aca="false">IF(INDEX($H64:$O64,1,Scenario_Selected)="",$H64,INDEX($H64:$O64,1,Scenario_Selected))</f>
        <v>0.06</v>
      </c>
      <c r="H64" s="20" t="n">
        <v>0.06</v>
      </c>
      <c r="I64" s="20"/>
      <c r="J64" s="20"/>
      <c r="K64" s="20"/>
      <c r="L64" s="20"/>
      <c r="M64" s="20"/>
    </row>
    <row r="66" customFormat="false" ht="15" hidden="false" customHeight="false" outlineLevel="0" collapsed="false">
      <c r="A66" s="10" t="s">
        <v>13</v>
      </c>
      <c r="B66" s="10"/>
      <c r="C66" s="10" t="s">
        <v>281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customFormat="false" ht="15" hidden="false" customHeight="false" outlineLevel="0" collapsed="false">
      <c r="B67" s="1" t="s">
        <v>282</v>
      </c>
      <c r="C67" s="12" t="s">
        <v>35</v>
      </c>
      <c r="D67" s="14" t="s">
        <v>283</v>
      </c>
      <c r="F67" s="48" t="n">
        <f aca="false">IF(INDEX($H67:$O67,1,Scenario_Selected)="",$H67,INDEX($H67:$O67,1,Scenario_Selected))</f>
        <v>0.12</v>
      </c>
      <c r="H67" s="20" t="n">
        <v>0.12</v>
      </c>
      <c r="I67" s="20"/>
      <c r="J67" s="20"/>
      <c r="K67" s="20"/>
      <c r="L67" s="20"/>
      <c r="M67" s="20"/>
    </row>
    <row r="68" customFormat="false" ht="15" hidden="false" customHeight="false" outlineLevel="0" collapsed="false">
      <c r="B68" s="1" t="s">
        <v>284</v>
      </c>
      <c r="C68" s="12" t="s">
        <v>35</v>
      </c>
      <c r="D68" s="14" t="s">
        <v>285</v>
      </c>
      <c r="F68" s="48" t="n">
        <f aca="false">IF(INDEX($H68:$O68,1,Scenario_Selected)="",$H68,INDEX($H68:$O68,1,Scenario_Selected))</f>
        <v>0.06</v>
      </c>
      <c r="H68" s="20" t="n">
        <v>0.06</v>
      </c>
      <c r="I68" s="20"/>
      <c r="J68" s="20"/>
      <c r="K68" s="20"/>
      <c r="L68" s="20"/>
      <c r="M68" s="20"/>
    </row>
    <row r="69" customFormat="false" ht="15" hidden="false" customHeight="false" outlineLevel="0" collapsed="false">
      <c r="B69" s="1" t="s">
        <v>286</v>
      </c>
      <c r="C69" s="12" t="s">
        <v>35</v>
      </c>
      <c r="D69" s="14" t="s">
        <v>287</v>
      </c>
      <c r="F69" s="48" t="n">
        <f aca="false">IF(INDEX($H69:$O69,1,Scenario_Selected)="",$H69,INDEX($H69:$O69,1,Scenario_Selected))</f>
        <v>0.2</v>
      </c>
      <c r="H69" s="20" t="n">
        <v>0.2</v>
      </c>
      <c r="I69" s="20"/>
      <c r="J69" s="20"/>
      <c r="K69" s="20"/>
      <c r="L69" s="20"/>
      <c r="M69" s="20"/>
    </row>
    <row r="70" customFormat="false" ht="15" hidden="false" customHeight="false" outlineLevel="0" collapsed="false">
      <c r="B70" s="1" t="s">
        <v>288</v>
      </c>
      <c r="C70" s="12" t="s">
        <v>13</v>
      </c>
      <c r="D70" s="14" t="s">
        <v>289</v>
      </c>
      <c r="F70" s="52" t="n">
        <f aca="false">IF(INDEX($H70:$O70,1,Scenario_Selected)="",$H70,INDEX($H70:$O70,1,Scenario_Selected))</f>
        <v>2</v>
      </c>
      <c r="H70" s="24" t="n">
        <v>2</v>
      </c>
      <c r="I70" s="24"/>
      <c r="J70" s="24"/>
      <c r="K70" s="24"/>
      <c r="L70" s="24"/>
      <c r="M70" s="24"/>
    </row>
    <row r="71" customFormat="false" ht="15" hidden="false" customHeight="false" outlineLevel="0" collapsed="false">
      <c r="B71" s="1" t="s">
        <v>290</v>
      </c>
      <c r="C71" s="12" t="s">
        <v>35</v>
      </c>
      <c r="D71" s="14" t="s">
        <v>291</v>
      </c>
      <c r="F71" s="48" t="n">
        <f aca="false">IF(INDEX($H71:$O71,1,Scenario_Selected)="",$H71,INDEX($H71:$O71,1,Scenario_Selected))</f>
        <v>0.1</v>
      </c>
      <c r="H71" s="20" t="n">
        <v>0.1</v>
      </c>
      <c r="I71" s="20"/>
      <c r="J71" s="20"/>
      <c r="K71" s="20"/>
      <c r="L71" s="20"/>
      <c r="M71" s="20"/>
    </row>
    <row r="73" customFormat="false" ht="15" hidden="false" customHeight="false" outlineLevel="0" collapsed="false">
      <c r="A73" s="10" t="s">
        <v>13</v>
      </c>
      <c r="B73" s="10"/>
      <c r="C73" s="10" t="s">
        <v>292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customFormat="false" ht="15" hidden="false" customHeight="false" outlineLevel="0" collapsed="false">
      <c r="B74" s="1" t="s">
        <v>293</v>
      </c>
      <c r="C74" s="12" t="s">
        <v>46</v>
      </c>
      <c r="D74" s="14" t="s">
        <v>294</v>
      </c>
      <c r="F74" s="47" t="n">
        <f aca="false">IF(INDEX($H74:$O74,1,Scenario_Selected)="",$H74,INDEX($H74:$O74,1,Scenario_Selected))</f>
        <v>150</v>
      </c>
      <c r="H74" s="13" t="n">
        <v>150</v>
      </c>
      <c r="I74" s="13"/>
      <c r="J74" s="13"/>
      <c r="K74" s="13"/>
      <c r="L74" s="13" t="n">
        <v>100</v>
      </c>
      <c r="M74" s="13"/>
    </row>
    <row r="75" customFormat="false" ht="15" hidden="false" customHeight="false" outlineLevel="0" collapsed="false">
      <c r="B75" s="1" t="s">
        <v>295</v>
      </c>
      <c r="C75" s="12" t="s">
        <v>35</v>
      </c>
      <c r="D75" s="14" t="s">
        <v>296</v>
      </c>
      <c r="F75" s="48" t="n">
        <f aca="false">IF(INDEX($H75:$O75,1,Scenario_Selected)="",$H75,INDEX($H75:$O75,1,Scenario_Selected))</f>
        <v>0.08</v>
      </c>
      <c r="H75" s="20" t="n">
        <v>0.08</v>
      </c>
      <c r="I75" s="20"/>
      <c r="J75" s="20"/>
      <c r="K75" s="20"/>
      <c r="L75" s="20"/>
      <c r="M75" s="20"/>
    </row>
    <row r="76" customFormat="false" ht="15" hidden="false" customHeight="false" outlineLevel="0" collapsed="false">
      <c r="B76" s="1" t="s">
        <v>297</v>
      </c>
      <c r="C76" s="12" t="s">
        <v>27</v>
      </c>
      <c r="D76" s="14" t="s">
        <v>298</v>
      </c>
      <c r="F76" s="47" t="n">
        <f aca="false">IF(INDEX($H76:$O76,1,Scenario_Selected)="",$H76,INDEX($H76:$O76,1,Scenario_Selected))</f>
        <v>2450</v>
      </c>
      <c r="H76" s="13" t="n">
        <v>2450</v>
      </c>
      <c r="I76" s="13"/>
      <c r="J76" s="13"/>
      <c r="K76" s="13"/>
      <c r="L76" s="13"/>
      <c r="M76" s="13"/>
    </row>
    <row r="77" customFormat="false" ht="15" hidden="false" customHeight="false" outlineLevel="0" collapsed="false">
      <c r="B77" s="1" t="s">
        <v>299</v>
      </c>
      <c r="C77" s="12" t="s">
        <v>27</v>
      </c>
      <c r="D77" s="14" t="s">
        <v>300</v>
      </c>
      <c r="F77" s="47" t="n">
        <f aca="false">IF(INDEX($H77:$O77,1,Scenario_Selected)="",$H77,INDEX($H77:$O77,1,Scenario_Selected))</f>
        <v>2100</v>
      </c>
      <c r="H77" s="13" t="n">
        <v>2100</v>
      </c>
      <c r="I77" s="13"/>
      <c r="J77" s="13"/>
      <c r="K77" s="13"/>
      <c r="L77" s="13"/>
      <c r="M77" s="13"/>
    </row>
    <row r="78" customFormat="false" ht="15" hidden="false" customHeight="false" outlineLevel="0" collapsed="false">
      <c r="B78" s="1" t="s">
        <v>301</v>
      </c>
      <c r="C78" s="12" t="s">
        <v>32</v>
      </c>
      <c r="D78" s="14" t="s">
        <v>302</v>
      </c>
      <c r="F78" s="29" t="n">
        <f aca="false">IF(INDEX($H78:$O78,1,Scenario_Selected)="",$H78,INDEX($H78:$O78,1,Scenario_Selected))</f>
        <v>2</v>
      </c>
      <c r="H78" s="19" t="n">
        <v>2</v>
      </c>
      <c r="I78" s="19"/>
      <c r="J78" s="19"/>
      <c r="K78" s="19"/>
      <c r="L78" s="19"/>
      <c r="M78" s="19"/>
    </row>
    <row r="79" customFormat="false" ht="15" hidden="false" customHeight="false" outlineLevel="0" collapsed="false">
      <c r="B79" s="1" t="s">
        <v>303</v>
      </c>
      <c r="C79" s="12" t="s">
        <v>35</v>
      </c>
      <c r="D79" s="14" t="s">
        <v>304</v>
      </c>
      <c r="F79" s="48" t="n">
        <f aca="false">IF(INDEX($H79:$O79,1,Scenario_Selected)="",$H79,INDEX($H79:$O79,1,Scenario_Selected))</f>
        <v>1</v>
      </c>
      <c r="H79" s="20" t="n">
        <v>1</v>
      </c>
      <c r="I79" s="20"/>
      <c r="J79" s="20"/>
      <c r="K79" s="20"/>
      <c r="L79" s="20"/>
      <c r="M79" s="20"/>
    </row>
    <row r="80" customFormat="false" ht="15" hidden="false" customHeight="false" outlineLevel="0" collapsed="false">
      <c r="B80" s="1" t="s">
        <v>305</v>
      </c>
      <c r="C80" s="12" t="s">
        <v>35</v>
      </c>
      <c r="D80" s="14" t="s">
        <v>306</v>
      </c>
      <c r="F80" s="48" t="n">
        <f aca="false">IF(INDEX($H80:$O80,1,Scenario_Selected)="",$H80,INDEX($H80:$O80,1,Scenario_Selected))</f>
        <v>0.08</v>
      </c>
      <c r="H80" s="20" t="n">
        <v>0.08</v>
      </c>
      <c r="I80" s="20"/>
      <c r="J80" s="20"/>
      <c r="K80" s="20"/>
      <c r="L80" s="20"/>
      <c r="M80" s="20"/>
    </row>
    <row r="82" customFormat="false" ht="15" hidden="false" customHeight="false" outlineLevel="0" collapsed="false">
      <c r="A82" s="10" t="s">
        <v>13</v>
      </c>
      <c r="B82" s="10"/>
      <c r="C82" s="10" t="s">
        <v>307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customFormat="false" ht="15" hidden="false" customHeight="false" outlineLevel="0" collapsed="false">
      <c r="B83" s="1" t="s">
        <v>308</v>
      </c>
      <c r="C83" s="12" t="s">
        <v>41</v>
      </c>
      <c r="D83" s="14" t="s">
        <v>309</v>
      </c>
      <c r="F83" s="46" t="n">
        <f aca="false">IF(INDEX($H83:$O83,1,Scenario_Selected)="",$H83,INDEX($H83:$O83,1,Scenario_Selected))</f>
        <v>0</v>
      </c>
      <c r="H83" s="25" t="n">
        <v>0</v>
      </c>
      <c r="I83" s="25" t="n">
        <v>1</v>
      </c>
      <c r="J83" s="25"/>
      <c r="K83" s="25"/>
      <c r="L83" s="25"/>
      <c r="M83" s="25"/>
    </row>
    <row r="84" customFormat="false" ht="15" hidden="false" customHeight="false" outlineLevel="0" collapsed="false">
      <c r="B84" s="1" t="s">
        <v>310</v>
      </c>
      <c r="C84" s="12" t="s">
        <v>41</v>
      </c>
      <c r="D84" s="14" t="s">
        <v>311</v>
      </c>
      <c r="F84" s="46" t="n">
        <f aca="false">IF(INDEX($H84:$O84,1,Scenario_Selected)="",$H84,INDEX($H84:$O84,1,Scenario_Selected))</f>
        <v>1</v>
      </c>
      <c r="H84" s="25" t="n">
        <v>1</v>
      </c>
      <c r="I84" s="25"/>
      <c r="J84" s="25"/>
      <c r="K84" s="25"/>
      <c r="L84" s="25"/>
      <c r="M84" s="25"/>
    </row>
    <row r="85" customFormat="false" ht="15" hidden="false" customHeight="false" outlineLevel="0" collapsed="false">
      <c r="B85" s="1" t="s">
        <v>312</v>
      </c>
      <c r="C85" s="12" t="s">
        <v>41</v>
      </c>
      <c r="D85" s="14" t="s">
        <v>313</v>
      </c>
      <c r="F85" s="46" t="n">
        <f aca="false">IF(INDEX($H85:$O85,1,Scenario_Selected)="",$H85,INDEX($H85:$O85,1,Scenario_Selected))</f>
        <v>1</v>
      </c>
      <c r="H85" s="25" t="n">
        <v>1</v>
      </c>
      <c r="I85" s="25"/>
      <c r="J85" s="25" t="n">
        <v>2</v>
      </c>
      <c r="K85" s="25"/>
      <c r="L85" s="25"/>
      <c r="M85" s="25"/>
    </row>
    <row r="86" customFormat="false" ht="15" hidden="false" customHeight="false" outlineLevel="0" collapsed="false">
      <c r="B86" s="1" t="s">
        <v>314</v>
      </c>
      <c r="C86" s="12" t="s">
        <v>35</v>
      </c>
      <c r="D86" s="14" t="s">
        <v>315</v>
      </c>
      <c r="F86" s="48" t="n">
        <f aca="false">IF(INDEX($H86:$O86,1,Scenario_Selected)="",$H86,INDEX($H86:$O86,1,Scenario_Selected))</f>
        <v>0.05</v>
      </c>
      <c r="H86" s="20" t="n">
        <v>0.05</v>
      </c>
      <c r="I86" s="20"/>
      <c r="J86" s="20"/>
      <c r="K86" s="20"/>
      <c r="L86" s="20"/>
      <c r="M86" s="20"/>
    </row>
    <row r="88" customFormat="false" ht="15" hidden="false" customHeight="false" outlineLevel="0" collapsed="false">
      <c r="A88" s="10" t="s">
        <v>13</v>
      </c>
      <c r="B88" s="10"/>
      <c r="C88" s="10" t="s">
        <v>316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customFormat="false" ht="15" hidden="false" customHeight="false" outlineLevel="0" collapsed="false">
      <c r="B89" s="1" t="s">
        <v>40</v>
      </c>
      <c r="C89" s="12" t="s">
        <v>41</v>
      </c>
      <c r="D89" s="14" t="s">
        <v>317</v>
      </c>
      <c r="F89" s="46" t="n">
        <f aca="false">IF(INDEX($H89:$O89,1,Scenario_Selected)="",$H89,INDEX($H89:$O89,1,Scenario_Selected))</f>
        <v>0</v>
      </c>
      <c r="H89" s="25" t="n">
        <v>0</v>
      </c>
      <c r="I89" s="25"/>
      <c r="J89" s="25"/>
      <c r="K89" s="25"/>
      <c r="L89" s="25"/>
      <c r="M89" s="25"/>
    </row>
    <row r="90" customFormat="false" ht="15" hidden="false" customHeight="false" outlineLevel="0" collapsed="false">
      <c r="B90" s="1" t="s">
        <v>318</v>
      </c>
      <c r="C90" s="12" t="s">
        <v>27</v>
      </c>
      <c r="D90" s="14" t="s">
        <v>317</v>
      </c>
      <c r="F90" s="47" t="n">
        <f aca="false">IF(INDEX($H90:$O90,1,Scenario_Selected)="",$H90,INDEX($H90:$O90,1,Scenario_Selected))</f>
        <v>600</v>
      </c>
      <c r="H90" s="13" t="n">
        <v>600</v>
      </c>
      <c r="I90" s="13"/>
      <c r="J90" s="13"/>
      <c r="K90" s="13"/>
      <c r="L90" s="13"/>
      <c r="M90" s="13"/>
    </row>
    <row r="91" customFormat="false" ht="15" hidden="false" customHeight="false" outlineLevel="0" collapsed="false">
      <c r="B91" s="1" t="s">
        <v>319</v>
      </c>
      <c r="C91" s="12" t="s">
        <v>27</v>
      </c>
      <c r="D91" s="14" t="s">
        <v>320</v>
      </c>
      <c r="F91" s="47" t="n">
        <f aca="false">IF(INDEX($H91:$O91,1,Scenario_Selected)="",$H91,INDEX($H91:$O91,1,Scenario_Selected))</f>
        <v>500</v>
      </c>
      <c r="H91" s="13" t="n">
        <v>500</v>
      </c>
      <c r="I91" s="13"/>
      <c r="J91" s="13"/>
      <c r="K91" s="13"/>
      <c r="L91" s="13"/>
      <c r="M91" s="13"/>
    </row>
    <row r="92" customFormat="false" ht="15" hidden="false" customHeight="false" outlineLevel="0" collapsed="false">
      <c r="B92" s="1" t="s">
        <v>321</v>
      </c>
      <c r="C92" s="12" t="s">
        <v>27</v>
      </c>
      <c r="D92" s="14" t="s">
        <v>322</v>
      </c>
      <c r="F92" s="47" t="n">
        <f aca="false">IF(INDEX($H92:$O92,1,Scenario_Selected)="",$H92,INDEX($H92:$O92,1,Scenario_Selected))</f>
        <v>355</v>
      </c>
      <c r="H92" s="13" t="n">
        <v>355</v>
      </c>
      <c r="I92" s="13"/>
      <c r="J92" s="13"/>
      <c r="K92" s="13"/>
      <c r="L92" s="13"/>
      <c r="M92" s="13"/>
    </row>
    <row r="93" customFormat="false" ht="15" hidden="false" customHeight="false" outlineLevel="0" collapsed="false">
      <c r="B93" s="1" t="s">
        <v>323</v>
      </c>
      <c r="C93" s="12" t="s">
        <v>222</v>
      </c>
      <c r="D93" s="14" t="s">
        <v>324</v>
      </c>
      <c r="F93" s="47" t="n">
        <f aca="false">IF(INDEX($H93:$O93,1,Scenario_Selected)="",$H93,INDEX($H93:$O93,1,Scenario_Selected))</f>
        <v>12000</v>
      </c>
      <c r="H93" s="13" t="n">
        <v>12000</v>
      </c>
      <c r="I93" s="13"/>
      <c r="J93" s="13"/>
      <c r="K93" s="13"/>
      <c r="L93" s="13"/>
      <c r="M93" s="13"/>
    </row>
    <row r="94" customFormat="false" ht="15" hidden="false" customHeight="false" outlineLevel="0" collapsed="false">
      <c r="B94" s="1" t="s">
        <v>325</v>
      </c>
      <c r="C94" s="12" t="s">
        <v>222</v>
      </c>
      <c r="D94" s="14" t="s">
        <v>326</v>
      </c>
      <c r="F94" s="47" t="n">
        <f aca="false">IF(INDEX($H94:$O94,1,Scenario_Selected)="",$H94,INDEX($H94:$O94,1,Scenario_Selected))</f>
        <v>10800</v>
      </c>
      <c r="H94" s="13" t="n">
        <v>10800</v>
      </c>
      <c r="I94" s="13"/>
      <c r="J94" s="13"/>
      <c r="K94" s="13"/>
      <c r="L94" s="13"/>
      <c r="M94" s="13"/>
    </row>
    <row r="95" customFormat="false" ht="15" hidden="false" customHeight="false" outlineLevel="0" collapsed="false">
      <c r="B95" s="1" t="s">
        <v>327</v>
      </c>
      <c r="C95" s="12" t="s">
        <v>35</v>
      </c>
      <c r="D95" s="14" t="s">
        <v>328</v>
      </c>
      <c r="F95" s="48" t="n">
        <f aca="false">IF(INDEX($H95:$O95,1,Scenario_Selected)="",$H95,INDEX($H95:$O95,1,Scenario_Selected))</f>
        <v>0.05</v>
      </c>
      <c r="H95" s="20" t="n">
        <v>0.05</v>
      </c>
      <c r="I95" s="20"/>
      <c r="J95" s="20"/>
      <c r="K95" s="20"/>
      <c r="L95" s="20"/>
      <c r="M95" s="20"/>
    </row>
    <row r="96" customFormat="false" ht="15" hidden="false" customHeight="false" outlineLevel="0" collapsed="false">
      <c r="B96" s="1" t="s">
        <v>329</v>
      </c>
      <c r="C96" s="12" t="s">
        <v>27</v>
      </c>
      <c r="D96" s="14" t="s">
        <v>330</v>
      </c>
      <c r="F96" s="47" t="n">
        <f aca="false">IF(INDEX($H96:$O96,1,Scenario_Selected)="",$H96,INDEX($H96:$O96,1,Scenario_Selected))</f>
        <v>240</v>
      </c>
      <c r="H96" s="13" t="n">
        <v>240</v>
      </c>
      <c r="I96" s="13"/>
      <c r="J96" s="13"/>
      <c r="K96" s="13"/>
      <c r="L96" s="13"/>
      <c r="M96" s="13"/>
    </row>
    <row r="98" customFormat="false" ht="15" hidden="false" customHeight="false" outlineLevel="0" collapsed="false">
      <c r="A98" s="10" t="s">
        <v>13</v>
      </c>
      <c r="B98" s="10"/>
      <c r="C98" s="10" t="s">
        <v>331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customFormat="false" ht="15" hidden="false" customHeight="false" outlineLevel="0" collapsed="false">
      <c r="B99" s="1" t="s">
        <v>332</v>
      </c>
      <c r="C99" s="12" t="s">
        <v>333</v>
      </c>
      <c r="D99" s="14" t="s">
        <v>334</v>
      </c>
      <c r="F99" s="47" t="n">
        <f aca="false">IF(INDEX($H99:$O99,1,Scenario_Selected)="",$H99,INDEX($H99:$O99,1,Scenario_Selected))</f>
        <v>2460</v>
      </c>
      <c r="H99" s="13" t="n">
        <v>2460</v>
      </c>
      <c r="I99" s="13"/>
      <c r="J99" s="13"/>
      <c r="K99" s="13"/>
      <c r="L99" s="13"/>
      <c r="M99" s="13"/>
    </row>
    <row r="100" customFormat="false" ht="15" hidden="false" customHeight="false" outlineLevel="0" collapsed="false">
      <c r="B100" s="1" t="s">
        <v>335</v>
      </c>
      <c r="C100" s="12" t="s">
        <v>35</v>
      </c>
      <c r="D100" s="14" t="s">
        <v>336</v>
      </c>
      <c r="F100" s="48" t="n">
        <f aca="false">IF(INDEX($H100:$O100,1,Scenario_Selected)="",$H100,INDEX($H100:$O100,1,Scenario_Selected))</f>
        <v>0.02</v>
      </c>
      <c r="H100" s="20" t="n">
        <v>0.02</v>
      </c>
      <c r="I100" s="20"/>
      <c r="J100" s="20"/>
      <c r="K100" s="20"/>
      <c r="L100" s="20"/>
      <c r="M100" s="20"/>
    </row>
    <row r="101" customFormat="false" ht="15" hidden="false" customHeight="false" outlineLevel="0" collapsed="false">
      <c r="B101" s="1" t="s">
        <v>337</v>
      </c>
      <c r="C101" s="12" t="s">
        <v>35</v>
      </c>
      <c r="D101" s="14" t="s">
        <v>338</v>
      </c>
      <c r="F101" s="50" t="n">
        <f aca="false">IF(INDEX($H101:$O101,1,Scenario_Selected)="",$H101,INDEX($H101:$O101,1,Scenario_Selected))</f>
        <v>0.003</v>
      </c>
      <c r="H101" s="51" t="n">
        <v>0.003</v>
      </c>
      <c r="I101" s="51"/>
      <c r="J101" s="51"/>
      <c r="K101" s="51"/>
      <c r="L101" s="51"/>
      <c r="M101" s="51"/>
    </row>
    <row r="102" customFormat="false" ht="15" hidden="false" customHeight="false" outlineLevel="0" collapsed="false">
      <c r="B102" s="1" t="s">
        <v>339</v>
      </c>
      <c r="C102" s="12" t="s">
        <v>32</v>
      </c>
      <c r="D102" s="14" t="s">
        <v>317</v>
      </c>
      <c r="F102" s="49" t="n">
        <f aca="false">IF(INDEX($H102:$O102,1,Scenario_Selected)="",$H102,INDEX($H102:$O102,1,Scenario_Selected))</f>
        <v>90</v>
      </c>
      <c r="H102" s="22" t="n">
        <v>90</v>
      </c>
      <c r="I102" s="22"/>
      <c r="J102" s="22"/>
      <c r="K102" s="22"/>
      <c r="L102" s="22"/>
      <c r="M102" s="22"/>
    </row>
    <row r="103" customFormat="false" ht="15" hidden="false" customHeight="false" outlineLevel="0" collapsed="false">
      <c r="B103" s="1" t="s">
        <v>340</v>
      </c>
      <c r="C103" s="12" t="s">
        <v>35</v>
      </c>
      <c r="D103" s="14" t="s">
        <v>341</v>
      </c>
      <c r="F103" s="48" t="n">
        <f aca="false">IF(INDEX($H103:$O103,1,Scenario_Selected)="",$H103,INDEX($H103:$O103,1,Scenario_Selected))</f>
        <v>0.01</v>
      </c>
      <c r="H103" s="20" t="n">
        <v>0.01</v>
      </c>
      <c r="I103" s="20"/>
      <c r="J103" s="20"/>
      <c r="K103" s="20"/>
      <c r="L103" s="20"/>
      <c r="M103" s="20"/>
    </row>
    <row r="104" customFormat="false" ht="15" hidden="false" customHeight="false" outlineLevel="0" collapsed="false">
      <c r="B104" s="1" t="s">
        <v>342</v>
      </c>
      <c r="C104" s="12" t="s">
        <v>32</v>
      </c>
      <c r="D104" s="14" t="s">
        <v>343</v>
      </c>
      <c r="F104" s="49" t="n">
        <f aca="false">IF(INDEX($H104:$O104,1,Scenario_Selected)="",$H104,INDEX($H104:$O104,1,Scenario_Selected))</f>
        <v>5</v>
      </c>
      <c r="H104" s="22" t="n">
        <v>5</v>
      </c>
      <c r="I104" s="22"/>
      <c r="J104" s="22"/>
      <c r="K104" s="22"/>
      <c r="L104" s="22"/>
      <c r="M104" s="22"/>
    </row>
    <row r="105" customFormat="false" ht="15" hidden="false" customHeight="false" outlineLevel="0" collapsed="false">
      <c r="B105" s="1" t="s">
        <v>344</v>
      </c>
      <c r="C105" s="12" t="s">
        <v>27</v>
      </c>
      <c r="D105" s="14" t="s">
        <v>345</v>
      </c>
      <c r="F105" s="47" t="n">
        <f aca="false">IF(INDEX($H105:$O105,1,Scenario_Selected)="",$H105,INDEX($H105:$O105,1,Scenario_Selected))</f>
        <v>22</v>
      </c>
      <c r="H105" s="13" t="n">
        <v>22</v>
      </c>
      <c r="I105" s="13"/>
      <c r="J105" s="13"/>
      <c r="K105" s="13"/>
      <c r="L105" s="13"/>
      <c r="M105" s="13"/>
    </row>
    <row r="106" customFormat="false" ht="15" hidden="false" customHeight="false" outlineLevel="0" collapsed="false">
      <c r="B106" s="1" t="s">
        <v>346</v>
      </c>
      <c r="C106" s="12" t="s">
        <v>27</v>
      </c>
      <c r="D106" s="14" t="s">
        <v>347</v>
      </c>
      <c r="F106" s="47" t="n">
        <f aca="false">IF(INDEX($H106:$O106,1,Scenario_Selected)="",$H106,INDEX($H106:$O106,1,Scenario_Selected))</f>
        <v>3</v>
      </c>
      <c r="H106" s="13" t="n">
        <v>3</v>
      </c>
      <c r="I106" s="13"/>
      <c r="J106" s="13"/>
      <c r="K106" s="13"/>
      <c r="L106" s="13"/>
      <c r="M106" s="13"/>
    </row>
    <row r="107" customFormat="false" ht="15" hidden="false" customHeight="false" outlineLevel="0" collapsed="false">
      <c r="B107" s="1" t="s">
        <v>348</v>
      </c>
      <c r="C107" s="12" t="s">
        <v>222</v>
      </c>
      <c r="D107" s="14" t="s">
        <v>349</v>
      </c>
      <c r="F107" s="47" t="n">
        <f aca="false">IF(INDEX($H107:$O107,1,Scenario_Selected)="",$H107,INDEX($H107:$O107,1,Scenario_Selected))</f>
        <v>150</v>
      </c>
      <c r="H107" s="13" t="n">
        <v>150</v>
      </c>
      <c r="I107" s="13"/>
      <c r="J107" s="13"/>
      <c r="K107" s="13"/>
      <c r="L107" s="13"/>
      <c r="M107" s="13"/>
    </row>
    <row r="108" customFormat="false" ht="15" hidden="false" customHeight="false" outlineLevel="0" collapsed="false">
      <c r="B108" s="1" t="s">
        <v>350</v>
      </c>
      <c r="C108" s="12" t="s">
        <v>35</v>
      </c>
      <c r="D108" s="14" t="s">
        <v>351</v>
      </c>
      <c r="F108" s="48" t="n">
        <f aca="false">IF(INDEX($H108:$O108,1,Scenario_Selected)="",$H108,INDEX($H108:$O108,1,Scenario_Selected))</f>
        <v>0.05</v>
      </c>
      <c r="H108" s="20" t="n">
        <v>0.05</v>
      </c>
      <c r="I108" s="20"/>
      <c r="J108" s="20"/>
      <c r="K108" s="20"/>
      <c r="L108" s="20"/>
      <c r="M108" s="20"/>
    </row>
    <row r="109" customFormat="false" ht="15" hidden="false" customHeight="false" outlineLevel="0" collapsed="false">
      <c r="B109" s="1" t="s">
        <v>352</v>
      </c>
      <c r="C109" s="12" t="s">
        <v>35</v>
      </c>
      <c r="D109" s="14" t="s">
        <v>353</v>
      </c>
      <c r="F109" s="48" t="n">
        <f aca="false">IF(INDEX($H109:$O109,1,Scenario_Selected)="",$H109,INDEX($H109:$O109,1,Scenario_Selected))</f>
        <v>0.025</v>
      </c>
      <c r="H109" s="20" t="n">
        <v>0.025</v>
      </c>
      <c r="I109" s="20"/>
      <c r="J109" s="20"/>
      <c r="K109" s="20"/>
      <c r="L109" s="20"/>
      <c r="M109" s="20"/>
    </row>
    <row r="110" customFormat="false" ht="15" hidden="false" customHeight="false" outlineLevel="0" collapsed="false">
      <c r="B110" s="1" t="s">
        <v>354</v>
      </c>
      <c r="C110" s="12" t="s">
        <v>35</v>
      </c>
      <c r="D110" s="14" t="s">
        <v>355</v>
      </c>
      <c r="F110" s="50" t="n">
        <f aca="false">IF(INDEX($H110:$O110,1,Scenario_Selected)="",$H110,INDEX($H110:$O110,1,Scenario_Selected))</f>
        <v>0.001</v>
      </c>
      <c r="H110" s="51" t="n">
        <v>0.001</v>
      </c>
      <c r="I110" s="51"/>
      <c r="J110" s="51"/>
      <c r="K110" s="51"/>
      <c r="L110" s="51"/>
      <c r="M110" s="51"/>
    </row>
    <row r="111" customFormat="false" ht="15" hidden="false" customHeight="false" outlineLevel="0" collapsed="false">
      <c r="B111" s="1" t="s">
        <v>356</v>
      </c>
      <c r="C111" s="12" t="s">
        <v>35</v>
      </c>
      <c r="D111" s="14" t="s">
        <v>357</v>
      </c>
      <c r="F111" s="48" t="n">
        <f aca="false">IF(INDEX($H111:$O111,1,Scenario_Selected)="",$H111,INDEX($H111:$O111,1,Scenario_Selected))</f>
        <v>0.02</v>
      </c>
      <c r="H111" s="20" t="n">
        <v>0.02</v>
      </c>
      <c r="I111" s="20"/>
      <c r="J111" s="20"/>
      <c r="K111" s="20"/>
      <c r="L111" s="20"/>
      <c r="M111" s="20"/>
    </row>
    <row r="113" customFormat="false" ht="15" hidden="false" customHeight="false" outlineLevel="0" collapsed="false">
      <c r="A113" s="10" t="s">
        <v>13</v>
      </c>
      <c r="B113" s="10"/>
      <c r="C113" s="10" t="s">
        <v>358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customFormat="false" ht="15" hidden="false" customHeight="false" outlineLevel="0" collapsed="false">
      <c r="B114" s="1" t="s">
        <v>359</v>
      </c>
      <c r="C114" s="12" t="s">
        <v>35</v>
      </c>
      <c r="D114" s="14" t="s">
        <v>360</v>
      </c>
      <c r="F114" s="48" t="n">
        <f aca="false">IF(INDEX($H114:$O114,1,Scenario_Selected)="",$H114,INDEX($H114:$O114,1,Scenario_Selected))</f>
        <v>0.6</v>
      </c>
      <c r="H114" s="20" t="n">
        <v>0.6</v>
      </c>
      <c r="I114" s="20"/>
      <c r="J114" s="20"/>
      <c r="K114" s="20"/>
      <c r="L114" s="20"/>
      <c r="M114" s="20"/>
    </row>
    <row r="115" customFormat="false" ht="15" hidden="false" customHeight="false" outlineLevel="0" collapsed="false">
      <c r="B115" s="1" t="s">
        <v>361</v>
      </c>
      <c r="C115" s="12" t="s">
        <v>35</v>
      </c>
      <c r="D115" s="14" t="s">
        <v>362</v>
      </c>
      <c r="F115" s="48" t="n">
        <f aca="false">IF(INDEX($H115:$O115,1,Scenario_Selected)="",$H115,INDEX($H115:$O115,1,Scenario_Selected))</f>
        <v>0.5</v>
      </c>
      <c r="H115" s="20" t="n">
        <v>0.5</v>
      </c>
      <c r="I115" s="20"/>
      <c r="J115" s="20"/>
      <c r="K115" s="20"/>
      <c r="L115" s="20"/>
      <c r="M115" s="20"/>
    </row>
    <row r="116" customFormat="false" ht="15" hidden="false" customHeight="false" outlineLevel="0" collapsed="false">
      <c r="B116" s="1" t="s">
        <v>363</v>
      </c>
      <c r="C116" s="12" t="s">
        <v>35</v>
      </c>
      <c r="D116" s="14" t="s">
        <v>364</v>
      </c>
      <c r="F116" s="48" t="n">
        <f aca="false">IF(INDEX($H116:$O116,1,Scenario_Selected)="",$H116,INDEX($H116:$O116,1,Scenario_Selected))</f>
        <v>0.05</v>
      </c>
      <c r="H116" s="20" t="n">
        <v>0.05</v>
      </c>
      <c r="I116" s="20"/>
      <c r="J116" s="20"/>
      <c r="K116" s="20"/>
      <c r="L116" s="20"/>
      <c r="M116" s="20"/>
    </row>
    <row r="117" customFormat="false" ht="15" hidden="false" customHeight="false" outlineLevel="0" collapsed="false">
      <c r="B117" s="1" t="s">
        <v>365</v>
      </c>
      <c r="C117" s="12" t="s">
        <v>35</v>
      </c>
      <c r="D117" s="14" t="s">
        <v>366</v>
      </c>
      <c r="F117" s="50" t="n">
        <f aca="false">IF(INDEX($H117:$O117,1,Scenario_Selected)="",$H117,INDEX($H117:$O117,1,Scenario_Selected))</f>
        <v>0.0175</v>
      </c>
      <c r="H117" s="51" t="n">
        <v>0.0175</v>
      </c>
      <c r="I117" s="51"/>
      <c r="J117" s="51"/>
      <c r="K117" s="51"/>
      <c r="L117" s="51"/>
      <c r="M117" s="51"/>
    </row>
    <row r="118" customFormat="false" ht="15" hidden="false" customHeight="false" outlineLevel="0" collapsed="false">
      <c r="B118" s="1" t="s">
        <v>367</v>
      </c>
      <c r="C118" s="12" t="s">
        <v>35</v>
      </c>
      <c r="D118" s="14" t="s">
        <v>368</v>
      </c>
      <c r="F118" s="50" t="n">
        <f aca="false">IF(INDEX($H118:$O118,1,Scenario_Selected)="",$H118,INDEX($H118:$O118,1,Scenario_Selected))</f>
        <v>0.009</v>
      </c>
      <c r="H118" s="51" t="n">
        <v>0.009</v>
      </c>
      <c r="I118" s="51"/>
      <c r="J118" s="51"/>
      <c r="K118" s="51"/>
      <c r="L118" s="51"/>
      <c r="M118" s="51"/>
    </row>
    <row r="119" customFormat="false" ht="15" hidden="false" customHeight="false" outlineLevel="0" collapsed="false">
      <c r="B119" s="1" t="s">
        <v>369</v>
      </c>
      <c r="C119" s="12" t="s">
        <v>206</v>
      </c>
      <c r="D119" s="14" t="s">
        <v>370</v>
      </c>
      <c r="F119" s="42" t="n">
        <f aca="false">IF(INDEX($H119:$O119,1,Scenario_Selected)="",$H119,INDEX($H119:$O119,1,Scenario_Selected))</f>
        <v>10</v>
      </c>
      <c r="H119" s="45" t="n">
        <v>10</v>
      </c>
      <c r="I119" s="45"/>
      <c r="J119" s="45"/>
      <c r="K119" s="45"/>
      <c r="L119" s="45"/>
      <c r="M119" s="45"/>
    </row>
    <row r="120" customFormat="false" ht="15" hidden="false" customHeight="false" outlineLevel="0" collapsed="false">
      <c r="B120" s="1" t="s">
        <v>371</v>
      </c>
      <c r="C120" s="12" t="s">
        <v>206</v>
      </c>
      <c r="D120" s="14" t="s">
        <v>372</v>
      </c>
      <c r="F120" s="42" t="n">
        <f aca="false">IF(INDEX($H120:$O120,1,Scenario_Selected)="",$H120,INDEX($H120:$O120,1,Scenario_Selected))</f>
        <v>20</v>
      </c>
      <c r="H120" s="45" t="n">
        <v>20</v>
      </c>
      <c r="I120" s="45"/>
      <c r="J120" s="45"/>
      <c r="K120" s="45"/>
      <c r="L120" s="45"/>
      <c r="M120" s="45"/>
    </row>
    <row r="122" customFormat="false" ht="15" hidden="false" customHeight="false" outlineLevel="0" collapsed="false">
      <c r="C122" s="4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T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3" topLeftCell="J4" activePane="bottomRight" state="frozen"/>
      <selection pane="topLeft" activeCell="A1" activeCellId="0" sqref="A1"/>
      <selection pane="topRight" activeCell="J1" activeCellId="0" sqref="J1"/>
      <selection pane="bottomLeft" activeCell="A4" activeCellId="0" sqref="A4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50" min="10" style="1" width="11"/>
    <col collapsed="false" customWidth="false" hidden="true" outlineLevel="1" max="16384" min="151" style="1" width="13"/>
  </cols>
  <sheetData>
    <row r="2" customFormat="false" ht="15" hidden="false" customHeight="false" outlineLevel="0" collapsed="false">
      <c r="A2" s="2"/>
      <c r="B2" s="2" t="str">
        <f aca="false">Dashboard!$C$3&amp;" – Time-series inputs"</f>
        <v>Project Bora – Time-series inputs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</row>
    <row r="5" customFormat="false" ht="15" hidden="false" customHeight="false" outlineLevel="0" collapsed="false">
      <c r="A5" s="10" t="s">
        <v>13</v>
      </c>
      <c r="B5" s="10"/>
      <c r="C5" s="10" t="s">
        <v>373</v>
      </c>
      <c r="D5" s="10"/>
      <c r="E5" s="10" t="s">
        <v>374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</row>
    <row r="6" customFormat="false" ht="15" hidden="false" customHeight="false" outlineLevel="0" collapsed="false">
      <c r="E6" s="9" t="s">
        <v>375</v>
      </c>
      <c r="F6" s="9" t="s">
        <v>376</v>
      </c>
      <c r="J6" s="9" t="s">
        <v>377</v>
      </c>
    </row>
    <row r="7" customFormat="false" ht="15" hidden="false" customHeight="false" outlineLevel="0" collapsed="false">
      <c r="C7" s="1" t="s">
        <v>378</v>
      </c>
      <c r="D7" s="12" t="s">
        <v>27</v>
      </c>
      <c r="E7" s="43" t="n">
        <v>10</v>
      </c>
      <c r="F7" s="43" t="n">
        <v>50</v>
      </c>
      <c r="J7" s="43" t="n">
        <v>10</v>
      </c>
      <c r="K7" s="43" t="n">
        <v>15</v>
      </c>
      <c r="L7" s="43" t="n">
        <v>20</v>
      </c>
      <c r="M7" s="43" t="n">
        <v>25</v>
      </c>
      <c r="N7" s="43" t="n">
        <v>30</v>
      </c>
      <c r="O7" s="43" t="n">
        <v>35</v>
      </c>
      <c r="P7" s="43" t="n">
        <v>40</v>
      </c>
      <c r="Q7" s="43" t="n">
        <v>45</v>
      </c>
      <c r="R7" s="43" t="n">
        <v>50</v>
      </c>
    </row>
    <row r="8" customFormat="false" ht="15" hidden="false" customHeight="false" outlineLevel="0" collapsed="false">
      <c r="C8" s="1" t="s">
        <v>379</v>
      </c>
      <c r="D8" s="12" t="s">
        <v>41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0</v>
      </c>
      <c r="Q8" s="25" t="n">
        <v>0</v>
      </c>
      <c r="R8" s="25" t="n">
        <v>1</v>
      </c>
    </row>
    <row r="9" customFormat="false" ht="15" hidden="false" customHeight="false" outlineLevel="0" collapsed="false">
      <c r="C9" s="1" t="s">
        <v>380</v>
      </c>
      <c r="D9" s="12" t="s">
        <v>70</v>
      </c>
      <c r="E9" s="20" t="n">
        <v>0.2</v>
      </c>
      <c r="J9" s="45" t="n">
        <v>0</v>
      </c>
      <c r="K9" s="45" t="n">
        <v>10</v>
      </c>
      <c r="L9" s="45" t="n">
        <v>20</v>
      </c>
      <c r="M9" s="45" t="n">
        <v>30</v>
      </c>
      <c r="N9" s="45" t="n">
        <v>40</v>
      </c>
      <c r="O9" s="45" t="n">
        <v>55</v>
      </c>
      <c r="P9" s="45" t="n">
        <v>70</v>
      </c>
      <c r="Q9" s="45" t="n">
        <v>80</v>
      </c>
      <c r="R9" s="45" t="n">
        <v>90</v>
      </c>
      <c r="S9" s="45" t="n">
        <v>100</v>
      </c>
    </row>
    <row r="10" customFormat="false" ht="15" hidden="false" customHeight="false" outlineLevel="0" collapsed="false">
      <c r="C10" s="1" t="s">
        <v>381</v>
      </c>
      <c r="D10" s="12" t="s">
        <v>32</v>
      </c>
      <c r="E10" s="43" t="n">
        <v>2</v>
      </c>
      <c r="F10" s="43" t="n">
        <v>3</v>
      </c>
      <c r="J10" s="43" t="n">
        <v>2</v>
      </c>
      <c r="K10" s="43" t="n">
        <v>2.1</v>
      </c>
      <c r="L10" s="43" t="n">
        <v>2.2</v>
      </c>
      <c r="M10" s="43" t="n">
        <v>2.3</v>
      </c>
      <c r="N10" s="43" t="n">
        <v>2.4</v>
      </c>
      <c r="O10" s="43" t="n">
        <v>2.5</v>
      </c>
      <c r="P10" s="43" t="n">
        <v>2.6</v>
      </c>
      <c r="Q10" s="43" t="n">
        <v>2.7</v>
      </c>
      <c r="R10" s="43" t="n">
        <v>2.8</v>
      </c>
      <c r="S10" s="43" t="n">
        <v>2.9</v>
      </c>
      <c r="T10" s="43" t="n">
        <v>3</v>
      </c>
    </row>
    <row r="11" customFormat="false" ht="15" hidden="false" customHeight="false" outlineLevel="0" collapsed="false">
      <c r="C11" s="1" t="s">
        <v>382</v>
      </c>
      <c r="D11" s="12" t="s">
        <v>41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0</v>
      </c>
      <c r="R11" s="25" t="n">
        <v>0</v>
      </c>
      <c r="S11" s="25" t="n">
        <v>0</v>
      </c>
      <c r="T11" s="25" t="n">
        <v>1</v>
      </c>
    </row>
    <row r="12" customFormat="false" ht="15" hidden="false" customHeight="false" outlineLevel="0" collapsed="false">
      <c r="C12" s="1" t="s">
        <v>383</v>
      </c>
      <c r="D12" s="12" t="s">
        <v>70</v>
      </c>
      <c r="E12" s="20" t="n">
        <v>0.15</v>
      </c>
      <c r="J12" s="45" t="n">
        <v>0</v>
      </c>
      <c r="K12" s="45" t="n">
        <v>5</v>
      </c>
      <c r="L12" s="45" t="n">
        <v>10</v>
      </c>
      <c r="M12" s="45" t="n">
        <v>20</v>
      </c>
      <c r="N12" s="45" t="n">
        <v>30</v>
      </c>
      <c r="O12" s="45" t="n">
        <v>40</v>
      </c>
      <c r="P12" s="45" t="n">
        <v>50</v>
      </c>
      <c r="Q12" s="45" t="n">
        <v>60</v>
      </c>
      <c r="R12" s="45" t="n">
        <v>70</v>
      </c>
      <c r="S12" s="45" t="n">
        <v>80</v>
      </c>
      <c r="T12" s="45" t="n">
        <v>90</v>
      </c>
      <c r="U12" s="45" t="n">
        <v>100</v>
      </c>
    </row>
    <row r="13" customFormat="false" ht="15" hidden="false" customHeight="false" outlineLevel="0" collapsed="false">
      <c r="C13" s="1" t="s">
        <v>384</v>
      </c>
      <c r="D13" s="12" t="s">
        <v>35</v>
      </c>
      <c r="J13" s="43" t="n">
        <v>0.02</v>
      </c>
      <c r="K13" s="43" t="n">
        <v>0.05</v>
      </c>
      <c r="L13" s="43" t="n">
        <v>0.1</v>
      </c>
      <c r="M13" s="43" t="n">
        <v>0.15</v>
      </c>
      <c r="N13" s="43" t="n">
        <v>0.2</v>
      </c>
      <c r="O13" s="43" t="n">
        <v>0.25</v>
      </c>
      <c r="P13" s="43" t="n">
        <v>0.3</v>
      </c>
      <c r="Q13" s="43" t="n">
        <v>0.35</v>
      </c>
      <c r="R13" s="43" t="n">
        <v>0.4</v>
      </c>
      <c r="S13" s="43" t="n">
        <v>0.5</v>
      </c>
    </row>
    <row r="14" customFormat="false" ht="15" hidden="false" customHeight="false" outlineLevel="0" collapsed="false">
      <c r="C14" s="1" t="s">
        <v>385</v>
      </c>
      <c r="D14" s="12" t="s">
        <v>41</v>
      </c>
      <c r="J14" s="25" t="n">
        <v>0</v>
      </c>
      <c r="K14" s="25" t="n">
        <v>1</v>
      </c>
      <c r="L14" s="25" t="n">
        <v>1</v>
      </c>
      <c r="M14" s="25" t="n">
        <v>1</v>
      </c>
      <c r="N14" s="25" t="n">
        <v>1</v>
      </c>
      <c r="O14" s="25" t="n">
        <v>1</v>
      </c>
      <c r="P14" s="25" t="n">
        <v>1</v>
      </c>
      <c r="Q14" s="25" t="n">
        <v>1</v>
      </c>
      <c r="R14" s="25" t="n">
        <v>1</v>
      </c>
      <c r="S14" s="25" t="n">
        <v>0</v>
      </c>
    </row>
    <row r="15" customFormat="false" ht="15" hidden="false" customHeight="false" outlineLevel="0" collapsed="false">
      <c r="C15" s="1" t="s">
        <v>386</v>
      </c>
      <c r="D15" s="12" t="s">
        <v>70</v>
      </c>
      <c r="E15" s="20" t="n">
        <v>0.1</v>
      </c>
      <c r="J15" s="45" t="n">
        <v>0</v>
      </c>
      <c r="K15" s="45" t="n">
        <v>10</v>
      </c>
      <c r="L15" s="45" t="n">
        <v>20</v>
      </c>
      <c r="M15" s="45" t="n">
        <v>30</v>
      </c>
      <c r="N15" s="45" t="n">
        <v>40</v>
      </c>
      <c r="O15" s="45" t="n">
        <v>50</v>
      </c>
      <c r="P15" s="45" t="n">
        <v>60</v>
      </c>
      <c r="Q15" s="45" t="n">
        <v>70</v>
      </c>
      <c r="R15" s="45" t="n">
        <v>80</v>
      </c>
      <c r="S15" s="45" t="n">
        <v>90</v>
      </c>
      <c r="T15" s="45" t="n">
        <v>100</v>
      </c>
    </row>
    <row r="16" customFormat="false" ht="15" hidden="false" customHeight="false" outlineLevel="0" collapsed="false">
      <c r="C16" s="1" t="s">
        <v>387</v>
      </c>
      <c r="D16" s="12" t="s">
        <v>35</v>
      </c>
      <c r="E16" s="43" t="n">
        <v>0.05</v>
      </c>
      <c r="J16" s="43" t="n">
        <v>0.02</v>
      </c>
      <c r="K16" s="43" t="n">
        <v>0.05</v>
      </c>
      <c r="L16" s="43" t="n">
        <v>0.1</v>
      </c>
      <c r="M16" s="43" t="n">
        <v>0.15</v>
      </c>
      <c r="N16" s="43" t="n">
        <v>0.2</v>
      </c>
      <c r="O16" s="43" t="n">
        <v>0.25</v>
      </c>
      <c r="P16" s="43" t="n">
        <v>0.3</v>
      </c>
      <c r="Q16" s="43" t="n">
        <v>0.35</v>
      </c>
      <c r="R16" s="43" t="n">
        <v>0.4</v>
      </c>
      <c r="S16" s="43" t="n">
        <v>0.5</v>
      </c>
    </row>
    <row r="17" customFormat="false" ht="15" hidden="false" customHeight="false" outlineLevel="0" collapsed="false">
      <c r="C17" s="1" t="s">
        <v>388</v>
      </c>
      <c r="D17" s="12" t="s">
        <v>41</v>
      </c>
      <c r="J17" s="25" t="n">
        <v>0</v>
      </c>
      <c r="K17" s="25" t="n">
        <v>1</v>
      </c>
      <c r="L17" s="25" t="n">
        <v>1</v>
      </c>
      <c r="M17" s="25" t="n">
        <v>1</v>
      </c>
      <c r="N17" s="25" t="n">
        <v>1</v>
      </c>
      <c r="O17" s="25" t="n">
        <v>1</v>
      </c>
      <c r="P17" s="25" t="n">
        <v>1</v>
      </c>
      <c r="Q17" s="25" t="n">
        <v>1</v>
      </c>
      <c r="R17" s="25" t="n">
        <v>1</v>
      </c>
      <c r="S17" s="25" t="n">
        <v>0</v>
      </c>
    </row>
    <row r="18" customFormat="false" ht="15" hidden="false" customHeight="false" outlineLevel="0" collapsed="false">
      <c r="C18" s="1" t="s">
        <v>389</v>
      </c>
      <c r="D18" s="12" t="s">
        <v>70</v>
      </c>
      <c r="E18" s="20" t="n">
        <v>0.15</v>
      </c>
      <c r="J18" s="45" t="n">
        <v>0</v>
      </c>
      <c r="K18" s="45" t="n">
        <v>10</v>
      </c>
      <c r="L18" s="45" t="n">
        <v>20</v>
      </c>
      <c r="M18" s="45" t="n">
        <v>30</v>
      </c>
      <c r="N18" s="45" t="n">
        <v>40</v>
      </c>
      <c r="O18" s="45" t="n">
        <v>50</v>
      </c>
      <c r="P18" s="45" t="n">
        <v>60</v>
      </c>
      <c r="Q18" s="45" t="n">
        <v>70</v>
      </c>
      <c r="R18" s="45" t="n">
        <v>80</v>
      </c>
      <c r="S18" s="45" t="n">
        <v>90</v>
      </c>
      <c r="T18" s="45" t="n">
        <v>100</v>
      </c>
    </row>
    <row r="19" customFormat="false" ht="15" hidden="false" customHeight="false" outlineLevel="0" collapsed="false">
      <c r="C19" s="1" t="s">
        <v>390</v>
      </c>
      <c r="D19" s="12" t="s">
        <v>13</v>
      </c>
      <c r="J19" s="43" t="n">
        <v>1</v>
      </c>
      <c r="K19" s="43" t="n">
        <v>1.2</v>
      </c>
      <c r="L19" s="43" t="n">
        <v>1.3</v>
      </c>
      <c r="M19" s="43" t="n">
        <v>1.4</v>
      </c>
      <c r="N19" s="43" t="n">
        <v>1.5</v>
      </c>
      <c r="O19" s="43" t="n">
        <v>1.6</v>
      </c>
      <c r="P19" s="43" t="n">
        <v>1.7</v>
      </c>
      <c r="Q19" s="43" t="n">
        <v>1.8</v>
      </c>
      <c r="R19" s="43" t="n">
        <v>1.9</v>
      </c>
      <c r="S19" s="43" t="n">
        <v>2</v>
      </c>
    </row>
    <row r="20" customFormat="false" ht="15" hidden="false" customHeight="false" outlineLevel="0" collapsed="false">
      <c r="C20" s="1" t="s">
        <v>391</v>
      </c>
      <c r="D20" s="12" t="s">
        <v>41</v>
      </c>
      <c r="J20" s="25" t="n">
        <v>0</v>
      </c>
      <c r="K20" s="25" t="n">
        <v>1</v>
      </c>
      <c r="L20" s="25" t="n">
        <v>1</v>
      </c>
      <c r="M20" s="25" t="n">
        <v>1</v>
      </c>
      <c r="N20" s="25" t="n">
        <v>1</v>
      </c>
      <c r="O20" s="25" t="n">
        <v>1</v>
      </c>
      <c r="P20" s="25" t="n">
        <v>1</v>
      </c>
      <c r="Q20" s="25" t="n">
        <v>1</v>
      </c>
      <c r="R20" s="25" t="n">
        <v>1</v>
      </c>
      <c r="S20" s="25" t="n">
        <v>1</v>
      </c>
    </row>
    <row r="21" customFormat="false" ht="15" hidden="false" customHeight="false" outlineLevel="0" collapsed="false">
      <c r="C21" s="1" t="s">
        <v>392</v>
      </c>
      <c r="D21" s="12" t="s">
        <v>70</v>
      </c>
      <c r="E21" s="20" t="n">
        <v>0.05</v>
      </c>
      <c r="J21" s="45" t="n">
        <v>0</v>
      </c>
      <c r="K21" s="45" t="n">
        <v>10</v>
      </c>
      <c r="L21" s="45" t="n">
        <v>20</v>
      </c>
      <c r="M21" s="45" t="n">
        <v>30</v>
      </c>
      <c r="N21" s="45" t="n">
        <v>40</v>
      </c>
      <c r="O21" s="45" t="n">
        <v>50</v>
      </c>
      <c r="P21" s="45" t="n">
        <v>60</v>
      </c>
      <c r="Q21" s="45" t="n">
        <v>70</v>
      </c>
      <c r="R21" s="45" t="n">
        <v>80</v>
      </c>
      <c r="S21" s="45" t="n">
        <v>90</v>
      </c>
      <c r="T21" s="45" t="n">
        <v>100</v>
      </c>
    </row>
    <row r="22" customFormat="false" ht="15" hidden="false" customHeight="false" outlineLevel="0" collapsed="false">
      <c r="C22" s="1" t="s">
        <v>393</v>
      </c>
      <c r="D22" s="12" t="s">
        <v>70</v>
      </c>
      <c r="E22" s="20" t="n">
        <v>0.05</v>
      </c>
      <c r="J22" s="45" t="n">
        <v>100</v>
      </c>
    </row>
    <row r="23" customFormat="false" ht="15" hidden="false" customHeight="false" outlineLevel="0" collapsed="false">
      <c r="C23" s="1" t="s">
        <v>394</v>
      </c>
      <c r="D23" s="12" t="s">
        <v>70</v>
      </c>
      <c r="E23" s="20" t="n">
        <v>0.1</v>
      </c>
      <c r="J23" s="45" t="n">
        <v>100</v>
      </c>
    </row>
    <row r="24" customFormat="false" ht="15" hidden="false" customHeight="false" outlineLevel="0" collapsed="false">
      <c r="C24" s="1" t="s">
        <v>395</v>
      </c>
      <c r="D24" s="12" t="s">
        <v>70</v>
      </c>
      <c r="E24" s="20" t="n">
        <v>0.05</v>
      </c>
      <c r="J24" s="45" t="n">
        <v>100</v>
      </c>
    </row>
    <row r="25" customFormat="false" ht="15" hidden="false" customHeight="false" outlineLevel="0" collapsed="false">
      <c r="C25" s="1" t="s">
        <v>396</v>
      </c>
      <c r="D25" s="12" t="s">
        <v>70</v>
      </c>
      <c r="E25" s="20" t="n">
        <v>0.15</v>
      </c>
      <c r="J25" s="45" t="n">
        <v>80</v>
      </c>
    </row>
    <row r="26" customFormat="false" ht="15" hidden="false" customHeight="false" outlineLevel="0" collapsed="false">
      <c r="C26" s="1" t="s">
        <v>397</v>
      </c>
      <c r="D26" s="12" t="s">
        <v>70</v>
      </c>
      <c r="J26" s="45" t="n">
        <v>20</v>
      </c>
    </row>
    <row r="28" customFormat="false" ht="15" hidden="false" customHeight="false" outlineLevel="0" collapsed="false">
      <c r="A28" s="10" t="s">
        <v>13</v>
      </c>
      <c r="B28" s="10"/>
      <c r="C28" s="10" t="s">
        <v>398</v>
      </c>
      <c r="D28" s="10"/>
      <c r="E28" s="10" t="s">
        <v>399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</row>
    <row r="29" customFormat="false" ht="15" hidden="false" customHeight="false" outlineLevel="0" collapsed="false">
      <c r="C29" s="9" t="s">
        <v>400</v>
      </c>
      <c r="E29" s="9" t="s">
        <v>401</v>
      </c>
      <c r="F29" s="9" t="s">
        <v>222</v>
      </c>
      <c r="I29" s="9" t="s">
        <v>402</v>
      </c>
      <c r="J29" s="9" t="s">
        <v>403</v>
      </c>
      <c r="K29" s="9" t="s">
        <v>404</v>
      </c>
    </row>
    <row r="30" customFormat="false" ht="15" hidden="false" customHeight="false" outlineLevel="0" collapsed="false">
      <c r="C30" s="1" t="s">
        <v>405</v>
      </c>
      <c r="E30" s="19" t="n">
        <v>0</v>
      </c>
      <c r="F30" s="19" t="n">
        <v>55.65</v>
      </c>
      <c r="I30" s="29" t="n">
        <f aca="false">E30*Thousand/In_FX+F30</f>
        <v>55.65</v>
      </c>
      <c r="J30" s="5" t="n">
        <v>46431</v>
      </c>
      <c r="K30" s="25" t="n">
        <v>1</v>
      </c>
    </row>
    <row r="31" customFormat="false" ht="15" hidden="false" customHeight="false" outlineLevel="0" collapsed="false">
      <c r="C31" s="1" t="s">
        <v>406</v>
      </c>
      <c r="E31" s="19" t="n">
        <v>45.6</v>
      </c>
      <c r="F31" s="19" t="n">
        <v>0</v>
      </c>
      <c r="I31" s="29" t="n">
        <f aca="false">E31*Thousand/In_FX+F31</f>
        <v>124.931506849315</v>
      </c>
      <c r="J31" s="5" t="n">
        <v>46431</v>
      </c>
      <c r="K31" s="25" t="n">
        <v>1</v>
      </c>
    </row>
    <row r="32" customFormat="false" ht="15" hidden="false" customHeight="false" outlineLevel="0" collapsed="false">
      <c r="C32" s="1" t="s">
        <v>407</v>
      </c>
      <c r="E32" s="19" t="n">
        <v>59.1428571428571</v>
      </c>
      <c r="F32" s="19" t="n">
        <v>0</v>
      </c>
      <c r="I32" s="29" t="n">
        <f aca="false">E32*Thousand/In_FX+F32</f>
        <v>162.035225048924</v>
      </c>
      <c r="J32" s="5" t="n">
        <v>46976</v>
      </c>
      <c r="K32" s="25" t="n">
        <v>0</v>
      </c>
    </row>
    <row r="33" customFormat="false" ht="15" hidden="false" customHeight="false" outlineLevel="0" collapsed="false">
      <c r="C33" s="1" t="s">
        <v>408</v>
      </c>
      <c r="E33" s="19" t="n">
        <v>0.750544</v>
      </c>
      <c r="F33" s="19" t="n">
        <v>0</v>
      </c>
      <c r="I33" s="29" t="n">
        <f aca="false">E33*Thousand/In_FX+F33</f>
        <v>2.05628493150685</v>
      </c>
      <c r="J33" s="5" t="n">
        <v>46976</v>
      </c>
      <c r="K33" s="25" t="n">
        <v>0</v>
      </c>
    </row>
    <row r="34" customFormat="false" ht="15" hidden="false" customHeight="false" outlineLevel="0" collapsed="false">
      <c r="C34" s="1" t="s">
        <v>409</v>
      </c>
      <c r="E34" s="19" t="n">
        <v>34.5</v>
      </c>
      <c r="F34" s="19" t="n">
        <v>84</v>
      </c>
      <c r="I34" s="29" t="n">
        <f aca="false">E34*Thousand/In_FX+F34</f>
        <v>178.520547945205</v>
      </c>
      <c r="J34" s="5" t="n">
        <v>46296</v>
      </c>
      <c r="K34" s="25" t="n">
        <v>0</v>
      </c>
    </row>
    <row r="35" customFormat="false" ht="15" hidden="false" customHeight="false" outlineLevel="0" collapsed="false">
      <c r="C35" s="1" t="s">
        <v>410</v>
      </c>
      <c r="E35" s="19" t="n">
        <v>0</v>
      </c>
      <c r="F35" s="19" t="n">
        <v>398</v>
      </c>
      <c r="I35" s="29" t="n">
        <f aca="false">E35*Thousand/In_FX+F35</f>
        <v>398</v>
      </c>
      <c r="J35" s="5" t="n">
        <v>46447</v>
      </c>
      <c r="K35" s="25" t="n">
        <v>0</v>
      </c>
    </row>
    <row r="36" customFormat="false" ht="15" hidden="false" customHeight="false" outlineLevel="0" collapsed="false">
      <c r="C36" s="1" t="s">
        <v>411</v>
      </c>
      <c r="E36" s="19" t="n">
        <v>3.6</v>
      </c>
      <c r="F36" s="19" t="n">
        <v>0</v>
      </c>
      <c r="I36" s="29" t="n">
        <f aca="false">E36*Thousand/In_FX+F36</f>
        <v>9.86301369863014</v>
      </c>
      <c r="J36" s="5" t="n">
        <v>46388</v>
      </c>
      <c r="K36" s="25" t="n">
        <v>0</v>
      </c>
    </row>
    <row r="37" customFormat="false" ht="15" hidden="false" customHeight="false" outlineLevel="0" collapsed="false">
      <c r="C37" s="1" t="s">
        <v>412</v>
      </c>
      <c r="E37" s="19" t="n">
        <v>0</v>
      </c>
      <c r="F37" s="19" t="n">
        <v>4.5</v>
      </c>
      <c r="I37" s="29" t="n">
        <f aca="false">E37*Thousand/In_FX+F37</f>
        <v>4.5</v>
      </c>
      <c r="J37" s="5" t="n">
        <v>46932</v>
      </c>
      <c r="K37" s="25" t="n">
        <v>0</v>
      </c>
    </row>
    <row r="38" customFormat="false" ht="15" hidden="false" customHeight="false" outlineLevel="0" collapsed="false">
      <c r="C38" s="1" t="s">
        <v>413</v>
      </c>
      <c r="E38" s="19" t="n">
        <v>0.96</v>
      </c>
      <c r="F38" s="19" t="n">
        <v>0</v>
      </c>
      <c r="I38" s="29" t="n">
        <f aca="false">E38*Thousand/In_FX+F38</f>
        <v>2.63013698630137</v>
      </c>
      <c r="J38" s="5" t="n">
        <v>46746</v>
      </c>
      <c r="K38" s="25" t="n">
        <v>0</v>
      </c>
    </row>
    <row r="39" customFormat="false" ht="15" hidden="false" customHeight="false" outlineLevel="0" collapsed="false">
      <c r="C39" s="1" t="s">
        <v>414</v>
      </c>
      <c r="E39" s="19" t="n">
        <v>8</v>
      </c>
      <c r="F39" s="19" t="n">
        <v>0</v>
      </c>
      <c r="I39" s="29" t="n">
        <f aca="false">E39*Thousand/In_FX+F39</f>
        <v>21.9178082191781</v>
      </c>
      <c r="J39" s="5" t="n">
        <v>46596</v>
      </c>
      <c r="K39" s="25" t="n">
        <v>0</v>
      </c>
    </row>
    <row r="40" customFormat="false" ht="15" hidden="false" customHeight="false" outlineLevel="0" collapsed="false">
      <c r="C40" s="1" t="s">
        <v>415</v>
      </c>
      <c r="E40" s="19" t="n">
        <v>50</v>
      </c>
      <c r="F40" s="19" t="n">
        <v>0</v>
      </c>
      <c r="I40" s="29" t="n">
        <f aca="false">E40*Thousand/In_FX+F40</f>
        <v>136.986301369863</v>
      </c>
      <c r="J40" s="5" t="n">
        <v>46806</v>
      </c>
      <c r="K40" s="25" t="n">
        <v>0</v>
      </c>
    </row>
    <row r="41" customFormat="false" ht="15" hidden="false" customHeight="false" outlineLevel="0" collapsed="false">
      <c r="C41" s="1" t="s">
        <v>416</v>
      </c>
      <c r="E41" s="19" t="n">
        <v>35</v>
      </c>
      <c r="F41" s="19" t="n">
        <v>0</v>
      </c>
      <c r="I41" s="29" t="n">
        <f aca="false">E41*Thousand/In_FX+F41</f>
        <v>95.8904109589041</v>
      </c>
      <c r="J41" s="5" t="n">
        <v>46806</v>
      </c>
      <c r="K41" s="25" t="n">
        <v>0</v>
      </c>
    </row>
    <row r="42" customFormat="false" ht="15" hidden="false" customHeight="false" outlineLevel="0" collapsed="false">
      <c r="C42" s="1" t="s">
        <v>417</v>
      </c>
      <c r="E42" s="19" t="n">
        <v>14.832</v>
      </c>
      <c r="F42" s="19" t="n">
        <v>0</v>
      </c>
      <c r="I42" s="29" t="n">
        <f aca="false">E42*Thousand/In_FX+F42</f>
        <v>40.6356164383562</v>
      </c>
      <c r="J42" s="5" t="n">
        <v>46751</v>
      </c>
      <c r="K42" s="25" t="n">
        <v>0</v>
      </c>
    </row>
    <row r="43" customFormat="false" ht="15" hidden="false" customHeight="false" outlineLevel="0" collapsed="false">
      <c r="C43" s="1" t="s">
        <v>418</v>
      </c>
      <c r="E43" s="19" t="n">
        <v>0.04</v>
      </c>
      <c r="F43" s="19" t="n">
        <v>0</v>
      </c>
      <c r="I43" s="29" t="n">
        <f aca="false">E43*Thousand/In_FX+F43</f>
        <v>0.10958904109589</v>
      </c>
      <c r="J43" s="5" t="n">
        <v>46871</v>
      </c>
      <c r="K43" s="25" t="n">
        <v>0</v>
      </c>
    </row>
    <row r="44" customFormat="false" ht="15" hidden="false" customHeight="false" outlineLevel="0" collapsed="false">
      <c r="C44" s="1" t="s">
        <v>419</v>
      </c>
      <c r="E44" s="19" t="n">
        <v>32.61</v>
      </c>
      <c r="F44" s="19" t="n">
        <v>0</v>
      </c>
      <c r="I44" s="29" t="n">
        <f aca="false">E44*Thousand/In_FX+F44</f>
        <v>89.3424657534247</v>
      </c>
      <c r="J44" s="5" t="n">
        <v>46841</v>
      </c>
      <c r="K44" s="25" t="n">
        <v>0</v>
      </c>
    </row>
    <row r="45" customFormat="false" ht="15" hidden="false" customHeight="false" outlineLevel="0" collapsed="false">
      <c r="C45" s="1" t="s">
        <v>420</v>
      </c>
      <c r="E45" s="19" t="n">
        <v>8</v>
      </c>
      <c r="F45" s="19" t="n">
        <v>0</v>
      </c>
      <c r="I45" s="29" t="n">
        <f aca="false">E45*Thousand/In_FX+F45</f>
        <v>21.9178082191781</v>
      </c>
      <c r="J45" s="5" t="n">
        <v>46596</v>
      </c>
      <c r="K45" s="25" t="n">
        <v>0</v>
      </c>
    </row>
    <row r="46" customFormat="false" ht="15" hidden="false" customHeight="false" outlineLevel="0" collapsed="false">
      <c r="C46" s="1" t="s">
        <v>421</v>
      </c>
      <c r="E46" s="19" t="n">
        <v>8</v>
      </c>
      <c r="F46" s="19" t="n">
        <v>0</v>
      </c>
      <c r="I46" s="29" t="n">
        <f aca="false">E46*Thousand/In_FX+F46</f>
        <v>21.9178082191781</v>
      </c>
      <c r="J46" s="5" t="n">
        <v>46566</v>
      </c>
      <c r="K46" s="25" t="n">
        <v>0</v>
      </c>
    </row>
    <row r="47" customFormat="false" ht="15" hidden="false" customHeight="false" outlineLevel="0" collapsed="false">
      <c r="C47" s="1" t="s">
        <v>422</v>
      </c>
      <c r="E47" s="19" t="n">
        <v>8</v>
      </c>
      <c r="F47" s="19" t="n">
        <v>0</v>
      </c>
      <c r="I47" s="29" t="n">
        <f aca="false">E47*Thousand/In_FX+F47</f>
        <v>21.9178082191781</v>
      </c>
      <c r="J47" s="5" t="n">
        <v>46566</v>
      </c>
      <c r="K47" s="25" t="n">
        <v>0</v>
      </c>
    </row>
    <row r="48" customFormat="false" ht="15" hidden="false" customHeight="false" outlineLevel="0" collapsed="false">
      <c r="C48" s="1" t="s">
        <v>423</v>
      </c>
      <c r="E48" s="19" t="n">
        <v>4.59</v>
      </c>
      <c r="F48" s="19" t="n">
        <v>0</v>
      </c>
      <c r="I48" s="29" t="n">
        <f aca="false">E48*Thousand/In_FX+F48</f>
        <v>12.5753424657534</v>
      </c>
      <c r="J48" s="5" t="n">
        <v>46780</v>
      </c>
      <c r="K48" s="25" t="n">
        <v>0</v>
      </c>
    </row>
    <row r="49" customFormat="false" ht="15" hidden="false" customHeight="false" outlineLevel="0" collapsed="false">
      <c r="C49" s="1" t="s">
        <v>424</v>
      </c>
      <c r="E49" s="19" t="n">
        <v>138</v>
      </c>
      <c r="F49" s="19" t="n">
        <v>0</v>
      </c>
      <c r="I49" s="29" t="n">
        <f aca="false">E49*Thousand/In_FX+F49</f>
        <v>378.082191780822</v>
      </c>
      <c r="J49" s="5" t="n">
        <v>46780</v>
      </c>
      <c r="K49" s="25" t="n">
        <v>0</v>
      </c>
    </row>
    <row r="50" customFormat="false" ht="15" hidden="false" customHeight="false" outlineLevel="0" collapsed="false">
      <c r="C50" s="1" t="s">
        <v>425</v>
      </c>
      <c r="E50" s="19" t="n">
        <v>45</v>
      </c>
      <c r="F50" s="19" t="n">
        <v>0</v>
      </c>
      <c r="I50" s="29" t="n">
        <f aca="false">E50*Thousand/In_FX+F50</f>
        <v>123.287671232877</v>
      </c>
      <c r="J50" s="5" t="n">
        <v>46780</v>
      </c>
      <c r="K50" s="25" t="n">
        <v>0</v>
      </c>
    </row>
    <row r="51" customFormat="false" ht="15" hidden="false" customHeight="false" outlineLevel="0" collapsed="false">
      <c r="C51" s="1" t="s">
        <v>426</v>
      </c>
      <c r="E51" s="19" t="n">
        <v>74.8966836734694</v>
      </c>
      <c r="F51" s="19" t="n">
        <v>0</v>
      </c>
      <c r="I51" s="29" t="n">
        <f aca="false">E51*Thousand/In_FX+F51</f>
        <v>205.196393625944</v>
      </c>
      <c r="J51" s="5" t="n">
        <v>46780</v>
      </c>
      <c r="K51" s="25" t="n">
        <v>0</v>
      </c>
    </row>
    <row r="52" customFormat="false" ht="15" hidden="false" customHeight="false" outlineLevel="0" collapsed="false">
      <c r="C52" s="1" t="s">
        <v>427</v>
      </c>
      <c r="E52" s="19" t="n">
        <v>15</v>
      </c>
      <c r="F52" s="19" t="n">
        <v>0</v>
      </c>
      <c r="I52" s="29" t="n">
        <f aca="false">E52*Thousand/In_FX+F52</f>
        <v>41.0958904109589</v>
      </c>
      <c r="J52" s="5" t="n">
        <v>46720</v>
      </c>
      <c r="K52" s="25" t="n">
        <v>0</v>
      </c>
    </row>
    <row r="53" customFormat="false" ht="15" hidden="false" customHeight="false" outlineLevel="0" collapsed="false">
      <c r="C53" s="1" t="s">
        <v>428</v>
      </c>
      <c r="E53" s="19" t="n">
        <v>6</v>
      </c>
      <c r="F53" s="19" t="n">
        <v>0</v>
      </c>
      <c r="I53" s="29" t="n">
        <f aca="false">E53*Thousand/In_FX+F53</f>
        <v>16.4383561643836</v>
      </c>
      <c r="J53" s="5" t="n">
        <v>46780</v>
      </c>
      <c r="K53" s="25" t="n">
        <v>0</v>
      </c>
    </row>
    <row r="54" customFormat="false" ht="15" hidden="false" customHeight="false" outlineLevel="0" collapsed="false">
      <c r="C54" s="1" t="s">
        <v>429</v>
      </c>
      <c r="E54" s="19" t="n">
        <v>45.1785714285714</v>
      </c>
      <c r="F54" s="19" t="n">
        <v>0</v>
      </c>
      <c r="I54" s="29" t="n">
        <f aca="false">E54*Thousand/In_FX+F54</f>
        <v>123.776908023483</v>
      </c>
      <c r="J54" s="5" t="n">
        <v>46780</v>
      </c>
      <c r="K54" s="25" t="n">
        <v>0</v>
      </c>
    </row>
    <row r="55" customFormat="false" ht="15" hidden="false" customHeight="false" outlineLevel="0" collapsed="false">
      <c r="C55" s="1" t="s">
        <v>430</v>
      </c>
      <c r="E55" s="19" t="n">
        <v>4.59</v>
      </c>
      <c r="F55" s="19" t="n">
        <v>0</v>
      </c>
      <c r="I55" s="29" t="n">
        <f aca="false">E55*Thousand/In_FX+F55</f>
        <v>12.5753424657534</v>
      </c>
      <c r="J55" s="5" t="n">
        <v>46780</v>
      </c>
      <c r="K55" s="25" t="n">
        <v>0</v>
      </c>
    </row>
    <row r="56" customFormat="false" ht="15" hidden="false" customHeight="false" outlineLevel="0" collapsed="false">
      <c r="C56" s="1" t="s">
        <v>431</v>
      </c>
      <c r="E56" s="19" t="n">
        <v>35</v>
      </c>
      <c r="F56" s="19" t="n">
        <v>0</v>
      </c>
      <c r="I56" s="29" t="n">
        <f aca="false">E56*Thousand/In_FX+F56</f>
        <v>95.8904109589041</v>
      </c>
      <c r="J56" s="5" t="n">
        <v>46780</v>
      </c>
      <c r="K56" s="25" t="n">
        <v>0</v>
      </c>
    </row>
    <row r="57" customFormat="false" ht="15" hidden="false" customHeight="false" outlineLevel="0" collapsed="false">
      <c r="C57" s="1" t="s">
        <v>432</v>
      </c>
      <c r="E57" s="19" t="n">
        <v>20</v>
      </c>
      <c r="F57" s="19" t="n">
        <v>0</v>
      </c>
      <c r="I57" s="29" t="n">
        <f aca="false">E57*Thousand/In_FX+F57</f>
        <v>54.7945205479452</v>
      </c>
      <c r="J57" s="5" t="n">
        <v>47126</v>
      </c>
      <c r="K57" s="25" t="n">
        <v>0</v>
      </c>
    </row>
    <row r="58" customFormat="false" ht="15" hidden="false" customHeight="false" outlineLevel="0" collapsed="false">
      <c r="C58" s="1" t="s">
        <v>433</v>
      </c>
      <c r="E58" s="19" t="n">
        <v>12</v>
      </c>
      <c r="F58" s="19" t="n">
        <v>0</v>
      </c>
      <c r="I58" s="29" t="n">
        <f aca="false">E58*Thousand/In_FX+F58</f>
        <v>32.8767123287671</v>
      </c>
      <c r="J58" s="5" t="n">
        <v>47066</v>
      </c>
      <c r="K58" s="25" t="n">
        <v>0</v>
      </c>
    </row>
    <row r="59" customFormat="false" ht="15" hidden="false" customHeight="false" outlineLevel="0" collapsed="false">
      <c r="C59" s="1" t="s">
        <v>434</v>
      </c>
      <c r="E59" s="19" t="n">
        <v>0</v>
      </c>
      <c r="F59" s="19" t="n">
        <v>20</v>
      </c>
      <c r="I59" s="29" t="n">
        <f aca="false">E59*Thousand/In_FX+F59</f>
        <v>20</v>
      </c>
      <c r="J59" s="5" t="n">
        <v>46752</v>
      </c>
      <c r="K59" s="25" t="n">
        <v>0</v>
      </c>
    </row>
    <row r="60" customFormat="false" ht="15" hidden="false" customHeight="false" outlineLevel="0" collapsed="false">
      <c r="C60" s="1" t="s">
        <v>435</v>
      </c>
      <c r="E60" s="19" t="n">
        <v>0</v>
      </c>
      <c r="F60" s="19" t="n">
        <v>80</v>
      </c>
      <c r="I60" s="29" t="n">
        <f aca="false">E60*Thousand/In_FX+F60</f>
        <v>80</v>
      </c>
      <c r="J60" s="5" t="n">
        <v>46752</v>
      </c>
      <c r="K60" s="25" t="n">
        <v>0</v>
      </c>
    </row>
    <row r="61" customFormat="false" ht="15" hidden="false" customHeight="false" outlineLevel="0" collapsed="false">
      <c r="C61" s="1" t="s">
        <v>436</v>
      </c>
      <c r="E61" s="19" t="n">
        <v>91.2</v>
      </c>
      <c r="F61" s="19" t="n">
        <v>0</v>
      </c>
      <c r="I61" s="29" t="n">
        <f aca="false">E61*Thousand/In_FX+F61</f>
        <v>249.86301369863</v>
      </c>
      <c r="J61" s="5" t="n">
        <v>47201</v>
      </c>
      <c r="K61" s="25" t="n">
        <v>1</v>
      </c>
    </row>
    <row r="62" customFormat="false" ht="15" hidden="false" customHeight="false" outlineLevel="0" collapsed="false">
      <c r="E62" s="19"/>
      <c r="F62" s="19"/>
      <c r="I62" s="29" t="n">
        <f aca="false">E62*Thousand/In_FX+F62</f>
        <v>0</v>
      </c>
      <c r="J62" s="5"/>
      <c r="K62" s="25"/>
    </row>
    <row r="63" customFormat="false" ht="15" hidden="false" customHeight="false" outlineLevel="0" collapsed="false">
      <c r="E63" s="19"/>
      <c r="F63" s="19"/>
      <c r="I63" s="29" t="n">
        <f aca="false">E63*Thousand/In_FX+F63</f>
        <v>0</v>
      </c>
      <c r="J63" s="5"/>
      <c r="K63" s="25"/>
    </row>
    <row r="65" customFormat="false" ht="15" hidden="false" customHeight="false" outlineLevel="0" collapsed="false">
      <c r="C65" s="4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T1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50" min="10" style="1" width="11"/>
    <col collapsed="false" customWidth="false" hidden="true" outlineLevel="1" max="16384" min="151" style="1" width="13"/>
  </cols>
  <sheetData>
    <row r="1" customFormat="false" ht="15" hidden="false" customHeight="false" outlineLevel="0" collapsed="false">
      <c r="A1" s="45" t="n">
        <v>1</v>
      </c>
      <c r="C1" s="14" t="s">
        <v>437</v>
      </c>
    </row>
    <row r="2" customFormat="false" ht="15" hidden="false" customHeight="false" outlineLevel="0" collapsed="false">
      <c r="A2" s="2"/>
      <c r="B2" s="2" t="str">
        <f aca="false">Dashboard!$C$3&amp;" – Calculations – "&amp;INDEX(Bid_Labels,1,$A$1)</f>
        <v>Project Bora – Calculations – BORA 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</row>
    <row r="3" customFormat="false" ht="15" hidden="false" customHeight="false" outlineLevel="0" collapsed="false">
      <c r="C3" s="1" t="s">
        <v>438</v>
      </c>
      <c r="D3" s="12" t="s">
        <v>62</v>
      </c>
      <c r="J3" s="44" t="n">
        <f aca="false">I$4+1</f>
        <v>46204</v>
      </c>
      <c r="K3" s="44" t="n">
        <f aca="false">J$4+1</f>
        <v>46296</v>
      </c>
      <c r="L3" s="44" t="n">
        <f aca="false">K$4+1</f>
        <v>46388</v>
      </c>
      <c r="M3" s="44" t="n">
        <f aca="false">L$4+1</f>
        <v>46478</v>
      </c>
      <c r="N3" s="44" t="n">
        <f aca="false">M$4+1</f>
        <v>46569</v>
      </c>
      <c r="O3" s="44" t="n">
        <f aca="false">N$4+1</f>
        <v>46661</v>
      </c>
      <c r="P3" s="44" t="n">
        <f aca="false">O$4+1</f>
        <v>46753</v>
      </c>
      <c r="Q3" s="44" t="n">
        <f aca="false">P$4+1</f>
        <v>46844</v>
      </c>
      <c r="R3" s="44" t="n">
        <f aca="false">Q$4+1</f>
        <v>46935</v>
      </c>
      <c r="S3" s="44" t="n">
        <f aca="false">R$4+1</f>
        <v>47027</v>
      </c>
      <c r="T3" s="44" t="n">
        <f aca="false">S$4+1</f>
        <v>47119</v>
      </c>
      <c r="U3" s="44" t="n">
        <f aca="false">T$4+1</f>
        <v>47209</v>
      </c>
      <c r="V3" s="44" t="n">
        <f aca="false">U$4+1</f>
        <v>47300</v>
      </c>
      <c r="W3" s="44" t="n">
        <f aca="false">V$4+1</f>
        <v>47392</v>
      </c>
      <c r="X3" s="44" t="n">
        <f aca="false">W$4+1</f>
        <v>47484</v>
      </c>
      <c r="Y3" s="44" t="n">
        <f aca="false">X$4+1</f>
        <v>47574</v>
      </c>
      <c r="Z3" s="44" t="n">
        <f aca="false">Y$4+1</f>
        <v>47665</v>
      </c>
      <c r="AA3" s="44" t="n">
        <f aca="false">Z$4+1</f>
        <v>47757</v>
      </c>
      <c r="AB3" s="44" t="n">
        <f aca="false">AA$4+1</f>
        <v>47849</v>
      </c>
      <c r="AC3" s="44" t="n">
        <f aca="false">AB$4+1</f>
        <v>47939</v>
      </c>
      <c r="AD3" s="44" t="n">
        <f aca="false">AC$4+1</f>
        <v>48030</v>
      </c>
      <c r="AE3" s="44" t="n">
        <f aca="false">AD$4+1</f>
        <v>48122</v>
      </c>
      <c r="AF3" s="44" t="n">
        <f aca="false">AE$4+1</f>
        <v>48214</v>
      </c>
      <c r="AG3" s="44" t="n">
        <f aca="false">AF$4+1</f>
        <v>48305</v>
      </c>
      <c r="AH3" s="44" t="n">
        <f aca="false">AG$4+1</f>
        <v>48396</v>
      </c>
      <c r="AI3" s="44" t="n">
        <f aca="false">AH$4+1</f>
        <v>48488</v>
      </c>
      <c r="AJ3" s="44" t="n">
        <f aca="false">AI$4+1</f>
        <v>48580</v>
      </c>
      <c r="AK3" s="44" t="n">
        <f aca="false">AJ$4+1</f>
        <v>48670</v>
      </c>
      <c r="AL3" s="44" t="n">
        <f aca="false">AK$4+1</f>
        <v>48761</v>
      </c>
      <c r="AM3" s="44" t="n">
        <f aca="false">AL$4+1</f>
        <v>48853</v>
      </c>
      <c r="AN3" s="44" t="n">
        <f aca="false">AM$4+1</f>
        <v>48945</v>
      </c>
      <c r="AO3" s="44" t="n">
        <f aca="false">AN$4+1</f>
        <v>49035</v>
      </c>
      <c r="AP3" s="44" t="n">
        <f aca="false">AO$4+1</f>
        <v>49126</v>
      </c>
      <c r="AQ3" s="44" t="n">
        <f aca="false">AP$4+1</f>
        <v>49218</v>
      </c>
      <c r="AR3" s="44" t="n">
        <f aca="false">AQ$4+1</f>
        <v>49310</v>
      </c>
      <c r="AS3" s="44" t="n">
        <f aca="false">AR$4+1</f>
        <v>49400</v>
      </c>
      <c r="AT3" s="44" t="n">
        <f aca="false">AS$4+1</f>
        <v>49491</v>
      </c>
      <c r="AU3" s="44" t="n">
        <f aca="false">AT$4+1</f>
        <v>49583</v>
      </c>
      <c r="AV3" s="44" t="n">
        <f aca="false">AU$4+1</f>
        <v>49675</v>
      </c>
      <c r="AW3" s="44" t="n">
        <f aca="false">AV$4+1</f>
        <v>49766</v>
      </c>
      <c r="AX3" s="44" t="n">
        <f aca="false">AW$4+1</f>
        <v>49857</v>
      </c>
      <c r="AY3" s="44" t="n">
        <f aca="false">AX$4+1</f>
        <v>49949</v>
      </c>
      <c r="AZ3" s="44" t="n">
        <f aca="false">AY$4+1</f>
        <v>50041</v>
      </c>
      <c r="BA3" s="44" t="n">
        <f aca="false">AZ$4+1</f>
        <v>50131</v>
      </c>
      <c r="BB3" s="44" t="n">
        <f aca="false">BA$4+1</f>
        <v>50222</v>
      </c>
      <c r="BC3" s="44" t="n">
        <f aca="false">BB$4+1</f>
        <v>50314</v>
      </c>
      <c r="BD3" s="44" t="n">
        <f aca="false">BC$4+1</f>
        <v>50406</v>
      </c>
      <c r="BE3" s="44" t="n">
        <f aca="false">BD$4+1</f>
        <v>50496</v>
      </c>
      <c r="BF3" s="44" t="n">
        <f aca="false">BE$4+1</f>
        <v>50587</v>
      </c>
      <c r="BG3" s="44" t="n">
        <f aca="false">BF$4+1</f>
        <v>50679</v>
      </c>
      <c r="BH3" s="44" t="n">
        <f aca="false">BG$4+1</f>
        <v>50771</v>
      </c>
      <c r="BI3" s="44" t="n">
        <f aca="false">BH$4+1</f>
        <v>50861</v>
      </c>
      <c r="BJ3" s="44" t="n">
        <f aca="false">BI$4+1</f>
        <v>50952</v>
      </c>
      <c r="BK3" s="44" t="n">
        <f aca="false">BJ$4+1</f>
        <v>51044</v>
      </c>
      <c r="BL3" s="44" t="n">
        <f aca="false">BK$4+1</f>
        <v>51136</v>
      </c>
      <c r="BM3" s="44" t="n">
        <f aca="false">BL$4+1</f>
        <v>51227</v>
      </c>
      <c r="BN3" s="44" t="n">
        <f aca="false">BM$4+1</f>
        <v>51318</v>
      </c>
      <c r="BO3" s="44" t="n">
        <f aca="false">BN$4+1</f>
        <v>51410</v>
      </c>
      <c r="BP3" s="44" t="n">
        <f aca="false">BO$4+1</f>
        <v>51502</v>
      </c>
      <c r="BQ3" s="44" t="n">
        <f aca="false">BP$4+1</f>
        <v>51592</v>
      </c>
      <c r="BR3" s="44" t="n">
        <f aca="false">BQ$4+1</f>
        <v>51683</v>
      </c>
      <c r="BS3" s="44" t="n">
        <f aca="false">BR$4+1</f>
        <v>51775</v>
      </c>
      <c r="BT3" s="44" t="n">
        <f aca="false">BS$4+1</f>
        <v>51867</v>
      </c>
      <c r="BU3" s="44" t="n">
        <f aca="false">BT$4+1</f>
        <v>51957</v>
      </c>
      <c r="BV3" s="44" t="n">
        <f aca="false">BU$4+1</f>
        <v>52048</v>
      </c>
      <c r="BW3" s="44" t="n">
        <f aca="false">BV$4+1</f>
        <v>52140</v>
      </c>
      <c r="BX3" s="44" t="n">
        <f aca="false">BW$4+1</f>
        <v>52232</v>
      </c>
      <c r="BY3" s="44" t="n">
        <f aca="false">BX$4+1</f>
        <v>52322</v>
      </c>
      <c r="BZ3" s="44" t="n">
        <f aca="false">BY$4+1</f>
        <v>52413</v>
      </c>
      <c r="CA3" s="44" t="n">
        <f aca="false">BZ$4+1</f>
        <v>52505</v>
      </c>
      <c r="CB3" s="44" t="n">
        <f aca="false">CA$4+1</f>
        <v>52597</v>
      </c>
      <c r="CC3" s="44" t="n">
        <f aca="false">CB$4+1</f>
        <v>52688</v>
      </c>
      <c r="CD3" s="44" t="n">
        <f aca="false">CC$4+1</f>
        <v>52779</v>
      </c>
      <c r="CE3" s="44" t="n">
        <f aca="false">CD$4+1</f>
        <v>52871</v>
      </c>
      <c r="CF3" s="44" t="n">
        <f aca="false">CE$4+1</f>
        <v>52963</v>
      </c>
      <c r="CG3" s="44" t="n">
        <f aca="false">CF$4+1</f>
        <v>53053</v>
      </c>
      <c r="CH3" s="44" t="n">
        <f aca="false">CG$4+1</f>
        <v>53144</v>
      </c>
      <c r="CI3" s="44" t="n">
        <f aca="false">CH$4+1</f>
        <v>53236</v>
      </c>
      <c r="CJ3" s="44" t="n">
        <f aca="false">CI$4+1</f>
        <v>53328</v>
      </c>
      <c r="CK3" s="44" t="n">
        <f aca="false">CJ$4+1</f>
        <v>53418</v>
      </c>
      <c r="CL3" s="44" t="n">
        <f aca="false">CK$4+1</f>
        <v>53509</v>
      </c>
      <c r="CM3" s="44" t="n">
        <f aca="false">CL$4+1</f>
        <v>53601</v>
      </c>
      <c r="CN3" s="44" t="n">
        <f aca="false">CM$4+1</f>
        <v>53693</v>
      </c>
      <c r="CO3" s="44" t="n">
        <f aca="false">CN$4+1</f>
        <v>53783</v>
      </c>
      <c r="CP3" s="44" t="n">
        <f aca="false">CO$4+1</f>
        <v>53874</v>
      </c>
      <c r="CQ3" s="44" t="n">
        <f aca="false">CP$4+1</f>
        <v>53966</v>
      </c>
      <c r="CR3" s="44" t="n">
        <f aca="false">CQ$4+1</f>
        <v>54058</v>
      </c>
      <c r="CS3" s="44" t="n">
        <f aca="false">CR$4+1</f>
        <v>54149</v>
      </c>
      <c r="CT3" s="44" t="n">
        <f aca="false">CS$4+1</f>
        <v>54240</v>
      </c>
      <c r="CU3" s="44" t="n">
        <f aca="false">CT$4+1</f>
        <v>54332</v>
      </c>
      <c r="CV3" s="44" t="n">
        <f aca="false">CU$4+1</f>
        <v>54424</v>
      </c>
      <c r="CW3" s="44" t="n">
        <f aca="false">CV$4+1</f>
        <v>54514</v>
      </c>
      <c r="CX3" s="44" t="n">
        <f aca="false">CW$4+1</f>
        <v>54605</v>
      </c>
      <c r="CY3" s="44" t="n">
        <f aca="false">CX$4+1</f>
        <v>54697</v>
      </c>
      <c r="CZ3" s="44" t="n">
        <f aca="false">CY$4+1</f>
        <v>54789</v>
      </c>
      <c r="DA3" s="44" t="n">
        <f aca="false">CZ$4+1</f>
        <v>54879</v>
      </c>
      <c r="DB3" s="44" t="n">
        <f aca="false">DA$4+1</f>
        <v>54970</v>
      </c>
      <c r="DC3" s="44" t="n">
        <f aca="false">DB$4+1</f>
        <v>55062</v>
      </c>
      <c r="DD3" s="44" t="n">
        <f aca="false">DC$4+1</f>
        <v>55154</v>
      </c>
      <c r="DE3" s="44" t="n">
        <f aca="false">DD$4+1</f>
        <v>55244</v>
      </c>
      <c r="DF3" s="44" t="n">
        <f aca="false">DE$4+1</f>
        <v>55335</v>
      </c>
      <c r="DG3" s="44" t="n">
        <f aca="false">DF$4+1</f>
        <v>55427</v>
      </c>
      <c r="DH3" s="44" t="n">
        <f aca="false">DG$4+1</f>
        <v>55519</v>
      </c>
      <c r="DI3" s="44" t="n">
        <f aca="false">DH$4+1</f>
        <v>55610</v>
      </c>
      <c r="DJ3" s="44" t="n">
        <f aca="false">DI$4+1</f>
        <v>55701</v>
      </c>
      <c r="DK3" s="44" t="n">
        <f aca="false">DJ$4+1</f>
        <v>55793</v>
      </c>
      <c r="DL3" s="44" t="n">
        <f aca="false">DK$4+1</f>
        <v>55885</v>
      </c>
      <c r="DM3" s="44" t="n">
        <f aca="false">DL$4+1</f>
        <v>55975</v>
      </c>
      <c r="DN3" s="44" t="n">
        <f aca="false">DM$4+1</f>
        <v>56066</v>
      </c>
      <c r="DO3" s="44" t="n">
        <f aca="false">DN$4+1</f>
        <v>56158</v>
      </c>
      <c r="DP3" s="44" t="n">
        <f aca="false">DO$4+1</f>
        <v>56250</v>
      </c>
      <c r="DQ3" s="44" t="n">
        <f aca="false">DP$4+1</f>
        <v>56340</v>
      </c>
      <c r="DR3" s="44" t="n">
        <f aca="false">DQ$4+1</f>
        <v>56431</v>
      </c>
      <c r="DS3" s="44" t="n">
        <f aca="false">DR$4+1</f>
        <v>56523</v>
      </c>
      <c r="DT3" s="44" t="n">
        <f aca="false">DS$4+1</f>
        <v>56615</v>
      </c>
      <c r="DU3" s="44" t="n">
        <f aca="false">DT$4+1</f>
        <v>56705</v>
      </c>
      <c r="DV3" s="44" t="n">
        <f aca="false">DU$4+1</f>
        <v>56796</v>
      </c>
      <c r="DW3" s="44" t="n">
        <f aca="false">DV$4+1</f>
        <v>56888</v>
      </c>
      <c r="DX3" s="44" t="n">
        <f aca="false">DW$4+1</f>
        <v>56980</v>
      </c>
      <c r="DY3" s="44" t="n">
        <f aca="false">DX$4+1</f>
        <v>57071</v>
      </c>
      <c r="DZ3" s="44" t="n">
        <f aca="false">DY$4+1</f>
        <v>57162</v>
      </c>
      <c r="EA3" s="44" t="n">
        <f aca="false">DZ$4+1</f>
        <v>57254</v>
      </c>
      <c r="EB3" s="44" t="n">
        <f aca="false">EA$4+1</f>
        <v>57346</v>
      </c>
      <c r="EC3" s="44" t="n">
        <f aca="false">EB$4+1</f>
        <v>57436</v>
      </c>
      <c r="ED3" s="44" t="n">
        <f aca="false">EC$4+1</f>
        <v>57527</v>
      </c>
      <c r="EE3" s="44" t="n">
        <f aca="false">ED$4+1</f>
        <v>57619</v>
      </c>
      <c r="EF3" s="44" t="n">
        <f aca="false">EE$4+1</f>
        <v>57711</v>
      </c>
      <c r="EG3" s="44" t="n">
        <f aca="false">EF$4+1</f>
        <v>57801</v>
      </c>
      <c r="EH3" s="44" t="n">
        <f aca="false">EG$4+1</f>
        <v>57892</v>
      </c>
      <c r="EI3" s="44" t="n">
        <f aca="false">EH$4+1</f>
        <v>57984</v>
      </c>
      <c r="EJ3" s="44" t="n">
        <f aca="false">EI$4+1</f>
        <v>58076</v>
      </c>
      <c r="EK3" s="44" t="n">
        <f aca="false">EJ$4+1</f>
        <v>58166</v>
      </c>
      <c r="EL3" s="44" t="n">
        <f aca="false">EK$4+1</f>
        <v>58257</v>
      </c>
      <c r="EM3" s="44" t="n">
        <f aca="false">EL$4+1</f>
        <v>58349</v>
      </c>
      <c r="EN3" s="44" t="n">
        <f aca="false">EM$4+1</f>
        <v>58441</v>
      </c>
      <c r="EO3" s="44" t="n">
        <f aca="false">EN$4+1</f>
        <v>58532</v>
      </c>
      <c r="EP3" s="44" t="n">
        <f aca="false">EO$4+1</f>
        <v>58623</v>
      </c>
      <c r="EQ3" s="44" t="n">
        <f aca="false">EP$4+1</f>
        <v>58715</v>
      </c>
      <c r="ER3" s="44" t="n">
        <f aca="false">EQ$4+1</f>
        <v>58807</v>
      </c>
      <c r="ES3" s="44" t="n">
        <f aca="false">ER$4+1</f>
        <v>58897</v>
      </c>
      <c r="ET3" s="44" t="n">
        <f aca="false">ES$4+1</f>
        <v>58988</v>
      </c>
    </row>
    <row r="4" customFormat="false" ht="15" hidden="false" customHeight="false" outlineLevel="0" collapsed="false">
      <c r="C4" s="1" t="s">
        <v>439</v>
      </c>
      <c r="D4" s="12" t="s">
        <v>62</v>
      </c>
      <c r="I4" s="44" t="n">
        <f aca="false">In_Model_Start-1</f>
        <v>46203</v>
      </c>
      <c r="J4" s="53" t="n">
        <f aca="false">EOMONTH(J$3,Months_Per_Period-1)</f>
        <v>46295</v>
      </c>
      <c r="K4" s="53" t="n">
        <f aca="false">EOMONTH(K$3,Months_Per_Period-1)</f>
        <v>46387</v>
      </c>
      <c r="L4" s="53" t="n">
        <f aca="false">EOMONTH(L$3,Months_Per_Period-1)</f>
        <v>46477</v>
      </c>
      <c r="M4" s="53" t="n">
        <f aca="false">EOMONTH(M$3,Months_Per_Period-1)</f>
        <v>46568</v>
      </c>
      <c r="N4" s="53" t="n">
        <f aca="false">EOMONTH(N$3,Months_Per_Period-1)</f>
        <v>46660</v>
      </c>
      <c r="O4" s="53" t="n">
        <f aca="false">EOMONTH(O$3,Months_Per_Period-1)</f>
        <v>46752</v>
      </c>
      <c r="P4" s="53" t="n">
        <f aca="false">EOMONTH(P$3,Months_Per_Period-1)</f>
        <v>46843</v>
      </c>
      <c r="Q4" s="53" t="n">
        <f aca="false">EOMONTH(Q$3,Months_Per_Period-1)</f>
        <v>46934</v>
      </c>
      <c r="R4" s="53" t="n">
        <f aca="false">EOMONTH(R$3,Months_Per_Period-1)</f>
        <v>47026</v>
      </c>
      <c r="S4" s="53" t="n">
        <f aca="false">EOMONTH(S$3,Months_Per_Period-1)</f>
        <v>47118</v>
      </c>
      <c r="T4" s="53" t="n">
        <f aca="false">EOMONTH(T$3,Months_Per_Period-1)</f>
        <v>47208</v>
      </c>
      <c r="U4" s="53" t="n">
        <f aca="false">EOMONTH(U$3,Months_Per_Period-1)</f>
        <v>47299</v>
      </c>
      <c r="V4" s="53" t="n">
        <f aca="false">EOMONTH(V$3,Months_Per_Period-1)</f>
        <v>47391</v>
      </c>
      <c r="W4" s="53" t="n">
        <f aca="false">EOMONTH(W$3,Months_Per_Period-1)</f>
        <v>47483</v>
      </c>
      <c r="X4" s="53" t="n">
        <f aca="false">EOMONTH(X$3,Months_Per_Period-1)</f>
        <v>47573</v>
      </c>
      <c r="Y4" s="53" t="n">
        <f aca="false">EOMONTH(Y$3,Months_Per_Period-1)</f>
        <v>47664</v>
      </c>
      <c r="Z4" s="53" t="n">
        <f aca="false">EOMONTH(Z$3,Months_Per_Period-1)</f>
        <v>47756</v>
      </c>
      <c r="AA4" s="53" t="n">
        <f aca="false">EOMONTH(AA$3,Months_Per_Period-1)</f>
        <v>47848</v>
      </c>
      <c r="AB4" s="53" t="n">
        <f aca="false">EOMONTH(AB$3,Months_Per_Period-1)</f>
        <v>47938</v>
      </c>
      <c r="AC4" s="53" t="n">
        <f aca="false">EOMONTH(AC$3,Months_Per_Period-1)</f>
        <v>48029</v>
      </c>
      <c r="AD4" s="53" t="n">
        <f aca="false">EOMONTH(AD$3,Months_Per_Period-1)</f>
        <v>48121</v>
      </c>
      <c r="AE4" s="53" t="n">
        <f aca="false">EOMONTH(AE$3,Months_Per_Period-1)</f>
        <v>48213</v>
      </c>
      <c r="AF4" s="53" t="n">
        <f aca="false">EOMONTH(AF$3,Months_Per_Period-1)</f>
        <v>48304</v>
      </c>
      <c r="AG4" s="53" t="n">
        <f aca="false">EOMONTH(AG$3,Months_Per_Period-1)</f>
        <v>48395</v>
      </c>
      <c r="AH4" s="53" t="n">
        <f aca="false">EOMONTH(AH$3,Months_Per_Period-1)</f>
        <v>48487</v>
      </c>
      <c r="AI4" s="53" t="n">
        <f aca="false">EOMONTH(AI$3,Months_Per_Period-1)</f>
        <v>48579</v>
      </c>
      <c r="AJ4" s="53" t="n">
        <f aca="false">EOMONTH(AJ$3,Months_Per_Period-1)</f>
        <v>48669</v>
      </c>
      <c r="AK4" s="53" t="n">
        <f aca="false">EOMONTH(AK$3,Months_Per_Period-1)</f>
        <v>48760</v>
      </c>
      <c r="AL4" s="53" t="n">
        <f aca="false">EOMONTH(AL$3,Months_Per_Period-1)</f>
        <v>48852</v>
      </c>
      <c r="AM4" s="53" t="n">
        <f aca="false">EOMONTH(AM$3,Months_Per_Period-1)</f>
        <v>48944</v>
      </c>
      <c r="AN4" s="53" t="n">
        <f aca="false">EOMONTH(AN$3,Months_Per_Period-1)</f>
        <v>49034</v>
      </c>
      <c r="AO4" s="53" t="n">
        <f aca="false">EOMONTH(AO$3,Months_Per_Period-1)</f>
        <v>49125</v>
      </c>
      <c r="AP4" s="53" t="n">
        <f aca="false">EOMONTH(AP$3,Months_Per_Period-1)</f>
        <v>49217</v>
      </c>
      <c r="AQ4" s="53" t="n">
        <f aca="false">EOMONTH(AQ$3,Months_Per_Period-1)</f>
        <v>49309</v>
      </c>
      <c r="AR4" s="53" t="n">
        <f aca="false">EOMONTH(AR$3,Months_Per_Period-1)</f>
        <v>49399</v>
      </c>
      <c r="AS4" s="53" t="n">
        <f aca="false">EOMONTH(AS$3,Months_Per_Period-1)</f>
        <v>49490</v>
      </c>
      <c r="AT4" s="53" t="n">
        <f aca="false">EOMONTH(AT$3,Months_Per_Period-1)</f>
        <v>49582</v>
      </c>
      <c r="AU4" s="53" t="n">
        <f aca="false">EOMONTH(AU$3,Months_Per_Period-1)</f>
        <v>49674</v>
      </c>
      <c r="AV4" s="53" t="n">
        <f aca="false">EOMONTH(AV$3,Months_Per_Period-1)</f>
        <v>49765</v>
      </c>
      <c r="AW4" s="53" t="n">
        <f aca="false">EOMONTH(AW$3,Months_Per_Period-1)</f>
        <v>49856</v>
      </c>
      <c r="AX4" s="53" t="n">
        <f aca="false">EOMONTH(AX$3,Months_Per_Period-1)</f>
        <v>49948</v>
      </c>
      <c r="AY4" s="53" t="n">
        <f aca="false">EOMONTH(AY$3,Months_Per_Period-1)</f>
        <v>50040</v>
      </c>
      <c r="AZ4" s="53" t="n">
        <f aca="false">EOMONTH(AZ$3,Months_Per_Period-1)</f>
        <v>50130</v>
      </c>
      <c r="BA4" s="53" t="n">
        <f aca="false">EOMONTH(BA$3,Months_Per_Period-1)</f>
        <v>50221</v>
      </c>
      <c r="BB4" s="53" t="n">
        <f aca="false">EOMONTH(BB$3,Months_Per_Period-1)</f>
        <v>50313</v>
      </c>
      <c r="BC4" s="53" t="n">
        <f aca="false">EOMONTH(BC$3,Months_Per_Period-1)</f>
        <v>50405</v>
      </c>
      <c r="BD4" s="53" t="n">
        <f aca="false">EOMONTH(BD$3,Months_Per_Period-1)</f>
        <v>50495</v>
      </c>
      <c r="BE4" s="53" t="n">
        <f aca="false">EOMONTH(BE$3,Months_Per_Period-1)</f>
        <v>50586</v>
      </c>
      <c r="BF4" s="53" t="n">
        <f aca="false">EOMONTH(BF$3,Months_Per_Period-1)</f>
        <v>50678</v>
      </c>
      <c r="BG4" s="53" t="n">
        <f aca="false">EOMONTH(BG$3,Months_Per_Period-1)</f>
        <v>50770</v>
      </c>
      <c r="BH4" s="53" t="n">
        <f aca="false">EOMONTH(BH$3,Months_Per_Period-1)</f>
        <v>50860</v>
      </c>
      <c r="BI4" s="53" t="n">
        <f aca="false">EOMONTH(BI$3,Months_Per_Period-1)</f>
        <v>50951</v>
      </c>
      <c r="BJ4" s="53" t="n">
        <f aca="false">EOMONTH(BJ$3,Months_Per_Period-1)</f>
        <v>51043</v>
      </c>
      <c r="BK4" s="53" t="n">
        <f aca="false">EOMONTH(BK$3,Months_Per_Period-1)</f>
        <v>51135</v>
      </c>
      <c r="BL4" s="53" t="n">
        <f aca="false">EOMONTH(BL$3,Months_Per_Period-1)</f>
        <v>51226</v>
      </c>
      <c r="BM4" s="53" t="n">
        <f aca="false">EOMONTH(BM$3,Months_Per_Period-1)</f>
        <v>51317</v>
      </c>
      <c r="BN4" s="53" t="n">
        <f aca="false">EOMONTH(BN$3,Months_Per_Period-1)</f>
        <v>51409</v>
      </c>
      <c r="BO4" s="53" t="n">
        <f aca="false">EOMONTH(BO$3,Months_Per_Period-1)</f>
        <v>51501</v>
      </c>
      <c r="BP4" s="53" t="n">
        <f aca="false">EOMONTH(BP$3,Months_Per_Period-1)</f>
        <v>51591</v>
      </c>
      <c r="BQ4" s="53" t="n">
        <f aca="false">EOMONTH(BQ$3,Months_Per_Period-1)</f>
        <v>51682</v>
      </c>
      <c r="BR4" s="53" t="n">
        <f aca="false">EOMONTH(BR$3,Months_Per_Period-1)</f>
        <v>51774</v>
      </c>
      <c r="BS4" s="53" t="n">
        <f aca="false">EOMONTH(BS$3,Months_Per_Period-1)</f>
        <v>51866</v>
      </c>
      <c r="BT4" s="53" t="n">
        <f aca="false">EOMONTH(BT$3,Months_Per_Period-1)</f>
        <v>51956</v>
      </c>
      <c r="BU4" s="53" t="n">
        <f aca="false">EOMONTH(BU$3,Months_Per_Period-1)</f>
        <v>52047</v>
      </c>
      <c r="BV4" s="53" t="n">
        <f aca="false">EOMONTH(BV$3,Months_Per_Period-1)</f>
        <v>52139</v>
      </c>
      <c r="BW4" s="53" t="n">
        <f aca="false">EOMONTH(BW$3,Months_Per_Period-1)</f>
        <v>52231</v>
      </c>
      <c r="BX4" s="53" t="n">
        <f aca="false">EOMONTH(BX$3,Months_Per_Period-1)</f>
        <v>52321</v>
      </c>
      <c r="BY4" s="53" t="n">
        <f aca="false">EOMONTH(BY$3,Months_Per_Period-1)</f>
        <v>52412</v>
      </c>
      <c r="BZ4" s="53" t="n">
        <f aca="false">EOMONTH(BZ$3,Months_Per_Period-1)</f>
        <v>52504</v>
      </c>
      <c r="CA4" s="53" t="n">
        <f aca="false">EOMONTH(CA$3,Months_Per_Period-1)</f>
        <v>52596</v>
      </c>
      <c r="CB4" s="53" t="n">
        <f aca="false">EOMONTH(CB$3,Months_Per_Period-1)</f>
        <v>52687</v>
      </c>
      <c r="CC4" s="53" t="n">
        <f aca="false">EOMONTH(CC$3,Months_Per_Period-1)</f>
        <v>52778</v>
      </c>
      <c r="CD4" s="53" t="n">
        <f aca="false">EOMONTH(CD$3,Months_Per_Period-1)</f>
        <v>52870</v>
      </c>
      <c r="CE4" s="53" t="n">
        <f aca="false">EOMONTH(CE$3,Months_Per_Period-1)</f>
        <v>52962</v>
      </c>
      <c r="CF4" s="53" t="n">
        <f aca="false">EOMONTH(CF$3,Months_Per_Period-1)</f>
        <v>53052</v>
      </c>
      <c r="CG4" s="53" t="n">
        <f aca="false">EOMONTH(CG$3,Months_Per_Period-1)</f>
        <v>53143</v>
      </c>
      <c r="CH4" s="53" t="n">
        <f aca="false">EOMONTH(CH$3,Months_Per_Period-1)</f>
        <v>53235</v>
      </c>
      <c r="CI4" s="53" t="n">
        <f aca="false">EOMONTH(CI$3,Months_Per_Period-1)</f>
        <v>53327</v>
      </c>
      <c r="CJ4" s="53" t="n">
        <f aca="false">EOMONTH(CJ$3,Months_Per_Period-1)</f>
        <v>53417</v>
      </c>
      <c r="CK4" s="53" t="n">
        <f aca="false">EOMONTH(CK$3,Months_Per_Period-1)</f>
        <v>53508</v>
      </c>
      <c r="CL4" s="53" t="n">
        <f aca="false">EOMONTH(CL$3,Months_Per_Period-1)</f>
        <v>53600</v>
      </c>
      <c r="CM4" s="53" t="n">
        <f aca="false">EOMONTH(CM$3,Months_Per_Period-1)</f>
        <v>53692</v>
      </c>
      <c r="CN4" s="53" t="n">
        <f aca="false">EOMONTH(CN$3,Months_Per_Period-1)</f>
        <v>53782</v>
      </c>
      <c r="CO4" s="53" t="n">
        <f aca="false">EOMONTH(CO$3,Months_Per_Period-1)</f>
        <v>53873</v>
      </c>
      <c r="CP4" s="53" t="n">
        <f aca="false">EOMONTH(CP$3,Months_Per_Period-1)</f>
        <v>53965</v>
      </c>
      <c r="CQ4" s="53" t="n">
        <f aca="false">EOMONTH(CQ$3,Months_Per_Period-1)</f>
        <v>54057</v>
      </c>
      <c r="CR4" s="53" t="n">
        <f aca="false">EOMONTH(CR$3,Months_Per_Period-1)</f>
        <v>54148</v>
      </c>
      <c r="CS4" s="53" t="n">
        <f aca="false">EOMONTH(CS$3,Months_Per_Period-1)</f>
        <v>54239</v>
      </c>
      <c r="CT4" s="53" t="n">
        <f aca="false">EOMONTH(CT$3,Months_Per_Period-1)</f>
        <v>54331</v>
      </c>
      <c r="CU4" s="53" t="n">
        <f aca="false">EOMONTH(CU$3,Months_Per_Period-1)</f>
        <v>54423</v>
      </c>
      <c r="CV4" s="53" t="n">
        <f aca="false">EOMONTH(CV$3,Months_Per_Period-1)</f>
        <v>54513</v>
      </c>
      <c r="CW4" s="53" t="n">
        <f aca="false">EOMONTH(CW$3,Months_Per_Period-1)</f>
        <v>54604</v>
      </c>
      <c r="CX4" s="53" t="n">
        <f aca="false">EOMONTH(CX$3,Months_Per_Period-1)</f>
        <v>54696</v>
      </c>
      <c r="CY4" s="53" t="n">
        <f aca="false">EOMONTH(CY$3,Months_Per_Period-1)</f>
        <v>54788</v>
      </c>
      <c r="CZ4" s="53" t="n">
        <f aca="false">EOMONTH(CZ$3,Months_Per_Period-1)</f>
        <v>54878</v>
      </c>
      <c r="DA4" s="53" t="n">
        <f aca="false">EOMONTH(DA$3,Months_Per_Period-1)</f>
        <v>54969</v>
      </c>
      <c r="DB4" s="53" t="n">
        <f aca="false">EOMONTH(DB$3,Months_Per_Period-1)</f>
        <v>55061</v>
      </c>
      <c r="DC4" s="53" t="n">
        <f aca="false">EOMONTH(DC$3,Months_Per_Period-1)</f>
        <v>55153</v>
      </c>
      <c r="DD4" s="53" t="n">
        <f aca="false">EOMONTH(DD$3,Months_Per_Period-1)</f>
        <v>55243</v>
      </c>
      <c r="DE4" s="53" t="n">
        <f aca="false">EOMONTH(DE$3,Months_Per_Period-1)</f>
        <v>55334</v>
      </c>
      <c r="DF4" s="53" t="n">
        <f aca="false">EOMONTH(DF$3,Months_Per_Period-1)</f>
        <v>55426</v>
      </c>
      <c r="DG4" s="53" t="n">
        <f aca="false">EOMONTH(DG$3,Months_Per_Period-1)</f>
        <v>55518</v>
      </c>
      <c r="DH4" s="53" t="n">
        <f aca="false">EOMONTH(DH$3,Months_Per_Period-1)</f>
        <v>55609</v>
      </c>
      <c r="DI4" s="53" t="n">
        <f aca="false">EOMONTH(DI$3,Months_Per_Period-1)</f>
        <v>55700</v>
      </c>
      <c r="DJ4" s="53" t="n">
        <f aca="false">EOMONTH(DJ$3,Months_Per_Period-1)</f>
        <v>55792</v>
      </c>
      <c r="DK4" s="53" t="n">
        <f aca="false">EOMONTH(DK$3,Months_Per_Period-1)</f>
        <v>55884</v>
      </c>
      <c r="DL4" s="53" t="n">
        <f aca="false">EOMONTH(DL$3,Months_Per_Period-1)</f>
        <v>55974</v>
      </c>
      <c r="DM4" s="53" t="n">
        <f aca="false">EOMONTH(DM$3,Months_Per_Period-1)</f>
        <v>56065</v>
      </c>
      <c r="DN4" s="53" t="n">
        <f aca="false">EOMONTH(DN$3,Months_Per_Period-1)</f>
        <v>56157</v>
      </c>
      <c r="DO4" s="53" t="n">
        <f aca="false">EOMONTH(DO$3,Months_Per_Period-1)</f>
        <v>56249</v>
      </c>
      <c r="DP4" s="53" t="n">
        <f aca="false">EOMONTH(DP$3,Months_Per_Period-1)</f>
        <v>56339</v>
      </c>
      <c r="DQ4" s="53" t="n">
        <f aca="false">EOMONTH(DQ$3,Months_Per_Period-1)</f>
        <v>56430</v>
      </c>
      <c r="DR4" s="53" t="n">
        <f aca="false">EOMONTH(DR$3,Months_Per_Period-1)</f>
        <v>56522</v>
      </c>
      <c r="DS4" s="53" t="n">
        <f aca="false">EOMONTH(DS$3,Months_Per_Period-1)</f>
        <v>56614</v>
      </c>
      <c r="DT4" s="53" t="n">
        <f aca="false">EOMONTH(DT$3,Months_Per_Period-1)</f>
        <v>56704</v>
      </c>
      <c r="DU4" s="53" t="n">
        <f aca="false">EOMONTH(DU$3,Months_Per_Period-1)</f>
        <v>56795</v>
      </c>
      <c r="DV4" s="53" t="n">
        <f aca="false">EOMONTH(DV$3,Months_Per_Period-1)</f>
        <v>56887</v>
      </c>
      <c r="DW4" s="53" t="n">
        <f aca="false">EOMONTH(DW$3,Months_Per_Period-1)</f>
        <v>56979</v>
      </c>
      <c r="DX4" s="53" t="n">
        <f aca="false">EOMONTH(DX$3,Months_Per_Period-1)</f>
        <v>57070</v>
      </c>
      <c r="DY4" s="53" t="n">
        <f aca="false">EOMONTH(DY$3,Months_Per_Period-1)</f>
        <v>57161</v>
      </c>
      <c r="DZ4" s="53" t="n">
        <f aca="false">EOMONTH(DZ$3,Months_Per_Period-1)</f>
        <v>57253</v>
      </c>
      <c r="EA4" s="53" t="n">
        <f aca="false">EOMONTH(EA$3,Months_Per_Period-1)</f>
        <v>57345</v>
      </c>
      <c r="EB4" s="53" t="n">
        <f aca="false">EOMONTH(EB$3,Months_Per_Period-1)</f>
        <v>57435</v>
      </c>
      <c r="EC4" s="53" t="n">
        <f aca="false">EOMONTH(EC$3,Months_Per_Period-1)</f>
        <v>57526</v>
      </c>
      <c r="ED4" s="53" t="n">
        <f aca="false">EOMONTH(ED$3,Months_Per_Period-1)</f>
        <v>57618</v>
      </c>
      <c r="EE4" s="53" t="n">
        <f aca="false">EOMONTH(EE$3,Months_Per_Period-1)</f>
        <v>57710</v>
      </c>
      <c r="EF4" s="53" t="n">
        <f aca="false">EOMONTH(EF$3,Months_Per_Period-1)</f>
        <v>57800</v>
      </c>
      <c r="EG4" s="53" t="n">
        <f aca="false">EOMONTH(EG$3,Months_Per_Period-1)</f>
        <v>57891</v>
      </c>
      <c r="EH4" s="53" t="n">
        <f aca="false">EOMONTH(EH$3,Months_Per_Period-1)</f>
        <v>57983</v>
      </c>
      <c r="EI4" s="53" t="n">
        <f aca="false">EOMONTH(EI$3,Months_Per_Period-1)</f>
        <v>58075</v>
      </c>
      <c r="EJ4" s="53" t="n">
        <f aca="false">EOMONTH(EJ$3,Months_Per_Period-1)</f>
        <v>58165</v>
      </c>
      <c r="EK4" s="53" t="n">
        <f aca="false">EOMONTH(EK$3,Months_Per_Period-1)</f>
        <v>58256</v>
      </c>
      <c r="EL4" s="53" t="n">
        <f aca="false">EOMONTH(EL$3,Months_Per_Period-1)</f>
        <v>58348</v>
      </c>
      <c r="EM4" s="53" t="n">
        <f aca="false">EOMONTH(EM$3,Months_Per_Period-1)</f>
        <v>58440</v>
      </c>
      <c r="EN4" s="53" t="n">
        <f aca="false">EOMONTH(EN$3,Months_Per_Period-1)</f>
        <v>58531</v>
      </c>
      <c r="EO4" s="53" t="n">
        <f aca="false">EOMONTH(EO$3,Months_Per_Period-1)</f>
        <v>58622</v>
      </c>
      <c r="EP4" s="53" t="n">
        <f aca="false">EOMONTH(EP$3,Months_Per_Period-1)</f>
        <v>58714</v>
      </c>
      <c r="EQ4" s="53" t="n">
        <f aca="false">EOMONTH(EQ$3,Months_Per_Period-1)</f>
        <v>58806</v>
      </c>
      <c r="ER4" s="53" t="n">
        <f aca="false">EOMONTH(ER$3,Months_Per_Period-1)</f>
        <v>58896</v>
      </c>
      <c r="ES4" s="53" t="n">
        <f aca="false">EOMONTH(ES$3,Months_Per_Period-1)</f>
        <v>58987</v>
      </c>
      <c r="ET4" s="53" t="n">
        <f aca="false">EOMONTH(ET$3,Months_Per_Period-1)</f>
        <v>59079</v>
      </c>
    </row>
    <row r="5" customFormat="false" ht="15" hidden="false" customHeight="false" outlineLevel="0" collapsed="false">
      <c r="C5" s="1" t="s">
        <v>440</v>
      </c>
      <c r="D5" s="12" t="s">
        <v>184</v>
      </c>
      <c r="J5" s="42" t="n">
        <f aca="false">J$4-J$3+1</f>
        <v>92</v>
      </c>
      <c r="K5" s="42" t="n">
        <f aca="false">K$4-K$3+1</f>
        <v>92</v>
      </c>
      <c r="L5" s="42" t="n">
        <f aca="false">L$4-L$3+1</f>
        <v>90</v>
      </c>
      <c r="M5" s="42" t="n">
        <f aca="false">M$4-M$3+1</f>
        <v>91</v>
      </c>
      <c r="N5" s="42" t="n">
        <f aca="false">N$4-N$3+1</f>
        <v>92</v>
      </c>
      <c r="O5" s="42" t="n">
        <f aca="false">O$4-O$3+1</f>
        <v>92</v>
      </c>
      <c r="P5" s="42" t="n">
        <f aca="false">P$4-P$3+1</f>
        <v>91</v>
      </c>
      <c r="Q5" s="42" t="n">
        <f aca="false">Q$4-Q$3+1</f>
        <v>91</v>
      </c>
      <c r="R5" s="42" t="n">
        <f aca="false">R$4-R$3+1</f>
        <v>92</v>
      </c>
      <c r="S5" s="42" t="n">
        <f aca="false">S$4-S$3+1</f>
        <v>92</v>
      </c>
      <c r="T5" s="42" t="n">
        <f aca="false">T$4-T$3+1</f>
        <v>90</v>
      </c>
      <c r="U5" s="42" t="n">
        <f aca="false">U$4-U$3+1</f>
        <v>91</v>
      </c>
      <c r="V5" s="42" t="n">
        <f aca="false">V$4-V$3+1</f>
        <v>92</v>
      </c>
      <c r="W5" s="42" t="n">
        <f aca="false">W$4-W$3+1</f>
        <v>92</v>
      </c>
      <c r="X5" s="42" t="n">
        <f aca="false">X$4-X$3+1</f>
        <v>90</v>
      </c>
      <c r="Y5" s="42" t="n">
        <f aca="false">Y$4-Y$3+1</f>
        <v>91</v>
      </c>
      <c r="Z5" s="42" t="n">
        <f aca="false">Z$4-Z$3+1</f>
        <v>92</v>
      </c>
      <c r="AA5" s="42" t="n">
        <f aca="false">AA$4-AA$3+1</f>
        <v>92</v>
      </c>
      <c r="AB5" s="42" t="n">
        <f aca="false">AB$4-AB$3+1</f>
        <v>90</v>
      </c>
      <c r="AC5" s="42" t="n">
        <f aca="false">AC$4-AC$3+1</f>
        <v>91</v>
      </c>
      <c r="AD5" s="42" t="n">
        <f aca="false">AD$4-AD$3+1</f>
        <v>92</v>
      </c>
      <c r="AE5" s="42" t="n">
        <f aca="false">AE$4-AE$3+1</f>
        <v>92</v>
      </c>
      <c r="AF5" s="42" t="n">
        <f aca="false">AF$4-AF$3+1</f>
        <v>91</v>
      </c>
      <c r="AG5" s="42" t="n">
        <f aca="false">AG$4-AG$3+1</f>
        <v>91</v>
      </c>
      <c r="AH5" s="42" t="n">
        <f aca="false">AH$4-AH$3+1</f>
        <v>92</v>
      </c>
      <c r="AI5" s="42" t="n">
        <f aca="false">AI$4-AI$3+1</f>
        <v>92</v>
      </c>
      <c r="AJ5" s="42" t="n">
        <f aca="false">AJ$4-AJ$3+1</f>
        <v>90</v>
      </c>
      <c r="AK5" s="42" t="n">
        <f aca="false">AK$4-AK$3+1</f>
        <v>91</v>
      </c>
      <c r="AL5" s="42" t="n">
        <f aca="false">AL$4-AL$3+1</f>
        <v>92</v>
      </c>
      <c r="AM5" s="42" t="n">
        <f aca="false">AM$4-AM$3+1</f>
        <v>92</v>
      </c>
      <c r="AN5" s="42" t="n">
        <f aca="false">AN$4-AN$3+1</f>
        <v>90</v>
      </c>
      <c r="AO5" s="42" t="n">
        <f aca="false">AO$4-AO$3+1</f>
        <v>91</v>
      </c>
      <c r="AP5" s="42" t="n">
        <f aca="false">AP$4-AP$3+1</f>
        <v>92</v>
      </c>
      <c r="AQ5" s="42" t="n">
        <f aca="false">AQ$4-AQ$3+1</f>
        <v>92</v>
      </c>
      <c r="AR5" s="42" t="n">
        <f aca="false">AR$4-AR$3+1</f>
        <v>90</v>
      </c>
      <c r="AS5" s="42" t="n">
        <f aca="false">AS$4-AS$3+1</f>
        <v>91</v>
      </c>
      <c r="AT5" s="42" t="n">
        <f aca="false">AT$4-AT$3+1</f>
        <v>92</v>
      </c>
      <c r="AU5" s="42" t="n">
        <f aca="false">AU$4-AU$3+1</f>
        <v>92</v>
      </c>
      <c r="AV5" s="42" t="n">
        <f aca="false">AV$4-AV$3+1</f>
        <v>91</v>
      </c>
      <c r="AW5" s="42" t="n">
        <f aca="false">AW$4-AW$3+1</f>
        <v>91</v>
      </c>
      <c r="AX5" s="42" t="n">
        <f aca="false">AX$4-AX$3+1</f>
        <v>92</v>
      </c>
      <c r="AY5" s="42" t="n">
        <f aca="false">AY$4-AY$3+1</f>
        <v>92</v>
      </c>
      <c r="AZ5" s="42" t="n">
        <f aca="false">AZ$4-AZ$3+1</f>
        <v>90</v>
      </c>
      <c r="BA5" s="42" t="n">
        <f aca="false">BA$4-BA$3+1</f>
        <v>91</v>
      </c>
      <c r="BB5" s="42" t="n">
        <f aca="false">BB$4-BB$3+1</f>
        <v>92</v>
      </c>
      <c r="BC5" s="42" t="n">
        <f aca="false">BC$4-BC$3+1</f>
        <v>92</v>
      </c>
      <c r="BD5" s="42" t="n">
        <f aca="false">BD$4-BD$3+1</f>
        <v>90</v>
      </c>
      <c r="BE5" s="42" t="n">
        <f aca="false">BE$4-BE$3+1</f>
        <v>91</v>
      </c>
      <c r="BF5" s="42" t="n">
        <f aca="false">BF$4-BF$3+1</f>
        <v>92</v>
      </c>
      <c r="BG5" s="42" t="n">
        <f aca="false">BG$4-BG$3+1</f>
        <v>92</v>
      </c>
      <c r="BH5" s="42" t="n">
        <f aca="false">BH$4-BH$3+1</f>
        <v>90</v>
      </c>
      <c r="BI5" s="42" t="n">
        <f aca="false">BI$4-BI$3+1</f>
        <v>91</v>
      </c>
      <c r="BJ5" s="42" t="n">
        <f aca="false">BJ$4-BJ$3+1</f>
        <v>92</v>
      </c>
      <c r="BK5" s="42" t="n">
        <f aca="false">BK$4-BK$3+1</f>
        <v>92</v>
      </c>
      <c r="BL5" s="42" t="n">
        <f aca="false">BL$4-BL$3+1</f>
        <v>91</v>
      </c>
      <c r="BM5" s="42" t="n">
        <f aca="false">BM$4-BM$3+1</f>
        <v>91</v>
      </c>
      <c r="BN5" s="42" t="n">
        <f aca="false">BN$4-BN$3+1</f>
        <v>92</v>
      </c>
      <c r="BO5" s="42" t="n">
        <f aca="false">BO$4-BO$3+1</f>
        <v>92</v>
      </c>
      <c r="BP5" s="42" t="n">
        <f aca="false">BP$4-BP$3+1</f>
        <v>90</v>
      </c>
      <c r="BQ5" s="42" t="n">
        <f aca="false">BQ$4-BQ$3+1</f>
        <v>91</v>
      </c>
      <c r="BR5" s="42" t="n">
        <f aca="false">BR$4-BR$3+1</f>
        <v>92</v>
      </c>
      <c r="BS5" s="42" t="n">
        <f aca="false">BS$4-BS$3+1</f>
        <v>92</v>
      </c>
      <c r="BT5" s="42" t="n">
        <f aca="false">BT$4-BT$3+1</f>
        <v>90</v>
      </c>
      <c r="BU5" s="42" t="n">
        <f aca="false">BU$4-BU$3+1</f>
        <v>91</v>
      </c>
      <c r="BV5" s="42" t="n">
        <f aca="false">BV$4-BV$3+1</f>
        <v>92</v>
      </c>
      <c r="BW5" s="42" t="n">
        <f aca="false">BW$4-BW$3+1</f>
        <v>92</v>
      </c>
      <c r="BX5" s="42" t="n">
        <f aca="false">BX$4-BX$3+1</f>
        <v>90</v>
      </c>
      <c r="BY5" s="42" t="n">
        <f aca="false">BY$4-BY$3+1</f>
        <v>91</v>
      </c>
      <c r="BZ5" s="42" t="n">
        <f aca="false">BZ$4-BZ$3+1</f>
        <v>92</v>
      </c>
      <c r="CA5" s="42" t="n">
        <f aca="false">CA$4-CA$3+1</f>
        <v>92</v>
      </c>
      <c r="CB5" s="42" t="n">
        <f aca="false">CB$4-CB$3+1</f>
        <v>91</v>
      </c>
      <c r="CC5" s="42" t="n">
        <f aca="false">CC$4-CC$3+1</f>
        <v>91</v>
      </c>
      <c r="CD5" s="42" t="n">
        <f aca="false">CD$4-CD$3+1</f>
        <v>92</v>
      </c>
      <c r="CE5" s="42" t="n">
        <f aca="false">CE$4-CE$3+1</f>
        <v>92</v>
      </c>
      <c r="CF5" s="42" t="n">
        <f aca="false">CF$4-CF$3+1</f>
        <v>90</v>
      </c>
      <c r="CG5" s="42" t="n">
        <f aca="false">CG$4-CG$3+1</f>
        <v>91</v>
      </c>
      <c r="CH5" s="42" t="n">
        <f aca="false">CH$4-CH$3+1</f>
        <v>92</v>
      </c>
      <c r="CI5" s="42" t="n">
        <f aca="false">CI$4-CI$3+1</f>
        <v>92</v>
      </c>
      <c r="CJ5" s="42" t="n">
        <f aca="false">CJ$4-CJ$3+1</f>
        <v>90</v>
      </c>
      <c r="CK5" s="42" t="n">
        <f aca="false">CK$4-CK$3+1</f>
        <v>91</v>
      </c>
      <c r="CL5" s="42" t="n">
        <f aca="false">CL$4-CL$3+1</f>
        <v>92</v>
      </c>
      <c r="CM5" s="42" t="n">
        <f aca="false">CM$4-CM$3+1</f>
        <v>92</v>
      </c>
      <c r="CN5" s="42" t="n">
        <f aca="false">CN$4-CN$3+1</f>
        <v>90</v>
      </c>
      <c r="CO5" s="42" t="n">
        <f aca="false">CO$4-CO$3+1</f>
        <v>91</v>
      </c>
      <c r="CP5" s="42" t="n">
        <f aca="false">CP$4-CP$3+1</f>
        <v>92</v>
      </c>
      <c r="CQ5" s="42" t="n">
        <f aca="false">CQ$4-CQ$3+1</f>
        <v>92</v>
      </c>
      <c r="CR5" s="42" t="n">
        <f aca="false">CR$4-CR$3+1</f>
        <v>91</v>
      </c>
      <c r="CS5" s="42" t="n">
        <f aca="false">CS$4-CS$3+1</f>
        <v>91</v>
      </c>
      <c r="CT5" s="42" t="n">
        <f aca="false">CT$4-CT$3+1</f>
        <v>92</v>
      </c>
      <c r="CU5" s="42" t="n">
        <f aca="false">CU$4-CU$3+1</f>
        <v>92</v>
      </c>
      <c r="CV5" s="42" t="n">
        <f aca="false">CV$4-CV$3+1</f>
        <v>90</v>
      </c>
      <c r="CW5" s="42" t="n">
        <f aca="false">CW$4-CW$3+1</f>
        <v>91</v>
      </c>
      <c r="CX5" s="42" t="n">
        <f aca="false">CX$4-CX$3+1</f>
        <v>92</v>
      </c>
      <c r="CY5" s="42" t="n">
        <f aca="false">CY$4-CY$3+1</f>
        <v>92</v>
      </c>
      <c r="CZ5" s="42" t="n">
        <f aca="false">CZ$4-CZ$3+1</f>
        <v>90</v>
      </c>
      <c r="DA5" s="42" t="n">
        <f aca="false">DA$4-DA$3+1</f>
        <v>91</v>
      </c>
      <c r="DB5" s="42" t="n">
        <f aca="false">DB$4-DB$3+1</f>
        <v>92</v>
      </c>
      <c r="DC5" s="42" t="n">
        <f aca="false">DC$4-DC$3+1</f>
        <v>92</v>
      </c>
      <c r="DD5" s="42" t="n">
        <f aca="false">DD$4-DD$3+1</f>
        <v>90</v>
      </c>
      <c r="DE5" s="42" t="n">
        <f aca="false">DE$4-DE$3+1</f>
        <v>91</v>
      </c>
      <c r="DF5" s="42" t="n">
        <f aca="false">DF$4-DF$3+1</f>
        <v>92</v>
      </c>
      <c r="DG5" s="42" t="n">
        <f aca="false">DG$4-DG$3+1</f>
        <v>92</v>
      </c>
      <c r="DH5" s="42" t="n">
        <f aca="false">DH$4-DH$3+1</f>
        <v>91</v>
      </c>
      <c r="DI5" s="42" t="n">
        <f aca="false">DI$4-DI$3+1</f>
        <v>91</v>
      </c>
      <c r="DJ5" s="42" t="n">
        <f aca="false">DJ$4-DJ$3+1</f>
        <v>92</v>
      </c>
      <c r="DK5" s="42" t="n">
        <f aca="false">DK$4-DK$3+1</f>
        <v>92</v>
      </c>
      <c r="DL5" s="42" t="n">
        <f aca="false">DL$4-DL$3+1</f>
        <v>90</v>
      </c>
      <c r="DM5" s="42" t="n">
        <f aca="false">DM$4-DM$3+1</f>
        <v>91</v>
      </c>
      <c r="DN5" s="42" t="n">
        <f aca="false">DN$4-DN$3+1</f>
        <v>92</v>
      </c>
      <c r="DO5" s="42" t="n">
        <f aca="false">DO$4-DO$3+1</f>
        <v>92</v>
      </c>
      <c r="DP5" s="42" t="n">
        <f aca="false">DP$4-DP$3+1</f>
        <v>90</v>
      </c>
      <c r="DQ5" s="42" t="n">
        <f aca="false">DQ$4-DQ$3+1</f>
        <v>91</v>
      </c>
      <c r="DR5" s="42" t="n">
        <f aca="false">DR$4-DR$3+1</f>
        <v>92</v>
      </c>
      <c r="DS5" s="42" t="n">
        <f aca="false">DS$4-DS$3+1</f>
        <v>92</v>
      </c>
      <c r="DT5" s="42" t="n">
        <f aca="false">DT$4-DT$3+1</f>
        <v>90</v>
      </c>
      <c r="DU5" s="42" t="n">
        <f aca="false">DU$4-DU$3+1</f>
        <v>91</v>
      </c>
      <c r="DV5" s="42" t="n">
        <f aca="false">DV$4-DV$3+1</f>
        <v>92</v>
      </c>
      <c r="DW5" s="42" t="n">
        <f aca="false">DW$4-DW$3+1</f>
        <v>92</v>
      </c>
      <c r="DX5" s="42" t="n">
        <f aca="false">DX$4-DX$3+1</f>
        <v>91</v>
      </c>
      <c r="DY5" s="42" t="n">
        <f aca="false">DY$4-DY$3+1</f>
        <v>91</v>
      </c>
      <c r="DZ5" s="42" t="n">
        <f aca="false">DZ$4-DZ$3+1</f>
        <v>92</v>
      </c>
      <c r="EA5" s="42" t="n">
        <f aca="false">EA$4-EA$3+1</f>
        <v>92</v>
      </c>
      <c r="EB5" s="42" t="n">
        <f aca="false">EB$4-EB$3+1</f>
        <v>90</v>
      </c>
      <c r="EC5" s="42" t="n">
        <f aca="false">EC$4-EC$3+1</f>
        <v>91</v>
      </c>
      <c r="ED5" s="42" t="n">
        <f aca="false">ED$4-ED$3+1</f>
        <v>92</v>
      </c>
      <c r="EE5" s="42" t="n">
        <f aca="false">EE$4-EE$3+1</f>
        <v>92</v>
      </c>
      <c r="EF5" s="42" t="n">
        <f aca="false">EF$4-EF$3+1</f>
        <v>90</v>
      </c>
      <c r="EG5" s="42" t="n">
        <f aca="false">EG$4-EG$3+1</f>
        <v>91</v>
      </c>
      <c r="EH5" s="42" t="n">
        <f aca="false">EH$4-EH$3+1</f>
        <v>92</v>
      </c>
      <c r="EI5" s="42" t="n">
        <f aca="false">EI$4-EI$3+1</f>
        <v>92</v>
      </c>
      <c r="EJ5" s="42" t="n">
        <f aca="false">EJ$4-EJ$3+1</f>
        <v>90</v>
      </c>
      <c r="EK5" s="42" t="n">
        <f aca="false">EK$4-EK$3+1</f>
        <v>91</v>
      </c>
      <c r="EL5" s="42" t="n">
        <f aca="false">EL$4-EL$3+1</f>
        <v>92</v>
      </c>
      <c r="EM5" s="42" t="n">
        <f aca="false">EM$4-EM$3+1</f>
        <v>92</v>
      </c>
      <c r="EN5" s="42" t="n">
        <f aca="false">EN$4-EN$3+1</f>
        <v>91</v>
      </c>
      <c r="EO5" s="42" t="n">
        <f aca="false">EO$4-EO$3+1</f>
        <v>91</v>
      </c>
      <c r="EP5" s="42" t="n">
        <f aca="false">EP$4-EP$3+1</f>
        <v>92</v>
      </c>
      <c r="EQ5" s="42" t="n">
        <f aca="false">EQ$4-EQ$3+1</f>
        <v>92</v>
      </c>
      <c r="ER5" s="42" t="n">
        <f aca="false">ER$4-ER$3+1</f>
        <v>90</v>
      </c>
      <c r="ES5" s="42" t="n">
        <f aca="false">ES$4-ES$3+1</f>
        <v>91</v>
      </c>
      <c r="ET5" s="42" t="n">
        <f aca="false">ET$4-ET$3+1</f>
        <v>92</v>
      </c>
    </row>
    <row r="6" customFormat="false" ht="15" hidden="false" customHeight="false" outlineLevel="0" collapsed="false">
      <c r="C6" s="1" t="s">
        <v>441</v>
      </c>
      <c r="D6" s="12" t="s">
        <v>442</v>
      </c>
      <c r="J6" s="54" t="n">
        <f aca="false">J$5/Days_In_Year</f>
        <v>0.252054794520548</v>
      </c>
      <c r="K6" s="54" t="n">
        <f aca="false">K$5/Days_In_Year</f>
        <v>0.252054794520548</v>
      </c>
      <c r="L6" s="54" t="n">
        <f aca="false">L$5/Days_In_Year</f>
        <v>0.246575342465753</v>
      </c>
      <c r="M6" s="54" t="n">
        <f aca="false">M$5/Days_In_Year</f>
        <v>0.249315068493151</v>
      </c>
      <c r="N6" s="54" t="n">
        <f aca="false">N$5/Days_In_Year</f>
        <v>0.252054794520548</v>
      </c>
      <c r="O6" s="54" t="n">
        <f aca="false">O$5/Days_In_Year</f>
        <v>0.252054794520548</v>
      </c>
      <c r="P6" s="54" t="n">
        <f aca="false">P$5/Days_In_Year</f>
        <v>0.249315068493151</v>
      </c>
      <c r="Q6" s="54" t="n">
        <f aca="false">Q$5/Days_In_Year</f>
        <v>0.249315068493151</v>
      </c>
      <c r="R6" s="54" t="n">
        <f aca="false">R$5/Days_In_Year</f>
        <v>0.252054794520548</v>
      </c>
      <c r="S6" s="54" t="n">
        <f aca="false">S$5/Days_In_Year</f>
        <v>0.252054794520548</v>
      </c>
      <c r="T6" s="54" t="n">
        <f aca="false">T$5/Days_In_Year</f>
        <v>0.246575342465753</v>
      </c>
      <c r="U6" s="54" t="n">
        <f aca="false">U$5/Days_In_Year</f>
        <v>0.249315068493151</v>
      </c>
      <c r="V6" s="54" t="n">
        <f aca="false">V$5/Days_In_Year</f>
        <v>0.252054794520548</v>
      </c>
      <c r="W6" s="54" t="n">
        <f aca="false">W$5/Days_In_Year</f>
        <v>0.252054794520548</v>
      </c>
      <c r="X6" s="54" t="n">
        <f aca="false">X$5/Days_In_Year</f>
        <v>0.246575342465753</v>
      </c>
      <c r="Y6" s="54" t="n">
        <f aca="false">Y$5/Days_In_Year</f>
        <v>0.249315068493151</v>
      </c>
      <c r="Z6" s="54" t="n">
        <f aca="false">Z$5/Days_In_Year</f>
        <v>0.252054794520548</v>
      </c>
      <c r="AA6" s="54" t="n">
        <f aca="false">AA$5/Days_In_Year</f>
        <v>0.252054794520548</v>
      </c>
      <c r="AB6" s="54" t="n">
        <f aca="false">AB$5/Days_In_Year</f>
        <v>0.246575342465753</v>
      </c>
      <c r="AC6" s="54" t="n">
        <f aca="false">AC$5/Days_In_Year</f>
        <v>0.249315068493151</v>
      </c>
      <c r="AD6" s="54" t="n">
        <f aca="false">AD$5/Days_In_Year</f>
        <v>0.252054794520548</v>
      </c>
      <c r="AE6" s="54" t="n">
        <f aca="false">AE$5/Days_In_Year</f>
        <v>0.252054794520548</v>
      </c>
      <c r="AF6" s="54" t="n">
        <f aca="false">AF$5/Days_In_Year</f>
        <v>0.249315068493151</v>
      </c>
      <c r="AG6" s="54" t="n">
        <f aca="false">AG$5/Days_In_Year</f>
        <v>0.249315068493151</v>
      </c>
      <c r="AH6" s="54" t="n">
        <f aca="false">AH$5/Days_In_Year</f>
        <v>0.252054794520548</v>
      </c>
      <c r="AI6" s="54" t="n">
        <f aca="false">AI$5/Days_In_Year</f>
        <v>0.252054794520548</v>
      </c>
      <c r="AJ6" s="54" t="n">
        <f aca="false">AJ$5/Days_In_Year</f>
        <v>0.246575342465753</v>
      </c>
      <c r="AK6" s="54" t="n">
        <f aca="false">AK$5/Days_In_Year</f>
        <v>0.249315068493151</v>
      </c>
      <c r="AL6" s="54" t="n">
        <f aca="false">AL$5/Days_In_Year</f>
        <v>0.252054794520548</v>
      </c>
      <c r="AM6" s="54" t="n">
        <f aca="false">AM$5/Days_In_Year</f>
        <v>0.252054794520548</v>
      </c>
      <c r="AN6" s="54" t="n">
        <f aca="false">AN$5/Days_In_Year</f>
        <v>0.246575342465753</v>
      </c>
      <c r="AO6" s="54" t="n">
        <f aca="false">AO$5/Days_In_Year</f>
        <v>0.249315068493151</v>
      </c>
      <c r="AP6" s="54" t="n">
        <f aca="false">AP$5/Days_In_Year</f>
        <v>0.252054794520548</v>
      </c>
      <c r="AQ6" s="54" t="n">
        <f aca="false">AQ$5/Days_In_Year</f>
        <v>0.252054794520548</v>
      </c>
      <c r="AR6" s="54" t="n">
        <f aca="false">AR$5/Days_In_Year</f>
        <v>0.246575342465753</v>
      </c>
      <c r="AS6" s="54" t="n">
        <f aca="false">AS$5/Days_In_Year</f>
        <v>0.249315068493151</v>
      </c>
      <c r="AT6" s="54" t="n">
        <f aca="false">AT$5/Days_In_Year</f>
        <v>0.252054794520548</v>
      </c>
      <c r="AU6" s="54" t="n">
        <f aca="false">AU$5/Days_In_Year</f>
        <v>0.252054794520548</v>
      </c>
      <c r="AV6" s="54" t="n">
        <f aca="false">AV$5/Days_In_Year</f>
        <v>0.249315068493151</v>
      </c>
      <c r="AW6" s="54" t="n">
        <f aca="false">AW$5/Days_In_Year</f>
        <v>0.249315068493151</v>
      </c>
      <c r="AX6" s="54" t="n">
        <f aca="false">AX$5/Days_In_Year</f>
        <v>0.252054794520548</v>
      </c>
      <c r="AY6" s="54" t="n">
        <f aca="false">AY$5/Days_In_Year</f>
        <v>0.252054794520548</v>
      </c>
      <c r="AZ6" s="54" t="n">
        <f aca="false">AZ$5/Days_In_Year</f>
        <v>0.246575342465753</v>
      </c>
      <c r="BA6" s="54" t="n">
        <f aca="false">BA$5/Days_In_Year</f>
        <v>0.249315068493151</v>
      </c>
      <c r="BB6" s="54" t="n">
        <f aca="false">BB$5/Days_In_Year</f>
        <v>0.252054794520548</v>
      </c>
      <c r="BC6" s="54" t="n">
        <f aca="false">BC$5/Days_In_Year</f>
        <v>0.252054794520548</v>
      </c>
      <c r="BD6" s="54" t="n">
        <f aca="false">BD$5/Days_In_Year</f>
        <v>0.246575342465753</v>
      </c>
      <c r="BE6" s="54" t="n">
        <f aca="false">BE$5/Days_In_Year</f>
        <v>0.249315068493151</v>
      </c>
      <c r="BF6" s="54" t="n">
        <f aca="false">BF$5/Days_In_Year</f>
        <v>0.252054794520548</v>
      </c>
      <c r="BG6" s="54" t="n">
        <f aca="false">BG$5/Days_In_Year</f>
        <v>0.252054794520548</v>
      </c>
      <c r="BH6" s="54" t="n">
        <f aca="false">BH$5/Days_In_Year</f>
        <v>0.246575342465753</v>
      </c>
      <c r="BI6" s="54" t="n">
        <f aca="false">BI$5/Days_In_Year</f>
        <v>0.249315068493151</v>
      </c>
      <c r="BJ6" s="54" t="n">
        <f aca="false">BJ$5/Days_In_Year</f>
        <v>0.252054794520548</v>
      </c>
      <c r="BK6" s="54" t="n">
        <f aca="false">BK$5/Days_In_Year</f>
        <v>0.252054794520548</v>
      </c>
      <c r="BL6" s="54" t="n">
        <f aca="false">BL$5/Days_In_Year</f>
        <v>0.249315068493151</v>
      </c>
      <c r="BM6" s="54" t="n">
        <f aca="false">BM$5/Days_In_Year</f>
        <v>0.249315068493151</v>
      </c>
      <c r="BN6" s="54" t="n">
        <f aca="false">BN$5/Days_In_Year</f>
        <v>0.252054794520548</v>
      </c>
      <c r="BO6" s="54" t="n">
        <f aca="false">BO$5/Days_In_Year</f>
        <v>0.252054794520548</v>
      </c>
      <c r="BP6" s="54" t="n">
        <f aca="false">BP$5/Days_In_Year</f>
        <v>0.246575342465753</v>
      </c>
      <c r="BQ6" s="54" t="n">
        <f aca="false">BQ$5/Days_In_Year</f>
        <v>0.249315068493151</v>
      </c>
      <c r="BR6" s="54" t="n">
        <f aca="false">BR$5/Days_In_Year</f>
        <v>0.252054794520548</v>
      </c>
      <c r="BS6" s="54" t="n">
        <f aca="false">BS$5/Days_In_Year</f>
        <v>0.252054794520548</v>
      </c>
      <c r="BT6" s="54" t="n">
        <f aca="false">BT$5/Days_In_Year</f>
        <v>0.246575342465753</v>
      </c>
      <c r="BU6" s="54" t="n">
        <f aca="false">BU$5/Days_In_Year</f>
        <v>0.249315068493151</v>
      </c>
      <c r="BV6" s="54" t="n">
        <f aca="false">BV$5/Days_In_Year</f>
        <v>0.252054794520548</v>
      </c>
      <c r="BW6" s="54" t="n">
        <f aca="false">BW$5/Days_In_Year</f>
        <v>0.252054794520548</v>
      </c>
      <c r="BX6" s="54" t="n">
        <f aca="false">BX$5/Days_In_Year</f>
        <v>0.246575342465753</v>
      </c>
      <c r="BY6" s="54" t="n">
        <f aca="false">BY$5/Days_In_Year</f>
        <v>0.249315068493151</v>
      </c>
      <c r="BZ6" s="54" t="n">
        <f aca="false">BZ$5/Days_In_Year</f>
        <v>0.252054794520548</v>
      </c>
      <c r="CA6" s="54" t="n">
        <f aca="false">CA$5/Days_In_Year</f>
        <v>0.252054794520548</v>
      </c>
      <c r="CB6" s="54" t="n">
        <f aca="false">CB$5/Days_In_Year</f>
        <v>0.249315068493151</v>
      </c>
      <c r="CC6" s="54" t="n">
        <f aca="false">CC$5/Days_In_Year</f>
        <v>0.249315068493151</v>
      </c>
      <c r="CD6" s="54" t="n">
        <f aca="false">CD$5/Days_In_Year</f>
        <v>0.252054794520548</v>
      </c>
      <c r="CE6" s="54" t="n">
        <f aca="false">CE$5/Days_In_Year</f>
        <v>0.252054794520548</v>
      </c>
      <c r="CF6" s="54" t="n">
        <f aca="false">CF$5/Days_In_Year</f>
        <v>0.246575342465753</v>
      </c>
      <c r="CG6" s="54" t="n">
        <f aca="false">CG$5/Days_In_Year</f>
        <v>0.249315068493151</v>
      </c>
      <c r="CH6" s="54" t="n">
        <f aca="false">CH$5/Days_In_Year</f>
        <v>0.252054794520548</v>
      </c>
      <c r="CI6" s="54" t="n">
        <f aca="false">CI$5/Days_In_Year</f>
        <v>0.252054794520548</v>
      </c>
      <c r="CJ6" s="54" t="n">
        <f aca="false">CJ$5/Days_In_Year</f>
        <v>0.246575342465753</v>
      </c>
      <c r="CK6" s="54" t="n">
        <f aca="false">CK$5/Days_In_Year</f>
        <v>0.249315068493151</v>
      </c>
      <c r="CL6" s="54" t="n">
        <f aca="false">CL$5/Days_In_Year</f>
        <v>0.252054794520548</v>
      </c>
      <c r="CM6" s="54" t="n">
        <f aca="false">CM$5/Days_In_Year</f>
        <v>0.252054794520548</v>
      </c>
      <c r="CN6" s="54" t="n">
        <f aca="false">CN$5/Days_In_Year</f>
        <v>0.246575342465753</v>
      </c>
      <c r="CO6" s="54" t="n">
        <f aca="false">CO$5/Days_In_Year</f>
        <v>0.249315068493151</v>
      </c>
      <c r="CP6" s="54" t="n">
        <f aca="false">CP$5/Days_In_Year</f>
        <v>0.252054794520548</v>
      </c>
      <c r="CQ6" s="54" t="n">
        <f aca="false">CQ$5/Days_In_Year</f>
        <v>0.252054794520548</v>
      </c>
      <c r="CR6" s="54" t="n">
        <f aca="false">CR$5/Days_In_Year</f>
        <v>0.249315068493151</v>
      </c>
      <c r="CS6" s="54" t="n">
        <f aca="false">CS$5/Days_In_Year</f>
        <v>0.249315068493151</v>
      </c>
      <c r="CT6" s="54" t="n">
        <f aca="false">CT$5/Days_In_Year</f>
        <v>0.252054794520548</v>
      </c>
      <c r="CU6" s="54" t="n">
        <f aca="false">CU$5/Days_In_Year</f>
        <v>0.252054794520548</v>
      </c>
      <c r="CV6" s="54" t="n">
        <f aca="false">CV$5/Days_In_Year</f>
        <v>0.246575342465753</v>
      </c>
      <c r="CW6" s="54" t="n">
        <f aca="false">CW$5/Days_In_Year</f>
        <v>0.249315068493151</v>
      </c>
      <c r="CX6" s="54" t="n">
        <f aca="false">CX$5/Days_In_Year</f>
        <v>0.252054794520548</v>
      </c>
      <c r="CY6" s="54" t="n">
        <f aca="false">CY$5/Days_In_Year</f>
        <v>0.252054794520548</v>
      </c>
      <c r="CZ6" s="54" t="n">
        <f aca="false">CZ$5/Days_In_Year</f>
        <v>0.246575342465753</v>
      </c>
      <c r="DA6" s="54" t="n">
        <f aca="false">DA$5/Days_In_Year</f>
        <v>0.249315068493151</v>
      </c>
      <c r="DB6" s="54" t="n">
        <f aca="false">DB$5/Days_In_Year</f>
        <v>0.252054794520548</v>
      </c>
      <c r="DC6" s="54" t="n">
        <f aca="false">DC$5/Days_In_Year</f>
        <v>0.252054794520548</v>
      </c>
      <c r="DD6" s="54" t="n">
        <f aca="false">DD$5/Days_In_Year</f>
        <v>0.246575342465753</v>
      </c>
      <c r="DE6" s="54" t="n">
        <f aca="false">DE$5/Days_In_Year</f>
        <v>0.249315068493151</v>
      </c>
      <c r="DF6" s="54" t="n">
        <f aca="false">DF$5/Days_In_Year</f>
        <v>0.252054794520548</v>
      </c>
      <c r="DG6" s="54" t="n">
        <f aca="false">DG$5/Days_In_Year</f>
        <v>0.252054794520548</v>
      </c>
      <c r="DH6" s="54" t="n">
        <f aca="false">DH$5/Days_In_Year</f>
        <v>0.249315068493151</v>
      </c>
      <c r="DI6" s="54" t="n">
        <f aca="false">DI$5/Days_In_Year</f>
        <v>0.249315068493151</v>
      </c>
      <c r="DJ6" s="54" t="n">
        <f aca="false">DJ$5/Days_In_Year</f>
        <v>0.252054794520548</v>
      </c>
      <c r="DK6" s="54" t="n">
        <f aca="false">DK$5/Days_In_Year</f>
        <v>0.252054794520548</v>
      </c>
      <c r="DL6" s="54" t="n">
        <f aca="false">DL$5/Days_In_Year</f>
        <v>0.246575342465753</v>
      </c>
      <c r="DM6" s="54" t="n">
        <f aca="false">DM$5/Days_In_Year</f>
        <v>0.249315068493151</v>
      </c>
      <c r="DN6" s="54" t="n">
        <f aca="false">DN$5/Days_In_Year</f>
        <v>0.252054794520548</v>
      </c>
      <c r="DO6" s="54" t="n">
        <f aca="false">DO$5/Days_In_Year</f>
        <v>0.252054794520548</v>
      </c>
      <c r="DP6" s="54" t="n">
        <f aca="false">DP$5/Days_In_Year</f>
        <v>0.246575342465753</v>
      </c>
      <c r="DQ6" s="54" t="n">
        <f aca="false">DQ$5/Days_In_Year</f>
        <v>0.249315068493151</v>
      </c>
      <c r="DR6" s="54" t="n">
        <f aca="false">DR$5/Days_In_Year</f>
        <v>0.252054794520548</v>
      </c>
      <c r="DS6" s="54" t="n">
        <f aca="false">DS$5/Days_In_Year</f>
        <v>0.252054794520548</v>
      </c>
      <c r="DT6" s="54" t="n">
        <f aca="false">DT$5/Days_In_Year</f>
        <v>0.246575342465753</v>
      </c>
      <c r="DU6" s="54" t="n">
        <f aca="false">DU$5/Days_In_Year</f>
        <v>0.249315068493151</v>
      </c>
      <c r="DV6" s="54" t="n">
        <f aca="false">DV$5/Days_In_Year</f>
        <v>0.252054794520548</v>
      </c>
      <c r="DW6" s="54" t="n">
        <f aca="false">DW$5/Days_In_Year</f>
        <v>0.252054794520548</v>
      </c>
      <c r="DX6" s="54" t="n">
        <f aca="false">DX$5/Days_In_Year</f>
        <v>0.249315068493151</v>
      </c>
      <c r="DY6" s="54" t="n">
        <f aca="false">DY$5/Days_In_Year</f>
        <v>0.249315068493151</v>
      </c>
      <c r="DZ6" s="54" t="n">
        <f aca="false">DZ$5/Days_In_Year</f>
        <v>0.252054794520548</v>
      </c>
      <c r="EA6" s="54" t="n">
        <f aca="false">EA$5/Days_In_Year</f>
        <v>0.252054794520548</v>
      </c>
      <c r="EB6" s="54" t="n">
        <f aca="false">EB$5/Days_In_Year</f>
        <v>0.246575342465753</v>
      </c>
      <c r="EC6" s="54" t="n">
        <f aca="false">EC$5/Days_In_Year</f>
        <v>0.249315068493151</v>
      </c>
      <c r="ED6" s="54" t="n">
        <f aca="false">ED$5/Days_In_Year</f>
        <v>0.252054794520548</v>
      </c>
      <c r="EE6" s="54" t="n">
        <f aca="false">EE$5/Days_In_Year</f>
        <v>0.252054794520548</v>
      </c>
      <c r="EF6" s="54" t="n">
        <f aca="false">EF$5/Days_In_Year</f>
        <v>0.246575342465753</v>
      </c>
      <c r="EG6" s="54" t="n">
        <f aca="false">EG$5/Days_In_Year</f>
        <v>0.249315068493151</v>
      </c>
      <c r="EH6" s="54" t="n">
        <f aca="false">EH$5/Days_In_Year</f>
        <v>0.252054794520548</v>
      </c>
      <c r="EI6" s="54" t="n">
        <f aca="false">EI$5/Days_In_Year</f>
        <v>0.252054794520548</v>
      </c>
      <c r="EJ6" s="54" t="n">
        <f aca="false">EJ$5/Days_In_Year</f>
        <v>0.246575342465753</v>
      </c>
      <c r="EK6" s="54" t="n">
        <f aca="false">EK$5/Days_In_Year</f>
        <v>0.249315068493151</v>
      </c>
      <c r="EL6" s="54" t="n">
        <f aca="false">EL$5/Days_In_Year</f>
        <v>0.252054794520548</v>
      </c>
      <c r="EM6" s="54" t="n">
        <f aca="false">EM$5/Days_In_Year</f>
        <v>0.252054794520548</v>
      </c>
      <c r="EN6" s="54" t="n">
        <f aca="false">EN$5/Days_In_Year</f>
        <v>0.249315068493151</v>
      </c>
      <c r="EO6" s="54" t="n">
        <f aca="false">EO$5/Days_In_Year</f>
        <v>0.249315068493151</v>
      </c>
      <c r="EP6" s="54" t="n">
        <f aca="false">EP$5/Days_In_Year</f>
        <v>0.252054794520548</v>
      </c>
      <c r="EQ6" s="54" t="n">
        <f aca="false">EQ$5/Days_In_Year</f>
        <v>0.252054794520548</v>
      </c>
      <c r="ER6" s="54" t="n">
        <f aca="false">ER$5/Days_In_Year</f>
        <v>0.246575342465753</v>
      </c>
      <c r="ES6" s="54" t="n">
        <f aca="false">ES$5/Days_In_Year</f>
        <v>0.249315068493151</v>
      </c>
      <c r="ET6" s="54" t="n">
        <f aca="false">ET$5/Days_In_Year</f>
        <v>0.252054794520548</v>
      </c>
    </row>
    <row r="7" customFormat="false" ht="15" hidden="false" customHeight="false" outlineLevel="0" collapsed="false">
      <c r="C7" s="1" t="s">
        <v>443</v>
      </c>
      <c r="D7" s="12" t="s">
        <v>444</v>
      </c>
      <c r="J7" s="42" t="n">
        <f aca="false">YEAR(J$4)</f>
        <v>2026</v>
      </c>
      <c r="K7" s="42" t="n">
        <f aca="false">YEAR(K$4)</f>
        <v>2026</v>
      </c>
      <c r="L7" s="42" t="n">
        <f aca="false">YEAR(L$4)</f>
        <v>2027</v>
      </c>
      <c r="M7" s="42" t="n">
        <f aca="false">YEAR(M$4)</f>
        <v>2027</v>
      </c>
      <c r="N7" s="42" t="n">
        <f aca="false">YEAR(N$4)</f>
        <v>2027</v>
      </c>
      <c r="O7" s="42" t="n">
        <f aca="false">YEAR(O$4)</f>
        <v>2027</v>
      </c>
      <c r="P7" s="42" t="n">
        <f aca="false">YEAR(P$4)</f>
        <v>2028</v>
      </c>
      <c r="Q7" s="42" t="n">
        <f aca="false">YEAR(Q$4)</f>
        <v>2028</v>
      </c>
      <c r="R7" s="42" t="n">
        <f aca="false">YEAR(R$4)</f>
        <v>2028</v>
      </c>
      <c r="S7" s="42" t="n">
        <f aca="false">YEAR(S$4)</f>
        <v>2028</v>
      </c>
      <c r="T7" s="42" t="n">
        <f aca="false">YEAR(T$4)</f>
        <v>2029</v>
      </c>
      <c r="U7" s="42" t="n">
        <f aca="false">YEAR(U$4)</f>
        <v>2029</v>
      </c>
      <c r="V7" s="42" t="n">
        <f aca="false">YEAR(V$4)</f>
        <v>2029</v>
      </c>
      <c r="W7" s="42" t="n">
        <f aca="false">YEAR(W$4)</f>
        <v>2029</v>
      </c>
      <c r="X7" s="42" t="n">
        <f aca="false">YEAR(X$4)</f>
        <v>2030</v>
      </c>
      <c r="Y7" s="42" t="n">
        <f aca="false">YEAR(Y$4)</f>
        <v>2030</v>
      </c>
      <c r="Z7" s="42" t="n">
        <f aca="false">YEAR(Z$4)</f>
        <v>2030</v>
      </c>
      <c r="AA7" s="42" t="n">
        <f aca="false">YEAR(AA$4)</f>
        <v>2030</v>
      </c>
      <c r="AB7" s="42" t="n">
        <f aca="false">YEAR(AB$4)</f>
        <v>2031</v>
      </c>
      <c r="AC7" s="42" t="n">
        <f aca="false">YEAR(AC$4)</f>
        <v>2031</v>
      </c>
      <c r="AD7" s="42" t="n">
        <f aca="false">YEAR(AD$4)</f>
        <v>2031</v>
      </c>
      <c r="AE7" s="42" t="n">
        <f aca="false">YEAR(AE$4)</f>
        <v>2031</v>
      </c>
      <c r="AF7" s="42" t="n">
        <f aca="false">YEAR(AF$4)</f>
        <v>2032</v>
      </c>
      <c r="AG7" s="42" t="n">
        <f aca="false">YEAR(AG$4)</f>
        <v>2032</v>
      </c>
      <c r="AH7" s="42" t="n">
        <f aca="false">YEAR(AH$4)</f>
        <v>2032</v>
      </c>
      <c r="AI7" s="42" t="n">
        <f aca="false">YEAR(AI$4)</f>
        <v>2032</v>
      </c>
      <c r="AJ7" s="42" t="n">
        <f aca="false">YEAR(AJ$4)</f>
        <v>2033</v>
      </c>
      <c r="AK7" s="42" t="n">
        <f aca="false">YEAR(AK$4)</f>
        <v>2033</v>
      </c>
      <c r="AL7" s="42" t="n">
        <f aca="false">YEAR(AL$4)</f>
        <v>2033</v>
      </c>
      <c r="AM7" s="42" t="n">
        <f aca="false">YEAR(AM$4)</f>
        <v>2033</v>
      </c>
      <c r="AN7" s="42" t="n">
        <f aca="false">YEAR(AN$4)</f>
        <v>2034</v>
      </c>
      <c r="AO7" s="42" t="n">
        <f aca="false">YEAR(AO$4)</f>
        <v>2034</v>
      </c>
      <c r="AP7" s="42" t="n">
        <f aca="false">YEAR(AP$4)</f>
        <v>2034</v>
      </c>
      <c r="AQ7" s="42" t="n">
        <f aca="false">YEAR(AQ$4)</f>
        <v>2034</v>
      </c>
      <c r="AR7" s="42" t="n">
        <f aca="false">YEAR(AR$4)</f>
        <v>2035</v>
      </c>
      <c r="AS7" s="42" t="n">
        <f aca="false">YEAR(AS$4)</f>
        <v>2035</v>
      </c>
      <c r="AT7" s="42" t="n">
        <f aca="false">YEAR(AT$4)</f>
        <v>2035</v>
      </c>
      <c r="AU7" s="42" t="n">
        <f aca="false">YEAR(AU$4)</f>
        <v>2035</v>
      </c>
      <c r="AV7" s="42" t="n">
        <f aca="false">YEAR(AV$4)</f>
        <v>2036</v>
      </c>
      <c r="AW7" s="42" t="n">
        <f aca="false">YEAR(AW$4)</f>
        <v>2036</v>
      </c>
      <c r="AX7" s="42" t="n">
        <f aca="false">YEAR(AX$4)</f>
        <v>2036</v>
      </c>
      <c r="AY7" s="42" t="n">
        <f aca="false">YEAR(AY$4)</f>
        <v>2036</v>
      </c>
      <c r="AZ7" s="42" t="n">
        <f aca="false">YEAR(AZ$4)</f>
        <v>2037</v>
      </c>
      <c r="BA7" s="42" t="n">
        <f aca="false">YEAR(BA$4)</f>
        <v>2037</v>
      </c>
      <c r="BB7" s="42" t="n">
        <f aca="false">YEAR(BB$4)</f>
        <v>2037</v>
      </c>
      <c r="BC7" s="42" t="n">
        <f aca="false">YEAR(BC$4)</f>
        <v>2037</v>
      </c>
      <c r="BD7" s="42" t="n">
        <f aca="false">YEAR(BD$4)</f>
        <v>2038</v>
      </c>
      <c r="BE7" s="42" t="n">
        <f aca="false">YEAR(BE$4)</f>
        <v>2038</v>
      </c>
      <c r="BF7" s="42" t="n">
        <f aca="false">YEAR(BF$4)</f>
        <v>2038</v>
      </c>
      <c r="BG7" s="42" t="n">
        <f aca="false">YEAR(BG$4)</f>
        <v>2038</v>
      </c>
      <c r="BH7" s="42" t="n">
        <f aca="false">YEAR(BH$4)</f>
        <v>2039</v>
      </c>
      <c r="BI7" s="42" t="n">
        <f aca="false">YEAR(BI$4)</f>
        <v>2039</v>
      </c>
      <c r="BJ7" s="42" t="n">
        <f aca="false">YEAR(BJ$4)</f>
        <v>2039</v>
      </c>
      <c r="BK7" s="42" t="n">
        <f aca="false">YEAR(BK$4)</f>
        <v>2039</v>
      </c>
      <c r="BL7" s="42" t="n">
        <f aca="false">YEAR(BL$4)</f>
        <v>2040</v>
      </c>
      <c r="BM7" s="42" t="n">
        <f aca="false">YEAR(BM$4)</f>
        <v>2040</v>
      </c>
      <c r="BN7" s="42" t="n">
        <f aca="false">YEAR(BN$4)</f>
        <v>2040</v>
      </c>
      <c r="BO7" s="42" t="n">
        <f aca="false">YEAR(BO$4)</f>
        <v>2040</v>
      </c>
      <c r="BP7" s="42" t="n">
        <f aca="false">YEAR(BP$4)</f>
        <v>2041</v>
      </c>
      <c r="BQ7" s="42" t="n">
        <f aca="false">YEAR(BQ$4)</f>
        <v>2041</v>
      </c>
      <c r="BR7" s="42" t="n">
        <f aca="false">YEAR(BR$4)</f>
        <v>2041</v>
      </c>
      <c r="BS7" s="42" t="n">
        <f aca="false">YEAR(BS$4)</f>
        <v>2041</v>
      </c>
      <c r="BT7" s="42" t="n">
        <f aca="false">YEAR(BT$4)</f>
        <v>2042</v>
      </c>
      <c r="BU7" s="42" t="n">
        <f aca="false">YEAR(BU$4)</f>
        <v>2042</v>
      </c>
      <c r="BV7" s="42" t="n">
        <f aca="false">YEAR(BV$4)</f>
        <v>2042</v>
      </c>
      <c r="BW7" s="42" t="n">
        <f aca="false">YEAR(BW$4)</f>
        <v>2042</v>
      </c>
      <c r="BX7" s="42" t="n">
        <f aca="false">YEAR(BX$4)</f>
        <v>2043</v>
      </c>
      <c r="BY7" s="42" t="n">
        <f aca="false">YEAR(BY$4)</f>
        <v>2043</v>
      </c>
      <c r="BZ7" s="42" t="n">
        <f aca="false">YEAR(BZ$4)</f>
        <v>2043</v>
      </c>
      <c r="CA7" s="42" t="n">
        <f aca="false">YEAR(CA$4)</f>
        <v>2043</v>
      </c>
      <c r="CB7" s="42" t="n">
        <f aca="false">YEAR(CB$4)</f>
        <v>2044</v>
      </c>
      <c r="CC7" s="42" t="n">
        <f aca="false">YEAR(CC$4)</f>
        <v>2044</v>
      </c>
      <c r="CD7" s="42" t="n">
        <f aca="false">YEAR(CD$4)</f>
        <v>2044</v>
      </c>
      <c r="CE7" s="42" t="n">
        <f aca="false">YEAR(CE$4)</f>
        <v>2044</v>
      </c>
      <c r="CF7" s="42" t="n">
        <f aca="false">YEAR(CF$4)</f>
        <v>2045</v>
      </c>
      <c r="CG7" s="42" t="n">
        <f aca="false">YEAR(CG$4)</f>
        <v>2045</v>
      </c>
      <c r="CH7" s="42" t="n">
        <f aca="false">YEAR(CH$4)</f>
        <v>2045</v>
      </c>
      <c r="CI7" s="42" t="n">
        <f aca="false">YEAR(CI$4)</f>
        <v>2045</v>
      </c>
      <c r="CJ7" s="42" t="n">
        <f aca="false">YEAR(CJ$4)</f>
        <v>2046</v>
      </c>
      <c r="CK7" s="42" t="n">
        <f aca="false">YEAR(CK$4)</f>
        <v>2046</v>
      </c>
      <c r="CL7" s="42" t="n">
        <f aca="false">YEAR(CL$4)</f>
        <v>2046</v>
      </c>
      <c r="CM7" s="42" t="n">
        <f aca="false">YEAR(CM$4)</f>
        <v>2046</v>
      </c>
      <c r="CN7" s="42" t="n">
        <f aca="false">YEAR(CN$4)</f>
        <v>2047</v>
      </c>
      <c r="CO7" s="42" t="n">
        <f aca="false">YEAR(CO$4)</f>
        <v>2047</v>
      </c>
      <c r="CP7" s="42" t="n">
        <f aca="false">YEAR(CP$4)</f>
        <v>2047</v>
      </c>
      <c r="CQ7" s="42" t="n">
        <f aca="false">YEAR(CQ$4)</f>
        <v>2047</v>
      </c>
      <c r="CR7" s="42" t="n">
        <f aca="false">YEAR(CR$4)</f>
        <v>2048</v>
      </c>
      <c r="CS7" s="42" t="n">
        <f aca="false">YEAR(CS$4)</f>
        <v>2048</v>
      </c>
      <c r="CT7" s="42" t="n">
        <f aca="false">YEAR(CT$4)</f>
        <v>2048</v>
      </c>
      <c r="CU7" s="42" t="n">
        <f aca="false">YEAR(CU$4)</f>
        <v>2048</v>
      </c>
      <c r="CV7" s="42" t="n">
        <f aca="false">YEAR(CV$4)</f>
        <v>2049</v>
      </c>
      <c r="CW7" s="42" t="n">
        <f aca="false">YEAR(CW$4)</f>
        <v>2049</v>
      </c>
      <c r="CX7" s="42" t="n">
        <f aca="false">YEAR(CX$4)</f>
        <v>2049</v>
      </c>
      <c r="CY7" s="42" t="n">
        <f aca="false">YEAR(CY$4)</f>
        <v>2049</v>
      </c>
      <c r="CZ7" s="42" t="n">
        <f aca="false">YEAR(CZ$4)</f>
        <v>2050</v>
      </c>
      <c r="DA7" s="42" t="n">
        <f aca="false">YEAR(DA$4)</f>
        <v>2050</v>
      </c>
      <c r="DB7" s="42" t="n">
        <f aca="false">YEAR(DB$4)</f>
        <v>2050</v>
      </c>
      <c r="DC7" s="42" t="n">
        <f aca="false">YEAR(DC$4)</f>
        <v>2050</v>
      </c>
      <c r="DD7" s="42" t="n">
        <f aca="false">YEAR(DD$4)</f>
        <v>2051</v>
      </c>
      <c r="DE7" s="42" t="n">
        <f aca="false">YEAR(DE$4)</f>
        <v>2051</v>
      </c>
      <c r="DF7" s="42" t="n">
        <f aca="false">YEAR(DF$4)</f>
        <v>2051</v>
      </c>
      <c r="DG7" s="42" t="n">
        <f aca="false">YEAR(DG$4)</f>
        <v>2051</v>
      </c>
      <c r="DH7" s="42" t="n">
        <f aca="false">YEAR(DH$4)</f>
        <v>2052</v>
      </c>
      <c r="DI7" s="42" t="n">
        <f aca="false">YEAR(DI$4)</f>
        <v>2052</v>
      </c>
      <c r="DJ7" s="42" t="n">
        <f aca="false">YEAR(DJ$4)</f>
        <v>2052</v>
      </c>
      <c r="DK7" s="42" t="n">
        <f aca="false">YEAR(DK$4)</f>
        <v>2052</v>
      </c>
      <c r="DL7" s="42" t="n">
        <f aca="false">YEAR(DL$4)</f>
        <v>2053</v>
      </c>
      <c r="DM7" s="42" t="n">
        <f aca="false">YEAR(DM$4)</f>
        <v>2053</v>
      </c>
      <c r="DN7" s="42" t="n">
        <f aca="false">YEAR(DN$4)</f>
        <v>2053</v>
      </c>
      <c r="DO7" s="42" t="n">
        <f aca="false">YEAR(DO$4)</f>
        <v>2053</v>
      </c>
      <c r="DP7" s="42" t="n">
        <f aca="false">YEAR(DP$4)</f>
        <v>2054</v>
      </c>
      <c r="DQ7" s="42" t="n">
        <f aca="false">YEAR(DQ$4)</f>
        <v>2054</v>
      </c>
      <c r="DR7" s="42" t="n">
        <f aca="false">YEAR(DR$4)</f>
        <v>2054</v>
      </c>
      <c r="DS7" s="42" t="n">
        <f aca="false">YEAR(DS$4)</f>
        <v>2054</v>
      </c>
      <c r="DT7" s="42" t="n">
        <f aca="false">YEAR(DT$4)</f>
        <v>2055</v>
      </c>
      <c r="DU7" s="42" t="n">
        <f aca="false">YEAR(DU$4)</f>
        <v>2055</v>
      </c>
      <c r="DV7" s="42" t="n">
        <f aca="false">YEAR(DV$4)</f>
        <v>2055</v>
      </c>
      <c r="DW7" s="42" t="n">
        <f aca="false">YEAR(DW$4)</f>
        <v>2055</v>
      </c>
      <c r="DX7" s="42" t="n">
        <f aca="false">YEAR(DX$4)</f>
        <v>2056</v>
      </c>
      <c r="DY7" s="42" t="n">
        <f aca="false">YEAR(DY$4)</f>
        <v>2056</v>
      </c>
      <c r="DZ7" s="42" t="n">
        <f aca="false">YEAR(DZ$4)</f>
        <v>2056</v>
      </c>
      <c r="EA7" s="42" t="n">
        <f aca="false">YEAR(EA$4)</f>
        <v>2056</v>
      </c>
      <c r="EB7" s="42" t="n">
        <f aca="false">YEAR(EB$4)</f>
        <v>2057</v>
      </c>
      <c r="EC7" s="42" t="n">
        <f aca="false">YEAR(EC$4)</f>
        <v>2057</v>
      </c>
      <c r="ED7" s="42" t="n">
        <f aca="false">YEAR(ED$4)</f>
        <v>2057</v>
      </c>
      <c r="EE7" s="42" t="n">
        <f aca="false">YEAR(EE$4)</f>
        <v>2057</v>
      </c>
      <c r="EF7" s="42" t="n">
        <f aca="false">YEAR(EF$4)</f>
        <v>2058</v>
      </c>
      <c r="EG7" s="42" t="n">
        <f aca="false">YEAR(EG$4)</f>
        <v>2058</v>
      </c>
      <c r="EH7" s="42" t="n">
        <f aca="false">YEAR(EH$4)</f>
        <v>2058</v>
      </c>
      <c r="EI7" s="42" t="n">
        <f aca="false">YEAR(EI$4)</f>
        <v>2058</v>
      </c>
      <c r="EJ7" s="42" t="n">
        <f aca="false">YEAR(EJ$4)</f>
        <v>2059</v>
      </c>
      <c r="EK7" s="42" t="n">
        <f aca="false">YEAR(EK$4)</f>
        <v>2059</v>
      </c>
      <c r="EL7" s="42" t="n">
        <f aca="false">YEAR(EL$4)</f>
        <v>2059</v>
      </c>
      <c r="EM7" s="42" t="n">
        <f aca="false">YEAR(EM$4)</f>
        <v>2059</v>
      </c>
      <c r="EN7" s="42" t="n">
        <f aca="false">YEAR(EN$4)</f>
        <v>2060</v>
      </c>
      <c r="EO7" s="42" t="n">
        <f aca="false">YEAR(EO$4)</f>
        <v>2060</v>
      </c>
      <c r="EP7" s="42" t="n">
        <f aca="false">YEAR(EP$4)</f>
        <v>2060</v>
      </c>
      <c r="EQ7" s="42" t="n">
        <f aca="false">YEAR(EQ$4)</f>
        <v>2060</v>
      </c>
      <c r="ER7" s="42" t="n">
        <f aca="false">YEAR(ER$4)</f>
        <v>2061</v>
      </c>
      <c r="ES7" s="42" t="n">
        <f aca="false">YEAR(ES$4)</f>
        <v>2061</v>
      </c>
      <c r="ET7" s="42" t="n">
        <f aca="false">YEAR(ET$4)</f>
        <v>2061</v>
      </c>
    </row>
    <row r="8" customFormat="false" ht="15" hidden="false" customHeight="false" outlineLevel="0" collapsed="false">
      <c r="C8" s="1" t="s">
        <v>445</v>
      </c>
      <c r="D8" s="12" t="s">
        <v>180</v>
      </c>
      <c r="J8" s="42" t="n">
        <f aca="false">I$8+1</f>
        <v>1</v>
      </c>
      <c r="K8" s="42" t="n">
        <f aca="false">J$8+1</f>
        <v>2</v>
      </c>
      <c r="L8" s="42" t="n">
        <f aca="false">K$8+1</f>
        <v>3</v>
      </c>
      <c r="M8" s="42" t="n">
        <f aca="false">L$8+1</f>
        <v>4</v>
      </c>
      <c r="N8" s="42" t="n">
        <f aca="false">M$8+1</f>
        <v>5</v>
      </c>
      <c r="O8" s="42" t="n">
        <f aca="false">N$8+1</f>
        <v>6</v>
      </c>
      <c r="P8" s="42" t="n">
        <f aca="false">O$8+1</f>
        <v>7</v>
      </c>
      <c r="Q8" s="42" t="n">
        <f aca="false">P$8+1</f>
        <v>8</v>
      </c>
      <c r="R8" s="42" t="n">
        <f aca="false">Q$8+1</f>
        <v>9</v>
      </c>
      <c r="S8" s="42" t="n">
        <f aca="false">R$8+1</f>
        <v>10</v>
      </c>
      <c r="T8" s="42" t="n">
        <f aca="false">S$8+1</f>
        <v>11</v>
      </c>
      <c r="U8" s="42" t="n">
        <f aca="false">T$8+1</f>
        <v>12</v>
      </c>
      <c r="V8" s="42" t="n">
        <f aca="false">U$8+1</f>
        <v>13</v>
      </c>
      <c r="W8" s="42" t="n">
        <f aca="false">V$8+1</f>
        <v>14</v>
      </c>
      <c r="X8" s="42" t="n">
        <f aca="false">W$8+1</f>
        <v>15</v>
      </c>
      <c r="Y8" s="42" t="n">
        <f aca="false">X$8+1</f>
        <v>16</v>
      </c>
      <c r="Z8" s="42" t="n">
        <f aca="false">Y$8+1</f>
        <v>17</v>
      </c>
      <c r="AA8" s="42" t="n">
        <f aca="false">Z$8+1</f>
        <v>18</v>
      </c>
      <c r="AB8" s="42" t="n">
        <f aca="false">AA$8+1</f>
        <v>19</v>
      </c>
      <c r="AC8" s="42" t="n">
        <f aca="false">AB$8+1</f>
        <v>20</v>
      </c>
      <c r="AD8" s="42" t="n">
        <f aca="false">AC$8+1</f>
        <v>21</v>
      </c>
      <c r="AE8" s="42" t="n">
        <f aca="false">AD$8+1</f>
        <v>22</v>
      </c>
      <c r="AF8" s="42" t="n">
        <f aca="false">AE$8+1</f>
        <v>23</v>
      </c>
      <c r="AG8" s="42" t="n">
        <f aca="false">AF$8+1</f>
        <v>24</v>
      </c>
      <c r="AH8" s="42" t="n">
        <f aca="false">AG$8+1</f>
        <v>25</v>
      </c>
      <c r="AI8" s="42" t="n">
        <f aca="false">AH$8+1</f>
        <v>26</v>
      </c>
      <c r="AJ8" s="42" t="n">
        <f aca="false">AI$8+1</f>
        <v>27</v>
      </c>
      <c r="AK8" s="42" t="n">
        <f aca="false">AJ$8+1</f>
        <v>28</v>
      </c>
      <c r="AL8" s="42" t="n">
        <f aca="false">AK$8+1</f>
        <v>29</v>
      </c>
      <c r="AM8" s="42" t="n">
        <f aca="false">AL$8+1</f>
        <v>30</v>
      </c>
      <c r="AN8" s="42" t="n">
        <f aca="false">AM$8+1</f>
        <v>31</v>
      </c>
      <c r="AO8" s="42" t="n">
        <f aca="false">AN$8+1</f>
        <v>32</v>
      </c>
      <c r="AP8" s="42" t="n">
        <f aca="false">AO$8+1</f>
        <v>33</v>
      </c>
      <c r="AQ8" s="42" t="n">
        <f aca="false">AP$8+1</f>
        <v>34</v>
      </c>
      <c r="AR8" s="42" t="n">
        <f aca="false">AQ$8+1</f>
        <v>35</v>
      </c>
      <c r="AS8" s="42" t="n">
        <f aca="false">AR$8+1</f>
        <v>36</v>
      </c>
      <c r="AT8" s="42" t="n">
        <f aca="false">AS$8+1</f>
        <v>37</v>
      </c>
      <c r="AU8" s="42" t="n">
        <f aca="false">AT$8+1</f>
        <v>38</v>
      </c>
      <c r="AV8" s="42" t="n">
        <f aca="false">AU$8+1</f>
        <v>39</v>
      </c>
      <c r="AW8" s="42" t="n">
        <f aca="false">AV$8+1</f>
        <v>40</v>
      </c>
      <c r="AX8" s="42" t="n">
        <f aca="false">AW$8+1</f>
        <v>41</v>
      </c>
      <c r="AY8" s="42" t="n">
        <f aca="false">AX$8+1</f>
        <v>42</v>
      </c>
      <c r="AZ8" s="42" t="n">
        <f aca="false">AY$8+1</f>
        <v>43</v>
      </c>
      <c r="BA8" s="42" t="n">
        <f aca="false">AZ$8+1</f>
        <v>44</v>
      </c>
      <c r="BB8" s="42" t="n">
        <f aca="false">BA$8+1</f>
        <v>45</v>
      </c>
      <c r="BC8" s="42" t="n">
        <f aca="false">BB$8+1</f>
        <v>46</v>
      </c>
      <c r="BD8" s="42" t="n">
        <f aca="false">BC$8+1</f>
        <v>47</v>
      </c>
      <c r="BE8" s="42" t="n">
        <f aca="false">BD$8+1</f>
        <v>48</v>
      </c>
      <c r="BF8" s="42" t="n">
        <f aca="false">BE$8+1</f>
        <v>49</v>
      </c>
      <c r="BG8" s="42" t="n">
        <f aca="false">BF$8+1</f>
        <v>50</v>
      </c>
      <c r="BH8" s="42" t="n">
        <f aca="false">BG$8+1</f>
        <v>51</v>
      </c>
      <c r="BI8" s="42" t="n">
        <f aca="false">BH$8+1</f>
        <v>52</v>
      </c>
      <c r="BJ8" s="42" t="n">
        <f aca="false">BI$8+1</f>
        <v>53</v>
      </c>
      <c r="BK8" s="42" t="n">
        <f aca="false">BJ$8+1</f>
        <v>54</v>
      </c>
      <c r="BL8" s="42" t="n">
        <f aca="false">BK$8+1</f>
        <v>55</v>
      </c>
      <c r="BM8" s="42" t="n">
        <f aca="false">BL$8+1</f>
        <v>56</v>
      </c>
      <c r="BN8" s="42" t="n">
        <f aca="false">BM$8+1</f>
        <v>57</v>
      </c>
      <c r="BO8" s="42" t="n">
        <f aca="false">BN$8+1</f>
        <v>58</v>
      </c>
      <c r="BP8" s="42" t="n">
        <f aca="false">BO$8+1</f>
        <v>59</v>
      </c>
      <c r="BQ8" s="42" t="n">
        <f aca="false">BP$8+1</f>
        <v>60</v>
      </c>
      <c r="BR8" s="42" t="n">
        <f aca="false">BQ$8+1</f>
        <v>61</v>
      </c>
      <c r="BS8" s="42" t="n">
        <f aca="false">BR$8+1</f>
        <v>62</v>
      </c>
      <c r="BT8" s="42" t="n">
        <f aca="false">BS$8+1</f>
        <v>63</v>
      </c>
      <c r="BU8" s="42" t="n">
        <f aca="false">BT$8+1</f>
        <v>64</v>
      </c>
      <c r="BV8" s="42" t="n">
        <f aca="false">BU$8+1</f>
        <v>65</v>
      </c>
      <c r="BW8" s="42" t="n">
        <f aca="false">BV$8+1</f>
        <v>66</v>
      </c>
      <c r="BX8" s="42" t="n">
        <f aca="false">BW$8+1</f>
        <v>67</v>
      </c>
      <c r="BY8" s="42" t="n">
        <f aca="false">BX$8+1</f>
        <v>68</v>
      </c>
      <c r="BZ8" s="42" t="n">
        <f aca="false">BY$8+1</f>
        <v>69</v>
      </c>
      <c r="CA8" s="42" t="n">
        <f aca="false">BZ$8+1</f>
        <v>70</v>
      </c>
      <c r="CB8" s="42" t="n">
        <f aca="false">CA$8+1</f>
        <v>71</v>
      </c>
      <c r="CC8" s="42" t="n">
        <f aca="false">CB$8+1</f>
        <v>72</v>
      </c>
      <c r="CD8" s="42" t="n">
        <f aca="false">CC$8+1</f>
        <v>73</v>
      </c>
      <c r="CE8" s="42" t="n">
        <f aca="false">CD$8+1</f>
        <v>74</v>
      </c>
      <c r="CF8" s="42" t="n">
        <f aca="false">CE$8+1</f>
        <v>75</v>
      </c>
      <c r="CG8" s="42" t="n">
        <f aca="false">CF$8+1</f>
        <v>76</v>
      </c>
      <c r="CH8" s="42" t="n">
        <f aca="false">CG$8+1</f>
        <v>77</v>
      </c>
      <c r="CI8" s="42" t="n">
        <f aca="false">CH$8+1</f>
        <v>78</v>
      </c>
      <c r="CJ8" s="42" t="n">
        <f aca="false">CI$8+1</f>
        <v>79</v>
      </c>
      <c r="CK8" s="42" t="n">
        <f aca="false">CJ$8+1</f>
        <v>80</v>
      </c>
      <c r="CL8" s="42" t="n">
        <f aca="false">CK$8+1</f>
        <v>81</v>
      </c>
      <c r="CM8" s="42" t="n">
        <f aca="false">CL$8+1</f>
        <v>82</v>
      </c>
      <c r="CN8" s="42" t="n">
        <f aca="false">CM$8+1</f>
        <v>83</v>
      </c>
      <c r="CO8" s="42" t="n">
        <f aca="false">CN$8+1</f>
        <v>84</v>
      </c>
      <c r="CP8" s="42" t="n">
        <f aca="false">CO$8+1</f>
        <v>85</v>
      </c>
      <c r="CQ8" s="42" t="n">
        <f aca="false">CP$8+1</f>
        <v>86</v>
      </c>
      <c r="CR8" s="42" t="n">
        <f aca="false">CQ$8+1</f>
        <v>87</v>
      </c>
      <c r="CS8" s="42" t="n">
        <f aca="false">CR$8+1</f>
        <v>88</v>
      </c>
      <c r="CT8" s="42" t="n">
        <f aca="false">CS$8+1</f>
        <v>89</v>
      </c>
      <c r="CU8" s="42" t="n">
        <f aca="false">CT$8+1</f>
        <v>90</v>
      </c>
      <c r="CV8" s="42" t="n">
        <f aca="false">CU$8+1</f>
        <v>91</v>
      </c>
      <c r="CW8" s="42" t="n">
        <f aca="false">CV$8+1</f>
        <v>92</v>
      </c>
      <c r="CX8" s="42" t="n">
        <f aca="false">CW$8+1</f>
        <v>93</v>
      </c>
      <c r="CY8" s="42" t="n">
        <f aca="false">CX$8+1</f>
        <v>94</v>
      </c>
      <c r="CZ8" s="42" t="n">
        <f aca="false">CY$8+1</f>
        <v>95</v>
      </c>
      <c r="DA8" s="42" t="n">
        <f aca="false">CZ$8+1</f>
        <v>96</v>
      </c>
      <c r="DB8" s="42" t="n">
        <f aca="false">DA$8+1</f>
        <v>97</v>
      </c>
      <c r="DC8" s="42" t="n">
        <f aca="false">DB$8+1</f>
        <v>98</v>
      </c>
      <c r="DD8" s="42" t="n">
        <f aca="false">DC$8+1</f>
        <v>99</v>
      </c>
      <c r="DE8" s="42" t="n">
        <f aca="false">DD$8+1</f>
        <v>100</v>
      </c>
      <c r="DF8" s="42" t="n">
        <f aca="false">DE$8+1</f>
        <v>101</v>
      </c>
      <c r="DG8" s="42" t="n">
        <f aca="false">DF$8+1</f>
        <v>102</v>
      </c>
      <c r="DH8" s="42" t="n">
        <f aca="false">DG$8+1</f>
        <v>103</v>
      </c>
      <c r="DI8" s="42" t="n">
        <f aca="false">DH$8+1</f>
        <v>104</v>
      </c>
      <c r="DJ8" s="42" t="n">
        <f aca="false">DI$8+1</f>
        <v>105</v>
      </c>
      <c r="DK8" s="42" t="n">
        <f aca="false">DJ$8+1</f>
        <v>106</v>
      </c>
      <c r="DL8" s="42" t="n">
        <f aca="false">DK$8+1</f>
        <v>107</v>
      </c>
      <c r="DM8" s="42" t="n">
        <f aca="false">DL$8+1</f>
        <v>108</v>
      </c>
      <c r="DN8" s="42" t="n">
        <f aca="false">DM$8+1</f>
        <v>109</v>
      </c>
      <c r="DO8" s="42" t="n">
        <f aca="false">DN$8+1</f>
        <v>110</v>
      </c>
      <c r="DP8" s="42" t="n">
        <f aca="false">DO$8+1</f>
        <v>111</v>
      </c>
      <c r="DQ8" s="42" t="n">
        <f aca="false">DP$8+1</f>
        <v>112</v>
      </c>
      <c r="DR8" s="42" t="n">
        <f aca="false">DQ$8+1</f>
        <v>113</v>
      </c>
      <c r="DS8" s="42" t="n">
        <f aca="false">DR$8+1</f>
        <v>114</v>
      </c>
      <c r="DT8" s="42" t="n">
        <f aca="false">DS$8+1</f>
        <v>115</v>
      </c>
      <c r="DU8" s="42" t="n">
        <f aca="false">DT$8+1</f>
        <v>116</v>
      </c>
      <c r="DV8" s="42" t="n">
        <f aca="false">DU$8+1</f>
        <v>117</v>
      </c>
      <c r="DW8" s="42" t="n">
        <f aca="false">DV$8+1</f>
        <v>118</v>
      </c>
      <c r="DX8" s="42" t="n">
        <f aca="false">DW$8+1</f>
        <v>119</v>
      </c>
      <c r="DY8" s="42" t="n">
        <f aca="false">DX$8+1</f>
        <v>120</v>
      </c>
      <c r="DZ8" s="42" t="n">
        <f aca="false">DY$8+1</f>
        <v>121</v>
      </c>
      <c r="EA8" s="42" t="n">
        <f aca="false">DZ$8+1</f>
        <v>122</v>
      </c>
      <c r="EB8" s="42" t="n">
        <f aca="false">EA$8+1</f>
        <v>123</v>
      </c>
      <c r="EC8" s="42" t="n">
        <f aca="false">EB$8+1</f>
        <v>124</v>
      </c>
      <c r="ED8" s="42" t="n">
        <f aca="false">EC$8+1</f>
        <v>125</v>
      </c>
      <c r="EE8" s="42" t="n">
        <f aca="false">ED$8+1</f>
        <v>126</v>
      </c>
      <c r="EF8" s="42" t="n">
        <f aca="false">EE$8+1</f>
        <v>127</v>
      </c>
      <c r="EG8" s="42" t="n">
        <f aca="false">EF$8+1</f>
        <v>128</v>
      </c>
      <c r="EH8" s="42" t="n">
        <f aca="false">EG$8+1</f>
        <v>129</v>
      </c>
      <c r="EI8" s="42" t="n">
        <f aca="false">EH$8+1</f>
        <v>130</v>
      </c>
      <c r="EJ8" s="42" t="n">
        <f aca="false">EI$8+1</f>
        <v>131</v>
      </c>
      <c r="EK8" s="42" t="n">
        <f aca="false">EJ$8+1</f>
        <v>132</v>
      </c>
      <c r="EL8" s="42" t="n">
        <f aca="false">EK$8+1</f>
        <v>133</v>
      </c>
      <c r="EM8" s="42" t="n">
        <f aca="false">EL$8+1</f>
        <v>134</v>
      </c>
      <c r="EN8" s="42" t="n">
        <f aca="false">EM$8+1</f>
        <v>135</v>
      </c>
      <c r="EO8" s="42" t="n">
        <f aca="false">EN$8+1</f>
        <v>136</v>
      </c>
      <c r="EP8" s="42" t="n">
        <f aca="false">EO$8+1</f>
        <v>137</v>
      </c>
      <c r="EQ8" s="42" t="n">
        <f aca="false">EP$8+1</f>
        <v>138</v>
      </c>
      <c r="ER8" s="42" t="n">
        <f aca="false">EQ$8+1</f>
        <v>139</v>
      </c>
      <c r="ES8" s="42" t="n">
        <f aca="false">ER$8+1</f>
        <v>140</v>
      </c>
      <c r="ET8" s="42" t="n">
        <f aca="false">ES$8+1</f>
        <v>141</v>
      </c>
    </row>
    <row r="11" customFormat="false" ht="15" hidden="false" customHeight="false" outlineLevel="0" collapsed="false">
      <c r="A11" s="10" t="s">
        <v>13</v>
      </c>
      <c r="B11" s="10"/>
      <c r="C11" s="10" t="s">
        <v>446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</row>
    <row r="12" customFormat="false" ht="15" hidden="false" customHeight="false" outlineLevel="0" collapsed="false">
      <c r="C12" s="1" t="s">
        <v>116</v>
      </c>
      <c r="D12" s="12" t="s">
        <v>41</v>
      </c>
      <c r="E12" s="44" t="n">
        <f aca="false">INDEX(Dash_Exit_Date,1,$A$1)</f>
        <v>47483</v>
      </c>
      <c r="I12" s="46" t="n">
        <f aca="false">SUM(J12:ET12)</f>
        <v>1</v>
      </c>
      <c r="J12" s="46" t="n">
        <f aca="false">N(AND(J$3&lt;=$E12,J$4&gt;=$E12))</f>
        <v>0</v>
      </c>
      <c r="K12" s="46" t="n">
        <f aca="false">N(AND(K$3&lt;=$E12,K$4&gt;=$E12))</f>
        <v>0</v>
      </c>
      <c r="L12" s="46" t="n">
        <f aca="false">N(AND(L$3&lt;=$E12,L$4&gt;=$E12))</f>
        <v>0</v>
      </c>
      <c r="M12" s="46" t="n">
        <f aca="false">N(AND(M$3&lt;=$E12,M$4&gt;=$E12))</f>
        <v>0</v>
      </c>
      <c r="N12" s="46" t="n">
        <f aca="false">N(AND(N$3&lt;=$E12,N$4&gt;=$E12))</f>
        <v>0</v>
      </c>
      <c r="O12" s="46" t="n">
        <f aca="false">N(AND(O$3&lt;=$E12,O$4&gt;=$E12))</f>
        <v>0</v>
      </c>
      <c r="P12" s="46" t="n">
        <f aca="false">N(AND(P$3&lt;=$E12,P$4&gt;=$E12))</f>
        <v>0</v>
      </c>
      <c r="Q12" s="46" t="n">
        <f aca="false">N(AND(Q$3&lt;=$E12,Q$4&gt;=$E12))</f>
        <v>0</v>
      </c>
      <c r="R12" s="46" t="n">
        <f aca="false">N(AND(R$3&lt;=$E12,R$4&gt;=$E12))</f>
        <v>0</v>
      </c>
      <c r="S12" s="46" t="n">
        <f aca="false">N(AND(S$3&lt;=$E12,S$4&gt;=$E12))</f>
        <v>0</v>
      </c>
      <c r="T12" s="46" t="n">
        <f aca="false">N(AND(T$3&lt;=$E12,T$4&gt;=$E12))</f>
        <v>0</v>
      </c>
      <c r="U12" s="46" t="n">
        <f aca="false">N(AND(U$3&lt;=$E12,U$4&gt;=$E12))</f>
        <v>0</v>
      </c>
      <c r="V12" s="46" t="n">
        <f aca="false">N(AND(V$3&lt;=$E12,V$4&gt;=$E12))</f>
        <v>0</v>
      </c>
      <c r="W12" s="46" t="n">
        <f aca="false">N(AND(W$3&lt;=$E12,W$4&gt;=$E12))</f>
        <v>1</v>
      </c>
      <c r="X12" s="46" t="n">
        <f aca="false">N(AND(X$3&lt;=$E12,X$4&gt;=$E12))</f>
        <v>0</v>
      </c>
      <c r="Y12" s="46" t="n">
        <f aca="false">N(AND(Y$3&lt;=$E12,Y$4&gt;=$E12))</f>
        <v>0</v>
      </c>
      <c r="Z12" s="46" t="n">
        <f aca="false">N(AND(Z$3&lt;=$E12,Z$4&gt;=$E12))</f>
        <v>0</v>
      </c>
      <c r="AA12" s="46" t="n">
        <f aca="false">N(AND(AA$3&lt;=$E12,AA$4&gt;=$E12))</f>
        <v>0</v>
      </c>
      <c r="AB12" s="46" t="n">
        <f aca="false">N(AND(AB$3&lt;=$E12,AB$4&gt;=$E12))</f>
        <v>0</v>
      </c>
      <c r="AC12" s="46" t="n">
        <f aca="false">N(AND(AC$3&lt;=$E12,AC$4&gt;=$E12))</f>
        <v>0</v>
      </c>
      <c r="AD12" s="46" t="n">
        <f aca="false">N(AND(AD$3&lt;=$E12,AD$4&gt;=$E12))</f>
        <v>0</v>
      </c>
      <c r="AE12" s="46" t="n">
        <f aca="false">N(AND(AE$3&lt;=$E12,AE$4&gt;=$E12))</f>
        <v>0</v>
      </c>
      <c r="AF12" s="46" t="n">
        <f aca="false">N(AND(AF$3&lt;=$E12,AF$4&gt;=$E12))</f>
        <v>0</v>
      </c>
      <c r="AG12" s="46" t="n">
        <f aca="false">N(AND(AG$3&lt;=$E12,AG$4&gt;=$E12))</f>
        <v>0</v>
      </c>
      <c r="AH12" s="46" t="n">
        <f aca="false">N(AND(AH$3&lt;=$E12,AH$4&gt;=$E12))</f>
        <v>0</v>
      </c>
      <c r="AI12" s="46" t="n">
        <f aca="false">N(AND(AI$3&lt;=$E12,AI$4&gt;=$E12))</f>
        <v>0</v>
      </c>
      <c r="AJ12" s="46" t="n">
        <f aca="false">N(AND(AJ$3&lt;=$E12,AJ$4&gt;=$E12))</f>
        <v>0</v>
      </c>
      <c r="AK12" s="46" t="n">
        <f aca="false">N(AND(AK$3&lt;=$E12,AK$4&gt;=$E12))</f>
        <v>0</v>
      </c>
      <c r="AL12" s="46" t="n">
        <f aca="false">N(AND(AL$3&lt;=$E12,AL$4&gt;=$E12))</f>
        <v>0</v>
      </c>
      <c r="AM12" s="46" t="n">
        <f aca="false">N(AND(AM$3&lt;=$E12,AM$4&gt;=$E12))</f>
        <v>0</v>
      </c>
      <c r="AN12" s="46" t="n">
        <f aca="false">N(AND(AN$3&lt;=$E12,AN$4&gt;=$E12))</f>
        <v>0</v>
      </c>
      <c r="AO12" s="46" t="n">
        <f aca="false">N(AND(AO$3&lt;=$E12,AO$4&gt;=$E12))</f>
        <v>0</v>
      </c>
      <c r="AP12" s="46" t="n">
        <f aca="false">N(AND(AP$3&lt;=$E12,AP$4&gt;=$E12))</f>
        <v>0</v>
      </c>
      <c r="AQ12" s="46" t="n">
        <f aca="false">N(AND(AQ$3&lt;=$E12,AQ$4&gt;=$E12))</f>
        <v>0</v>
      </c>
      <c r="AR12" s="46" t="n">
        <f aca="false">N(AND(AR$3&lt;=$E12,AR$4&gt;=$E12))</f>
        <v>0</v>
      </c>
      <c r="AS12" s="46" t="n">
        <f aca="false">N(AND(AS$3&lt;=$E12,AS$4&gt;=$E12))</f>
        <v>0</v>
      </c>
      <c r="AT12" s="46" t="n">
        <f aca="false">N(AND(AT$3&lt;=$E12,AT$4&gt;=$E12))</f>
        <v>0</v>
      </c>
      <c r="AU12" s="46" t="n">
        <f aca="false">N(AND(AU$3&lt;=$E12,AU$4&gt;=$E12))</f>
        <v>0</v>
      </c>
      <c r="AV12" s="46" t="n">
        <f aca="false">N(AND(AV$3&lt;=$E12,AV$4&gt;=$E12))</f>
        <v>0</v>
      </c>
      <c r="AW12" s="46" t="n">
        <f aca="false">N(AND(AW$3&lt;=$E12,AW$4&gt;=$E12))</f>
        <v>0</v>
      </c>
      <c r="AX12" s="46" t="n">
        <f aca="false">N(AND(AX$3&lt;=$E12,AX$4&gt;=$E12))</f>
        <v>0</v>
      </c>
      <c r="AY12" s="46" t="n">
        <f aca="false">N(AND(AY$3&lt;=$E12,AY$4&gt;=$E12))</f>
        <v>0</v>
      </c>
      <c r="AZ12" s="46" t="n">
        <f aca="false">N(AND(AZ$3&lt;=$E12,AZ$4&gt;=$E12))</f>
        <v>0</v>
      </c>
      <c r="BA12" s="46" t="n">
        <f aca="false">N(AND(BA$3&lt;=$E12,BA$4&gt;=$E12))</f>
        <v>0</v>
      </c>
      <c r="BB12" s="46" t="n">
        <f aca="false">N(AND(BB$3&lt;=$E12,BB$4&gt;=$E12))</f>
        <v>0</v>
      </c>
      <c r="BC12" s="46" t="n">
        <f aca="false">N(AND(BC$3&lt;=$E12,BC$4&gt;=$E12))</f>
        <v>0</v>
      </c>
      <c r="BD12" s="46" t="n">
        <f aca="false">N(AND(BD$3&lt;=$E12,BD$4&gt;=$E12))</f>
        <v>0</v>
      </c>
      <c r="BE12" s="46" t="n">
        <f aca="false">N(AND(BE$3&lt;=$E12,BE$4&gt;=$E12))</f>
        <v>0</v>
      </c>
      <c r="BF12" s="46" t="n">
        <f aca="false">N(AND(BF$3&lt;=$E12,BF$4&gt;=$E12))</f>
        <v>0</v>
      </c>
      <c r="BG12" s="46" t="n">
        <f aca="false">N(AND(BG$3&lt;=$E12,BG$4&gt;=$E12))</f>
        <v>0</v>
      </c>
      <c r="BH12" s="46" t="n">
        <f aca="false">N(AND(BH$3&lt;=$E12,BH$4&gt;=$E12))</f>
        <v>0</v>
      </c>
      <c r="BI12" s="46" t="n">
        <f aca="false">N(AND(BI$3&lt;=$E12,BI$4&gt;=$E12))</f>
        <v>0</v>
      </c>
      <c r="BJ12" s="46" t="n">
        <f aca="false">N(AND(BJ$3&lt;=$E12,BJ$4&gt;=$E12))</f>
        <v>0</v>
      </c>
      <c r="BK12" s="46" t="n">
        <f aca="false">N(AND(BK$3&lt;=$E12,BK$4&gt;=$E12))</f>
        <v>0</v>
      </c>
      <c r="BL12" s="46" t="n">
        <f aca="false">N(AND(BL$3&lt;=$E12,BL$4&gt;=$E12))</f>
        <v>0</v>
      </c>
      <c r="BM12" s="46" t="n">
        <f aca="false">N(AND(BM$3&lt;=$E12,BM$4&gt;=$E12))</f>
        <v>0</v>
      </c>
      <c r="BN12" s="46" t="n">
        <f aca="false">N(AND(BN$3&lt;=$E12,BN$4&gt;=$E12))</f>
        <v>0</v>
      </c>
      <c r="BO12" s="46" t="n">
        <f aca="false">N(AND(BO$3&lt;=$E12,BO$4&gt;=$E12))</f>
        <v>0</v>
      </c>
      <c r="BP12" s="46" t="n">
        <f aca="false">N(AND(BP$3&lt;=$E12,BP$4&gt;=$E12))</f>
        <v>0</v>
      </c>
      <c r="BQ12" s="46" t="n">
        <f aca="false">N(AND(BQ$3&lt;=$E12,BQ$4&gt;=$E12))</f>
        <v>0</v>
      </c>
      <c r="BR12" s="46" t="n">
        <f aca="false">N(AND(BR$3&lt;=$E12,BR$4&gt;=$E12))</f>
        <v>0</v>
      </c>
      <c r="BS12" s="46" t="n">
        <f aca="false">N(AND(BS$3&lt;=$E12,BS$4&gt;=$E12))</f>
        <v>0</v>
      </c>
      <c r="BT12" s="46" t="n">
        <f aca="false">N(AND(BT$3&lt;=$E12,BT$4&gt;=$E12))</f>
        <v>0</v>
      </c>
      <c r="BU12" s="46" t="n">
        <f aca="false">N(AND(BU$3&lt;=$E12,BU$4&gt;=$E12))</f>
        <v>0</v>
      </c>
      <c r="BV12" s="46" t="n">
        <f aca="false">N(AND(BV$3&lt;=$E12,BV$4&gt;=$E12))</f>
        <v>0</v>
      </c>
      <c r="BW12" s="46" t="n">
        <f aca="false">N(AND(BW$3&lt;=$E12,BW$4&gt;=$E12))</f>
        <v>0</v>
      </c>
      <c r="BX12" s="46" t="n">
        <f aca="false">N(AND(BX$3&lt;=$E12,BX$4&gt;=$E12))</f>
        <v>0</v>
      </c>
      <c r="BY12" s="46" t="n">
        <f aca="false">N(AND(BY$3&lt;=$E12,BY$4&gt;=$E12))</f>
        <v>0</v>
      </c>
      <c r="BZ12" s="46" t="n">
        <f aca="false">N(AND(BZ$3&lt;=$E12,BZ$4&gt;=$E12))</f>
        <v>0</v>
      </c>
      <c r="CA12" s="46" t="n">
        <f aca="false">N(AND(CA$3&lt;=$E12,CA$4&gt;=$E12))</f>
        <v>0</v>
      </c>
      <c r="CB12" s="46" t="n">
        <f aca="false">N(AND(CB$3&lt;=$E12,CB$4&gt;=$E12))</f>
        <v>0</v>
      </c>
      <c r="CC12" s="46" t="n">
        <f aca="false">N(AND(CC$3&lt;=$E12,CC$4&gt;=$E12))</f>
        <v>0</v>
      </c>
      <c r="CD12" s="46" t="n">
        <f aca="false">N(AND(CD$3&lt;=$E12,CD$4&gt;=$E12))</f>
        <v>0</v>
      </c>
      <c r="CE12" s="46" t="n">
        <f aca="false">N(AND(CE$3&lt;=$E12,CE$4&gt;=$E12))</f>
        <v>0</v>
      </c>
      <c r="CF12" s="46" t="n">
        <f aca="false">N(AND(CF$3&lt;=$E12,CF$4&gt;=$E12))</f>
        <v>0</v>
      </c>
      <c r="CG12" s="46" t="n">
        <f aca="false">N(AND(CG$3&lt;=$E12,CG$4&gt;=$E12))</f>
        <v>0</v>
      </c>
      <c r="CH12" s="46" t="n">
        <f aca="false">N(AND(CH$3&lt;=$E12,CH$4&gt;=$E12))</f>
        <v>0</v>
      </c>
      <c r="CI12" s="46" t="n">
        <f aca="false">N(AND(CI$3&lt;=$E12,CI$4&gt;=$E12))</f>
        <v>0</v>
      </c>
      <c r="CJ12" s="46" t="n">
        <f aca="false">N(AND(CJ$3&lt;=$E12,CJ$4&gt;=$E12))</f>
        <v>0</v>
      </c>
      <c r="CK12" s="46" t="n">
        <f aca="false">N(AND(CK$3&lt;=$E12,CK$4&gt;=$E12))</f>
        <v>0</v>
      </c>
      <c r="CL12" s="46" t="n">
        <f aca="false">N(AND(CL$3&lt;=$E12,CL$4&gt;=$E12))</f>
        <v>0</v>
      </c>
      <c r="CM12" s="46" t="n">
        <f aca="false">N(AND(CM$3&lt;=$E12,CM$4&gt;=$E12))</f>
        <v>0</v>
      </c>
      <c r="CN12" s="46" t="n">
        <f aca="false">N(AND(CN$3&lt;=$E12,CN$4&gt;=$E12))</f>
        <v>0</v>
      </c>
      <c r="CO12" s="46" t="n">
        <f aca="false">N(AND(CO$3&lt;=$E12,CO$4&gt;=$E12))</f>
        <v>0</v>
      </c>
      <c r="CP12" s="46" t="n">
        <f aca="false">N(AND(CP$3&lt;=$E12,CP$4&gt;=$E12))</f>
        <v>0</v>
      </c>
      <c r="CQ12" s="46" t="n">
        <f aca="false">N(AND(CQ$3&lt;=$E12,CQ$4&gt;=$E12))</f>
        <v>0</v>
      </c>
      <c r="CR12" s="46" t="n">
        <f aca="false">N(AND(CR$3&lt;=$E12,CR$4&gt;=$E12))</f>
        <v>0</v>
      </c>
      <c r="CS12" s="46" t="n">
        <f aca="false">N(AND(CS$3&lt;=$E12,CS$4&gt;=$E12))</f>
        <v>0</v>
      </c>
      <c r="CT12" s="46" t="n">
        <f aca="false">N(AND(CT$3&lt;=$E12,CT$4&gt;=$E12))</f>
        <v>0</v>
      </c>
      <c r="CU12" s="46" t="n">
        <f aca="false">N(AND(CU$3&lt;=$E12,CU$4&gt;=$E12))</f>
        <v>0</v>
      </c>
      <c r="CV12" s="46" t="n">
        <f aca="false">N(AND(CV$3&lt;=$E12,CV$4&gt;=$E12))</f>
        <v>0</v>
      </c>
      <c r="CW12" s="46" t="n">
        <f aca="false">N(AND(CW$3&lt;=$E12,CW$4&gt;=$E12))</f>
        <v>0</v>
      </c>
      <c r="CX12" s="46" t="n">
        <f aca="false">N(AND(CX$3&lt;=$E12,CX$4&gt;=$E12))</f>
        <v>0</v>
      </c>
      <c r="CY12" s="46" t="n">
        <f aca="false">N(AND(CY$3&lt;=$E12,CY$4&gt;=$E12))</f>
        <v>0</v>
      </c>
      <c r="CZ12" s="46" t="n">
        <f aca="false">N(AND(CZ$3&lt;=$E12,CZ$4&gt;=$E12))</f>
        <v>0</v>
      </c>
      <c r="DA12" s="46" t="n">
        <f aca="false">N(AND(DA$3&lt;=$E12,DA$4&gt;=$E12))</f>
        <v>0</v>
      </c>
      <c r="DB12" s="46" t="n">
        <f aca="false">N(AND(DB$3&lt;=$E12,DB$4&gt;=$E12))</f>
        <v>0</v>
      </c>
      <c r="DC12" s="46" t="n">
        <f aca="false">N(AND(DC$3&lt;=$E12,DC$4&gt;=$E12))</f>
        <v>0</v>
      </c>
      <c r="DD12" s="46" t="n">
        <f aca="false">N(AND(DD$3&lt;=$E12,DD$4&gt;=$E12))</f>
        <v>0</v>
      </c>
      <c r="DE12" s="46" t="n">
        <f aca="false">N(AND(DE$3&lt;=$E12,DE$4&gt;=$E12))</f>
        <v>0</v>
      </c>
      <c r="DF12" s="46" t="n">
        <f aca="false">N(AND(DF$3&lt;=$E12,DF$4&gt;=$E12))</f>
        <v>0</v>
      </c>
      <c r="DG12" s="46" t="n">
        <f aca="false">N(AND(DG$3&lt;=$E12,DG$4&gt;=$E12))</f>
        <v>0</v>
      </c>
      <c r="DH12" s="46" t="n">
        <f aca="false">N(AND(DH$3&lt;=$E12,DH$4&gt;=$E12))</f>
        <v>0</v>
      </c>
      <c r="DI12" s="46" t="n">
        <f aca="false">N(AND(DI$3&lt;=$E12,DI$4&gt;=$E12))</f>
        <v>0</v>
      </c>
      <c r="DJ12" s="46" t="n">
        <f aca="false">N(AND(DJ$3&lt;=$E12,DJ$4&gt;=$E12))</f>
        <v>0</v>
      </c>
      <c r="DK12" s="46" t="n">
        <f aca="false">N(AND(DK$3&lt;=$E12,DK$4&gt;=$E12))</f>
        <v>0</v>
      </c>
      <c r="DL12" s="46" t="n">
        <f aca="false">N(AND(DL$3&lt;=$E12,DL$4&gt;=$E12))</f>
        <v>0</v>
      </c>
      <c r="DM12" s="46" t="n">
        <f aca="false">N(AND(DM$3&lt;=$E12,DM$4&gt;=$E12))</f>
        <v>0</v>
      </c>
      <c r="DN12" s="46" t="n">
        <f aca="false">N(AND(DN$3&lt;=$E12,DN$4&gt;=$E12))</f>
        <v>0</v>
      </c>
      <c r="DO12" s="46" t="n">
        <f aca="false">N(AND(DO$3&lt;=$E12,DO$4&gt;=$E12))</f>
        <v>0</v>
      </c>
      <c r="DP12" s="46" t="n">
        <f aca="false">N(AND(DP$3&lt;=$E12,DP$4&gt;=$E12))</f>
        <v>0</v>
      </c>
      <c r="DQ12" s="46" t="n">
        <f aca="false">N(AND(DQ$3&lt;=$E12,DQ$4&gt;=$E12))</f>
        <v>0</v>
      </c>
      <c r="DR12" s="46" t="n">
        <f aca="false">N(AND(DR$3&lt;=$E12,DR$4&gt;=$E12))</f>
        <v>0</v>
      </c>
      <c r="DS12" s="46" t="n">
        <f aca="false">N(AND(DS$3&lt;=$E12,DS$4&gt;=$E12))</f>
        <v>0</v>
      </c>
      <c r="DT12" s="46" t="n">
        <f aca="false">N(AND(DT$3&lt;=$E12,DT$4&gt;=$E12))</f>
        <v>0</v>
      </c>
      <c r="DU12" s="46" t="n">
        <f aca="false">N(AND(DU$3&lt;=$E12,DU$4&gt;=$E12))</f>
        <v>0</v>
      </c>
      <c r="DV12" s="46" t="n">
        <f aca="false">N(AND(DV$3&lt;=$E12,DV$4&gt;=$E12))</f>
        <v>0</v>
      </c>
      <c r="DW12" s="46" t="n">
        <f aca="false">N(AND(DW$3&lt;=$E12,DW$4&gt;=$E12))</f>
        <v>0</v>
      </c>
      <c r="DX12" s="46" t="n">
        <f aca="false">N(AND(DX$3&lt;=$E12,DX$4&gt;=$E12))</f>
        <v>0</v>
      </c>
      <c r="DY12" s="46" t="n">
        <f aca="false">N(AND(DY$3&lt;=$E12,DY$4&gt;=$E12))</f>
        <v>0</v>
      </c>
      <c r="DZ12" s="46" t="n">
        <f aca="false">N(AND(DZ$3&lt;=$E12,DZ$4&gt;=$E12))</f>
        <v>0</v>
      </c>
      <c r="EA12" s="46" t="n">
        <f aca="false">N(AND(EA$3&lt;=$E12,EA$4&gt;=$E12))</f>
        <v>0</v>
      </c>
      <c r="EB12" s="46" t="n">
        <f aca="false">N(AND(EB$3&lt;=$E12,EB$4&gt;=$E12))</f>
        <v>0</v>
      </c>
      <c r="EC12" s="46" t="n">
        <f aca="false">N(AND(EC$3&lt;=$E12,EC$4&gt;=$E12))</f>
        <v>0</v>
      </c>
      <c r="ED12" s="46" t="n">
        <f aca="false">N(AND(ED$3&lt;=$E12,ED$4&gt;=$E12))</f>
        <v>0</v>
      </c>
      <c r="EE12" s="46" t="n">
        <f aca="false">N(AND(EE$3&lt;=$E12,EE$4&gt;=$E12))</f>
        <v>0</v>
      </c>
      <c r="EF12" s="46" t="n">
        <f aca="false">N(AND(EF$3&lt;=$E12,EF$4&gt;=$E12))</f>
        <v>0</v>
      </c>
      <c r="EG12" s="46" t="n">
        <f aca="false">N(AND(EG$3&lt;=$E12,EG$4&gt;=$E12))</f>
        <v>0</v>
      </c>
      <c r="EH12" s="46" t="n">
        <f aca="false">N(AND(EH$3&lt;=$E12,EH$4&gt;=$E12))</f>
        <v>0</v>
      </c>
      <c r="EI12" s="46" t="n">
        <f aca="false">N(AND(EI$3&lt;=$E12,EI$4&gt;=$E12))</f>
        <v>0</v>
      </c>
      <c r="EJ12" s="46" t="n">
        <f aca="false">N(AND(EJ$3&lt;=$E12,EJ$4&gt;=$E12))</f>
        <v>0</v>
      </c>
      <c r="EK12" s="46" t="n">
        <f aca="false">N(AND(EK$3&lt;=$E12,EK$4&gt;=$E12))</f>
        <v>0</v>
      </c>
      <c r="EL12" s="46" t="n">
        <f aca="false">N(AND(EL$3&lt;=$E12,EL$4&gt;=$E12))</f>
        <v>0</v>
      </c>
      <c r="EM12" s="46" t="n">
        <f aca="false">N(AND(EM$3&lt;=$E12,EM$4&gt;=$E12))</f>
        <v>0</v>
      </c>
      <c r="EN12" s="46" t="n">
        <f aca="false">N(AND(EN$3&lt;=$E12,EN$4&gt;=$E12))</f>
        <v>0</v>
      </c>
      <c r="EO12" s="46" t="n">
        <f aca="false">N(AND(EO$3&lt;=$E12,EO$4&gt;=$E12))</f>
        <v>0</v>
      </c>
      <c r="EP12" s="46" t="n">
        <f aca="false">N(AND(EP$3&lt;=$E12,EP$4&gt;=$E12))</f>
        <v>0</v>
      </c>
      <c r="EQ12" s="46" t="n">
        <f aca="false">N(AND(EQ$3&lt;=$E12,EQ$4&gt;=$E12))</f>
        <v>0</v>
      </c>
      <c r="ER12" s="46" t="n">
        <f aca="false">N(AND(ER$3&lt;=$E12,ER$4&gt;=$E12))</f>
        <v>0</v>
      </c>
      <c r="ES12" s="46" t="n">
        <f aca="false">N(AND(ES$3&lt;=$E12,ES$4&gt;=$E12))</f>
        <v>0</v>
      </c>
      <c r="ET12" s="46" t="n">
        <f aca="false">N(AND(ET$3&lt;=$E12,ET$4&gt;=$E12))</f>
        <v>0</v>
      </c>
    </row>
    <row r="13" customFormat="false" ht="15" hidden="false" customHeight="false" outlineLevel="0" collapsed="false">
      <c r="C13" s="1" t="s">
        <v>447</v>
      </c>
      <c r="D13" s="12" t="s">
        <v>442</v>
      </c>
      <c r="E13" s="44" t="n">
        <f aca="false">In_NTP+1</f>
        <v>47392</v>
      </c>
      <c r="F13" s="28" t="n">
        <f aca="false">In_COD</f>
        <v>48121</v>
      </c>
      <c r="I13" s="54" t="n">
        <f aca="false">SUM(J13:ET13)</f>
        <v>1</v>
      </c>
      <c r="J13" s="54" t="n">
        <f aca="false">MAX(0,MIN($F13,J$4)-MAX($E13,J$3)+1)/($F13-$E13+1)</f>
        <v>0</v>
      </c>
      <c r="K13" s="54" t="n">
        <f aca="false">MAX(0,MIN($F13,K$4)-MAX($E13,K$3)+1)/($F13-$E13+1)</f>
        <v>0</v>
      </c>
      <c r="L13" s="54" t="n">
        <f aca="false">MAX(0,MIN($F13,L$4)-MAX($E13,L$3)+1)/($F13-$E13+1)</f>
        <v>0</v>
      </c>
      <c r="M13" s="54" t="n">
        <f aca="false">MAX(0,MIN($F13,M$4)-MAX($E13,M$3)+1)/($F13-$E13+1)</f>
        <v>0</v>
      </c>
      <c r="N13" s="54" t="n">
        <f aca="false">MAX(0,MIN($F13,N$4)-MAX($E13,N$3)+1)/($F13-$E13+1)</f>
        <v>0</v>
      </c>
      <c r="O13" s="54" t="n">
        <f aca="false">MAX(0,MIN($F13,O$4)-MAX($E13,O$3)+1)/($F13-$E13+1)</f>
        <v>0</v>
      </c>
      <c r="P13" s="54" t="n">
        <f aca="false">MAX(0,MIN($F13,P$4)-MAX($E13,P$3)+1)/($F13-$E13+1)</f>
        <v>0</v>
      </c>
      <c r="Q13" s="54" t="n">
        <f aca="false">MAX(0,MIN($F13,Q$4)-MAX($E13,Q$3)+1)/($F13-$E13+1)</f>
        <v>0</v>
      </c>
      <c r="R13" s="54" t="n">
        <f aca="false">MAX(0,MIN($F13,R$4)-MAX($E13,R$3)+1)/($F13-$E13+1)</f>
        <v>0</v>
      </c>
      <c r="S13" s="54" t="n">
        <f aca="false">MAX(0,MIN($F13,S$4)-MAX($E13,S$3)+1)/($F13-$E13+1)</f>
        <v>0</v>
      </c>
      <c r="T13" s="54" t="n">
        <f aca="false">MAX(0,MIN($F13,T$4)-MAX($E13,T$3)+1)/($F13-$E13+1)</f>
        <v>0</v>
      </c>
      <c r="U13" s="54" t="n">
        <f aca="false">MAX(0,MIN($F13,U$4)-MAX($E13,U$3)+1)/($F13-$E13+1)</f>
        <v>0</v>
      </c>
      <c r="V13" s="54" t="n">
        <f aca="false">MAX(0,MIN($F13,V$4)-MAX($E13,V$3)+1)/($F13-$E13+1)</f>
        <v>0</v>
      </c>
      <c r="W13" s="54" t="n">
        <f aca="false">MAX(0,MIN($F13,W$4)-MAX($E13,W$3)+1)/($F13-$E13+1)</f>
        <v>0.126027397260274</v>
      </c>
      <c r="X13" s="54" t="n">
        <f aca="false">MAX(0,MIN($F13,X$4)-MAX($E13,X$3)+1)/($F13-$E13+1)</f>
        <v>0.123287671232877</v>
      </c>
      <c r="Y13" s="54" t="n">
        <f aca="false">MAX(0,MIN($F13,Y$4)-MAX($E13,Y$3)+1)/($F13-$E13+1)</f>
        <v>0.124657534246575</v>
      </c>
      <c r="Z13" s="54" t="n">
        <f aca="false">MAX(0,MIN($F13,Z$4)-MAX($E13,Z$3)+1)/($F13-$E13+1)</f>
        <v>0.126027397260274</v>
      </c>
      <c r="AA13" s="54" t="n">
        <f aca="false">MAX(0,MIN($F13,AA$4)-MAX($E13,AA$3)+1)/($F13-$E13+1)</f>
        <v>0.126027397260274</v>
      </c>
      <c r="AB13" s="54" t="n">
        <f aca="false">MAX(0,MIN($F13,AB$4)-MAX($E13,AB$3)+1)/($F13-$E13+1)</f>
        <v>0.123287671232877</v>
      </c>
      <c r="AC13" s="54" t="n">
        <f aca="false">MAX(0,MIN($F13,AC$4)-MAX($E13,AC$3)+1)/($F13-$E13+1)</f>
        <v>0.124657534246575</v>
      </c>
      <c r="AD13" s="54" t="n">
        <f aca="false">MAX(0,MIN($F13,AD$4)-MAX($E13,AD$3)+1)/($F13-$E13+1)</f>
        <v>0.126027397260274</v>
      </c>
      <c r="AE13" s="54" t="n">
        <f aca="false">MAX(0,MIN($F13,AE$4)-MAX($E13,AE$3)+1)/($F13-$E13+1)</f>
        <v>0</v>
      </c>
      <c r="AF13" s="54" t="n">
        <f aca="false">MAX(0,MIN($F13,AF$4)-MAX($E13,AF$3)+1)/($F13-$E13+1)</f>
        <v>0</v>
      </c>
      <c r="AG13" s="54" t="n">
        <f aca="false">MAX(0,MIN($F13,AG$4)-MAX($E13,AG$3)+1)/($F13-$E13+1)</f>
        <v>0</v>
      </c>
      <c r="AH13" s="54" t="n">
        <f aca="false">MAX(0,MIN($F13,AH$4)-MAX($E13,AH$3)+1)/($F13-$E13+1)</f>
        <v>0</v>
      </c>
      <c r="AI13" s="54" t="n">
        <f aca="false">MAX(0,MIN($F13,AI$4)-MAX($E13,AI$3)+1)/($F13-$E13+1)</f>
        <v>0</v>
      </c>
      <c r="AJ13" s="54" t="n">
        <f aca="false">MAX(0,MIN($F13,AJ$4)-MAX($E13,AJ$3)+1)/($F13-$E13+1)</f>
        <v>0</v>
      </c>
      <c r="AK13" s="54" t="n">
        <f aca="false">MAX(0,MIN($F13,AK$4)-MAX($E13,AK$3)+1)/($F13-$E13+1)</f>
        <v>0</v>
      </c>
      <c r="AL13" s="54" t="n">
        <f aca="false">MAX(0,MIN($F13,AL$4)-MAX($E13,AL$3)+1)/($F13-$E13+1)</f>
        <v>0</v>
      </c>
      <c r="AM13" s="54" t="n">
        <f aca="false">MAX(0,MIN($F13,AM$4)-MAX($E13,AM$3)+1)/($F13-$E13+1)</f>
        <v>0</v>
      </c>
      <c r="AN13" s="54" t="n">
        <f aca="false">MAX(0,MIN($F13,AN$4)-MAX($E13,AN$3)+1)/($F13-$E13+1)</f>
        <v>0</v>
      </c>
      <c r="AO13" s="54" t="n">
        <f aca="false">MAX(0,MIN($F13,AO$4)-MAX($E13,AO$3)+1)/($F13-$E13+1)</f>
        <v>0</v>
      </c>
      <c r="AP13" s="54" t="n">
        <f aca="false">MAX(0,MIN($F13,AP$4)-MAX($E13,AP$3)+1)/($F13-$E13+1)</f>
        <v>0</v>
      </c>
      <c r="AQ13" s="54" t="n">
        <f aca="false">MAX(0,MIN($F13,AQ$4)-MAX($E13,AQ$3)+1)/($F13-$E13+1)</f>
        <v>0</v>
      </c>
      <c r="AR13" s="54" t="n">
        <f aca="false">MAX(0,MIN($F13,AR$4)-MAX($E13,AR$3)+1)/($F13-$E13+1)</f>
        <v>0</v>
      </c>
      <c r="AS13" s="54" t="n">
        <f aca="false">MAX(0,MIN($F13,AS$4)-MAX($E13,AS$3)+1)/($F13-$E13+1)</f>
        <v>0</v>
      </c>
      <c r="AT13" s="54" t="n">
        <f aca="false">MAX(0,MIN($F13,AT$4)-MAX($E13,AT$3)+1)/($F13-$E13+1)</f>
        <v>0</v>
      </c>
      <c r="AU13" s="54" t="n">
        <f aca="false">MAX(0,MIN($F13,AU$4)-MAX($E13,AU$3)+1)/($F13-$E13+1)</f>
        <v>0</v>
      </c>
      <c r="AV13" s="54" t="n">
        <f aca="false">MAX(0,MIN($F13,AV$4)-MAX($E13,AV$3)+1)/($F13-$E13+1)</f>
        <v>0</v>
      </c>
      <c r="AW13" s="54" t="n">
        <f aca="false">MAX(0,MIN($F13,AW$4)-MAX($E13,AW$3)+1)/($F13-$E13+1)</f>
        <v>0</v>
      </c>
      <c r="AX13" s="54" t="n">
        <f aca="false">MAX(0,MIN($F13,AX$4)-MAX($E13,AX$3)+1)/($F13-$E13+1)</f>
        <v>0</v>
      </c>
      <c r="AY13" s="54" t="n">
        <f aca="false">MAX(0,MIN($F13,AY$4)-MAX($E13,AY$3)+1)/($F13-$E13+1)</f>
        <v>0</v>
      </c>
      <c r="AZ13" s="54" t="n">
        <f aca="false">MAX(0,MIN($F13,AZ$4)-MAX($E13,AZ$3)+1)/($F13-$E13+1)</f>
        <v>0</v>
      </c>
      <c r="BA13" s="54" t="n">
        <f aca="false">MAX(0,MIN($F13,BA$4)-MAX($E13,BA$3)+1)/($F13-$E13+1)</f>
        <v>0</v>
      </c>
      <c r="BB13" s="54" t="n">
        <f aca="false">MAX(0,MIN($F13,BB$4)-MAX($E13,BB$3)+1)/($F13-$E13+1)</f>
        <v>0</v>
      </c>
      <c r="BC13" s="54" t="n">
        <f aca="false">MAX(0,MIN($F13,BC$4)-MAX($E13,BC$3)+1)/($F13-$E13+1)</f>
        <v>0</v>
      </c>
      <c r="BD13" s="54" t="n">
        <f aca="false">MAX(0,MIN($F13,BD$4)-MAX($E13,BD$3)+1)/($F13-$E13+1)</f>
        <v>0</v>
      </c>
      <c r="BE13" s="54" t="n">
        <f aca="false">MAX(0,MIN($F13,BE$4)-MAX($E13,BE$3)+1)/($F13-$E13+1)</f>
        <v>0</v>
      </c>
      <c r="BF13" s="54" t="n">
        <f aca="false">MAX(0,MIN($F13,BF$4)-MAX($E13,BF$3)+1)/($F13-$E13+1)</f>
        <v>0</v>
      </c>
      <c r="BG13" s="54" t="n">
        <f aca="false">MAX(0,MIN($F13,BG$4)-MAX($E13,BG$3)+1)/($F13-$E13+1)</f>
        <v>0</v>
      </c>
      <c r="BH13" s="54" t="n">
        <f aca="false">MAX(0,MIN($F13,BH$4)-MAX($E13,BH$3)+1)/($F13-$E13+1)</f>
        <v>0</v>
      </c>
      <c r="BI13" s="54" t="n">
        <f aca="false">MAX(0,MIN($F13,BI$4)-MAX($E13,BI$3)+1)/($F13-$E13+1)</f>
        <v>0</v>
      </c>
      <c r="BJ13" s="54" t="n">
        <f aca="false">MAX(0,MIN($F13,BJ$4)-MAX($E13,BJ$3)+1)/($F13-$E13+1)</f>
        <v>0</v>
      </c>
      <c r="BK13" s="54" t="n">
        <f aca="false">MAX(0,MIN($F13,BK$4)-MAX($E13,BK$3)+1)/($F13-$E13+1)</f>
        <v>0</v>
      </c>
      <c r="BL13" s="54" t="n">
        <f aca="false">MAX(0,MIN($F13,BL$4)-MAX($E13,BL$3)+1)/($F13-$E13+1)</f>
        <v>0</v>
      </c>
      <c r="BM13" s="54" t="n">
        <f aca="false">MAX(0,MIN($F13,BM$4)-MAX($E13,BM$3)+1)/($F13-$E13+1)</f>
        <v>0</v>
      </c>
      <c r="BN13" s="54" t="n">
        <f aca="false">MAX(0,MIN($F13,BN$4)-MAX($E13,BN$3)+1)/($F13-$E13+1)</f>
        <v>0</v>
      </c>
      <c r="BO13" s="54" t="n">
        <f aca="false">MAX(0,MIN($F13,BO$4)-MAX($E13,BO$3)+1)/($F13-$E13+1)</f>
        <v>0</v>
      </c>
      <c r="BP13" s="54" t="n">
        <f aca="false">MAX(0,MIN($F13,BP$4)-MAX($E13,BP$3)+1)/($F13-$E13+1)</f>
        <v>0</v>
      </c>
      <c r="BQ13" s="54" t="n">
        <f aca="false">MAX(0,MIN($F13,BQ$4)-MAX($E13,BQ$3)+1)/($F13-$E13+1)</f>
        <v>0</v>
      </c>
      <c r="BR13" s="54" t="n">
        <f aca="false">MAX(0,MIN($F13,BR$4)-MAX($E13,BR$3)+1)/($F13-$E13+1)</f>
        <v>0</v>
      </c>
      <c r="BS13" s="54" t="n">
        <f aca="false">MAX(0,MIN($F13,BS$4)-MAX($E13,BS$3)+1)/($F13-$E13+1)</f>
        <v>0</v>
      </c>
      <c r="BT13" s="54" t="n">
        <f aca="false">MAX(0,MIN($F13,BT$4)-MAX($E13,BT$3)+1)/($F13-$E13+1)</f>
        <v>0</v>
      </c>
      <c r="BU13" s="54" t="n">
        <f aca="false">MAX(0,MIN($F13,BU$4)-MAX($E13,BU$3)+1)/($F13-$E13+1)</f>
        <v>0</v>
      </c>
      <c r="BV13" s="54" t="n">
        <f aca="false">MAX(0,MIN($F13,BV$4)-MAX($E13,BV$3)+1)/($F13-$E13+1)</f>
        <v>0</v>
      </c>
      <c r="BW13" s="54" t="n">
        <f aca="false">MAX(0,MIN($F13,BW$4)-MAX($E13,BW$3)+1)/($F13-$E13+1)</f>
        <v>0</v>
      </c>
      <c r="BX13" s="54" t="n">
        <f aca="false">MAX(0,MIN($F13,BX$4)-MAX($E13,BX$3)+1)/($F13-$E13+1)</f>
        <v>0</v>
      </c>
      <c r="BY13" s="54" t="n">
        <f aca="false">MAX(0,MIN($F13,BY$4)-MAX($E13,BY$3)+1)/($F13-$E13+1)</f>
        <v>0</v>
      </c>
      <c r="BZ13" s="54" t="n">
        <f aca="false">MAX(0,MIN($F13,BZ$4)-MAX($E13,BZ$3)+1)/($F13-$E13+1)</f>
        <v>0</v>
      </c>
      <c r="CA13" s="54" t="n">
        <f aca="false">MAX(0,MIN($F13,CA$4)-MAX($E13,CA$3)+1)/($F13-$E13+1)</f>
        <v>0</v>
      </c>
      <c r="CB13" s="54" t="n">
        <f aca="false">MAX(0,MIN($F13,CB$4)-MAX($E13,CB$3)+1)/($F13-$E13+1)</f>
        <v>0</v>
      </c>
      <c r="CC13" s="54" t="n">
        <f aca="false">MAX(0,MIN($F13,CC$4)-MAX($E13,CC$3)+1)/($F13-$E13+1)</f>
        <v>0</v>
      </c>
      <c r="CD13" s="54" t="n">
        <f aca="false">MAX(0,MIN($F13,CD$4)-MAX($E13,CD$3)+1)/($F13-$E13+1)</f>
        <v>0</v>
      </c>
      <c r="CE13" s="54" t="n">
        <f aca="false">MAX(0,MIN($F13,CE$4)-MAX($E13,CE$3)+1)/($F13-$E13+1)</f>
        <v>0</v>
      </c>
      <c r="CF13" s="54" t="n">
        <f aca="false">MAX(0,MIN($F13,CF$4)-MAX($E13,CF$3)+1)/($F13-$E13+1)</f>
        <v>0</v>
      </c>
      <c r="CG13" s="54" t="n">
        <f aca="false">MAX(0,MIN($F13,CG$4)-MAX($E13,CG$3)+1)/($F13-$E13+1)</f>
        <v>0</v>
      </c>
      <c r="CH13" s="54" t="n">
        <f aca="false">MAX(0,MIN($F13,CH$4)-MAX($E13,CH$3)+1)/($F13-$E13+1)</f>
        <v>0</v>
      </c>
      <c r="CI13" s="54" t="n">
        <f aca="false">MAX(0,MIN($F13,CI$4)-MAX($E13,CI$3)+1)/($F13-$E13+1)</f>
        <v>0</v>
      </c>
      <c r="CJ13" s="54" t="n">
        <f aca="false">MAX(0,MIN($F13,CJ$4)-MAX($E13,CJ$3)+1)/($F13-$E13+1)</f>
        <v>0</v>
      </c>
      <c r="CK13" s="54" t="n">
        <f aca="false">MAX(0,MIN($F13,CK$4)-MAX($E13,CK$3)+1)/($F13-$E13+1)</f>
        <v>0</v>
      </c>
      <c r="CL13" s="54" t="n">
        <f aca="false">MAX(0,MIN($F13,CL$4)-MAX($E13,CL$3)+1)/($F13-$E13+1)</f>
        <v>0</v>
      </c>
      <c r="CM13" s="54" t="n">
        <f aca="false">MAX(0,MIN($F13,CM$4)-MAX($E13,CM$3)+1)/($F13-$E13+1)</f>
        <v>0</v>
      </c>
      <c r="CN13" s="54" t="n">
        <f aca="false">MAX(0,MIN($F13,CN$4)-MAX($E13,CN$3)+1)/($F13-$E13+1)</f>
        <v>0</v>
      </c>
      <c r="CO13" s="54" t="n">
        <f aca="false">MAX(0,MIN($F13,CO$4)-MAX($E13,CO$3)+1)/($F13-$E13+1)</f>
        <v>0</v>
      </c>
      <c r="CP13" s="54" t="n">
        <f aca="false">MAX(0,MIN($F13,CP$4)-MAX($E13,CP$3)+1)/($F13-$E13+1)</f>
        <v>0</v>
      </c>
      <c r="CQ13" s="54" t="n">
        <f aca="false">MAX(0,MIN($F13,CQ$4)-MAX($E13,CQ$3)+1)/($F13-$E13+1)</f>
        <v>0</v>
      </c>
      <c r="CR13" s="54" t="n">
        <f aca="false">MAX(0,MIN($F13,CR$4)-MAX($E13,CR$3)+1)/($F13-$E13+1)</f>
        <v>0</v>
      </c>
      <c r="CS13" s="54" t="n">
        <f aca="false">MAX(0,MIN($F13,CS$4)-MAX($E13,CS$3)+1)/($F13-$E13+1)</f>
        <v>0</v>
      </c>
      <c r="CT13" s="54" t="n">
        <f aca="false">MAX(0,MIN($F13,CT$4)-MAX($E13,CT$3)+1)/($F13-$E13+1)</f>
        <v>0</v>
      </c>
      <c r="CU13" s="54" t="n">
        <f aca="false">MAX(0,MIN($F13,CU$4)-MAX($E13,CU$3)+1)/($F13-$E13+1)</f>
        <v>0</v>
      </c>
      <c r="CV13" s="54" t="n">
        <f aca="false">MAX(0,MIN($F13,CV$4)-MAX($E13,CV$3)+1)/($F13-$E13+1)</f>
        <v>0</v>
      </c>
      <c r="CW13" s="54" t="n">
        <f aca="false">MAX(0,MIN($F13,CW$4)-MAX($E13,CW$3)+1)/($F13-$E13+1)</f>
        <v>0</v>
      </c>
      <c r="CX13" s="54" t="n">
        <f aca="false">MAX(0,MIN($F13,CX$4)-MAX($E13,CX$3)+1)/($F13-$E13+1)</f>
        <v>0</v>
      </c>
      <c r="CY13" s="54" t="n">
        <f aca="false">MAX(0,MIN($F13,CY$4)-MAX($E13,CY$3)+1)/($F13-$E13+1)</f>
        <v>0</v>
      </c>
      <c r="CZ13" s="54" t="n">
        <f aca="false">MAX(0,MIN($F13,CZ$4)-MAX($E13,CZ$3)+1)/($F13-$E13+1)</f>
        <v>0</v>
      </c>
      <c r="DA13" s="54" t="n">
        <f aca="false">MAX(0,MIN($F13,DA$4)-MAX($E13,DA$3)+1)/($F13-$E13+1)</f>
        <v>0</v>
      </c>
      <c r="DB13" s="54" t="n">
        <f aca="false">MAX(0,MIN($F13,DB$4)-MAX($E13,DB$3)+1)/($F13-$E13+1)</f>
        <v>0</v>
      </c>
      <c r="DC13" s="54" t="n">
        <f aca="false">MAX(0,MIN($F13,DC$4)-MAX($E13,DC$3)+1)/($F13-$E13+1)</f>
        <v>0</v>
      </c>
      <c r="DD13" s="54" t="n">
        <f aca="false">MAX(0,MIN($F13,DD$4)-MAX($E13,DD$3)+1)/($F13-$E13+1)</f>
        <v>0</v>
      </c>
      <c r="DE13" s="54" t="n">
        <f aca="false">MAX(0,MIN($F13,DE$4)-MAX($E13,DE$3)+1)/($F13-$E13+1)</f>
        <v>0</v>
      </c>
      <c r="DF13" s="54" t="n">
        <f aca="false">MAX(0,MIN($F13,DF$4)-MAX($E13,DF$3)+1)/($F13-$E13+1)</f>
        <v>0</v>
      </c>
      <c r="DG13" s="54" t="n">
        <f aca="false">MAX(0,MIN($F13,DG$4)-MAX($E13,DG$3)+1)/($F13-$E13+1)</f>
        <v>0</v>
      </c>
      <c r="DH13" s="54" t="n">
        <f aca="false">MAX(0,MIN($F13,DH$4)-MAX($E13,DH$3)+1)/($F13-$E13+1)</f>
        <v>0</v>
      </c>
      <c r="DI13" s="54" t="n">
        <f aca="false">MAX(0,MIN($F13,DI$4)-MAX($E13,DI$3)+1)/($F13-$E13+1)</f>
        <v>0</v>
      </c>
      <c r="DJ13" s="54" t="n">
        <f aca="false">MAX(0,MIN($F13,DJ$4)-MAX($E13,DJ$3)+1)/($F13-$E13+1)</f>
        <v>0</v>
      </c>
      <c r="DK13" s="54" t="n">
        <f aca="false">MAX(0,MIN($F13,DK$4)-MAX($E13,DK$3)+1)/($F13-$E13+1)</f>
        <v>0</v>
      </c>
      <c r="DL13" s="54" t="n">
        <f aca="false">MAX(0,MIN($F13,DL$4)-MAX($E13,DL$3)+1)/($F13-$E13+1)</f>
        <v>0</v>
      </c>
      <c r="DM13" s="54" t="n">
        <f aca="false">MAX(0,MIN($F13,DM$4)-MAX($E13,DM$3)+1)/($F13-$E13+1)</f>
        <v>0</v>
      </c>
      <c r="DN13" s="54" t="n">
        <f aca="false">MAX(0,MIN($F13,DN$4)-MAX($E13,DN$3)+1)/($F13-$E13+1)</f>
        <v>0</v>
      </c>
      <c r="DO13" s="54" t="n">
        <f aca="false">MAX(0,MIN($F13,DO$4)-MAX($E13,DO$3)+1)/($F13-$E13+1)</f>
        <v>0</v>
      </c>
      <c r="DP13" s="54" t="n">
        <f aca="false">MAX(0,MIN($F13,DP$4)-MAX($E13,DP$3)+1)/($F13-$E13+1)</f>
        <v>0</v>
      </c>
      <c r="DQ13" s="54" t="n">
        <f aca="false">MAX(0,MIN($F13,DQ$4)-MAX($E13,DQ$3)+1)/($F13-$E13+1)</f>
        <v>0</v>
      </c>
      <c r="DR13" s="54" t="n">
        <f aca="false">MAX(0,MIN($F13,DR$4)-MAX($E13,DR$3)+1)/($F13-$E13+1)</f>
        <v>0</v>
      </c>
      <c r="DS13" s="54" t="n">
        <f aca="false">MAX(0,MIN($F13,DS$4)-MAX($E13,DS$3)+1)/($F13-$E13+1)</f>
        <v>0</v>
      </c>
      <c r="DT13" s="54" t="n">
        <f aca="false">MAX(0,MIN($F13,DT$4)-MAX($E13,DT$3)+1)/($F13-$E13+1)</f>
        <v>0</v>
      </c>
      <c r="DU13" s="54" t="n">
        <f aca="false">MAX(0,MIN($F13,DU$4)-MAX($E13,DU$3)+1)/($F13-$E13+1)</f>
        <v>0</v>
      </c>
      <c r="DV13" s="54" t="n">
        <f aca="false">MAX(0,MIN($F13,DV$4)-MAX($E13,DV$3)+1)/($F13-$E13+1)</f>
        <v>0</v>
      </c>
      <c r="DW13" s="54" t="n">
        <f aca="false">MAX(0,MIN($F13,DW$4)-MAX($E13,DW$3)+1)/($F13-$E13+1)</f>
        <v>0</v>
      </c>
      <c r="DX13" s="54" t="n">
        <f aca="false">MAX(0,MIN($F13,DX$4)-MAX($E13,DX$3)+1)/($F13-$E13+1)</f>
        <v>0</v>
      </c>
      <c r="DY13" s="54" t="n">
        <f aca="false">MAX(0,MIN($F13,DY$4)-MAX($E13,DY$3)+1)/($F13-$E13+1)</f>
        <v>0</v>
      </c>
      <c r="DZ13" s="54" t="n">
        <f aca="false">MAX(0,MIN($F13,DZ$4)-MAX($E13,DZ$3)+1)/($F13-$E13+1)</f>
        <v>0</v>
      </c>
      <c r="EA13" s="54" t="n">
        <f aca="false">MAX(0,MIN($F13,EA$4)-MAX($E13,EA$3)+1)/($F13-$E13+1)</f>
        <v>0</v>
      </c>
      <c r="EB13" s="54" t="n">
        <f aca="false">MAX(0,MIN($F13,EB$4)-MAX($E13,EB$3)+1)/($F13-$E13+1)</f>
        <v>0</v>
      </c>
      <c r="EC13" s="54" t="n">
        <f aca="false">MAX(0,MIN($F13,EC$4)-MAX($E13,EC$3)+1)/($F13-$E13+1)</f>
        <v>0</v>
      </c>
      <c r="ED13" s="54" t="n">
        <f aca="false">MAX(0,MIN($F13,ED$4)-MAX($E13,ED$3)+1)/($F13-$E13+1)</f>
        <v>0</v>
      </c>
      <c r="EE13" s="54" t="n">
        <f aca="false">MAX(0,MIN($F13,EE$4)-MAX($E13,EE$3)+1)/($F13-$E13+1)</f>
        <v>0</v>
      </c>
      <c r="EF13" s="54" t="n">
        <f aca="false">MAX(0,MIN($F13,EF$4)-MAX($E13,EF$3)+1)/($F13-$E13+1)</f>
        <v>0</v>
      </c>
      <c r="EG13" s="54" t="n">
        <f aca="false">MAX(0,MIN($F13,EG$4)-MAX($E13,EG$3)+1)/($F13-$E13+1)</f>
        <v>0</v>
      </c>
      <c r="EH13" s="54" t="n">
        <f aca="false">MAX(0,MIN($F13,EH$4)-MAX($E13,EH$3)+1)/($F13-$E13+1)</f>
        <v>0</v>
      </c>
      <c r="EI13" s="54" t="n">
        <f aca="false">MAX(0,MIN($F13,EI$4)-MAX($E13,EI$3)+1)/($F13-$E13+1)</f>
        <v>0</v>
      </c>
      <c r="EJ13" s="54" t="n">
        <f aca="false">MAX(0,MIN($F13,EJ$4)-MAX($E13,EJ$3)+1)/($F13-$E13+1)</f>
        <v>0</v>
      </c>
      <c r="EK13" s="54" t="n">
        <f aca="false">MAX(0,MIN($F13,EK$4)-MAX($E13,EK$3)+1)/($F13-$E13+1)</f>
        <v>0</v>
      </c>
      <c r="EL13" s="54" t="n">
        <f aca="false">MAX(0,MIN($F13,EL$4)-MAX($E13,EL$3)+1)/($F13-$E13+1)</f>
        <v>0</v>
      </c>
      <c r="EM13" s="54" t="n">
        <f aca="false">MAX(0,MIN($F13,EM$4)-MAX($E13,EM$3)+1)/($F13-$E13+1)</f>
        <v>0</v>
      </c>
      <c r="EN13" s="54" t="n">
        <f aca="false">MAX(0,MIN($F13,EN$4)-MAX($E13,EN$3)+1)/($F13-$E13+1)</f>
        <v>0</v>
      </c>
      <c r="EO13" s="54" t="n">
        <f aca="false">MAX(0,MIN($F13,EO$4)-MAX($E13,EO$3)+1)/($F13-$E13+1)</f>
        <v>0</v>
      </c>
      <c r="EP13" s="54" t="n">
        <f aca="false">MAX(0,MIN($F13,EP$4)-MAX($E13,EP$3)+1)/($F13-$E13+1)</f>
        <v>0</v>
      </c>
      <c r="EQ13" s="54" t="n">
        <f aca="false">MAX(0,MIN($F13,EQ$4)-MAX($E13,EQ$3)+1)/($F13-$E13+1)</f>
        <v>0</v>
      </c>
      <c r="ER13" s="54" t="n">
        <f aca="false">MAX(0,MIN($F13,ER$4)-MAX($E13,ER$3)+1)/($F13-$E13+1)</f>
        <v>0</v>
      </c>
      <c r="ES13" s="54" t="n">
        <f aca="false">MAX(0,MIN($F13,ES$4)-MAX($E13,ES$3)+1)/($F13-$E13+1)</f>
        <v>0</v>
      </c>
      <c r="ET13" s="54" t="n">
        <f aca="false">MAX(0,MIN($F13,ET$4)-MAX($E13,ET$3)+1)/($F13-$E13+1)</f>
        <v>0</v>
      </c>
    </row>
    <row r="14" customFormat="false" ht="15" hidden="false" customHeight="false" outlineLevel="0" collapsed="false">
      <c r="C14" s="1" t="s">
        <v>61</v>
      </c>
      <c r="D14" s="12" t="s">
        <v>41</v>
      </c>
      <c r="E14" s="28" t="n">
        <f aca="false">In_COD</f>
        <v>48121</v>
      </c>
      <c r="I14" s="46" t="n">
        <f aca="false">SUM(J14:ET14)</f>
        <v>1</v>
      </c>
      <c r="J14" s="46" t="n">
        <f aca="false">N(AND(J$3&lt;=$E14,J$4&gt;=$E14))</f>
        <v>0</v>
      </c>
      <c r="K14" s="46" t="n">
        <f aca="false">N(AND(K$3&lt;=$E14,K$4&gt;=$E14))</f>
        <v>0</v>
      </c>
      <c r="L14" s="46" t="n">
        <f aca="false">N(AND(L$3&lt;=$E14,L$4&gt;=$E14))</f>
        <v>0</v>
      </c>
      <c r="M14" s="46" t="n">
        <f aca="false">N(AND(M$3&lt;=$E14,M$4&gt;=$E14))</f>
        <v>0</v>
      </c>
      <c r="N14" s="46" t="n">
        <f aca="false">N(AND(N$3&lt;=$E14,N$4&gt;=$E14))</f>
        <v>0</v>
      </c>
      <c r="O14" s="46" t="n">
        <f aca="false">N(AND(O$3&lt;=$E14,O$4&gt;=$E14))</f>
        <v>0</v>
      </c>
      <c r="P14" s="46" t="n">
        <f aca="false">N(AND(P$3&lt;=$E14,P$4&gt;=$E14))</f>
        <v>0</v>
      </c>
      <c r="Q14" s="46" t="n">
        <f aca="false">N(AND(Q$3&lt;=$E14,Q$4&gt;=$E14))</f>
        <v>0</v>
      </c>
      <c r="R14" s="46" t="n">
        <f aca="false">N(AND(R$3&lt;=$E14,R$4&gt;=$E14))</f>
        <v>0</v>
      </c>
      <c r="S14" s="46" t="n">
        <f aca="false">N(AND(S$3&lt;=$E14,S$4&gt;=$E14))</f>
        <v>0</v>
      </c>
      <c r="T14" s="46" t="n">
        <f aca="false">N(AND(T$3&lt;=$E14,T$4&gt;=$E14))</f>
        <v>0</v>
      </c>
      <c r="U14" s="46" t="n">
        <f aca="false">N(AND(U$3&lt;=$E14,U$4&gt;=$E14))</f>
        <v>0</v>
      </c>
      <c r="V14" s="46" t="n">
        <f aca="false">N(AND(V$3&lt;=$E14,V$4&gt;=$E14))</f>
        <v>0</v>
      </c>
      <c r="W14" s="46" t="n">
        <f aca="false">N(AND(W$3&lt;=$E14,W$4&gt;=$E14))</f>
        <v>0</v>
      </c>
      <c r="X14" s="46" t="n">
        <f aca="false">N(AND(X$3&lt;=$E14,X$4&gt;=$E14))</f>
        <v>0</v>
      </c>
      <c r="Y14" s="46" t="n">
        <f aca="false">N(AND(Y$3&lt;=$E14,Y$4&gt;=$E14))</f>
        <v>0</v>
      </c>
      <c r="Z14" s="46" t="n">
        <f aca="false">N(AND(Z$3&lt;=$E14,Z$4&gt;=$E14))</f>
        <v>0</v>
      </c>
      <c r="AA14" s="46" t="n">
        <f aca="false">N(AND(AA$3&lt;=$E14,AA$4&gt;=$E14))</f>
        <v>0</v>
      </c>
      <c r="AB14" s="46" t="n">
        <f aca="false">N(AND(AB$3&lt;=$E14,AB$4&gt;=$E14))</f>
        <v>0</v>
      </c>
      <c r="AC14" s="46" t="n">
        <f aca="false">N(AND(AC$3&lt;=$E14,AC$4&gt;=$E14))</f>
        <v>0</v>
      </c>
      <c r="AD14" s="46" t="n">
        <f aca="false">N(AND(AD$3&lt;=$E14,AD$4&gt;=$E14))</f>
        <v>1</v>
      </c>
      <c r="AE14" s="46" t="n">
        <f aca="false">N(AND(AE$3&lt;=$E14,AE$4&gt;=$E14))</f>
        <v>0</v>
      </c>
      <c r="AF14" s="46" t="n">
        <f aca="false">N(AND(AF$3&lt;=$E14,AF$4&gt;=$E14))</f>
        <v>0</v>
      </c>
      <c r="AG14" s="46" t="n">
        <f aca="false">N(AND(AG$3&lt;=$E14,AG$4&gt;=$E14))</f>
        <v>0</v>
      </c>
      <c r="AH14" s="46" t="n">
        <f aca="false">N(AND(AH$3&lt;=$E14,AH$4&gt;=$E14))</f>
        <v>0</v>
      </c>
      <c r="AI14" s="46" t="n">
        <f aca="false">N(AND(AI$3&lt;=$E14,AI$4&gt;=$E14))</f>
        <v>0</v>
      </c>
      <c r="AJ14" s="46" t="n">
        <f aca="false">N(AND(AJ$3&lt;=$E14,AJ$4&gt;=$E14))</f>
        <v>0</v>
      </c>
      <c r="AK14" s="46" t="n">
        <f aca="false">N(AND(AK$3&lt;=$E14,AK$4&gt;=$E14))</f>
        <v>0</v>
      </c>
      <c r="AL14" s="46" t="n">
        <f aca="false">N(AND(AL$3&lt;=$E14,AL$4&gt;=$E14))</f>
        <v>0</v>
      </c>
      <c r="AM14" s="46" t="n">
        <f aca="false">N(AND(AM$3&lt;=$E14,AM$4&gt;=$E14))</f>
        <v>0</v>
      </c>
      <c r="AN14" s="46" t="n">
        <f aca="false">N(AND(AN$3&lt;=$E14,AN$4&gt;=$E14))</f>
        <v>0</v>
      </c>
      <c r="AO14" s="46" t="n">
        <f aca="false">N(AND(AO$3&lt;=$E14,AO$4&gt;=$E14))</f>
        <v>0</v>
      </c>
      <c r="AP14" s="46" t="n">
        <f aca="false">N(AND(AP$3&lt;=$E14,AP$4&gt;=$E14))</f>
        <v>0</v>
      </c>
      <c r="AQ14" s="46" t="n">
        <f aca="false">N(AND(AQ$3&lt;=$E14,AQ$4&gt;=$E14))</f>
        <v>0</v>
      </c>
      <c r="AR14" s="46" t="n">
        <f aca="false">N(AND(AR$3&lt;=$E14,AR$4&gt;=$E14))</f>
        <v>0</v>
      </c>
      <c r="AS14" s="46" t="n">
        <f aca="false">N(AND(AS$3&lt;=$E14,AS$4&gt;=$E14))</f>
        <v>0</v>
      </c>
      <c r="AT14" s="46" t="n">
        <f aca="false">N(AND(AT$3&lt;=$E14,AT$4&gt;=$E14))</f>
        <v>0</v>
      </c>
      <c r="AU14" s="46" t="n">
        <f aca="false">N(AND(AU$3&lt;=$E14,AU$4&gt;=$E14))</f>
        <v>0</v>
      </c>
      <c r="AV14" s="46" t="n">
        <f aca="false">N(AND(AV$3&lt;=$E14,AV$4&gt;=$E14))</f>
        <v>0</v>
      </c>
      <c r="AW14" s="46" t="n">
        <f aca="false">N(AND(AW$3&lt;=$E14,AW$4&gt;=$E14))</f>
        <v>0</v>
      </c>
      <c r="AX14" s="46" t="n">
        <f aca="false">N(AND(AX$3&lt;=$E14,AX$4&gt;=$E14))</f>
        <v>0</v>
      </c>
      <c r="AY14" s="46" t="n">
        <f aca="false">N(AND(AY$3&lt;=$E14,AY$4&gt;=$E14))</f>
        <v>0</v>
      </c>
      <c r="AZ14" s="46" t="n">
        <f aca="false">N(AND(AZ$3&lt;=$E14,AZ$4&gt;=$E14))</f>
        <v>0</v>
      </c>
      <c r="BA14" s="46" t="n">
        <f aca="false">N(AND(BA$3&lt;=$E14,BA$4&gt;=$E14))</f>
        <v>0</v>
      </c>
      <c r="BB14" s="46" t="n">
        <f aca="false">N(AND(BB$3&lt;=$E14,BB$4&gt;=$E14))</f>
        <v>0</v>
      </c>
      <c r="BC14" s="46" t="n">
        <f aca="false">N(AND(BC$3&lt;=$E14,BC$4&gt;=$E14))</f>
        <v>0</v>
      </c>
      <c r="BD14" s="46" t="n">
        <f aca="false">N(AND(BD$3&lt;=$E14,BD$4&gt;=$E14))</f>
        <v>0</v>
      </c>
      <c r="BE14" s="46" t="n">
        <f aca="false">N(AND(BE$3&lt;=$E14,BE$4&gt;=$E14))</f>
        <v>0</v>
      </c>
      <c r="BF14" s="46" t="n">
        <f aca="false">N(AND(BF$3&lt;=$E14,BF$4&gt;=$E14))</f>
        <v>0</v>
      </c>
      <c r="BG14" s="46" t="n">
        <f aca="false">N(AND(BG$3&lt;=$E14,BG$4&gt;=$E14))</f>
        <v>0</v>
      </c>
      <c r="BH14" s="46" t="n">
        <f aca="false">N(AND(BH$3&lt;=$E14,BH$4&gt;=$E14))</f>
        <v>0</v>
      </c>
      <c r="BI14" s="46" t="n">
        <f aca="false">N(AND(BI$3&lt;=$E14,BI$4&gt;=$E14))</f>
        <v>0</v>
      </c>
      <c r="BJ14" s="46" t="n">
        <f aca="false">N(AND(BJ$3&lt;=$E14,BJ$4&gt;=$E14))</f>
        <v>0</v>
      </c>
      <c r="BK14" s="46" t="n">
        <f aca="false">N(AND(BK$3&lt;=$E14,BK$4&gt;=$E14))</f>
        <v>0</v>
      </c>
      <c r="BL14" s="46" t="n">
        <f aca="false">N(AND(BL$3&lt;=$E14,BL$4&gt;=$E14))</f>
        <v>0</v>
      </c>
      <c r="BM14" s="46" t="n">
        <f aca="false">N(AND(BM$3&lt;=$E14,BM$4&gt;=$E14))</f>
        <v>0</v>
      </c>
      <c r="BN14" s="46" t="n">
        <f aca="false">N(AND(BN$3&lt;=$E14,BN$4&gt;=$E14))</f>
        <v>0</v>
      </c>
      <c r="BO14" s="46" t="n">
        <f aca="false">N(AND(BO$3&lt;=$E14,BO$4&gt;=$E14))</f>
        <v>0</v>
      </c>
      <c r="BP14" s="46" t="n">
        <f aca="false">N(AND(BP$3&lt;=$E14,BP$4&gt;=$E14))</f>
        <v>0</v>
      </c>
      <c r="BQ14" s="46" t="n">
        <f aca="false">N(AND(BQ$3&lt;=$E14,BQ$4&gt;=$E14))</f>
        <v>0</v>
      </c>
      <c r="BR14" s="46" t="n">
        <f aca="false">N(AND(BR$3&lt;=$E14,BR$4&gt;=$E14))</f>
        <v>0</v>
      </c>
      <c r="BS14" s="46" t="n">
        <f aca="false">N(AND(BS$3&lt;=$E14,BS$4&gt;=$E14))</f>
        <v>0</v>
      </c>
      <c r="BT14" s="46" t="n">
        <f aca="false">N(AND(BT$3&lt;=$E14,BT$4&gt;=$E14))</f>
        <v>0</v>
      </c>
      <c r="BU14" s="46" t="n">
        <f aca="false">N(AND(BU$3&lt;=$E14,BU$4&gt;=$E14))</f>
        <v>0</v>
      </c>
      <c r="BV14" s="46" t="n">
        <f aca="false">N(AND(BV$3&lt;=$E14,BV$4&gt;=$E14))</f>
        <v>0</v>
      </c>
      <c r="BW14" s="46" t="n">
        <f aca="false">N(AND(BW$3&lt;=$E14,BW$4&gt;=$E14))</f>
        <v>0</v>
      </c>
      <c r="BX14" s="46" t="n">
        <f aca="false">N(AND(BX$3&lt;=$E14,BX$4&gt;=$E14))</f>
        <v>0</v>
      </c>
      <c r="BY14" s="46" t="n">
        <f aca="false">N(AND(BY$3&lt;=$E14,BY$4&gt;=$E14))</f>
        <v>0</v>
      </c>
      <c r="BZ14" s="46" t="n">
        <f aca="false">N(AND(BZ$3&lt;=$E14,BZ$4&gt;=$E14))</f>
        <v>0</v>
      </c>
      <c r="CA14" s="46" t="n">
        <f aca="false">N(AND(CA$3&lt;=$E14,CA$4&gt;=$E14))</f>
        <v>0</v>
      </c>
      <c r="CB14" s="46" t="n">
        <f aca="false">N(AND(CB$3&lt;=$E14,CB$4&gt;=$E14))</f>
        <v>0</v>
      </c>
      <c r="CC14" s="46" t="n">
        <f aca="false">N(AND(CC$3&lt;=$E14,CC$4&gt;=$E14))</f>
        <v>0</v>
      </c>
      <c r="CD14" s="46" t="n">
        <f aca="false">N(AND(CD$3&lt;=$E14,CD$4&gt;=$E14))</f>
        <v>0</v>
      </c>
      <c r="CE14" s="46" t="n">
        <f aca="false">N(AND(CE$3&lt;=$E14,CE$4&gt;=$E14))</f>
        <v>0</v>
      </c>
      <c r="CF14" s="46" t="n">
        <f aca="false">N(AND(CF$3&lt;=$E14,CF$4&gt;=$E14))</f>
        <v>0</v>
      </c>
      <c r="CG14" s="46" t="n">
        <f aca="false">N(AND(CG$3&lt;=$E14,CG$4&gt;=$E14))</f>
        <v>0</v>
      </c>
      <c r="CH14" s="46" t="n">
        <f aca="false">N(AND(CH$3&lt;=$E14,CH$4&gt;=$E14))</f>
        <v>0</v>
      </c>
      <c r="CI14" s="46" t="n">
        <f aca="false">N(AND(CI$3&lt;=$E14,CI$4&gt;=$E14))</f>
        <v>0</v>
      </c>
      <c r="CJ14" s="46" t="n">
        <f aca="false">N(AND(CJ$3&lt;=$E14,CJ$4&gt;=$E14))</f>
        <v>0</v>
      </c>
      <c r="CK14" s="46" t="n">
        <f aca="false">N(AND(CK$3&lt;=$E14,CK$4&gt;=$E14))</f>
        <v>0</v>
      </c>
      <c r="CL14" s="46" t="n">
        <f aca="false">N(AND(CL$3&lt;=$E14,CL$4&gt;=$E14))</f>
        <v>0</v>
      </c>
      <c r="CM14" s="46" t="n">
        <f aca="false">N(AND(CM$3&lt;=$E14,CM$4&gt;=$E14))</f>
        <v>0</v>
      </c>
      <c r="CN14" s="46" t="n">
        <f aca="false">N(AND(CN$3&lt;=$E14,CN$4&gt;=$E14))</f>
        <v>0</v>
      </c>
      <c r="CO14" s="46" t="n">
        <f aca="false">N(AND(CO$3&lt;=$E14,CO$4&gt;=$E14))</f>
        <v>0</v>
      </c>
      <c r="CP14" s="46" t="n">
        <f aca="false">N(AND(CP$3&lt;=$E14,CP$4&gt;=$E14))</f>
        <v>0</v>
      </c>
      <c r="CQ14" s="46" t="n">
        <f aca="false">N(AND(CQ$3&lt;=$E14,CQ$4&gt;=$E14))</f>
        <v>0</v>
      </c>
      <c r="CR14" s="46" t="n">
        <f aca="false">N(AND(CR$3&lt;=$E14,CR$4&gt;=$E14))</f>
        <v>0</v>
      </c>
      <c r="CS14" s="46" t="n">
        <f aca="false">N(AND(CS$3&lt;=$E14,CS$4&gt;=$E14))</f>
        <v>0</v>
      </c>
      <c r="CT14" s="46" t="n">
        <f aca="false">N(AND(CT$3&lt;=$E14,CT$4&gt;=$E14))</f>
        <v>0</v>
      </c>
      <c r="CU14" s="46" t="n">
        <f aca="false">N(AND(CU$3&lt;=$E14,CU$4&gt;=$E14))</f>
        <v>0</v>
      </c>
      <c r="CV14" s="46" t="n">
        <f aca="false">N(AND(CV$3&lt;=$E14,CV$4&gt;=$E14))</f>
        <v>0</v>
      </c>
      <c r="CW14" s="46" t="n">
        <f aca="false">N(AND(CW$3&lt;=$E14,CW$4&gt;=$E14))</f>
        <v>0</v>
      </c>
      <c r="CX14" s="46" t="n">
        <f aca="false">N(AND(CX$3&lt;=$E14,CX$4&gt;=$E14))</f>
        <v>0</v>
      </c>
      <c r="CY14" s="46" t="n">
        <f aca="false">N(AND(CY$3&lt;=$E14,CY$4&gt;=$E14))</f>
        <v>0</v>
      </c>
      <c r="CZ14" s="46" t="n">
        <f aca="false">N(AND(CZ$3&lt;=$E14,CZ$4&gt;=$E14))</f>
        <v>0</v>
      </c>
      <c r="DA14" s="46" t="n">
        <f aca="false">N(AND(DA$3&lt;=$E14,DA$4&gt;=$E14))</f>
        <v>0</v>
      </c>
      <c r="DB14" s="46" t="n">
        <f aca="false">N(AND(DB$3&lt;=$E14,DB$4&gt;=$E14))</f>
        <v>0</v>
      </c>
      <c r="DC14" s="46" t="n">
        <f aca="false">N(AND(DC$3&lt;=$E14,DC$4&gt;=$E14))</f>
        <v>0</v>
      </c>
      <c r="DD14" s="46" t="n">
        <f aca="false">N(AND(DD$3&lt;=$E14,DD$4&gt;=$E14))</f>
        <v>0</v>
      </c>
      <c r="DE14" s="46" t="n">
        <f aca="false">N(AND(DE$3&lt;=$E14,DE$4&gt;=$E14))</f>
        <v>0</v>
      </c>
      <c r="DF14" s="46" t="n">
        <f aca="false">N(AND(DF$3&lt;=$E14,DF$4&gt;=$E14))</f>
        <v>0</v>
      </c>
      <c r="DG14" s="46" t="n">
        <f aca="false">N(AND(DG$3&lt;=$E14,DG$4&gt;=$E14))</f>
        <v>0</v>
      </c>
      <c r="DH14" s="46" t="n">
        <f aca="false">N(AND(DH$3&lt;=$E14,DH$4&gt;=$E14))</f>
        <v>0</v>
      </c>
      <c r="DI14" s="46" t="n">
        <f aca="false">N(AND(DI$3&lt;=$E14,DI$4&gt;=$E14))</f>
        <v>0</v>
      </c>
      <c r="DJ14" s="46" t="n">
        <f aca="false">N(AND(DJ$3&lt;=$E14,DJ$4&gt;=$E14))</f>
        <v>0</v>
      </c>
      <c r="DK14" s="46" t="n">
        <f aca="false">N(AND(DK$3&lt;=$E14,DK$4&gt;=$E14))</f>
        <v>0</v>
      </c>
      <c r="DL14" s="46" t="n">
        <f aca="false">N(AND(DL$3&lt;=$E14,DL$4&gt;=$E14))</f>
        <v>0</v>
      </c>
      <c r="DM14" s="46" t="n">
        <f aca="false">N(AND(DM$3&lt;=$E14,DM$4&gt;=$E14))</f>
        <v>0</v>
      </c>
      <c r="DN14" s="46" t="n">
        <f aca="false">N(AND(DN$3&lt;=$E14,DN$4&gt;=$E14))</f>
        <v>0</v>
      </c>
      <c r="DO14" s="46" t="n">
        <f aca="false">N(AND(DO$3&lt;=$E14,DO$4&gt;=$E14))</f>
        <v>0</v>
      </c>
      <c r="DP14" s="46" t="n">
        <f aca="false">N(AND(DP$3&lt;=$E14,DP$4&gt;=$E14))</f>
        <v>0</v>
      </c>
      <c r="DQ14" s="46" t="n">
        <f aca="false">N(AND(DQ$3&lt;=$E14,DQ$4&gt;=$E14))</f>
        <v>0</v>
      </c>
      <c r="DR14" s="46" t="n">
        <f aca="false">N(AND(DR$3&lt;=$E14,DR$4&gt;=$E14))</f>
        <v>0</v>
      </c>
      <c r="DS14" s="46" t="n">
        <f aca="false">N(AND(DS$3&lt;=$E14,DS$4&gt;=$E14))</f>
        <v>0</v>
      </c>
      <c r="DT14" s="46" t="n">
        <f aca="false">N(AND(DT$3&lt;=$E14,DT$4&gt;=$E14))</f>
        <v>0</v>
      </c>
      <c r="DU14" s="46" t="n">
        <f aca="false">N(AND(DU$3&lt;=$E14,DU$4&gt;=$E14))</f>
        <v>0</v>
      </c>
      <c r="DV14" s="46" t="n">
        <f aca="false">N(AND(DV$3&lt;=$E14,DV$4&gt;=$E14))</f>
        <v>0</v>
      </c>
      <c r="DW14" s="46" t="n">
        <f aca="false">N(AND(DW$3&lt;=$E14,DW$4&gt;=$E14))</f>
        <v>0</v>
      </c>
      <c r="DX14" s="46" t="n">
        <f aca="false">N(AND(DX$3&lt;=$E14,DX$4&gt;=$E14))</f>
        <v>0</v>
      </c>
      <c r="DY14" s="46" t="n">
        <f aca="false">N(AND(DY$3&lt;=$E14,DY$4&gt;=$E14))</f>
        <v>0</v>
      </c>
      <c r="DZ14" s="46" t="n">
        <f aca="false">N(AND(DZ$3&lt;=$E14,DZ$4&gt;=$E14))</f>
        <v>0</v>
      </c>
      <c r="EA14" s="46" t="n">
        <f aca="false">N(AND(EA$3&lt;=$E14,EA$4&gt;=$E14))</f>
        <v>0</v>
      </c>
      <c r="EB14" s="46" t="n">
        <f aca="false">N(AND(EB$3&lt;=$E14,EB$4&gt;=$E14))</f>
        <v>0</v>
      </c>
      <c r="EC14" s="46" t="n">
        <f aca="false">N(AND(EC$3&lt;=$E14,EC$4&gt;=$E14))</f>
        <v>0</v>
      </c>
      <c r="ED14" s="46" t="n">
        <f aca="false">N(AND(ED$3&lt;=$E14,ED$4&gt;=$E14))</f>
        <v>0</v>
      </c>
      <c r="EE14" s="46" t="n">
        <f aca="false">N(AND(EE$3&lt;=$E14,EE$4&gt;=$E14))</f>
        <v>0</v>
      </c>
      <c r="EF14" s="46" t="n">
        <f aca="false">N(AND(EF$3&lt;=$E14,EF$4&gt;=$E14))</f>
        <v>0</v>
      </c>
      <c r="EG14" s="46" t="n">
        <f aca="false">N(AND(EG$3&lt;=$E14,EG$4&gt;=$E14))</f>
        <v>0</v>
      </c>
      <c r="EH14" s="46" t="n">
        <f aca="false">N(AND(EH$3&lt;=$E14,EH$4&gt;=$E14))</f>
        <v>0</v>
      </c>
      <c r="EI14" s="46" t="n">
        <f aca="false">N(AND(EI$3&lt;=$E14,EI$4&gt;=$E14))</f>
        <v>0</v>
      </c>
      <c r="EJ14" s="46" t="n">
        <f aca="false">N(AND(EJ$3&lt;=$E14,EJ$4&gt;=$E14))</f>
        <v>0</v>
      </c>
      <c r="EK14" s="46" t="n">
        <f aca="false">N(AND(EK$3&lt;=$E14,EK$4&gt;=$E14))</f>
        <v>0</v>
      </c>
      <c r="EL14" s="46" t="n">
        <f aca="false">N(AND(EL$3&lt;=$E14,EL$4&gt;=$E14))</f>
        <v>0</v>
      </c>
      <c r="EM14" s="46" t="n">
        <f aca="false">N(AND(EM$3&lt;=$E14,EM$4&gt;=$E14))</f>
        <v>0</v>
      </c>
      <c r="EN14" s="46" t="n">
        <f aca="false">N(AND(EN$3&lt;=$E14,EN$4&gt;=$E14))</f>
        <v>0</v>
      </c>
      <c r="EO14" s="46" t="n">
        <f aca="false">N(AND(EO$3&lt;=$E14,EO$4&gt;=$E14))</f>
        <v>0</v>
      </c>
      <c r="EP14" s="46" t="n">
        <f aca="false">N(AND(EP$3&lt;=$E14,EP$4&gt;=$E14))</f>
        <v>0</v>
      </c>
      <c r="EQ14" s="46" t="n">
        <f aca="false">N(AND(EQ$3&lt;=$E14,EQ$4&gt;=$E14))</f>
        <v>0</v>
      </c>
      <c r="ER14" s="46" t="n">
        <f aca="false">N(AND(ER$3&lt;=$E14,ER$4&gt;=$E14))</f>
        <v>0</v>
      </c>
      <c r="ES14" s="46" t="n">
        <f aca="false">N(AND(ES$3&lt;=$E14,ES$4&gt;=$E14))</f>
        <v>0</v>
      </c>
      <c r="ET14" s="46" t="n">
        <f aca="false">N(AND(ET$3&lt;=$E14,ET$4&gt;=$E14))</f>
        <v>0</v>
      </c>
    </row>
    <row r="15" customFormat="false" ht="15" hidden="false" customHeight="false" outlineLevel="0" collapsed="false">
      <c r="C15" s="1" t="s">
        <v>331</v>
      </c>
      <c r="D15" s="12" t="s">
        <v>41</v>
      </c>
      <c r="E15" s="44" t="n">
        <f aca="false">In_COD+1</f>
        <v>48122</v>
      </c>
      <c r="F15" s="44" t="n">
        <f aca="false">EDATE(In_COD,In_Life*Months_In_Year)</f>
        <v>59079</v>
      </c>
      <c r="J15" s="54" t="n">
        <f aca="false">MAX(0,(MIN($F15,J$4)-MAX($E15,J$3)+1)/J$5)</f>
        <v>0</v>
      </c>
      <c r="K15" s="54" t="n">
        <f aca="false">MAX(0,(MIN($F15,K$4)-MAX($E15,K$3)+1)/K$5)</f>
        <v>0</v>
      </c>
      <c r="L15" s="54" t="n">
        <f aca="false">MAX(0,(MIN($F15,L$4)-MAX($E15,L$3)+1)/L$5)</f>
        <v>0</v>
      </c>
      <c r="M15" s="54" t="n">
        <f aca="false">MAX(0,(MIN($F15,M$4)-MAX($E15,M$3)+1)/M$5)</f>
        <v>0</v>
      </c>
      <c r="N15" s="54" t="n">
        <f aca="false">MAX(0,(MIN($F15,N$4)-MAX($E15,N$3)+1)/N$5)</f>
        <v>0</v>
      </c>
      <c r="O15" s="54" t="n">
        <f aca="false">MAX(0,(MIN($F15,O$4)-MAX($E15,O$3)+1)/O$5)</f>
        <v>0</v>
      </c>
      <c r="P15" s="54" t="n">
        <f aca="false">MAX(0,(MIN($F15,P$4)-MAX($E15,P$3)+1)/P$5)</f>
        <v>0</v>
      </c>
      <c r="Q15" s="54" t="n">
        <f aca="false">MAX(0,(MIN($F15,Q$4)-MAX($E15,Q$3)+1)/Q$5)</f>
        <v>0</v>
      </c>
      <c r="R15" s="54" t="n">
        <f aca="false">MAX(0,(MIN($F15,R$4)-MAX($E15,R$3)+1)/R$5)</f>
        <v>0</v>
      </c>
      <c r="S15" s="54" t="n">
        <f aca="false">MAX(0,(MIN($F15,S$4)-MAX($E15,S$3)+1)/S$5)</f>
        <v>0</v>
      </c>
      <c r="T15" s="54" t="n">
        <f aca="false">MAX(0,(MIN($F15,T$4)-MAX($E15,T$3)+1)/T$5)</f>
        <v>0</v>
      </c>
      <c r="U15" s="54" t="n">
        <f aca="false">MAX(0,(MIN($F15,U$4)-MAX($E15,U$3)+1)/U$5)</f>
        <v>0</v>
      </c>
      <c r="V15" s="54" t="n">
        <f aca="false">MAX(0,(MIN($F15,V$4)-MAX($E15,V$3)+1)/V$5)</f>
        <v>0</v>
      </c>
      <c r="W15" s="54" t="n">
        <f aca="false">MAX(0,(MIN($F15,W$4)-MAX($E15,W$3)+1)/W$5)</f>
        <v>0</v>
      </c>
      <c r="X15" s="54" t="n">
        <f aca="false">MAX(0,(MIN($F15,X$4)-MAX($E15,X$3)+1)/X$5)</f>
        <v>0</v>
      </c>
      <c r="Y15" s="54" t="n">
        <f aca="false">MAX(0,(MIN($F15,Y$4)-MAX($E15,Y$3)+1)/Y$5)</f>
        <v>0</v>
      </c>
      <c r="Z15" s="54" t="n">
        <f aca="false">MAX(0,(MIN($F15,Z$4)-MAX($E15,Z$3)+1)/Z$5)</f>
        <v>0</v>
      </c>
      <c r="AA15" s="54" t="n">
        <f aca="false">MAX(0,(MIN($F15,AA$4)-MAX($E15,AA$3)+1)/AA$5)</f>
        <v>0</v>
      </c>
      <c r="AB15" s="54" t="n">
        <f aca="false">MAX(0,(MIN($F15,AB$4)-MAX($E15,AB$3)+1)/AB$5)</f>
        <v>0</v>
      </c>
      <c r="AC15" s="54" t="n">
        <f aca="false">MAX(0,(MIN($F15,AC$4)-MAX($E15,AC$3)+1)/AC$5)</f>
        <v>0</v>
      </c>
      <c r="AD15" s="54" t="n">
        <f aca="false">MAX(0,(MIN($F15,AD$4)-MAX($E15,AD$3)+1)/AD$5)</f>
        <v>0</v>
      </c>
      <c r="AE15" s="54" t="n">
        <f aca="false">MAX(0,(MIN($F15,AE$4)-MAX($E15,AE$3)+1)/AE$5)</f>
        <v>1</v>
      </c>
      <c r="AF15" s="54" t="n">
        <f aca="false">MAX(0,(MIN($F15,AF$4)-MAX($E15,AF$3)+1)/AF$5)</f>
        <v>1</v>
      </c>
      <c r="AG15" s="54" t="n">
        <f aca="false">MAX(0,(MIN($F15,AG$4)-MAX($E15,AG$3)+1)/AG$5)</f>
        <v>1</v>
      </c>
      <c r="AH15" s="54" t="n">
        <f aca="false">MAX(0,(MIN($F15,AH$4)-MAX($E15,AH$3)+1)/AH$5)</f>
        <v>1</v>
      </c>
      <c r="AI15" s="54" t="n">
        <f aca="false">MAX(0,(MIN($F15,AI$4)-MAX($E15,AI$3)+1)/AI$5)</f>
        <v>1</v>
      </c>
      <c r="AJ15" s="54" t="n">
        <f aca="false">MAX(0,(MIN($F15,AJ$4)-MAX($E15,AJ$3)+1)/AJ$5)</f>
        <v>1</v>
      </c>
      <c r="AK15" s="54" t="n">
        <f aca="false">MAX(0,(MIN($F15,AK$4)-MAX($E15,AK$3)+1)/AK$5)</f>
        <v>1</v>
      </c>
      <c r="AL15" s="54" t="n">
        <f aca="false">MAX(0,(MIN($F15,AL$4)-MAX($E15,AL$3)+1)/AL$5)</f>
        <v>1</v>
      </c>
      <c r="AM15" s="54" t="n">
        <f aca="false">MAX(0,(MIN($F15,AM$4)-MAX($E15,AM$3)+1)/AM$5)</f>
        <v>1</v>
      </c>
      <c r="AN15" s="54" t="n">
        <f aca="false">MAX(0,(MIN($F15,AN$4)-MAX($E15,AN$3)+1)/AN$5)</f>
        <v>1</v>
      </c>
      <c r="AO15" s="54" t="n">
        <f aca="false">MAX(0,(MIN($F15,AO$4)-MAX($E15,AO$3)+1)/AO$5)</f>
        <v>1</v>
      </c>
      <c r="AP15" s="54" t="n">
        <f aca="false">MAX(0,(MIN($F15,AP$4)-MAX($E15,AP$3)+1)/AP$5)</f>
        <v>1</v>
      </c>
      <c r="AQ15" s="54" t="n">
        <f aca="false">MAX(0,(MIN($F15,AQ$4)-MAX($E15,AQ$3)+1)/AQ$5)</f>
        <v>1</v>
      </c>
      <c r="AR15" s="54" t="n">
        <f aca="false">MAX(0,(MIN($F15,AR$4)-MAX($E15,AR$3)+1)/AR$5)</f>
        <v>1</v>
      </c>
      <c r="AS15" s="54" t="n">
        <f aca="false">MAX(0,(MIN($F15,AS$4)-MAX($E15,AS$3)+1)/AS$5)</f>
        <v>1</v>
      </c>
      <c r="AT15" s="54" t="n">
        <f aca="false">MAX(0,(MIN($F15,AT$4)-MAX($E15,AT$3)+1)/AT$5)</f>
        <v>1</v>
      </c>
      <c r="AU15" s="54" t="n">
        <f aca="false">MAX(0,(MIN($F15,AU$4)-MAX($E15,AU$3)+1)/AU$5)</f>
        <v>1</v>
      </c>
      <c r="AV15" s="54" t="n">
        <f aca="false">MAX(0,(MIN($F15,AV$4)-MAX($E15,AV$3)+1)/AV$5)</f>
        <v>1</v>
      </c>
      <c r="AW15" s="54" t="n">
        <f aca="false">MAX(0,(MIN($F15,AW$4)-MAX($E15,AW$3)+1)/AW$5)</f>
        <v>1</v>
      </c>
      <c r="AX15" s="54" t="n">
        <f aca="false">MAX(0,(MIN($F15,AX$4)-MAX($E15,AX$3)+1)/AX$5)</f>
        <v>1</v>
      </c>
      <c r="AY15" s="54" t="n">
        <f aca="false">MAX(0,(MIN($F15,AY$4)-MAX($E15,AY$3)+1)/AY$5)</f>
        <v>1</v>
      </c>
      <c r="AZ15" s="54" t="n">
        <f aca="false">MAX(0,(MIN($F15,AZ$4)-MAX($E15,AZ$3)+1)/AZ$5)</f>
        <v>1</v>
      </c>
      <c r="BA15" s="54" t="n">
        <f aca="false">MAX(0,(MIN($F15,BA$4)-MAX($E15,BA$3)+1)/BA$5)</f>
        <v>1</v>
      </c>
      <c r="BB15" s="54" t="n">
        <f aca="false">MAX(0,(MIN($F15,BB$4)-MAX($E15,BB$3)+1)/BB$5)</f>
        <v>1</v>
      </c>
      <c r="BC15" s="54" t="n">
        <f aca="false">MAX(0,(MIN($F15,BC$4)-MAX($E15,BC$3)+1)/BC$5)</f>
        <v>1</v>
      </c>
      <c r="BD15" s="54" t="n">
        <f aca="false">MAX(0,(MIN($F15,BD$4)-MAX($E15,BD$3)+1)/BD$5)</f>
        <v>1</v>
      </c>
      <c r="BE15" s="54" t="n">
        <f aca="false">MAX(0,(MIN($F15,BE$4)-MAX($E15,BE$3)+1)/BE$5)</f>
        <v>1</v>
      </c>
      <c r="BF15" s="54" t="n">
        <f aca="false">MAX(0,(MIN($F15,BF$4)-MAX($E15,BF$3)+1)/BF$5)</f>
        <v>1</v>
      </c>
      <c r="BG15" s="54" t="n">
        <f aca="false">MAX(0,(MIN($F15,BG$4)-MAX($E15,BG$3)+1)/BG$5)</f>
        <v>1</v>
      </c>
      <c r="BH15" s="54" t="n">
        <f aca="false">MAX(0,(MIN($F15,BH$4)-MAX($E15,BH$3)+1)/BH$5)</f>
        <v>1</v>
      </c>
      <c r="BI15" s="54" t="n">
        <f aca="false">MAX(0,(MIN($F15,BI$4)-MAX($E15,BI$3)+1)/BI$5)</f>
        <v>1</v>
      </c>
      <c r="BJ15" s="54" t="n">
        <f aca="false">MAX(0,(MIN($F15,BJ$4)-MAX($E15,BJ$3)+1)/BJ$5)</f>
        <v>1</v>
      </c>
      <c r="BK15" s="54" t="n">
        <f aca="false">MAX(0,(MIN($F15,BK$4)-MAX($E15,BK$3)+1)/BK$5)</f>
        <v>1</v>
      </c>
      <c r="BL15" s="54" t="n">
        <f aca="false">MAX(0,(MIN($F15,BL$4)-MAX($E15,BL$3)+1)/BL$5)</f>
        <v>1</v>
      </c>
      <c r="BM15" s="54" t="n">
        <f aca="false">MAX(0,(MIN($F15,BM$4)-MAX($E15,BM$3)+1)/BM$5)</f>
        <v>1</v>
      </c>
      <c r="BN15" s="54" t="n">
        <f aca="false">MAX(0,(MIN($F15,BN$4)-MAX($E15,BN$3)+1)/BN$5)</f>
        <v>1</v>
      </c>
      <c r="BO15" s="54" t="n">
        <f aca="false">MAX(0,(MIN($F15,BO$4)-MAX($E15,BO$3)+1)/BO$5)</f>
        <v>1</v>
      </c>
      <c r="BP15" s="54" t="n">
        <f aca="false">MAX(0,(MIN($F15,BP$4)-MAX($E15,BP$3)+1)/BP$5)</f>
        <v>1</v>
      </c>
      <c r="BQ15" s="54" t="n">
        <f aca="false">MAX(0,(MIN($F15,BQ$4)-MAX($E15,BQ$3)+1)/BQ$5)</f>
        <v>1</v>
      </c>
      <c r="BR15" s="54" t="n">
        <f aca="false">MAX(0,(MIN($F15,BR$4)-MAX($E15,BR$3)+1)/BR$5)</f>
        <v>1</v>
      </c>
      <c r="BS15" s="54" t="n">
        <f aca="false">MAX(0,(MIN($F15,BS$4)-MAX($E15,BS$3)+1)/BS$5)</f>
        <v>1</v>
      </c>
      <c r="BT15" s="54" t="n">
        <f aca="false">MAX(0,(MIN($F15,BT$4)-MAX($E15,BT$3)+1)/BT$5)</f>
        <v>1</v>
      </c>
      <c r="BU15" s="54" t="n">
        <f aca="false">MAX(0,(MIN($F15,BU$4)-MAX($E15,BU$3)+1)/BU$5)</f>
        <v>1</v>
      </c>
      <c r="BV15" s="54" t="n">
        <f aca="false">MAX(0,(MIN($F15,BV$4)-MAX($E15,BV$3)+1)/BV$5)</f>
        <v>1</v>
      </c>
      <c r="BW15" s="54" t="n">
        <f aca="false">MAX(0,(MIN($F15,BW$4)-MAX($E15,BW$3)+1)/BW$5)</f>
        <v>1</v>
      </c>
      <c r="BX15" s="54" t="n">
        <f aca="false">MAX(0,(MIN($F15,BX$4)-MAX($E15,BX$3)+1)/BX$5)</f>
        <v>1</v>
      </c>
      <c r="BY15" s="54" t="n">
        <f aca="false">MAX(0,(MIN($F15,BY$4)-MAX($E15,BY$3)+1)/BY$5)</f>
        <v>1</v>
      </c>
      <c r="BZ15" s="54" t="n">
        <f aca="false">MAX(0,(MIN($F15,BZ$4)-MAX($E15,BZ$3)+1)/BZ$5)</f>
        <v>1</v>
      </c>
      <c r="CA15" s="54" t="n">
        <f aca="false">MAX(0,(MIN($F15,CA$4)-MAX($E15,CA$3)+1)/CA$5)</f>
        <v>1</v>
      </c>
      <c r="CB15" s="54" t="n">
        <f aca="false">MAX(0,(MIN($F15,CB$4)-MAX($E15,CB$3)+1)/CB$5)</f>
        <v>1</v>
      </c>
      <c r="CC15" s="54" t="n">
        <f aca="false">MAX(0,(MIN($F15,CC$4)-MAX($E15,CC$3)+1)/CC$5)</f>
        <v>1</v>
      </c>
      <c r="CD15" s="54" t="n">
        <f aca="false">MAX(0,(MIN($F15,CD$4)-MAX($E15,CD$3)+1)/CD$5)</f>
        <v>1</v>
      </c>
      <c r="CE15" s="54" t="n">
        <f aca="false">MAX(0,(MIN($F15,CE$4)-MAX($E15,CE$3)+1)/CE$5)</f>
        <v>1</v>
      </c>
      <c r="CF15" s="54" t="n">
        <f aca="false">MAX(0,(MIN($F15,CF$4)-MAX($E15,CF$3)+1)/CF$5)</f>
        <v>1</v>
      </c>
      <c r="CG15" s="54" t="n">
        <f aca="false">MAX(0,(MIN($F15,CG$4)-MAX($E15,CG$3)+1)/CG$5)</f>
        <v>1</v>
      </c>
      <c r="CH15" s="54" t="n">
        <f aca="false">MAX(0,(MIN($F15,CH$4)-MAX($E15,CH$3)+1)/CH$5)</f>
        <v>1</v>
      </c>
      <c r="CI15" s="54" t="n">
        <f aca="false">MAX(0,(MIN($F15,CI$4)-MAX($E15,CI$3)+1)/CI$5)</f>
        <v>1</v>
      </c>
      <c r="CJ15" s="54" t="n">
        <f aca="false">MAX(0,(MIN($F15,CJ$4)-MAX($E15,CJ$3)+1)/CJ$5)</f>
        <v>1</v>
      </c>
      <c r="CK15" s="54" t="n">
        <f aca="false">MAX(0,(MIN($F15,CK$4)-MAX($E15,CK$3)+1)/CK$5)</f>
        <v>1</v>
      </c>
      <c r="CL15" s="54" t="n">
        <f aca="false">MAX(0,(MIN($F15,CL$4)-MAX($E15,CL$3)+1)/CL$5)</f>
        <v>1</v>
      </c>
      <c r="CM15" s="54" t="n">
        <f aca="false">MAX(0,(MIN($F15,CM$4)-MAX($E15,CM$3)+1)/CM$5)</f>
        <v>1</v>
      </c>
      <c r="CN15" s="54" t="n">
        <f aca="false">MAX(0,(MIN($F15,CN$4)-MAX($E15,CN$3)+1)/CN$5)</f>
        <v>1</v>
      </c>
      <c r="CO15" s="54" t="n">
        <f aca="false">MAX(0,(MIN($F15,CO$4)-MAX($E15,CO$3)+1)/CO$5)</f>
        <v>1</v>
      </c>
      <c r="CP15" s="54" t="n">
        <f aca="false">MAX(0,(MIN($F15,CP$4)-MAX($E15,CP$3)+1)/CP$5)</f>
        <v>1</v>
      </c>
      <c r="CQ15" s="54" t="n">
        <f aca="false">MAX(0,(MIN($F15,CQ$4)-MAX($E15,CQ$3)+1)/CQ$5)</f>
        <v>1</v>
      </c>
      <c r="CR15" s="54" t="n">
        <f aca="false">MAX(0,(MIN($F15,CR$4)-MAX($E15,CR$3)+1)/CR$5)</f>
        <v>1</v>
      </c>
      <c r="CS15" s="54" t="n">
        <f aca="false">MAX(0,(MIN($F15,CS$4)-MAX($E15,CS$3)+1)/CS$5)</f>
        <v>1</v>
      </c>
      <c r="CT15" s="54" t="n">
        <f aca="false">MAX(0,(MIN($F15,CT$4)-MAX($E15,CT$3)+1)/CT$5)</f>
        <v>1</v>
      </c>
      <c r="CU15" s="54" t="n">
        <f aca="false">MAX(0,(MIN($F15,CU$4)-MAX($E15,CU$3)+1)/CU$5)</f>
        <v>1</v>
      </c>
      <c r="CV15" s="54" t="n">
        <f aca="false">MAX(0,(MIN($F15,CV$4)-MAX($E15,CV$3)+1)/CV$5)</f>
        <v>1</v>
      </c>
      <c r="CW15" s="54" t="n">
        <f aca="false">MAX(0,(MIN($F15,CW$4)-MAX($E15,CW$3)+1)/CW$5)</f>
        <v>1</v>
      </c>
      <c r="CX15" s="54" t="n">
        <f aca="false">MAX(0,(MIN($F15,CX$4)-MAX($E15,CX$3)+1)/CX$5)</f>
        <v>1</v>
      </c>
      <c r="CY15" s="54" t="n">
        <f aca="false">MAX(0,(MIN($F15,CY$4)-MAX($E15,CY$3)+1)/CY$5)</f>
        <v>1</v>
      </c>
      <c r="CZ15" s="54" t="n">
        <f aca="false">MAX(0,(MIN($F15,CZ$4)-MAX($E15,CZ$3)+1)/CZ$5)</f>
        <v>1</v>
      </c>
      <c r="DA15" s="54" t="n">
        <f aca="false">MAX(0,(MIN($F15,DA$4)-MAX($E15,DA$3)+1)/DA$5)</f>
        <v>1</v>
      </c>
      <c r="DB15" s="54" t="n">
        <f aca="false">MAX(0,(MIN($F15,DB$4)-MAX($E15,DB$3)+1)/DB$5)</f>
        <v>1</v>
      </c>
      <c r="DC15" s="54" t="n">
        <f aca="false">MAX(0,(MIN($F15,DC$4)-MAX($E15,DC$3)+1)/DC$5)</f>
        <v>1</v>
      </c>
      <c r="DD15" s="54" t="n">
        <f aca="false">MAX(0,(MIN($F15,DD$4)-MAX($E15,DD$3)+1)/DD$5)</f>
        <v>1</v>
      </c>
      <c r="DE15" s="54" t="n">
        <f aca="false">MAX(0,(MIN($F15,DE$4)-MAX($E15,DE$3)+1)/DE$5)</f>
        <v>1</v>
      </c>
      <c r="DF15" s="54" t="n">
        <f aca="false">MAX(0,(MIN($F15,DF$4)-MAX($E15,DF$3)+1)/DF$5)</f>
        <v>1</v>
      </c>
      <c r="DG15" s="54" t="n">
        <f aca="false">MAX(0,(MIN($F15,DG$4)-MAX($E15,DG$3)+1)/DG$5)</f>
        <v>1</v>
      </c>
      <c r="DH15" s="54" t="n">
        <f aca="false">MAX(0,(MIN($F15,DH$4)-MAX($E15,DH$3)+1)/DH$5)</f>
        <v>1</v>
      </c>
      <c r="DI15" s="54" t="n">
        <f aca="false">MAX(0,(MIN($F15,DI$4)-MAX($E15,DI$3)+1)/DI$5)</f>
        <v>1</v>
      </c>
      <c r="DJ15" s="54" t="n">
        <f aca="false">MAX(0,(MIN($F15,DJ$4)-MAX($E15,DJ$3)+1)/DJ$5)</f>
        <v>1</v>
      </c>
      <c r="DK15" s="54" t="n">
        <f aca="false">MAX(0,(MIN($F15,DK$4)-MAX($E15,DK$3)+1)/DK$5)</f>
        <v>1</v>
      </c>
      <c r="DL15" s="54" t="n">
        <f aca="false">MAX(0,(MIN($F15,DL$4)-MAX($E15,DL$3)+1)/DL$5)</f>
        <v>1</v>
      </c>
      <c r="DM15" s="54" t="n">
        <f aca="false">MAX(0,(MIN($F15,DM$4)-MAX($E15,DM$3)+1)/DM$5)</f>
        <v>1</v>
      </c>
      <c r="DN15" s="54" t="n">
        <f aca="false">MAX(0,(MIN($F15,DN$4)-MAX($E15,DN$3)+1)/DN$5)</f>
        <v>1</v>
      </c>
      <c r="DO15" s="54" t="n">
        <f aca="false">MAX(0,(MIN($F15,DO$4)-MAX($E15,DO$3)+1)/DO$5)</f>
        <v>1</v>
      </c>
      <c r="DP15" s="54" t="n">
        <f aca="false">MAX(0,(MIN($F15,DP$4)-MAX($E15,DP$3)+1)/DP$5)</f>
        <v>1</v>
      </c>
      <c r="DQ15" s="54" t="n">
        <f aca="false">MAX(0,(MIN($F15,DQ$4)-MAX($E15,DQ$3)+1)/DQ$5)</f>
        <v>1</v>
      </c>
      <c r="DR15" s="54" t="n">
        <f aca="false">MAX(0,(MIN($F15,DR$4)-MAX($E15,DR$3)+1)/DR$5)</f>
        <v>1</v>
      </c>
      <c r="DS15" s="54" t="n">
        <f aca="false">MAX(0,(MIN($F15,DS$4)-MAX($E15,DS$3)+1)/DS$5)</f>
        <v>1</v>
      </c>
      <c r="DT15" s="54" t="n">
        <f aca="false">MAX(0,(MIN($F15,DT$4)-MAX($E15,DT$3)+1)/DT$5)</f>
        <v>1</v>
      </c>
      <c r="DU15" s="54" t="n">
        <f aca="false">MAX(0,(MIN($F15,DU$4)-MAX($E15,DU$3)+1)/DU$5)</f>
        <v>1</v>
      </c>
      <c r="DV15" s="54" t="n">
        <f aca="false">MAX(0,(MIN($F15,DV$4)-MAX($E15,DV$3)+1)/DV$5)</f>
        <v>1</v>
      </c>
      <c r="DW15" s="54" t="n">
        <f aca="false">MAX(0,(MIN($F15,DW$4)-MAX($E15,DW$3)+1)/DW$5)</f>
        <v>1</v>
      </c>
      <c r="DX15" s="54" t="n">
        <f aca="false">MAX(0,(MIN($F15,DX$4)-MAX($E15,DX$3)+1)/DX$5)</f>
        <v>1</v>
      </c>
      <c r="DY15" s="54" t="n">
        <f aca="false">MAX(0,(MIN($F15,DY$4)-MAX($E15,DY$3)+1)/DY$5)</f>
        <v>1</v>
      </c>
      <c r="DZ15" s="54" t="n">
        <f aca="false">MAX(0,(MIN($F15,DZ$4)-MAX($E15,DZ$3)+1)/DZ$5)</f>
        <v>1</v>
      </c>
      <c r="EA15" s="54" t="n">
        <f aca="false">MAX(0,(MIN($F15,EA$4)-MAX($E15,EA$3)+1)/EA$5)</f>
        <v>1</v>
      </c>
      <c r="EB15" s="54" t="n">
        <f aca="false">MAX(0,(MIN($F15,EB$4)-MAX($E15,EB$3)+1)/EB$5)</f>
        <v>1</v>
      </c>
      <c r="EC15" s="54" t="n">
        <f aca="false">MAX(0,(MIN($F15,EC$4)-MAX($E15,EC$3)+1)/EC$5)</f>
        <v>1</v>
      </c>
      <c r="ED15" s="54" t="n">
        <f aca="false">MAX(0,(MIN($F15,ED$4)-MAX($E15,ED$3)+1)/ED$5)</f>
        <v>1</v>
      </c>
      <c r="EE15" s="54" t="n">
        <f aca="false">MAX(0,(MIN($F15,EE$4)-MAX($E15,EE$3)+1)/EE$5)</f>
        <v>1</v>
      </c>
      <c r="EF15" s="54" t="n">
        <f aca="false">MAX(0,(MIN($F15,EF$4)-MAX($E15,EF$3)+1)/EF$5)</f>
        <v>1</v>
      </c>
      <c r="EG15" s="54" t="n">
        <f aca="false">MAX(0,(MIN($F15,EG$4)-MAX($E15,EG$3)+1)/EG$5)</f>
        <v>1</v>
      </c>
      <c r="EH15" s="54" t="n">
        <f aca="false">MAX(0,(MIN($F15,EH$4)-MAX($E15,EH$3)+1)/EH$5)</f>
        <v>1</v>
      </c>
      <c r="EI15" s="54" t="n">
        <f aca="false">MAX(0,(MIN($F15,EI$4)-MAX($E15,EI$3)+1)/EI$5)</f>
        <v>1</v>
      </c>
      <c r="EJ15" s="54" t="n">
        <f aca="false">MAX(0,(MIN($F15,EJ$4)-MAX($E15,EJ$3)+1)/EJ$5)</f>
        <v>1</v>
      </c>
      <c r="EK15" s="54" t="n">
        <f aca="false">MAX(0,(MIN($F15,EK$4)-MAX($E15,EK$3)+1)/EK$5)</f>
        <v>1</v>
      </c>
      <c r="EL15" s="54" t="n">
        <f aca="false">MAX(0,(MIN($F15,EL$4)-MAX($E15,EL$3)+1)/EL$5)</f>
        <v>1</v>
      </c>
      <c r="EM15" s="54" t="n">
        <f aca="false">MAX(0,(MIN($F15,EM$4)-MAX($E15,EM$3)+1)/EM$5)</f>
        <v>1</v>
      </c>
      <c r="EN15" s="54" t="n">
        <f aca="false">MAX(0,(MIN($F15,EN$4)-MAX($E15,EN$3)+1)/EN$5)</f>
        <v>1</v>
      </c>
      <c r="EO15" s="54" t="n">
        <f aca="false">MAX(0,(MIN($F15,EO$4)-MAX($E15,EO$3)+1)/EO$5)</f>
        <v>1</v>
      </c>
      <c r="EP15" s="54" t="n">
        <f aca="false">MAX(0,(MIN($F15,EP$4)-MAX($E15,EP$3)+1)/EP$5)</f>
        <v>1</v>
      </c>
      <c r="EQ15" s="54" t="n">
        <f aca="false">MAX(0,(MIN($F15,EQ$4)-MAX($E15,EQ$3)+1)/EQ$5)</f>
        <v>1</v>
      </c>
      <c r="ER15" s="54" t="n">
        <f aca="false">MAX(0,(MIN($F15,ER$4)-MAX($E15,ER$3)+1)/ER$5)</f>
        <v>1</v>
      </c>
      <c r="ES15" s="54" t="n">
        <f aca="false">MAX(0,(MIN($F15,ES$4)-MAX($E15,ES$3)+1)/ES$5)</f>
        <v>1</v>
      </c>
      <c r="ET15" s="54" t="n">
        <f aca="false">MAX(0,(MIN($F15,ET$4)-MAX($E15,ET$3)+1)/ET$5)</f>
        <v>1</v>
      </c>
    </row>
    <row r="16" customFormat="false" ht="15" hidden="false" customHeight="false" outlineLevel="0" collapsed="false">
      <c r="C16" s="1" t="s">
        <v>448</v>
      </c>
      <c r="D16" s="12" t="s">
        <v>41</v>
      </c>
      <c r="E16" s="44" t="n">
        <f aca="false">In_NTP+1</f>
        <v>47392</v>
      </c>
      <c r="F16" s="44" t="n">
        <f aca="false">EDATE(In_COD,In_Life*Months_In_Year)</f>
        <v>59079</v>
      </c>
      <c r="J16" s="54" t="n">
        <f aca="false">MAX(0,(MIN($F16,J$4)-MAX($E16,J$3)+1)/J$5)</f>
        <v>0</v>
      </c>
      <c r="K16" s="54" t="n">
        <f aca="false">MAX(0,(MIN($F16,K$4)-MAX($E16,K$3)+1)/K$5)</f>
        <v>0</v>
      </c>
      <c r="L16" s="54" t="n">
        <f aca="false">MAX(0,(MIN($F16,L$4)-MAX($E16,L$3)+1)/L$5)</f>
        <v>0</v>
      </c>
      <c r="M16" s="54" t="n">
        <f aca="false">MAX(0,(MIN($F16,M$4)-MAX($E16,M$3)+1)/M$5)</f>
        <v>0</v>
      </c>
      <c r="N16" s="54" t="n">
        <f aca="false">MAX(0,(MIN($F16,N$4)-MAX($E16,N$3)+1)/N$5)</f>
        <v>0</v>
      </c>
      <c r="O16" s="54" t="n">
        <f aca="false">MAX(0,(MIN($F16,O$4)-MAX($E16,O$3)+1)/O$5)</f>
        <v>0</v>
      </c>
      <c r="P16" s="54" t="n">
        <f aca="false">MAX(0,(MIN($F16,P$4)-MAX($E16,P$3)+1)/P$5)</f>
        <v>0</v>
      </c>
      <c r="Q16" s="54" t="n">
        <f aca="false">MAX(0,(MIN($F16,Q$4)-MAX($E16,Q$3)+1)/Q$5)</f>
        <v>0</v>
      </c>
      <c r="R16" s="54" t="n">
        <f aca="false">MAX(0,(MIN($F16,R$4)-MAX($E16,R$3)+1)/R$5)</f>
        <v>0</v>
      </c>
      <c r="S16" s="54" t="n">
        <f aca="false">MAX(0,(MIN($F16,S$4)-MAX($E16,S$3)+1)/S$5)</f>
        <v>0</v>
      </c>
      <c r="T16" s="54" t="n">
        <f aca="false">MAX(0,(MIN($F16,T$4)-MAX($E16,T$3)+1)/T$5)</f>
        <v>0</v>
      </c>
      <c r="U16" s="54" t="n">
        <f aca="false">MAX(0,(MIN($F16,U$4)-MAX($E16,U$3)+1)/U$5)</f>
        <v>0</v>
      </c>
      <c r="V16" s="54" t="n">
        <f aca="false">MAX(0,(MIN($F16,V$4)-MAX($E16,V$3)+1)/V$5)</f>
        <v>0</v>
      </c>
      <c r="W16" s="54" t="n">
        <f aca="false">MAX(0,(MIN($F16,W$4)-MAX($E16,W$3)+1)/W$5)</f>
        <v>1</v>
      </c>
      <c r="X16" s="54" t="n">
        <f aca="false">MAX(0,(MIN($F16,X$4)-MAX($E16,X$3)+1)/X$5)</f>
        <v>1</v>
      </c>
      <c r="Y16" s="54" t="n">
        <f aca="false">MAX(0,(MIN($F16,Y$4)-MAX($E16,Y$3)+1)/Y$5)</f>
        <v>1</v>
      </c>
      <c r="Z16" s="54" t="n">
        <f aca="false">MAX(0,(MIN($F16,Z$4)-MAX($E16,Z$3)+1)/Z$5)</f>
        <v>1</v>
      </c>
      <c r="AA16" s="54" t="n">
        <f aca="false">MAX(0,(MIN($F16,AA$4)-MAX($E16,AA$3)+1)/AA$5)</f>
        <v>1</v>
      </c>
      <c r="AB16" s="54" t="n">
        <f aca="false">MAX(0,(MIN($F16,AB$4)-MAX($E16,AB$3)+1)/AB$5)</f>
        <v>1</v>
      </c>
      <c r="AC16" s="54" t="n">
        <f aca="false">MAX(0,(MIN($F16,AC$4)-MAX($E16,AC$3)+1)/AC$5)</f>
        <v>1</v>
      </c>
      <c r="AD16" s="54" t="n">
        <f aca="false">MAX(0,(MIN($F16,AD$4)-MAX($E16,AD$3)+1)/AD$5)</f>
        <v>1</v>
      </c>
      <c r="AE16" s="54" t="n">
        <f aca="false">MAX(0,(MIN($F16,AE$4)-MAX($E16,AE$3)+1)/AE$5)</f>
        <v>1</v>
      </c>
      <c r="AF16" s="54" t="n">
        <f aca="false">MAX(0,(MIN($F16,AF$4)-MAX($E16,AF$3)+1)/AF$5)</f>
        <v>1</v>
      </c>
      <c r="AG16" s="54" t="n">
        <f aca="false">MAX(0,(MIN($F16,AG$4)-MAX($E16,AG$3)+1)/AG$5)</f>
        <v>1</v>
      </c>
      <c r="AH16" s="54" t="n">
        <f aca="false">MAX(0,(MIN($F16,AH$4)-MAX($E16,AH$3)+1)/AH$5)</f>
        <v>1</v>
      </c>
      <c r="AI16" s="54" t="n">
        <f aca="false">MAX(0,(MIN($F16,AI$4)-MAX($E16,AI$3)+1)/AI$5)</f>
        <v>1</v>
      </c>
      <c r="AJ16" s="54" t="n">
        <f aca="false">MAX(0,(MIN($F16,AJ$4)-MAX($E16,AJ$3)+1)/AJ$5)</f>
        <v>1</v>
      </c>
      <c r="AK16" s="54" t="n">
        <f aca="false">MAX(0,(MIN($F16,AK$4)-MAX($E16,AK$3)+1)/AK$5)</f>
        <v>1</v>
      </c>
      <c r="AL16" s="54" t="n">
        <f aca="false">MAX(0,(MIN($F16,AL$4)-MAX($E16,AL$3)+1)/AL$5)</f>
        <v>1</v>
      </c>
      <c r="AM16" s="54" t="n">
        <f aca="false">MAX(0,(MIN($F16,AM$4)-MAX($E16,AM$3)+1)/AM$5)</f>
        <v>1</v>
      </c>
      <c r="AN16" s="54" t="n">
        <f aca="false">MAX(0,(MIN($F16,AN$4)-MAX($E16,AN$3)+1)/AN$5)</f>
        <v>1</v>
      </c>
      <c r="AO16" s="54" t="n">
        <f aca="false">MAX(0,(MIN($F16,AO$4)-MAX($E16,AO$3)+1)/AO$5)</f>
        <v>1</v>
      </c>
      <c r="AP16" s="54" t="n">
        <f aca="false">MAX(0,(MIN($F16,AP$4)-MAX($E16,AP$3)+1)/AP$5)</f>
        <v>1</v>
      </c>
      <c r="AQ16" s="54" t="n">
        <f aca="false">MAX(0,(MIN($F16,AQ$4)-MAX($E16,AQ$3)+1)/AQ$5)</f>
        <v>1</v>
      </c>
      <c r="AR16" s="54" t="n">
        <f aca="false">MAX(0,(MIN($F16,AR$4)-MAX($E16,AR$3)+1)/AR$5)</f>
        <v>1</v>
      </c>
      <c r="AS16" s="54" t="n">
        <f aca="false">MAX(0,(MIN($F16,AS$4)-MAX($E16,AS$3)+1)/AS$5)</f>
        <v>1</v>
      </c>
      <c r="AT16" s="54" t="n">
        <f aca="false">MAX(0,(MIN($F16,AT$4)-MAX($E16,AT$3)+1)/AT$5)</f>
        <v>1</v>
      </c>
      <c r="AU16" s="54" t="n">
        <f aca="false">MAX(0,(MIN($F16,AU$4)-MAX($E16,AU$3)+1)/AU$5)</f>
        <v>1</v>
      </c>
      <c r="AV16" s="54" t="n">
        <f aca="false">MAX(0,(MIN($F16,AV$4)-MAX($E16,AV$3)+1)/AV$5)</f>
        <v>1</v>
      </c>
      <c r="AW16" s="54" t="n">
        <f aca="false">MAX(0,(MIN($F16,AW$4)-MAX($E16,AW$3)+1)/AW$5)</f>
        <v>1</v>
      </c>
      <c r="AX16" s="54" t="n">
        <f aca="false">MAX(0,(MIN($F16,AX$4)-MAX($E16,AX$3)+1)/AX$5)</f>
        <v>1</v>
      </c>
      <c r="AY16" s="54" t="n">
        <f aca="false">MAX(0,(MIN($F16,AY$4)-MAX($E16,AY$3)+1)/AY$5)</f>
        <v>1</v>
      </c>
      <c r="AZ16" s="54" t="n">
        <f aca="false">MAX(0,(MIN($F16,AZ$4)-MAX($E16,AZ$3)+1)/AZ$5)</f>
        <v>1</v>
      </c>
      <c r="BA16" s="54" t="n">
        <f aca="false">MAX(0,(MIN($F16,BA$4)-MAX($E16,BA$3)+1)/BA$5)</f>
        <v>1</v>
      </c>
      <c r="BB16" s="54" t="n">
        <f aca="false">MAX(0,(MIN($F16,BB$4)-MAX($E16,BB$3)+1)/BB$5)</f>
        <v>1</v>
      </c>
      <c r="BC16" s="54" t="n">
        <f aca="false">MAX(0,(MIN($F16,BC$4)-MAX($E16,BC$3)+1)/BC$5)</f>
        <v>1</v>
      </c>
      <c r="BD16" s="54" t="n">
        <f aca="false">MAX(0,(MIN($F16,BD$4)-MAX($E16,BD$3)+1)/BD$5)</f>
        <v>1</v>
      </c>
      <c r="BE16" s="54" t="n">
        <f aca="false">MAX(0,(MIN($F16,BE$4)-MAX($E16,BE$3)+1)/BE$5)</f>
        <v>1</v>
      </c>
      <c r="BF16" s="54" t="n">
        <f aca="false">MAX(0,(MIN($F16,BF$4)-MAX($E16,BF$3)+1)/BF$5)</f>
        <v>1</v>
      </c>
      <c r="BG16" s="54" t="n">
        <f aca="false">MAX(0,(MIN($F16,BG$4)-MAX($E16,BG$3)+1)/BG$5)</f>
        <v>1</v>
      </c>
      <c r="BH16" s="54" t="n">
        <f aca="false">MAX(0,(MIN($F16,BH$4)-MAX($E16,BH$3)+1)/BH$5)</f>
        <v>1</v>
      </c>
      <c r="BI16" s="54" t="n">
        <f aca="false">MAX(0,(MIN($F16,BI$4)-MAX($E16,BI$3)+1)/BI$5)</f>
        <v>1</v>
      </c>
      <c r="BJ16" s="54" t="n">
        <f aca="false">MAX(0,(MIN($F16,BJ$4)-MAX($E16,BJ$3)+1)/BJ$5)</f>
        <v>1</v>
      </c>
      <c r="BK16" s="54" t="n">
        <f aca="false">MAX(0,(MIN($F16,BK$4)-MAX($E16,BK$3)+1)/BK$5)</f>
        <v>1</v>
      </c>
      <c r="BL16" s="54" t="n">
        <f aca="false">MAX(0,(MIN($F16,BL$4)-MAX($E16,BL$3)+1)/BL$5)</f>
        <v>1</v>
      </c>
      <c r="BM16" s="54" t="n">
        <f aca="false">MAX(0,(MIN($F16,BM$4)-MAX($E16,BM$3)+1)/BM$5)</f>
        <v>1</v>
      </c>
      <c r="BN16" s="54" t="n">
        <f aca="false">MAX(0,(MIN($F16,BN$4)-MAX($E16,BN$3)+1)/BN$5)</f>
        <v>1</v>
      </c>
      <c r="BO16" s="54" t="n">
        <f aca="false">MAX(0,(MIN($F16,BO$4)-MAX($E16,BO$3)+1)/BO$5)</f>
        <v>1</v>
      </c>
      <c r="BP16" s="54" t="n">
        <f aca="false">MAX(0,(MIN($F16,BP$4)-MAX($E16,BP$3)+1)/BP$5)</f>
        <v>1</v>
      </c>
      <c r="BQ16" s="54" t="n">
        <f aca="false">MAX(0,(MIN($F16,BQ$4)-MAX($E16,BQ$3)+1)/BQ$5)</f>
        <v>1</v>
      </c>
      <c r="BR16" s="54" t="n">
        <f aca="false">MAX(0,(MIN($F16,BR$4)-MAX($E16,BR$3)+1)/BR$5)</f>
        <v>1</v>
      </c>
      <c r="BS16" s="54" t="n">
        <f aca="false">MAX(0,(MIN($F16,BS$4)-MAX($E16,BS$3)+1)/BS$5)</f>
        <v>1</v>
      </c>
      <c r="BT16" s="54" t="n">
        <f aca="false">MAX(0,(MIN($F16,BT$4)-MAX($E16,BT$3)+1)/BT$5)</f>
        <v>1</v>
      </c>
      <c r="BU16" s="54" t="n">
        <f aca="false">MAX(0,(MIN($F16,BU$4)-MAX($E16,BU$3)+1)/BU$5)</f>
        <v>1</v>
      </c>
      <c r="BV16" s="54" t="n">
        <f aca="false">MAX(0,(MIN($F16,BV$4)-MAX($E16,BV$3)+1)/BV$5)</f>
        <v>1</v>
      </c>
      <c r="BW16" s="54" t="n">
        <f aca="false">MAX(0,(MIN($F16,BW$4)-MAX($E16,BW$3)+1)/BW$5)</f>
        <v>1</v>
      </c>
      <c r="BX16" s="54" t="n">
        <f aca="false">MAX(0,(MIN($F16,BX$4)-MAX($E16,BX$3)+1)/BX$5)</f>
        <v>1</v>
      </c>
      <c r="BY16" s="54" t="n">
        <f aca="false">MAX(0,(MIN($F16,BY$4)-MAX($E16,BY$3)+1)/BY$5)</f>
        <v>1</v>
      </c>
      <c r="BZ16" s="54" t="n">
        <f aca="false">MAX(0,(MIN($F16,BZ$4)-MAX($E16,BZ$3)+1)/BZ$5)</f>
        <v>1</v>
      </c>
      <c r="CA16" s="54" t="n">
        <f aca="false">MAX(0,(MIN($F16,CA$4)-MAX($E16,CA$3)+1)/CA$5)</f>
        <v>1</v>
      </c>
      <c r="CB16" s="54" t="n">
        <f aca="false">MAX(0,(MIN($F16,CB$4)-MAX($E16,CB$3)+1)/CB$5)</f>
        <v>1</v>
      </c>
      <c r="CC16" s="54" t="n">
        <f aca="false">MAX(0,(MIN($F16,CC$4)-MAX($E16,CC$3)+1)/CC$5)</f>
        <v>1</v>
      </c>
      <c r="CD16" s="54" t="n">
        <f aca="false">MAX(0,(MIN($F16,CD$4)-MAX($E16,CD$3)+1)/CD$5)</f>
        <v>1</v>
      </c>
      <c r="CE16" s="54" t="n">
        <f aca="false">MAX(0,(MIN($F16,CE$4)-MAX($E16,CE$3)+1)/CE$5)</f>
        <v>1</v>
      </c>
      <c r="CF16" s="54" t="n">
        <f aca="false">MAX(0,(MIN($F16,CF$4)-MAX($E16,CF$3)+1)/CF$5)</f>
        <v>1</v>
      </c>
      <c r="CG16" s="54" t="n">
        <f aca="false">MAX(0,(MIN($F16,CG$4)-MAX($E16,CG$3)+1)/CG$5)</f>
        <v>1</v>
      </c>
      <c r="CH16" s="54" t="n">
        <f aca="false">MAX(0,(MIN($F16,CH$4)-MAX($E16,CH$3)+1)/CH$5)</f>
        <v>1</v>
      </c>
      <c r="CI16" s="54" t="n">
        <f aca="false">MAX(0,(MIN($F16,CI$4)-MAX($E16,CI$3)+1)/CI$5)</f>
        <v>1</v>
      </c>
      <c r="CJ16" s="54" t="n">
        <f aca="false">MAX(0,(MIN($F16,CJ$4)-MAX($E16,CJ$3)+1)/CJ$5)</f>
        <v>1</v>
      </c>
      <c r="CK16" s="54" t="n">
        <f aca="false">MAX(0,(MIN($F16,CK$4)-MAX($E16,CK$3)+1)/CK$5)</f>
        <v>1</v>
      </c>
      <c r="CL16" s="54" t="n">
        <f aca="false">MAX(0,(MIN($F16,CL$4)-MAX($E16,CL$3)+1)/CL$5)</f>
        <v>1</v>
      </c>
      <c r="CM16" s="54" t="n">
        <f aca="false">MAX(0,(MIN($F16,CM$4)-MAX($E16,CM$3)+1)/CM$5)</f>
        <v>1</v>
      </c>
      <c r="CN16" s="54" t="n">
        <f aca="false">MAX(0,(MIN($F16,CN$4)-MAX($E16,CN$3)+1)/CN$5)</f>
        <v>1</v>
      </c>
      <c r="CO16" s="54" t="n">
        <f aca="false">MAX(0,(MIN($F16,CO$4)-MAX($E16,CO$3)+1)/CO$5)</f>
        <v>1</v>
      </c>
      <c r="CP16" s="54" t="n">
        <f aca="false">MAX(0,(MIN($F16,CP$4)-MAX($E16,CP$3)+1)/CP$5)</f>
        <v>1</v>
      </c>
      <c r="CQ16" s="54" t="n">
        <f aca="false">MAX(0,(MIN($F16,CQ$4)-MAX($E16,CQ$3)+1)/CQ$5)</f>
        <v>1</v>
      </c>
      <c r="CR16" s="54" t="n">
        <f aca="false">MAX(0,(MIN($F16,CR$4)-MAX($E16,CR$3)+1)/CR$5)</f>
        <v>1</v>
      </c>
      <c r="CS16" s="54" t="n">
        <f aca="false">MAX(0,(MIN($F16,CS$4)-MAX($E16,CS$3)+1)/CS$5)</f>
        <v>1</v>
      </c>
      <c r="CT16" s="54" t="n">
        <f aca="false">MAX(0,(MIN($F16,CT$4)-MAX($E16,CT$3)+1)/CT$5)</f>
        <v>1</v>
      </c>
      <c r="CU16" s="54" t="n">
        <f aca="false">MAX(0,(MIN($F16,CU$4)-MAX($E16,CU$3)+1)/CU$5)</f>
        <v>1</v>
      </c>
      <c r="CV16" s="54" t="n">
        <f aca="false">MAX(0,(MIN($F16,CV$4)-MAX($E16,CV$3)+1)/CV$5)</f>
        <v>1</v>
      </c>
      <c r="CW16" s="54" t="n">
        <f aca="false">MAX(0,(MIN($F16,CW$4)-MAX($E16,CW$3)+1)/CW$5)</f>
        <v>1</v>
      </c>
      <c r="CX16" s="54" t="n">
        <f aca="false">MAX(0,(MIN($F16,CX$4)-MAX($E16,CX$3)+1)/CX$5)</f>
        <v>1</v>
      </c>
      <c r="CY16" s="54" t="n">
        <f aca="false">MAX(0,(MIN($F16,CY$4)-MAX($E16,CY$3)+1)/CY$5)</f>
        <v>1</v>
      </c>
      <c r="CZ16" s="54" t="n">
        <f aca="false">MAX(0,(MIN($F16,CZ$4)-MAX($E16,CZ$3)+1)/CZ$5)</f>
        <v>1</v>
      </c>
      <c r="DA16" s="54" t="n">
        <f aca="false">MAX(0,(MIN($F16,DA$4)-MAX($E16,DA$3)+1)/DA$5)</f>
        <v>1</v>
      </c>
      <c r="DB16" s="54" t="n">
        <f aca="false">MAX(0,(MIN($F16,DB$4)-MAX($E16,DB$3)+1)/DB$5)</f>
        <v>1</v>
      </c>
      <c r="DC16" s="54" t="n">
        <f aca="false">MAX(0,(MIN($F16,DC$4)-MAX($E16,DC$3)+1)/DC$5)</f>
        <v>1</v>
      </c>
      <c r="DD16" s="54" t="n">
        <f aca="false">MAX(0,(MIN($F16,DD$4)-MAX($E16,DD$3)+1)/DD$5)</f>
        <v>1</v>
      </c>
      <c r="DE16" s="54" t="n">
        <f aca="false">MAX(0,(MIN($F16,DE$4)-MAX($E16,DE$3)+1)/DE$5)</f>
        <v>1</v>
      </c>
      <c r="DF16" s="54" t="n">
        <f aca="false">MAX(0,(MIN($F16,DF$4)-MAX($E16,DF$3)+1)/DF$5)</f>
        <v>1</v>
      </c>
      <c r="DG16" s="54" t="n">
        <f aca="false">MAX(0,(MIN($F16,DG$4)-MAX($E16,DG$3)+1)/DG$5)</f>
        <v>1</v>
      </c>
      <c r="DH16" s="54" t="n">
        <f aca="false">MAX(0,(MIN($F16,DH$4)-MAX($E16,DH$3)+1)/DH$5)</f>
        <v>1</v>
      </c>
      <c r="DI16" s="54" t="n">
        <f aca="false">MAX(0,(MIN($F16,DI$4)-MAX($E16,DI$3)+1)/DI$5)</f>
        <v>1</v>
      </c>
      <c r="DJ16" s="54" t="n">
        <f aca="false">MAX(0,(MIN($F16,DJ$4)-MAX($E16,DJ$3)+1)/DJ$5)</f>
        <v>1</v>
      </c>
      <c r="DK16" s="54" t="n">
        <f aca="false">MAX(0,(MIN($F16,DK$4)-MAX($E16,DK$3)+1)/DK$5)</f>
        <v>1</v>
      </c>
      <c r="DL16" s="54" t="n">
        <f aca="false">MAX(0,(MIN($F16,DL$4)-MAX($E16,DL$3)+1)/DL$5)</f>
        <v>1</v>
      </c>
      <c r="DM16" s="54" t="n">
        <f aca="false">MAX(0,(MIN($F16,DM$4)-MAX($E16,DM$3)+1)/DM$5)</f>
        <v>1</v>
      </c>
      <c r="DN16" s="54" t="n">
        <f aca="false">MAX(0,(MIN($F16,DN$4)-MAX($E16,DN$3)+1)/DN$5)</f>
        <v>1</v>
      </c>
      <c r="DO16" s="54" t="n">
        <f aca="false">MAX(0,(MIN($F16,DO$4)-MAX($E16,DO$3)+1)/DO$5)</f>
        <v>1</v>
      </c>
      <c r="DP16" s="54" t="n">
        <f aca="false">MAX(0,(MIN($F16,DP$4)-MAX($E16,DP$3)+1)/DP$5)</f>
        <v>1</v>
      </c>
      <c r="DQ16" s="54" t="n">
        <f aca="false">MAX(0,(MIN($F16,DQ$4)-MAX($E16,DQ$3)+1)/DQ$5)</f>
        <v>1</v>
      </c>
      <c r="DR16" s="54" t="n">
        <f aca="false">MAX(0,(MIN($F16,DR$4)-MAX($E16,DR$3)+1)/DR$5)</f>
        <v>1</v>
      </c>
      <c r="DS16" s="54" t="n">
        <f aca="false">MAX(0,(MIN($F16,DS$4)-MAX($E16,DS$3)+1)/DS$5)</f>
        <v>1</v>
      </c>
      <c r="DT16" s="54" t="n">
        <f aca="false">MAX(0,(MIN($F16,DT$4)-MAX($E16,DT$3)+1)/DT$5)</f>
        <v>1</v>
      </c>
      <c r="DU16" s="54" t="n">
        <f aca="false">MAX(0,(MIN($F16,DU$4)-MAX($E16,DU$3)+1)/DU$5)</f>
        <v>1</v>
      </c>
      <c r="DV16" s="54" t="n">
        <f aca="false">MAX(0,(MIN($F16,DV$4)-MAX($E16,DV$3)+1)/DV$5)</f>
        <v>1</v>
      </c>
      <c r="DW16" s="54" t="n">
        <f aca="false">MAX(0,(MIN($F16,DW$4)-MAX($E16,DW$3)+1)/DW$5)</f>
        <v>1</v>
      </c>
      <c r="DX16" s="54" t="n">
        <f aca="false">MAX(0,(MIN($F16,DX$4)-MAX($E16,DX$3)+1)/DX$5)</f>
        <v>1</v>
      </c>
      <c r="DY16" s="54" t="n">
        <f aca="false">MAX(0,(MIN($F16,DY$4)-MAX($E16,DY$3)+1)/DY$5)</f>
        <v>1</v>
      </c>
      <c r="DZ16" s="54" t="n">
        <f aca="false">MAX(0,(MIN($F16,DZ$4)-MAX($E16,DZ$3)+1)/DZ$5)</f>
        <v>1</v>
      </c>
      <c r="EA16" s="54" t="n">
        <f aca="false">MAX(0,(MIN($F16,EA$4)-MAX($E16,EA$3)+1)/EA$5)</f>
        <v>1</v>
      </c>
      <c r="EB16" s="54" t="n">
        <f aca="false">MAX(0,(MIN($F16,EB$4)-MAX($E16,EB$3)+1)/EB$5)</f>
        <v>1</v>
      </c>
      <c r="EC16" s="54" t="n">
        <f aca="false">MAX(0,(MIN($F16,EC$4)-MAX($E16,EC$3)+1)/EC$5)</f>
        <v>1</v>
      </c>
      <c r="ED16" s="54" t="n">
        <f aca="false">MAX(0,(MIN($F16,ED$4)-MAX($E16,ED$3)+1)/ED$5)</f>
        <v>1</v>
      </c>
      <c r="EE16" s="54" t="n">
        <f aca="false">MAX(0,(MIN($F16,EE$4)-MAX($E16,EE$3)+1)/EE$5)</f>
        <v>1</v>
      </c>
      <c r="EF16" s="54" t="n">
        <f aca="false">MAX(0,(MIN($F16,EF$4)-MAX($E16,EF$3)+1)/EF$5)</f>
        <v>1</v>
      </c>
      <c r="EG16" s="54" t="n">
        <f aca="false">MAX(0,(MIN($F16,EG$4)-MAX($E16,EG$3)+1)/EG$5)</f>
        <v>1</v>
      </c>
      <c r="EH16" s="54" t="n">
        <f aca="false">MAX(0,(MIN($F16,EH$4)-MAX($E16,EH$3)+1)/EH$5)</f>
        <v>1</v>
      </c>
      <c r="EI16" s="54" t="n">
        <f aca="false">MAX(0,(MIN($F16,EI$4)-MAX($E16,EI$3)+1)/EI$5)</f>
        <v>1</v>
      </c>
      <c r="EJ16" s="54" t="n">
        <f aca="false">MAX(0,(MIN($F16,EJ$4)-MAX($E16,EJ$3)+1)/EJ$5)</f>
        <v>1</v>
      </c>
      <c r="EK16" s="54" t="n">
        <f aca="false">MAX(0,(MIN($F16,EK$4)-MAX($E16,EK$3)+1)/EK$5)</f>
        <v>1</v>
      </c>
      <c r="EL16" s="54" t="n">
        <f aca="false">MAX(0,(MIN($F16,EL$4)-MAX($E16,EL$3)+1)/EL$5)</f>
        <v>1</v>
      </c>
      <c r="EM16" s="54" t="n">
        <f aca="false">MAX(0,(MIN($F16,EM$4)-MAX($E16,EM$3)+1)/EM$5)</f>
        <v>1</v>
      </c>
      <c r="EN16" s="54" t="n">
        <f aca="false">MAX(0,(MIN($F16,EN$4)-MAX($E16,EN$3)+1)/EN$5)</f>
        <v>1</v>
      </c>
      <c r="EO16" s="54" t="n">
        <f aca="false">MAX(0,(MIN($F16,EO$4)-MAX($E16,EO$3)+1)/EO$5)</f>
        <v>1</v>
      </c>
      <c r="EP16" s="54" t="n">
        <f aca="false">MAX(0,(MIN($F16,EP$4)-MAX($E16,EP$3)+1)/EP$5)</f>
        <v>1</v>
      </c>
      <c r="EQ16" s="54" t="n">
        <f aca="false">MAX(0,(MIN($F16,EQ$4)-MAX($E16,EQ$3)+1)/EQ$5)</f>
        <v>1</v>
      </c>
      <c r="ER16" s="54" t="n">
        <f aca="false">MAX(0,(MIN($F16,ER$4)-MAX($E16,ER$3)+1)/ER$5)</f>
        <v>1</v>
      </c>
      <c r="ES16" s="54" t="n">
        <f aca="false">MAX(0,(MIN($F16,ES$4)-MAX($E16,ES$3)+1)/ES$5)</f>
        <v>1</v>
      </c>
      <c r="ET16" s="54" t="n">
        <f aca="false">MAX(0,(MIN($F16,ET$4)-MAX($E16,ET$3)+1)/ET$5)</f>
        <v>1</v>
      </c>
    </row>
    <row r="17" customFormat="false" ht="15" hidden="false" customHeight="false" outlineLevel="0" collapsed="false">
      <c r="C17" s="1" t="s">
        <v>449</v>
      </c>
      <c r="D17" s="12" t="s">
        <v>41</v>
      </c>
      <c r="E17" s="44" t="n">
        <f aca="false">In_COD+1</f>
        <v>48122</v>
      </c>
      <c r="F17" s="44" t="n">
        <f aca="false">EDATE(In_COD,In_Debt_Tenor*Months_In_Year)</f>
        <v>51774</v>
      </c>
      <c r="J17" s="54" t="n">
        <f aca="false">MAX(0,(MIN($F17,J$4)-MAX($E17,J$3)+1)/J$5)</f>
        <v>0</v>
      </c>
      <c r="K17" s="54" t="n">
        <f aca="false">MAX(0,(MIN($F17,K$4)-MAX($E17,K$3)+1)/K$5)</f>
        <v>0</v>
      </c>
      <c r="L17" s="54" t="n">
        <f aca="false">MAX(0,(MIN($F17,L$4)-MAX($E17,L$3)+1)/L$5)</f>
        <v>0</v>
      </c>
      <c r="M17" s="54" t="n">
        <f aca="false">MAX(0,(MIN($F17,M$4)-MAX($E17,M$3)+1)/M$5)</f>
        <v>0</v>
      </c>
      <c r="N17" s="54" t="n">
        <f aca="false">MAX(0,(MIN($F17,N$4)-MAX($E17,N$3)+1)/N$5)</f>
        <v>0</v>
      </c>
      <c r="O17" s="54" t="n">
        <f aca="false">MAX(0,(MIN($F17,O$4)-MAX($E17,O$3)+1)/O$5)</f>
        <v>0</v>
      </c>
      <c r="P17" s="54" t="n">
        <f aca="false">MAX(0,(MIN($F17,P$4)-MAX($E17,P$3)+1)/P$5)</f>
        <v>0</v>
      </c>
      <c r="Q17" s="54" t="n">
        <f aca="false">MAX(0,(MIN($F17,Q$4)-MAX($E17,Q$3)+1)/Q$5)</f>
        <v>0</v>
      </c>
      <c r="R17" s="54" t="n">
        <f aca="false">MAX(0,(MIN($F17,R$4)-MAX($E17,R$3)+1)/R$5)</f>
        <v>0</v>
      </c>
      <c r="S17" s="54" t="n">
        <f aca="false">MAX(0,(MIN($F17,S$4)-MAX($E17,S$3)+1)/S$5)</f>
        <v>0</v>
      </c>
      <c r="T17" s="54" t="n">
        <f aca="false">MAX(0,(MIN($F17,T$4)-MAX($E17,T$3)+1)/T$5)</f>
        <v>0</v>
      </c>
      <c r="U17" s="54" t="n">
        <f aca="false">MAX(0,(MIN($F17,U$4)-MAX($E17,U$3)+1)/U$5)</f>
        <v>0</v>
      </c>
      <c r="V17" s="54" t="n">
        <f aca="false">MAX(0,(MIN($F17,V$4)-MAX($E17,V$3)+1)/V$5)</f>
        <v>0</v>
      </c>
      <c r="W17" s="54" t="n">
        <f aca="false">MAX(0,(MIN($F17,W$4)-MAX($E17,W$3)+1)/W$5)</f>
        <v>0</v>
      </c>
      <c r="X17" s="54" t="n">
        <f aca="false">MAX(0,(MIN($F17,X$4)-MAX($E17,X$3)+1)/X$5)</f>
        <v>0</v>
      </c>
      <c r="Y17" s="54" t="n">
        <f aca="false">MAX(0,(MIN($F17,Y$4)-MAX($E17,Y$3)+1)/Y$5)</f>
        <v>0</v>
      </c>
      <c r="Z17" s="54" t="n">
        <f aca="false">MAX(0,(MIN($F17,Z$4)-MAX($E17,Z$3)+1)/Z$5)</f>
        <v>0</v>
      </c>
      <c r="AA17" s="54" t="n">
        <f aca="false">MAX(0,(MIN($F17,AA$4)-MAX($E17,AA$3)+1)/AA$5)</f>
        <v>0</v>
      </c>
      <c r="AB17" s="54" t="n">
        <f aca="false">MAX(0,(MIN($F17,AB$4)-MAX($E17,AB$3)+1)/AB$5)</f>
        <v>0</v>
      </c>
      <c r="AC17" s="54" t="n">
        <f aca="false">MAX(0,(MIN($F17,AC$4)-MAX($E17,AC$3)+1)/AC$5)</f>
        <v>0</v>
      </c>
      <c r="AD17" s="54" t="n">
        <f aca="false">MAX(0,(MIN($F17,AD$4)-MAX($E17,AD$3)+1)/AD$5)</f>
        <v>0</v>
      </c>
      <c r="AE17" s="54" t="n">
        <f aca="false">MAX(0,(MIN($F17,AE$4)-MAX($E17,AE$3)+1)/AE$5)</f>
        <v>1</v>
      </c>
      <c r="AF17" s="54" t="n">
        <f aca="false">MAX(0,(MIN($F17,AF$4)-MAX($E17,AF$3)+1)/AF$5)</f>
        <v>1</v>
      </c>
      <c r="AG17" s="54" t="n">
        <f aca="false">MAX(0,(MIN($F17,AG$4)-MAX($E17,AG$3)+1)/AG$5)</f>
        <v>1</v>
      </c>
      <c r="AH17" s="54" t="n">
        <f aca="false">MAX(0,(MIN($F17,AH$4)-MAX($E17,AH$3)+1)/AH$5)</f>
        <v>1</v>
      </c>
      <c r="AI17" s="54" t="n">
        <f aca="false">MAX(0,(MIN($F17,AI$4)-MAX($E17,AI$3)+1)/AI$5)</f>
        <v>1</v>
      </c>
      <c r="AJ17" s="54" t="n">
        <f aca="false">MAX(0,(MIN($F17,AJ$4)-MAX($E17,AJ$3)+1)/AJ$5)</f>
        <v>1</v>
      </c>
      <c r="AK17" s="54" t="n">
        <f aca="false">MAX(0,(MIN($F17,AK$4)-MAX($E17,AK$3)+1)/AK$5)</f>
        <v>1</v>
      </c>
      <c r="AL17" s="54" t="n">
        <f aca="false">MAX(0,(MIN($F17,AL$4)-MAX($E17,AL$3)+1)/AL$5)</f>
        <v>1</v>
      </c>
      <c r="AM17" s="54" t="n">
        <f aca="false">MAX(0,(MIN($F17,AM$4)-MAX($E17,AM$3)+1)/AM$5)</f>
        <v>1</v>
      </c>
      <c r="AN17" s="54" t="n">
        <f aca="false">MAX(0,(MIN($F17,AN$4)-MAX($E17,AN$3)+1)/AN$5)</f>
        <v>1</v>
      </c>
      <c r="AO17" s="54" t="n">
        <f aca="false">MAX(0,(MIN($F17,AO$4)-MAX($E17,AO$3)+1)/AO$5)</f>
        <v>1</v>
      </c>
      <c r="AP17" s="54" t="n">
        <f aca="false">MAX(0,(MIN($F17,AP$4)-MAX($E17,AP$3)+1)/AP$5)</f>
        <v>1</v>
      </c>
      <c r="AQ17" s="54" t="n">
        <f aca="false">MAX(0,(MIN($F17,AQ$4)-MAX($E17,AQ$3)+1)/AQ$5)</f>
        <v>1</v>
      </c>
      <c r="AR17" s="54" t="n">
        <f aca="false">MAX(0,(MIN($F17,AR$4)-MAX($E17,AR$3)+1)/AR$5)</f>
        <v>1</v>
      </c>
      <c r="AS17" s="54" t="n">
        <f aca="false">MAX(0,(MIN($F17,AS$4)-MAX($E17,AS$3)+1)/AS$5)</f>
        <v>1</v>
      </c>
      <c r="AT17" s="54" t="n">
        <f aca="false">MAX(0,(MIN($F17,AT$4)-MAX($E17,AT$3)+1)/AT$5)</f>
        <v>1</v>
      </c>
      <c r="AU17" s="54" t="n">
        <f aca="false">MAX(0,(MIN($F17,AU$4)-MAX($E17,AU$3)+1)/AU$5)</f>
        <v>1</v>
      </c>
      <c r="AV17" s="54" t="n">
        <f aca="false">MAX(0,(MIN($F17,AV$4)-MAX($E17,AV$3)+1)/AV$5)</f>
        <v>1</v>
      </c>
      <c r="AW17" s="54" t="n">
        <f aca="false">MAX(0,(MIN($F17,AW$4)-MAX($E17,AW$3)+1)/AW$5)</f>
        <v>1</v>
      </c>
      <c r="AX17" s="54" t="n">
        <f aca="false">MAX(0,(MIN($F17,AX$4)-MAX($E17,AX$3)+1)/AX$5)</f>
        <v>1</v>
      </c>
      <c r="AY17" s="54" t="n">
        <f aca="false">MAX(0,(MIN($F17,AY$4)-MAX($E17,AY$3)+1)/AY$5)</f>
        <v>1</v>
      </c>
      <c r="AZ17" s="54" t="n">
        <f aca="false">MAX(0,(MIN($F17,AZ$4)-MAX($E17,AZ$3)+1)/AZ$5)</f>
        <v>1</v>
      </c>
      <c r="BA17" s="54" t="n">
        <f aca="false">MAX(0,(MIN($F17,BA$4)-MAX($E17,BA$3)+1)/BA$5)</f>
        <v>1</v>
      </c>
      <c r="BB17" s="54" t="n">
        <f aca="false">MAX(0,(MIN($F17,BB$4)-MAX($E17,BB$3)+1)/BB$5)</f>
        <v>1</v>
      </c>
      <c r="BC17" s="54" t="n">
        <f aca="false">MAX(0,(MIN($F17,BC$4)-MAX($E17,BC$3)+1)/BC$5)</f>
        <v>1</v>
      </c>
      <c r="BD17" s="54" t="n">
        <f aca="false">MAX(0,(MIN($F17,BD$4)-MAX($E17,BD$3)+1)/BD$5)</f>
        <v>1</v>
      </c>
      <c r="BE17" s="54" t="n">
        <f aca="false">MAX(0,(MIN($F17,BE$4)-MAX($E17,BE$3)+1)/BE$5)</f>
        <v>1</v>
      </c>
      <c r="BF17" s="54" t="n">
        <f aca="false">MAX(0,(MIN($F17,BF$4)-MAX($E17,BF$3)+1)/BF$5)</f>
        <v>1</v>
      </c>
      <c r="BG17" s="54" t="n">
        <f aca="false">MAX(0,(MIN($F17,BG$4)-MAX($E17,BG$3)+1)/BG$5)</f>
        <v>1</v>
      </c>
      <c r="BH17" s="54" t="n">
        <f aca="false">MAX(0,(MIN($F17,BH$4)-MAX($E17,BH$3)+1)/BH$5)</f>
        <v>1</v>
      </c>
      <c r="BI17" s="54" t="n">
        <f aca="false">MAX(0,(MIN($F17,BI$4)-MAX($E17,BI$3)+1)/BI$5)</f>
        <v>1</v>
      </c>
      <c r="BJ17" s="54" t="n">
        <f aca="false">MAX(0,(MIN($F17,BJ$4)-MAX($E17,BJ$3)+1)/BJ$5)</f>
        <v>1</v>
      </c>
      <c r="BK17" s="54" t="n">
        <f aca="false">MAX(0,(MIN($F17,BK$4)-MAX($E17,BK$3)+1)/BK$5)</f>
        <v>1</v>
      </c>
      <c r="BL17" s="54" t="n">
        <f aca="false">MAX(0,(MIN($F17,BL$4)-MAX($E17,BL$3)+1)/BL$5)</f>
        <v>1</v>
      </c>
      <c r="BM17" s="54" t="n">
        <f aca="false">MAX(0,(MIN($F17,BM$4)-MAX($E17,BM$3)+1)/BM$5)</f>
        <v>1</v>
      </c>
      <c r="BN17" s="54" t="n">
        <f aca="false">MAX(0,(MIN($F17,BN$4)-MAX($E17,BN$3)+1)/BN$5)</f>
        <v>1</v>
      </c>
      <c r="BO17" s="54" t="n">
        <f aca="false">MAX(0,(MIN($F17,BO$4)-MAX($E17,BO$3)+1)/BO$5)</f>
        <v>1</v>
      </c>
      <c r="BP17" s="54" t="n">
        <f aca="false">MAX(0,(MIN($F17,BP$4)-MAX($E17,BP$3)+1)/BP$5)</f>
        <v>1</v>
      </c>
      <c r="BQ17" s="54" t="n">
        <f aca="false">MAX(0,(MIN($F17,BQ$4)-MAX($E17,BQ$3)+1)/BQ$5)</f>
        <v>1</v>
      </c>
      <c r="BR17" s="54" t="n">
        <f aca="false">MAX(0,(MIN($F17,BR$4)-MAX($E17,BR$3)+1)/BR$5)</f>
        <v>1</v>
      </c>
      <c r="BS17" s="54" t="n">
        <f aca="false">MAX(0,(MIN($F17,BS$4)-MAX($E17,BS$3)+1)/BS$5)</f>
        <v>0</v>
      </c>
      <c r="BT17" s="54" t="n">
        <f aca="false">MAX(0,(MIN($F17,BT$4)-MAX($E17,BT$3)+1)/BT$5)</f>
        <v>0</v>
      </c>
      <c r="BU17" s="54" t="n">
        <f aca="false">MAX(0,(MIN($F17,BU$4)-MAX($E17,BU$3)+1)/BU$5)</f>
        <v>0</v>
      </c>
      <c r="BV17" s="54" t="n">
        <f aca="false">MAX(0,(MIN($F17,BV$4)-MAX($E17,BV$3)+1)/BV$5)</f>
        <v>0</v>
      </c>
      <c r="BW17" s="54" t="n">
        <f aca="false">MAX(0,(MIN($F17,BW$4)-MAX($E17,BW$3)+1)/BW$5)</f>
        <v>0</v>
      </c>
      <c r="BX17" s="54" t="n">
        <f aca="false">MAX(0,(MIN($F17,BX$4)-MAX($E17,BX$3)+1)/BX$5)</f>
        <v>0</v>
      </c>
      <c r="BY17" s="54" t="n">
        <f aca="false">MAX(0,(MIN($F17,BY$4)-MAX($E17,BY$3)+1)/BY$5)</f>
        <v>0</v>
      </c>
      <c r="BZ17" s="54" t="n">
        <f aca="false">MAX(0,(MIN($F17,BZ$4)-MAX($E17,BZ$3)+1)/BZ$5)</f>
        <v>0</v>
      </c>
      <c r="CA17" s="54" t="n">
        <f aca="false">MAX(0,(MIN($F17,CA$4)-MAX($E17,CA$3)+1)/CA$5)</f>
        <v>0</v>
      </c>
      <c r="CB17" s="54" t="n">
        <f aca="false">MAX(0,(MIN($F17,CB$4)-MAX($E17,CB$3)+1)/CB$5)</f>
        <v>0</v>
      </c>
      <c r="CC17" s="54" t="n">
        <f aca="false">MAX(0,(MIN($F17,CC$4)-MAX($E17,CC$3)+1)/CC$5)</f>
        <v>0</v>
      </c>
      <c r="CD17" s="54" t="n">
        <f aca="false">MAX(0,(MIN($F17,CD$4)-MAX($E17,CD$3)+1)/CD$5)</f>
        <v>0</v>
      </c>
      <c r="CE17" s="54" t="n">
        <f aca="false">MAX(0,(MIN($F17,CE$4)-MAX($E17,CE$3)+1)/CE$5)</f>
        <v>0</v>
      </c>
      <c r="CF17" s="54" t="n">
        <f aca="false">MAX(0,(MIN($F17,CF$4)-MAX($E17,CF$3)+1)/CF$5)</f>
        <v>0</v>
      </c>
      <c r="CG17" s="54" t="n">
        <f aca="false">MAX(0,(MIN($F17,CG$4)-MAX($E17,CG$3)+1)/CG$5)</f>
        <v>0</v>
      </c>
      <c r="CH17" s="54" t="n">
        <f aca="false">MAX(0,(MIN($F17,CH$4)-MAX($E17,CH$3)+1)/CH$5)</f>
        <v>0</v>
      </c>
      <c r="CI17" s="54" t="n">
        <f aca="false">MAX(0,(MIN($F17,CI$4)-MAX($E17,CI$3)+1)/CI$5)</f>
        <v>0</v>
      </c>
      <c r="CJ17" s="54" t="n">
        <f aca="false">MAX(0,(MIN($F17,CJ$4)-MAX($E17,CJ$3)+1)/CJ$5)</f>
        <v>0</v>
      </c>
      <c r="CK17" s="54" t="n">
        <f aca="false">MAX(0,(MIN($F17,CK$4)-MAX($E17,CK$3)+1)/CK$5)</f>
        <v>0</v>
      </c>
      <c r="CL17" s="54" t="n">
        <f aca="false">MAX(0,(MIN($F17,CL$4)-MAX($E17,CL$3)+1)/CL$5)</f>
        <v>0</v>
      </c>
      <c r="CM17" s="54" t="n">
        <f aca="false">MAX(0,(MIN($F17,CM$4)-MAX($E17,CM$3)+1)/CM$5)</f>
        <v>0</v>
      </c>
      <c r="CN17" s="54" t="n">
        <f aca="false">MAX(0,(MIN($F17,CN$4)-MAX($E17,CN$3)+1)/CN$5)</f>
        <v>0</v>
      </c>
      <c r="CO17" s="54" t="n">
        <f aca="false">MAX(0,(MIN($F17,CO$4)-MAX($E17,CO$3)+1)/CO$5)</f>
        <v>0</v>
      </c>
      <c r="CP17" s="54" t="n">
        <f aca="false">MAX(0,(MIN($F17,CP$4)-MAX($E17,CP$3)+1)/CP$5)</f>
        <v>0</v>
      </c>
      <c r="CQ17" s="54" t="n">
        <f aca="false">MAX(0,(MIN($F17,CQ$4)-MAX($E17,CQ$3)+1)/CQ$5)</f>
        <v>0</v>
      </c>
      <c r="CR17" s="54" t="n">
        <f aca="false">MAX(0,(MIN($F17,CR$4)-MAX($E17,CR$3)+1)/CR$5)</f>
        <v>0</v>
      </c>
      <c r="CS17" s="54" t="n">
        <f aca="false">MAX(0,(MIN($F17,CS$4)-MAX($E17,CS$3)+1)/CS$5)</f>
        <v>0</v>
      </c>
      <c r="CT17" s="54" t="n">
        <f aca="false">MAX(0,(MIN($F17,CT$4)-MAX($E17,CT$3)+1)/CT$5)</f>
        <v>0</v>
      </c>
      <c r="CU17" s="54" t="n">
        <f aca="false">MAX(0,(MIN($F17,CU$4)-MAX($E17,CU$3)+1)/CU$5)</f>
        <v>0</v>
      </c>
      <c r="CV17" s="54" t="n">
        <f aca="false">MAX(0,(MIN($F17,CV$4)-MAX($E17,CV$3)+1)/CV$5)</f>
        <v>0</v>
      </c>
      <c r="CW17" s="54" t="n">
        <f aca="false">MAX(0,(MIN($F17,CW$4)-MAX($E17,CW$3)+1)/CW$5)</f>
        <v>0</v>
      </c>
      <c r="CX17" s="54" t="n">
        <f aca="false">MAX(0,(MIN($F17,CX$4)-MAX($E17,CX$3)+1)/CX$5)</f>
        <v>0</v>
      </c>
      <c r="CY17" s="54" t="n">
        <f aca="false">MAX(0,(MIN($F17,CY$4)-MAX($E17,CY$3)+1)/CY$5)</f>
        <v>0</v>
      </c>
      <c r="CZ17" s="54" t="n">
        <f aca="false">MAX(0,(MIN($F17,CZ$4)-MAX($E17,CZ$3)+1)/CZ$5)</f>
        <v>0</v>
      </c>
      <c r="DA17" s="54" t="n">
        <f aca="false">MAX(0,(MIN($F17,DA$4)-MAX($E17,DA$3)+1)/DA$5)</f>
        <v>0</v>
      </c>
      <c r="DB17" s="54" t="n">
        <f aca="false">MAX(0,(MIN($F17,DB$4)-MAX($E17,DB$3)+1)/DB$5)</f>
        <v>0</v>
      </c>
      <c r="DC17" s="54" t="n">
        <f aca="false">MAX(0,(MIN($F17,DC$4)-MAX($E17,DC$3)+1)/DC$5)</f>
        <v>0</v>
      </c>
      <c r="DD17" s="54" t="n">
        <f aca="false">MAX(0,(MIN($F17,DD$4)-MAX($E17,DD$3)+1)/DD$5)</f>
        <v>0</v>
      </c>
      <c r="DE17" s="54" t="n">
        <f aca="false">MAX(0,(MIN($F17,DE$4)-MAX($E17,DE$3)+1)/DE$5)</f>
        <v>0</v>
      </c>
      <c r="DF17" s="54" t="n">
        <f aca="false">MAX(0,(MIN($F17,DF$4)-MAX($E17,DF$3)+1)/DF$5)</f>
        <v>0</v>
      </c>
      <c r="DG17" s="54" t="n">
        <f aca="false">MAX(0,(MIN($F17,DG$4)-MAX($E17,DG$3)+1)/DG$5)</f>
        <v>0</v>
      </c>
      <c r="DH17" s="54" t="n">
        <f aca="false">MAX(0,(MIN($F17,DH$4)-MAX($E17,DH$3)+1)/DH$5)</f>
        <v>0</v>
      </c>
      <c r="DI17" s="54" t="n">
        <f aca="false">MAX(0,(MIN($F17,DI$4)-MAX($E17,DI$3)+1)/DI$5)</f>
        <v>0</v>
      </c>
      <c r="DJ17" s="54" t="n">
        <f aca="false">MAX(0,(MIN($F17,DJ$4)-MAX($E17,DJ$3)+1)/DJ$5)</f>
        <v>0</v>
      </c>
      <c r="DK17" s="54" t="n">
        <f aca="false">MAX(0,(MIN($F17,DK$4)-MAX($E17,DK$3)+1)/DK$5)</f>
        <v>0</v>
      </c>
      <c r="DL17" s="54" t="n">
        <f aca="false">MAX(0,(MIN($F17,DL$4)-MAX($E17,DL$3)+1)/DL$5)</f>
        <v>0</v>
      </c>
      <c r="DM17" s="54" t="n">
        <f aca="false">MAX(0,(MIN($F17,DM$4)-MAX($E17,DM$3)+1)/DM$5)</f>
        <v>0</v>
      </c>
      <c r="DN17" s="54" t="n">
        <f aca="false">MAX(0,(MIN($F17,DN$4)-MAX($E17,DN$3)+1)/DN$5)</f>
        <v>0</v>
      </c>
      <c r="DO17" s="54" t="n">
        <f aca="false">MAX(0,(MIN($F17,DO$4)-MAX($E17,DO$3)+1)/DO$5)</f>
        <v>0</v>
      </c>
      <c r="DP17" s="54" t="n">
        <f aca="false">MAX(0,(MIN($F17,DP$4)-MAX($E17,DP$3)+1)/DP$5)</f>
        <v>0</v>
      </c>
      <c r="DQ17" s="54" t="n">
        <f aca="false">MAX(0,(MIN($F17,DQ$4)-MAX($E17,DQ$3)+1)/DQ$5)</f>
        <v>0</v>
      </c>
      <c r="DR17" s="54" t="n">
        <f aca="false">MAX(0,(MIN($F17,DR$4)-MAX($E17,DR$3)+1)/DR$5)</f>
        <v>0</v>
      </c>
      <c r="DS17" s="54" t="n">
        <f aca="false">MAX(0,(MIN($F17,DS$4)-MAX($E17,DS$3)+1)/DS$5)</f>
        <v>0</v>
      </c>
      <c r="DT17" s="54" t="n">
        <f aca="false">MAX(0,(MIN($F17,DT$4)-MAX($E17,DT$3)+1)/DT$5)</f>
        <v>0</v>
      </c>
      <c r="DU17" s="54" t="n">
        <f aca="false">MAX(0,(MIN($F17,DU$4)-MAX($E17,DU$3)+1)/DU$5)</f>
        <v>0</v>
      </c>
      <c r="DV17" s="54" t="n">
        <f aca="false">MAX(0,(MIN($F17,DV$4)-MAX($E17,DV$3)+1)/DV$5)</f>
        <v>0</v>
      </c>
      <c r="DW17" s="54" t="n">
        <f aca="false">MAX(0,(MIN($F17,DW$4)-MAX($E17,DW$3)+1)/DW$5)</f>
        <v>0</v>
      </c>
      <c r="DX17" s="54" t="n">
        <f aca="false">MAX(0,(MIN($F17,DX$4)-MAX($E17,DX$3)+1)/DX$5)</f>
        <v>0</v>
      </c>
      <c r="DY17" s="54" t="n">
        <f aca="false">MAX(0,(MIN($F17,DY$4)-MAX($E17,DY$3)+1)/DY$5)</f>
        <v>0</v>
      </c>
      <c r="DZ17" s="54" t="n">
        <f aca="false">MAX(0,(MIN($F17,DZ$4)-MAX($E17,DZ$3)+1)/DZ$5)</f>
        <v>0</v>
      </c>
      <c r="EA17" s="54" t="n">
        <f aca="false">MAX(0,(MIN($F17,EA$4)-MAX($E17,EA$3)+1)/EA$5)</f>
        <v>0</v>
      </c>
      <c r="EB17" s="54" t="n">
        <f aca="false">MAX(0,(MIN($F17,EB$4)-MAX($E17,EB$3)+1)/EB$5)</f>
        <v>0</v>
      </c>
      <c r="EC17" s="54" t="n">
        <f aca="false">MAX(0,(MIN($F17,EC$4)-MAX($E17,EC$3)+1)/EC$5)</f>
        <v>0</v>
      </c>
      <c r="ED17" s="54" t="n">
        <f aca="false">MAX(0,(MIN($F17,ED$4)-MAX($E17,ED$3)+1)/ED$5)</f>
        <v>0</v>
      </c>
      <c r="EE17" s="54" t="n">
        <f aca="false">MAX(0,(MIN($F17,EE$4)-MAX($E17,EE$3)+1)/EE$5)</f>
        <v>0</v>
      </c>
      <c r="EF17" s="54" t="n">
        <f aca="false">MAX(0,(MIN($F17,EF$4)-MAX($E17,EF$3)+1)/EF$5)</f>
        <v>0</v>
      </c>
      <c r="EG17" s="54" t="n">
        <f aca="false">MAX(0,(MIN($F17,EG$4)-MAX($E17,EG$3)+1)/EG$5)</f>
        <v>0</v>
      </c>
      <c r="EH17" s="54" t="n">
        <f aca="false">MAX(0,(MIN($F17,EH$4)-MAX($E17,EH$3)+1)/EH$5)</f>
        <v>0</v>
      </c>
      <c r="EI17" s="54" t="n">
        <f aca="false">MAX(0,(MIN($F17,EI$4)-MAX($E17,EI$3)+1)/EI$5)</f>
        <v>0</v>
      </c>
      <c r="EJ17" s="54" t="n">
        <f aca="false">MAX(0,(MIN($F17,EJ$4)-MAX($E17,EJ$3)+1)/EJ$5)</f>
        <v>0</v>
      </c>
      <c r="EK17" s="54" t="n">
        <f aca="false">MAX(0,(MIN($F17,EK$4)-MAX($E17,EK$3)+1)/EK$5)</f>
        <v>0</v>
      </c>
      <c r="EL17" s="54" t="n">
        <f aca="false">MAX(0,(MIN($F17,EL$4)-MAX($E17,EL$3)+1)/EL$5)</f>
        <v>0</v>
      </c>
      <c r="EM17" s="54" t="n">
        <f aca="false">MAX(0,(MIN($F17,EM$4)-MAX($E17,EM$3)+1)/EM$5)</f>
        <v>0</v>
      </c>
      <c r="EN17" s="54" t="n">
        <f aca="false">MAX(0,(MIN($F17,EN$4)-MAX($E17,EN$3)+1)/EN$5)</f>
        <v>0</v>
      </c>
      <c r="EO17" s="54" t="n">
        <f aca="false">MAX(0,(MIN($F17,EO$4)-MAX($E17,EO$3)+1)/EO$5)</f>
        <v>0</v>
      </c>
      <c r="EP17" s="54" t="n">
        <f aca="false">MAX(0,(MIN($F17,EP$4)-MAX($E17,EP$3)+1)/EP$5)</f>
        <v>0</v>
      </c>
      <c r="EQ17" s="54" t="n">
        <f aca="false">MAX(0,(MIN($F17,EQ$4)-MAX($E17,EQ$3)+1)/EQ$5)</f>
        <v>0</v>
      </c>
      <c r="ER17" s="54" t="n">
        <f aca="false">MAX(0,(MIN($F17,ER$4)-MAX($E17,ER$3)+1)/ER$5)</f>
        <v>0</v>
      </c>
      <c r="ES17" s="54" t="n">
        <f aca="false">MAX(0,(MIN($F17,ES$4)-MAX($E17,ES$3)+1)/ES$5)</f>
        <v>0</v>
      </c>
      <c r="ET17" s="54" t="n">
        <f aca="false">MAX(0,(MIN($F17,ET$4)-MAX($E17,ET$3)+1)/ET$5)</f>
        <v>0</v>
      </c>
    </row>
    <row r="18" customFormat="false" ht="15" hidden="false" customHeight="false" outlineLevel="0" collapsed="false">
      <c r="C18" s="1" t="s">
        <v>450</v>
      </c>
      <c r="D18" s="12" t="s">
        <v>442</v>
      </c>
      <c r="E18" s="44" t="n">
        <f aca="false">In_COD+1</f>
        <v>48122</v>
      </c>
      <c r="F18" s="44" t="n">
        <f aca="false">EDATE(In_COD,In_Dep_Years*Months_In_Year)</f>
        <v>55426</v>
      </c>
      <c r="I18" s="54" t="n">
        <f aca="false">SUM(J18:ET18)</f>
        <v>1</v>
      </c>
      <c r="J18" s="54" t="n">
        <f aca="false">MAX(0,MIN($F18,J$4)-MAX($E18,J$3)+1)/($F18-$E18+1)</f>
        <v>0</v>
      </c>
      <c r="K18" s="54" t="n">
        <f aca="false">MAX(0,MIN($F18,K$4)-MAX($E18,K$3)+1)/($F18-$E18+1)</f>
        <v>0</v>
      </c>
      <c r="L18" s="54" t="n">
        <f aca="false">MAX(0,MIN($F18,L$4)-MAX($E18,L$3)+1)/($F18-$E18+1)</f>
        <v>0</v>
      </c>
      <c r="M18" s="54" t="n">
        <f aca="false">MAX(0,MIN($F18,M$4)-MAX($E18,M$3)+1)/($F18-$E18+1)</f>
        <v>0</v>
      </c>
      <c r="N18" s="54" t="n">
        <f aca="false">MAX(0,MIN($F18,N$4)-MAX($E18,N$3)+1)/($F18-$E18+1)</f>
        <v>0</v>
      </c>
      <c r="O18" s="54" t="n">
        <f aca="false">MAX(0,MIN($F18,O$4)-MAX($E18,O$3)+1)/($F18-$E18+1)</f>
        <v>0</v>
      </c>
      <c r="P18" s="54" t="n">
        <f aca="false">MAX(0,MIN($F18,P$4)-MAX($E18,P$3)+1)/($F18-$E18+1)</f>
        <v>0</v>
      </c>
      <c r="Q18" s="54" t="n">
        <f aca="false">MAX(0,MIN($F18,Q$4)-MAX($E18,Q$3)+1)/($F18-$E18+1)</f>
        <v>0</v>
      </c>
      <c r="R18" s="54" t="n">
        <f aca="false">MAX(0,MIN($F18,R$4)-MAX($E18,R$3)+1)/($F18-$E18+1)</f>
        <v>0</v>
      </c>
      <c r="S18" s="54" t="n">
        <f aca="false">MAX(0,MIN($F18,S$4)-MAX($E18,S$3)+1)/($F18-$E18+1)</f>
        <v>0</v>
      </c>
      <c r="T18" s="54" t="n">
        <f aca="false">MAX(0,MIN($F18,T$4)-MAX($E18,T$3)+1)/($F18-$E18+1)</f>
        <v>0</v>
      </c>
      <c r="U18" s="54" t="n">
        <f aca="false">MAX(0,MIN($F18,U$4)-MAX($E18,U$3)+1)/($F18-$E18+1)</f>
        <v>0</v>
      </c>
      <c r="V18" s="54" t="n">
        <f aca="false">MAX(0,MIN($F18,V$4)-MAX($E18,V$3)+1)/($F18-$E18+1)</f>
        <v>0</v>
      </c>
      <c r="W18" s="54" t="n">
        <f aca="false">MAX(0,MIN($F18,W$4)-MAX($E18,W$3)+1)/($F18-$E18+1)</f>
        <v>0</v>
      </c>
      <c r="X18" s="54" t="n">
        <f aca="false">MAX(0,MIN($F18,X$4)-MAX($E18,X$3)+1)/($F18-$E18+1)</f>
        <v>0</v>
      </c>
      <c r="Y18" s="54" t="n">
        <f aca="false">MAX(0,MIN($F18,Y$4)-MAX($E18,Y$3)+1)/($F18-$E18+1)</f>
        <v>0</v>
      </c>
      <c r="Z18" s="54" t="n">
        <f aca="false">MAX(0,MIN($F18,Z$4)-MAX($E18,Z$3)+1)/($F18-$E18+1)</f>
        <v>0</v>
      </c>
      <c r="AA18" s="54" t="n">
        <f aca="false">MAX(0,MIN($F18,AA$4)-MAX($E18,AA$3)+1)/($F18-$E18+1)</f>
        <v>0</v>
      </c>
      <c r="AB18" s="54" t="n">
        <f aca="false">MAX(0,MIN($F18,AB$4)-MAX($E18,AB$3)+1)/($F18-$E18+1)</f>
        <v>0</v>
      </c>
      <c r="AC18" s="54" t="n">
        <f aca="false">MAX(0,MIN($F18,AC$4)-MAX($E18,AC$3)+1)/($F18-$E18+1)</f>
        <v>0</v>
      </c>
      <c r="AD18" s="54" t="n">
        <f aca="false">MAX(0,MIN($F18,AD$4)-MAX($E18,AD$3)+1)/($F18-$E18+1)</f>
        <v>0</v>
      </c>
      <c r="AE18" s="54" t="n">
        <f aca="false">MAX(0,MIN($F18,AE$4)-MAX($E18,AE$3)+1)/($F18-$E18+1)</f>
        <v>0.0125941136208077</v>
      </c>
      <c r="AF18" s="54" t="n">
        <f aca="false">MAX(0,MIN($F18,AF$4)-MAX($E18,AF$3)+1)/($F18-$E18+1)</f>
        <v>0.0124572210814511</v>
      </c>
      <c r="AG18" s="54" t="n">
        <f aca="false">MAX(0,MIN($F18,AG$4)-MAX($E18,AG$3)+1)/($F18-$E18+1)</f>
        <v>0.0124572210814511</v>
      </c>
      <c r="AH18" s="54" t="n">
        <f aca="false">MAX(0,MIN($F18,AH$4)-MAX($E18,AH$3)+1)/($F18-$E18+1)</f>
        <v>0.0125941136208077</v>
      </c>
      <c r="AI18" s="54" t="n">
        <f aca="false">MAX(0,MIN($F18,AI$4)-MAX($E18,AI$3)+1)/($F18-$E18+1)</f>
        <v>0.0125941136208077</v>
      </c>
      <c r="AJ18" s="54" t="n">
        <f aca="false">MAX(0,MIN($F18,AJ$4)-MAX($E18,AJ$3)+1)/($F18-$E18+1)</f>
        <v>0.0123203285420945</v>
      </c>
      <c r="AK18" s="54" t="n">
        <f aca="false">MAX(0,MIN($F18,AK$4)-MAX($E18,AK$3)+1)/($F18-$E18+1)</f>
        <v>0.0124572210814511</v>
      </c>
      <c r="AL18" s="54" t="n">
        <f aca="false">MAX(0,MIN($F18,AL$4)-MAX($E18,AL$3)+1)/($F18-$E18+1)</f>
        <v>0.0125941136208077</v>
      </c>
      <c r="AM18" s="54" t="n">
        <f aca="false">MAX(0,MIN($F18,AM$4)-MAX($E18,AM$3)+1)/($F18-$E18+1)</f>
        <v>0.0125941136208077</v>
      </c>
      <c r="AN18" s="54" t="n">
        <f aca="false">MAX(0,MIN($F18,AN$4)-MAX($E18,AN$3)+1)/($F18-$E18+1)</f>
        <v>0.0123203285420945</v>
      </c>
      <c r="AO18" s="54" t="n">
        <f aca="false">MAX(0,MIN($F18,AO$4)-MAX($E18,AO$3)+1)/($F18-$E18+1)</f>
        <v>0.0124572210814511</v>
      </c>
      <c r="AP18" s="54" t="n">
        <f aca="false">MAX(0,MIN($F18,AP$4)-MAX($E18,AP$3)+1)/($F18-$E18+1)</f>
        <v>0.0125941136208077</v>
      </c>
      <c r="AQ18" s="54" t="n">
        <f aca="false">MAX(0,MIN($F18,AQ$4)-MAX($E18,AQ$3)+1)/($F18-$E18+1)</f>
        <v>0.0125941136208077</v>
      </c>
      <c r="AR18" s="54" t="n">
        <f aca="false">MAX(0,MIN($F18,AR$4)-MAX($E18,AR$3)+1)/($F18-$E18+1)</f>
        <v>0.0123203285420945</v>
      </c>
      <c r="AS18" s="54" t="n">
        <f aca="false">MAX(0,MIN($F18,AS$4)-MAX($E18,AS$3)+1)/($F18-$E18+1)</f>
        <v>0.0124572210814511</v>
      </c>
      <c r="AT18" s="54" t="n">
        <f aca="false">MAX(0,MIN($F18,AT$4)-MAX($E18,AT$3)+1)/($F18-$E18+1)</f>
        <v>0.0125941136208077</v>
      </c>
      <c r="AU18" s="54" t="n">
        <f aca="false">MAX(0,MIN($F18,AU$4)-MAX($E18,AU$3)+1)/($F18-$E18+1)</f>
        <v>0.0125941136208077</v>
      </c>
      <c r="AV18" s="54" t="n">
        <f aca="false">MAX(0,MIN($F18,AV$4)-MAX($E18,AV$3)+1)/($F18-$E18+1)</f>
        <v>0.0124572210814511</v>
      </c>
      <c r="AW18" s="54" t="n">
        <f aca="false">MAX(0,MIN($F18,AW$4)-MAX($E18,AW$3)+1)/($F18-$E18+1)</f>
        <v>0.0124572210814511</v>
      </c>
      <c r="AX18" s="54" t="n">
        <f aca="false">MAX(0,MIN($F18,AX$4)-MAX($E18,AX$3)+1)/($F18-$E18+1)</f>
        <v>0.0125941136208077</v>
      </c>
      <c r="AY18" s="54" t="n">
        <f aca="false">MAX(0,MIN($F18,AY$4)-MAX($E18,AY$3)+1)/($F18-$E18+1)</f>
        <v>0.0125941136208077</v>
      </c>
      <c r="AZ18" s="54" t="n">
        <f aca="false">MAX(0,MIN($F18,AZ$4)-MAX($E18,AZ$3)+1)/($F18-$E18+1)</f>
        <v>0.0123203285420945</v>
      </c>
      <c r="BA18" s="54" t="n">
        <f aca="false">MAX(0,MIN($F18,BA$4)-MAX($E18,BA$3)+1)/($F18-$E18+1)</f>
        <v>0.0124572210814511</v>
      </c>
      <c r="BB18" s="54" t="n">
        <f aca="false">MAX(0,MIN($F18,BB$4)-MAX($E18,BB$3)+1)/($F18-$E18+1)</f>
        <v>0.0125941136208077</v>
      </c>
      <c r="BC18" s="54" t="n">
        <f aca="false">MAX(0,MIN($F18,BC$4)-MAX($E18,BC$3)+1)/($F18-$E18+1)</f>
        <v>0.0125941136208077</v>
      </c>
      <c r="BD18" s="54" t="n">
        <f aca="false">MAX(0,MIN($F18,BD$4)-MAX($E18,BD$3)+1)/($F18-$E18+1)</f>
        <v>0.0123203285420945</v>
      </c>
      <c r="BE18" s="54" t="n">
        <f aca="false">MAX(0,MIN($F18,BE$4)-MAX($E18,BE$3)+1)/($F18-$E18+1)</f>
        <v>0.0124572210814511</v>
      </c>
      <c r="BF18" s="54" t="n">
        <f aca="false">MAX(0,MIN($F18,BF$4)-MAX($E18,BF$3)+1)/($F18-$E18+1)</f>
        <v>0.0125941136208077</v>
      </c>
      <c r="BG18" s="54" t="n">
        <f aca="false">MAX(0,MIN($F18,BG$4)-MAX($E18,BG$3)+1)/($F18-$E18+1)</f>
        <v>0.0125941136208077</v>
      </c>
      <c r="BH18" s="54" t="n">
        <f aca="false">MAX(0,MIN($F18,BH$4)-MAX($E18,BH$3)+1)/($F18-$E18+1)</f>
        <v>0.0123203285420945</v>
      </c>
      <c r="BI18" s="54" t="n">
        <f aca="false">MAX(0,MIN($F18,BI$4)-MAX($E18,BI$3)+1)/($F18-$E18+1)</f>
        <v>0.0124572210814511</v>
      </c>
      <c r="BJ18" s="54" t="n">
        <f aca="false">MAX(0,MIN($F18,BJ$4)-MAX($E18,BJ$3)+1)/($F18-$E18+1)</f>
        <v>0.0125941136208077</v>
      </c>
      <c r="BK18" s="54" t="n">
        <f aca="false">MAX(0,MIN($F18,BK$4)-MAX($E18,BK$3)+1)/($F18-$E18+1)</f>
        <v>0.0125941136208077</v>
      </c>
      <c r="BL18" s="54" t="n">
        <f aca="false">MAX(0,MIN($F18,BL$4)-MAX($E18,BL$3)+1)/($F18-$E18+1)</f>
        <v>0.0124572210814511</v>
      </c>
      <c r="BM18" s="54" t="n">
        <f aca="false">MAX(0,MIN($F18,BM$4)-MAX($E18,BM$3)+1)/($F18-$E18+1)</f>
        <v>0.0124572210814511</v>
      </c>
      <c r="BN18" s="54" t="n">
        <f aca="false">MAX(0,MIN($F18,BN$4)-MAX($E18,BN$3)+1)/($F18-$E18+1)</f>
        <v>0.0125941136208077</v>
      </c>
      <c r="BO18" s="54" t="n">
        <f aca="false">MAX(0,MIN($F18,BO$4)-MAX($E18,BO$3)+1)/($F18-$E18+1)</f>
        <v>0.0125941136208077</v>
      </c>
      <c r="BP18" s="54" t="n">
        <f aca="false">MAX(0,MIN($F18,BP$4)-MAX($E18,BP$3)+1)/($F18-$E18+1)</f>
        <v>0.0123203285420945</v>
      </c>
      <c r="BQ18" s="54" t="n">
        <f aca="false">MAX(0,MIN($F18,BQ$4)-MAX($E18,BQ$3)+1)/($F18-$E18+1)</f>
        <v>0.0124572210814511</v>
      </c>
      <c r="BR18" s="54" t="n">
        <f aca="false">MAX(0,MIN($F18,BR$4)-MAX($E18,BR$3)+1)/($F18-$E18+1)</f>
        <v>0.0125941136208077</v>
      </c>
      <c r="BS18" s="54" t="n">
        <f aca="false">MAX(0,MIN($F18,BS$4)-MAX($E18,BS$3)+1)/($F18-$E18+1)</f>
        <v>0.0125941136208077</v>
      </c>
      <c r="BT18" s="54" t="n">
        <f aca="false">MAX(0,MIN($F18,BT$4)-MAX($E18,BT$3)+1)/($F18-$E18+1)</f>
        <v>0.0123203285420945</v>
      </c>
      <c r="BU18" s="54" t="n">
        <f aca="false">MAX(0,MIN($F18,BU$4)-MAX($E18,BU$3)+1)/($F18-$E18+1)</f>
        <v>0.0124572210814511</v>
      </c>
      <c r="BV18" s="54" t="n">
        <f aca="false">MAX(0,MIN($F18,BV$4)-MAX($E18,BV$3)+1)/($F18-$E18+1)</f>
        <v>0.0125941136208077</v>
      </c>
      <c r="BW18" s="54" t="n">
        <f aca="false">MAX(0,MIN($F18,BW$4)-MAX($E18,BW$3)+1)/($F18-$E18+1)</f>
        <v>0.0125941136208077</v>
      </c>
      <c r="BX18" s="54" t="n">
        <f aca="false">MAX(0,MIN($F18,BX$4)-MAX($E18,BX$3)+1)/($F18-$E18+1)</f>
        <v>0.0123203285420945</v>
      </c>
      <c r="BY18" s="54" t="n">
        <f aca="false">MAX(0,MIN($F18,BY$4)-MAX($E18,BY$3)+1)/($F18-$E18+1)</f>
        <v>0.0124572210814511</v>
      </c>
      <c r="BZ18" s="54" t="n">
        <f aca="false">MAX(0,MIN($F18,BZ$4)-MAX($E18,BZ$3)+1)/($F18-$E18+1)</f>
        <v>0.0125941136208077</v>
      </c>
      <c r="CA18" s="54" t="n">
        <f aca="false">MAX(0,MIN($F18,CA$4)-MAX($E18,CA$3)+1)/($F18-$E18+1)</f>
        <v>0.0125941136208077</v>
      </c>
      <c r="CB18" s="54" t="n">
        <f aca="false">MAX(0,MIN($F18,CB$4)-MAX($E18,CB$3)+1)/($F18-$E18+1)</f>
        <v>0.0124572210814511</v>
      </c>
      <c r="CC18" s="54" t="n">
        <f aca="false">MAX(0,MIN($F18,CC$4)-MAX($E18,CC$3)+1)/($F18-$E18+1)</f>
        <v>0.0124572210814511</v>
      </c>
      <c r="CD18" s="54" t="n">
        <f aca="false">MAX(0,MIN($F18,CD$4)-MAX($E18,CD$3)+1)/($F18-$E18+1)</f>
        <v>0.0125941136208077</v>
      </c>
      <c r="CE18" s="54" t="n">
        <f aca="false">MAX(0,MIN($F18,CE$4)-MAX($E18,CE$3)+1)/($F18-$E18+1)</f>
        <v>0.0125941136208077</v>
      </c>
      <c r="CF18" s="54" t="n">
        <f aca="false">MAX(0,MIN($F18,CF$4)-MAX($E18,CF$3)+1)/($F18-$E18+1)</f>
        <v>0.0123203285420945</v>
      </c>
      <c r="CG18" s="54" t="n">
        <f aca="false">MAX(0,MIN($F18,CG$4)-MAX($E18,CG$3)+1)/($F18-$E18+1)</f>
        <v>0.0124572210814511</v>
      </c>
      <c r="CH18" s="54" t="n">
        <f aca="false">MAX(0,MIN($F18,CH$4)-MAX($E18,CH$3)+1)/($F18-$E18+1)</f>
        <v>0.0125941136208077</v>
      </c>
      <c r="CI18" s="54" t="n">
        <f aca="false">MAX(0,MIN($F18,CI$4)-MAX($E18,CI$3)+1)/($F18-$E18+1)</f>
        <v>0.0125941136208077</v>
      </c>
      <c r="CJ18" s="54" t="n">
        <f aca="false">MAX(0,MIN($F18,CJ$4)-MAX($E18,CJ$3)+1)/($F18-$E18+1)</f>
        <v>0.0123203285420945</v>
      </c>
      <c r="CK18" s="54" t="n">
        <f aca="false">MAX(0,MIN($F18,CK$4)-MAX($E18,CK$3)+1)/($F18-$E18+1)</f>
        <v>0.0124572210814511</v>
      </c>
      <c r="CL18" s="54" t="n">
        <f aca="false">MAX(0,MIN($F18,CL$4)-MAX($E18,CL$3)+1)/($F18-$E18+1)</f>
        <v>0.0125941136208077</v>
      </c>
      <c r="CM18" s="54" t="n">
        <f aca="false">MAX(0,MIN($F18,CM$4)-MAX($E18,CM$3)+1)/($F18-$E18+1)</f>
        <v>0.0125941136208077</v>
      </c>
      <c r="CN18" s="54" t="n">
        <f aca="false">MAX(0,MIN($F18,CN$4)-MAX($E18,CN$3)+1)/($F18-$E18+1)</f>
        <v>0.0123203285420945</v>
      </c>
      <c r="CO18" s="54" t="n">
        <f aca="false">MAX(0,MIN($F18,CO$4)-MAX($E18,CO$3)+1)/($F18-$E18+1)</f>
        <v>0.0124572210814511</v>
      </c>
      <c r="CP18" s="54" t="n">
        <f aca="false">MAX(0,MIN($F18,CP$4)-MAX($E18,CP$3)+1)/($F18-$E18+1)</f>
        <v>0.0125941136208077</v>
      </c>
      <c r="CQ18" s="54" t="n">
        <f aca="false">MAX(0,MIN($F18,CQ$4)-MAX($E18,CQ$3)+1)/($F18-$E18+1)</f>
        <v>0.0125941136208077</v>
      </c>
      <c r="CR18" s="54" t="n">
        <f aca="false">MAX(0,MIN($F18,CR$4)-MAX($E18,CR$3)+1)/($F18-$E18+1)</f>
        <v>0.0124572210814511</v>
      </c>
      <c r="CS18" s="54" t="n">
        <f aca="false">MAX(0,MIN($F18,CS$4)-MAX($E18,CS$3)+1)/($F18-$E18+1)</f>
        <v>0.0124572210814511</v>
      </c>
      <c r="CT18" s="54" t="n">
        <f aca="false">MAX(0,MIN($F18,CT$4)-MAX($E18,CT$3)+1)/($F18-$E18+1)</f>
        <v>0.0125941136208077</v>
      </c>
      <c r="CU18" s="54" t="n">
        <f aca="false">MAX(0,MIN($F18,CU$4)-MAX($E18,CU$3)+1)/($F18-$E18+1)</f>
        <v>0.0125941136208077</v>
      </c>
      <c r="CV18" s="54" t="n">
        <f aca="false">MAX(0,MIN($F18,CV$4)-MAX($E18,CV$3)+1)/($F18-$E18+1)</f>
        <v>0.0123203285420945</v>
      </c>
      <c r="CW18" s="54" t="n">
        <f aca="false">MAX(0,MIN($F18,CW$4)-MAX($E18,CW$3)+1)/($F18-$E18+1)</f>
        <v>0.0124572210814511</v>
      </c>
      <c r="CX18" s="54" t="n">
        <f aca="false">MAX(0,MIN($F18,CX$4)-MAX($E18,CX$3)+1)/($F18-$E18+1)</f>
        <v>0.0125941136208077</v>
      </c>
      <c r="CY18" s="54" t="n">
        <f aca="false">MAX(0,MIN($F18,CY$4)-MAX($E18,CY$3)+1)/($F18-$E18+1)</f>
        <v>0.0125941136208077</v>
      </c>
      <c r="CZ18" s="54" t="n">
        <f aca="false">MAX(0,MIN($F18,CZ$4)-MAX($E18,CZ$3)+1)/($F18-$E18+1)</f>
        <v>0.0123203285420945</v>
      </c>
      <c r="DA18" s="54" t="n">
        <f aca="false">MAX(0,MIN($F18,DA$4)-MAX($E18,DA$3)+1)/($F18-$E18+1)</f>
        <v>0.0124572210814511</v>
      </c>
      <c r="DB18" s="54" t="n">
        <f aca="false">MAX(0,MIN($F18,DB$4)-MAX($E18,DB$3)+1)/($F18-$E18+1)</f>
        <v>0.0125941136208077</v>
      </c>
      <c r="DC18" s="54" t="n">
        <f aca="false">MAX(0,MIN($F18,DC$4)-MAX($E18,DC$3)+1)/($F18-$E18+1)</f>
        <v>0.0125941136208077</v>
      </c>
      <c r="DD18" s="54" t="n">
        <f aca="false">MAX(0,MIN($F18,DD$4)-MAX($E18,DD$3)+1)/($F18-$E18+1)</f>
        <v>0.0123203285420945</v>
      </c>
      <c r="DE18" s="54" t="n">
        <f aca="false">MAX(0,MIN($F18,DE$4)-MAX($E18,DE$3)+1)/($F18-$E18+1)</f>
        <v>0.0124572210814511</v>
      </c>
      <c r="DF18" s="54" t="n">
        <f aca="false">MAX(0,MIN($F18,DF$4)-MAX($E18,DF$3)+1)/($F18-$E18+1)</f>
        <v>0.0125941136208077</v>
      </c>
      <c r="DG18" s="54" t="n">
        <f aca="false">MAX(0,MIN($F18,DG$4)-MAX($E18,DG$3)+1)/($F18-$E18+1)</f>
        <v>0</v>
      </c>
      <c r="DH18" s="54" t="n">
        <f aca="false">MAX(0,MIN($F18,DH$4)-MAX($E18,DH$3)+1)/($F18-$E18+1)</f>
        <v>0</v>
      </c>
      <c r="DI18" s="54" t="n">
        <f aca="false">MAX(0,MIN($F18,DI$4)-MAX($E18,DI$3)+1)/($F18-$E18+1)</f>
        <v>0</v>
      </c>
      <c r="DJ18" s="54" t="n">
        <f aca="false">MAX(0,MIN($F18,DJ$4)-MAX($E18,DJ$3)+1)/($F18-$E18+1)</f>
        <v>0</v>
      </c>
      <c r="DK18" s="54" t="n">
        <f aca="false">MAX(0,MIN($F18,DK$4)-MAX($E18,DK$3)+1)/($F18-$E18+1)</f>
        <v>0</v>
      </c>
      <c r="DL18" s="54" t="n">
        <f aca="false">MAX(0,MIN($F18,DL$4)-MAX($E18,DL$3)+1)/($F18-$E18+1)</f>
        <v>0</v>
      </c>
      <c r="DM18" s="54" t="n">
        <f aca="false">MAX(0,MIN($F18,DM$4)-MAX($E18,DM$3)+1)/($F18-$E18+1)</f>
        <v>0</v>
      </c>
      <c r="DN18" s="54" t="n">
        <f aca="false">MAX(0,MIN($F18,DN$4)-MAX($E18,DN$3)+1)/($F18-$E18+1)</f>
        <v>0</v>
      </c>
      <c r="DO18" s="54" t="n">
        <f aca="false">MAX(0,MIN($F18,DO$4)-MAX($E18,DO$3)+1)/($F18-$E18+1)</f>
        <v>0</v>
      </c>
      <c r="DP18" s="54" t="n">
        <f aca="false">MAX(0,MIN($F18,DP$4)-MAX($E18,DP$3)+1)/($F18-$E18+1)</f>
        <v>0</v>
      </c>
      <c r="DQ18" s="54" t="n">
        <f aca="false">MAX(0,MIN($F18,DQ$4)-MAX($E18,DQ$3)+1)/($F18-$E18+1)</f>
        <v>0</v>
      </c>
      <c r="DR18" s="54" t="n">
        <f aca="false">MAX(0,MIN($F18,DR$4)-MAX($E18,DR$3)+1)/($F18-$E18+1)</f>
        <v>0</v>
      </c>
      <c r="DS18" s="54" t="n">
        <f aca="false">MAX(0,MIN($F18,DS$4)-MAX($E18,DS$3)+1)/($F18-$E18+1)</f>
        <v>0</v>
      </c>
      <c r="DT18" s="54" t="n">
        <f aca="false">MAX(0,MIN($F18,DT$4)-MAX($E18,DT$3)+1)/($F18-$E18+1)</f>
        <v>0</v>
      </c>
      <c r="DU18" s="54" t="n">
        <f aca="false">MAX(0,MIN($F18,DU$4)-MAX($E18,DU$3)+1)/($F18-$E18+1)</f>
        <v>0</v>
      </c>
      <c r="DV18" s="54" t="n">
        <f aca="false">MAX(0,MIN($F18,DV$4)-MAX($E18,DV$3)+1)/($F18-$E18+1)</f>
        <v>0</v>
      </c>
      <c r="DW18" s="54" t="n">
        <f aca="false">MAX(0,MIN($F18,DW$4)-MAX($E18,DW$3)+1)/($F18-$E18+1)</f>
        <v>0</v>
      </c>
      <c r="DX18" s="54" t="n">
        <f aca="false">MAX(0,MIN($F18,DX$4)-MAX($E18,DX$3)+1)/($F18-$E18+1)</f>
        <v>0</v>
      </c>
      <c r="DY18" s="54" t="n">
        <f aca="false">MAX(0,MIN($F18,DY$4)-MAX($E18,DY$3)+1)/($F18-$E18+1)</f>
        <v>0</v>
      </c>
      <c r="DZ18" s="54" t="n">
        <f aca="false">MAX(0,MIN($F18,DZ$4)-MAX($E18,DZ$3)+1)/($F18-$E18+1)</f>
        <v>0</v>
      </c>
      <c r="EA18" s="54" t="n">
        <f aca="false">MAX(0,MIN($F18,EA$4)-MAX($E18,EA$3)+1)/($F18-$E18+1)</f>
        <v>0</v>
      </c>
      <c r="EB18" s="54" t="n">
        <f aca="false">MAX(0,MIN($F18,EB$4)-MAX($E18,EB$3)+1)/($F18-$E18+1)</f>
        <v>0</v>
      </c>
      <c r="EC18" s="54" t="n">
        <f aca="false">MAX(0,MIN($F18,EC$4)-MAX($E18,EC$3)+1)/($F18-$E18+1)</f>
        <v>0</v>
      </c>
      <c r="ED18" s="54" t="n">
        <f aca="false">MAX(0,MIN($F18,ED$4)-MAX($E18,ED$3)+1)/($F18-$E18+1)</f>
        <v>0</v>
      </c>
      <c r="EE18" s="54" t="n">
        <f aca="false">MAX(0,MIN($F18,EE$4)-MAX($E18,EE$3)+1)/($F18-$E18+1)</f>
        <v>0</v>
      </c>
      <c r="EF18" s="54" t="n">
        <f aca="false">MAX(0,MIN($F18,EF$4)-MAX($E18,EF$3)+1)/($F18-$E18+1)</f>
        <v>0</v>
      </c>
      <c r="EG18" s="54" t="n">
        <f aca="false">MAX(0,MIN($F18,EG$4)-MAX($E18,EG$3)+1)/($F18-$E18+1)</f>
        <v>0</v>
      </c>
      <c r="EH18" s="54" t="n">
        <f aca="false">MAX(0,MIN($F18,EH$4)-MAX($E18,EH$3)+1)/($F18-$E18+1)</f>
        <v>0</v>
      </c>
      <c r="EI18" s="54" t="n">
        <f aca="false">MAX(0,MIN($F18,EI$4)-MAX($E18,EI$3)+1)/($F18-$E18+1)</f>
        <v>0</v>
      </c>
      <c r="EJ18" s="54" t="n">
        <f aca="false">MAX(0,MIN($F18,EJ$4)-MAX($E18,EJ$3)+1)/($F18-$E18+1)</f>
        <v>0</v>
      </c>
      <c r="EK18" s="54" t="n">
        <f aca="false">MAX(0,MIN($F18,EK$4)-MAX($E18,EK$3)+1)/($F18-$E18+1)</f>
        <v>0</v>
      </c>
      <c r="EL18" s="54" t="n">
        <f aca="false">MAX(0,MIN($F18,EL$4)-MAX($E18,EL$3)+1)/($F18-$E18+1)</f>
        <v>0</v>
      </c>
      <c r="EM18" s="54" t="n">
        <f aca="false">MAX(0,MIN($F18,EM$4)-MAX($E18,EM$3)+1)/($F18-$E18+1)</f>
        <v>0</v>
      </c>
      <c r="EN18" s="54" t="n">
        <f aca="false">MAX(0,MIN($F18,EN$4)-MAX($E18,EN$3)+1)/($F18-$E18+1)</f>
        <v>0</v>
      </c>
      <c r="EO18" s="54" t="n">
        <f aca="false">MAX(0,MIN($F18,EO$4)-MAX($E18,EO$3)+1)/($F18-$E18+1)</f>
        <v>0</v>
      </c>
      <c r="EP18" s="54" t="n">
        <f aca="false">MAX(0,MIN($F18,EP$4)-MAX($E18,EP$3)+1)/($F18-$E18+1)</f>
        <v>0</v>
      </c>
      <c r="EQ18" s="54" t="n">
        <f aca="false">MAX(0,MIN($F18,EQ$4)-MAX($E18,EQ$3)+1)/($F18-$E18+1)</f>
        <v>0</v>
      </c>
      <c r="ER18" s="54" t="n">
        <f aca="false">MAX(0,MIN($F18,ER$4)-MAX($E18,ER$3)+1)/($F18-$E18+1)</f>
        <v>0</v>
      </c>
      <c r="ES18" s="54" t="n">
        <f aca="false">MAX(0,MIN($F18,ES$4)-MAX($E18,ES$3)+1)/($F18-$E18+1)</f>
        <v>0</v>
      </c>
      <c r="ET18" s="54" t="n">
        <f aca="false">MAX(0,MIN($F18,ET$4)-MAX($E18,ET$3)+1)/($F18-$E18+1)</f>
        <v>0</v>
      </c>
    </row>
    <row r="19" customFormat="false" ht="15" hidden="false" customHeight="false" outlineLevel="0" collapsed="false">
      <c r="C19" s="1" t="s">
        <v>451</v>
      </c>
      <c r="D19" s="12" t="s">
        <v>41</v>
      </c>
      <c r="E19" s="44" t="n">
        <f aca="false">In_Freeze_Start+1</f>
        <v>47300</v>
      </c>
      <c r="F19" s="44" t="n">
        <f aca="false">In_Freeze_Start+In_Freeze_On*(In_Freeze_End-In_Freeze_Start)-1</f>
        <v>47483</v>
      </c>
      <c r="J19" s="54" t="n">
        <f aca="false">MAX(0,(MIN($F19,J$4)-MAX($E19,J$3)+1)/J$5)</f>
        <v>0</v>
      </c>
      <c r="K19" s="54" t="n">
        <f aca="false">MAX(0,(MIN($F19,K$4)-MAX($E19,K$3)+1)/K$5)</f>
        <v>0</v>
      </c>
      <c r="L19" s="54" t="n">
        <f aca="false">MAX(0,(MIN($F19,L$4)-MAX($E19,L$3)+1)/L$5)</f>
        <v>0</v>
      </c>
      <c r="M19" s="54" t="n">
        <f aca="false">MAX(0,(MIN($F19,M$4)-MAX($E19,M$3)+1)/M$5)</f>
        <v>0</v>
      </c>
      <c r="N19" s="54" t="n">
        <f aca="false">MAX(0,(MIN($F19,N$4)-MAX($E19,N$3)+1)/N$5)</f>
        <v>0</v>
      </c>
      <c r="O19" s="54" t="n">
        <f aca="false">MAX(0,(MIN($F19,O$4)-MAX($E19,O$3)+1)/O$5)</f>
        <v>0</v>
      </c>
      <c r="P19" s="54" t="n">
        <f aca="false">MAX(0,(MIN($F19,P$4)-MAX($E19,P$3)+1)/P$5)</f>
        <v>0</v>
      </c>
      <c r="Q19" s="54" t="n">
        <f aca="false">MAX(0,(MIN($F19,Q$4)-MAX($E19,Q$3)+1)/Q$5)</f>
        <v>0</v>
      </c>
      <c r="R19" s="54" t="n">
        <f aca="false">MAX(0,(MIN($F19,R$4)-MAX($E19,R$3)+1)/R$5)</f>
        <v>0</v>
      </c>
      <c r="S19" s="54" t="n">
        <f aca="false">MAX(0,(MIN($F19,S$4)-MAX($E19,S$3)+1)/S$5)</f>
        <v>0</v>
      </c>
      <c r="T19" s="54" t="n">
        <f aca="false">MAX(0,(MIN($F19,T$4)-MAX($E19,T$3)+1)/T$5)</f>
        <v>0</v>
      </c>
      <c r="U19" s="54" t="n">
        <f aca="false">MAX(0,(MIN($F19,U$4)-MAX($E19,U$3)+1)/U$5)</f>
        <v>0</v>
      </c>
      <c r="V19" s="54" t="n">
        <f aca="false">MAX(0,(MIN($F19,V$4)-MAX($E19,V$3)+1)/V$5)</f>
        <v>1</v>
      </c>
      <c r="W19" s="54" t="n">
        <f aca="false">MAX(0,(MIN($F19,W$4)-MAX($E19,W$3)+1)/W$5)</f>
        <v>1</v>
      </c>
      <c r="X19" s="54" t="n">
        <f aca="false">MAX(0,(MIN($F19,X$4)-MAX($E19,X$3)+1)/X$5)</f>
        <v>0</v>
      </c>
      <c r="Y19" s="54" t="n">
        <f aca="false">MAX(0,(MIN($F19,Y$4)-MAX($E19,Y$3)+1)/Y$5)</f>
        <v>0</v>
      </c>
      <c r="Z19" s="54" t="n">
        <f aca="false">MAX(0,(MIN($F19,Z$4)-MAX($E19,Z$3)+1)/Z$5)</f>
        <v>0</v>
      </c>
      <c r="AA19" s="54" t="n">
        <f aca="false">MAX(0,(MIN($F19,AA$4)-MAX($E19,AA$3)+1)/AA$5)</f>
        <v>0</v>
      </c>
      <c r="AB19" s="54" t="n">
        <f aca="false">MAX(0,(MIN($F19,AB$4)-MAX($E19,AB$3)+1)/AB$5)</f>
        <v>0</v>
      </c>
      <c r="AC19" s="54" t="n">
        <f aca="false">MAX(0,(MIN($F19,AC$4)-MAX($E19,AC$3)+1)/AC$5)</f>
        <v>0</v>
      </c>
      <c r="AD19" s="54" t="n">
        <f aca="false">MAX(0,(MIN($F19,AD$4)-MAX($E19,AD$3)+1)/AD$5)</f>
        <v>0</v>
      </c>
      <c r="AE19" s="54" t="n">
        <f aca="false">MAX(0,(MIN($F19,AE$4)-MAX($E19,AE$3)+1)/AE$5)</f>
        <v>0</v>
      </c>
      <c r="AF19" s="54" t="n">
        <f aca="false">MAX(0,(MIN($F19,AF$4)-MAX($E19,AF$3)+1)/AF$5)</f>
        <v>0</v>
      </c>
      <c r="AG19" s="54" t="n">
        <f aca="false">MAX(0,(MIN($F19,AG$4)-MAX($E19,AG$3)+1)/AG$5)</f>
        <v>0</v>
      </c>
      <c r="AH19" s="54" t="n">
        <f aca="false">MAX(0,(MIN($F19,AH$4)-MAX($E19,AH$3)+1)/AH$5)</f>
        <v>0</v>
      </c>
      <c r="AI19" s="54" t="n">
        <f aca="false">MAX(0,(MIN($F19,AI$4)-MAX($E19,AI$3)+1)/AI$5)</f>
        <v>0</v>
      </c>
      <c r="AJ19" s="54" t="n">
        <f aca="false">MAX(0,(MIN($F19,AJ$4)-MAX($E19,AJ$3)+1)/AJ$5)</f>
        <v>0</v>
      </c>
      <c r="AK19" s="54" t="n">
        <f aca="false">MAX(0,(MIN($F19,AK$4)-MAX($E19,AK$3)+1)/AK$5)</f>
        <v>0</v>
      </c>
      <c r="AL19" s="54" t="n">
        <f aca="false">MAX(0,(MIN($F19,AL$4)-MAX($E19,AL$3)+1)/AL$5)</f>
        <v>0</v>
      </c>
      <c r="AM19" s="54" t="n">
        <f aca="false">MAX(0,(MIN($F19,AM$4)-MAX($E19,AM$3)+1)/AM$5)</f>
        <v>0</v>
      </c>
      <c r="AN19" s="54" t="n">
        <f aca="false">MAX(0,(MIN($F19,AN$4)-MAX($E19,AN$3)+1)/AN$5)</f>
        <v>0</v>
      </c>
      <c r="AO19" s="54" t="n">
        <f aca="false">MAX(0,(MIN($F19,AO$4)-MAX($E19,AO$3)+1)/AO$5)</f>
        <v>0</v>
      </c>
      <c r="AP19" s="54" t="n">
        <f aca="false">MAX(0,(MIN($F19,AP$4)-MAX($E19,AP$3)+1)/AP$5)</f>
        <v>0</v>
      </c>
      <c r="AQ19" s="54" t="n">
        <f aca="false">MAX(0,(MIN($F19,AQ$4)-MAX($E19,AQ$3)+1)/AQ$5)</f>
        <v>0</v>
      </c>
      <c r="AR19" s="54" t="n">
        <f aca="false">MAX(0,(MIN($F19,AR$4)-MAX($E19,AR$3)+1)/AR$5)</f>
        <v>0</v>
      </c>
      <c r="AS19" s="54" t="n">
        <f aca="false">MAX(0,(MIN($F19,AS$4)-MAX($E19,AS$3)+1)/AS$5)</f>
        <v>0</v>
      </c>
      <c r="AT19" s="54" t="n">
        <f aca="false">MAX(0,(MIN($F19,AT$4)-MAX($E19,AT$3)+1)/AT$5)</f>
        <v>0</v>
      </c>
      <c r="AU19" s="54" t="n">
        <f aca="false">MAX(0,(MIN($F19,AU$4)-MAX($E19,AU$3)+1)/AU$5)</f>
        <v>0</v>
      </c>
      <c r="AV19" s="54" t="n">
        <f aca="false">MAX(0,(MIN($F19,AV$4)-MAX($E19,AV$3)+1)/AV$5)</f>
        <v>0</v>
      </c>
      <c r="AW19" s="54" t="n">
        <f aca="false">MAX(0,(MIN($F19,AW$4)-MAX($E19,AW$3)+1)/AW$5)</f>
        <v>0</v>
      </c>
      <c r="AX19" s="54" t="n">
        <f aca="false">MAX(0,(MIN($F19,AX$4)-MAX($E19,AX$3)+1)/AX$5)</f>
        <v>0</v>
      </c>
      <c r="AY19" s="54" t="n">
        <f aca="false">MAX(0,(MIN($F19,AY$4)-MAX($E19,AY$3)+1)/AY$5)</f>
        <v>0</v>
      </c>
      <c r="AZ19" s="54" t="n">
        <f aca="false">MAX(0,(MIN($F19,AZ$4)-MAX($E19,AZ$3)+1)/AZ$5)</f>
        <v>0</v>
      </c>
      <c r="BA19" s="54" t="n">
        <f aca="false">MAX(0,(MIN($F19,BA$4)-MAX($E19,BA$3)+1)/BA$5)</f>
        <v>0</v>
      </c>
      <c r="BB19" s="54" t="n">
        <f aca="false">MAX(0,(MIN($F19,BB$4)-MAX($E19,BB$3)+1)/BB$5)</f>
        <v>0</v>
      </c>
      <c r="BC19" s="54" t="n">
        <f aca="false">MAX(0,(MIN($F19,BC$4)-MAX($E19,BC$3)+1)/BC$5)</f>
        <v>0</v>
      </c>
      <c r="BD19" s="54" t="n">
        <f aca="false">MAX(0,(MIN($F19,BD$4)-MAX($E19,BD$3)+1)/BD$5)</f>
        <v>0</v>
      </c>
      <c r="BE19" s="54" t="n">
        <f aca="false">MAX(0,(MIN($F19,BE$4)-MAX($E19,BE$3)+1)/BE$5)</f>
        <v>0</v>
      </c>
      <c r="BF19" s="54" t="n">
        <f aca="false">MAX(0,(MIN($F19,BF$4)-MAX($E19,BF$3)+1)/BF$5)</f>
        <v>0</v>
      </c>
      <c r="BG19" s="54" t="n">
        <f aca="false">MAX(0,(MIN($F19,BG$4)-MAX($E19,BG$3)+1)/BG$5)</f>
        <v>0</v>
      </c>
      <c r="BH19" s="54" t="n">
        <f aca="false">MAX(0,(MIN($F19,BH$4)-MAX($E19,BH$3)+1)/BH$5)</f>
        <v>0</v>
      </c>
      <c r="BI19" s="54" t="n">
        <f aca="false">MAX(0,(MIN($F19,BI$4)-MAX($E19,BI$3)+1)/BI$5)</f>
        <v>0</v>
      </c>
      <c r="BJ19" s="54" t="n">
        <f aca="false">MAX(0,(MIN($F19,BJ$4)-MAX($E19,BJ$3)+1)/BJ$5)</f>
        <v>0</v>
      </c>
      <c r="BK19" s="54" t="n">
        <f aca="false">MAX(0,(MIN($F19,BK$4)-MAX($E19,BK$3)+1)/BK$5)</f>
        <v>0</v>
      </c>
      <c r="BL19" s="54" t="n">
        <f aca="false">MAX(0,(MIN($F19,BL$4)-MAX($E19,BL$3)+1)/BL$5)</f>
        <v>0</v>
      </c>
      <c r="BM19" s="54" t="n">
        <f aca="false">MAX(0,(MIN($F19,BM$4)-MAX($E19,BM$3)+1)/BM$5)</f>
        <v>0</v>
      </c>
      <c r="BN19" s="54" t="n">
        <f aca="false">MAX(0,(MIN($F19,BN$4)-MAX($E19,BN$3)+1)/BN$5)</f>
        <v>0</v>
      </c>
      <c r="BO19" s="54" t="n">
        <f aca="false">MAX(0,(MIN($F19,BO$4)-MAX($E19,BO$3)+1)/BO$5)</f>
        <v>0</v>
      </c>
      <c r="BP19" s="54" t="n">
        <f aca="false">MAX(0,(MIN($F19,BP$4)-MAX($E19,BP$3)+1)/BP$5)</f>
        <v>0</v>
      </c>
      <c r="BQ19" s="54" t="n">
        <f aca="false">MAX(0,(MIN($F19,BQ$4)-MAX($E19,BQ$3)+1)/BQ$5)</f>
        <v>0</v>
      </c>
      <c r="BR19" s="54" t="n">
        <f aca="false">MAX(0,(MIN($F19,BR$4)-MAX($E19,BR$3)+1)/BR$5)</f>
        <v>0</v>
      </c>
      <c r="BS19" s="54" t="n">
        <f aca="false">MAX(0,(MIN($F19,BS$4)-MAX($E19,BS$3)+1)/BS$5)</f>
        <v>0</v>
      </c>
      <c r="BT19" s="54" t="n">
        <f aca="false">MAX(0,(MIN($F19,BT$4)-MAX($E19,BT$3)+1)/BT$5)</f>
        <v>0</v>
      </c>
      <c r="BU19" s="54" t="n">
        <f aca="false">MAX(0,(MIN($F19,BU$4)-MAX($E19,BU$3)+1)/BU$5)</f>
        <v>0</v>
      </c>
      <c r="BV19" s="54" t="n">
        <f aca="false">MAX(0,(MIN($F19,BV$4)-MAX($E19,BV$3)+1)/BV$5)</f>
        <v>0</v>
      </c>
      <c r="BW19" s="54" t="n">
        <f aca="false">MAX(0,(MIN($F19,BW$4)-MAX($E19,BW$3)+1)/BW$5)</f>
        <v>0</v>
      </c>
      <c r="BX19" s="54" t="n">
        <f aca="false">MAX(0,(MIN($F19,BX$4)-MAX($E19,BX$3)+1)/BX$5)</f>
        <v>0</v>
      </c>
      <c r="BY19" s="54" t="n">
        <f aca="false">MAX(0,(MIN($F19,BY$4)-MAX($E19,BY$3)+1)/BY$5)</f>
        <v>0</v>
      </c>
      <c r="BZ19" s="54" t="n">
        <f aca="false">MAX(0,(MIN($F19,BZ$4)-MAX($E19,BZ$3)+1)/BZ$5)</f>
        <v>0</v>
      </c>
      <c r="CA19" s="54" t="n">
        <f aca="false">MAX(0,(MIN($F19,CA$4)-MAX($E19,CA$3)+1)/CA$5)</f>
        <v>0</v>
      </c>
      <c r="CB19" s="54" t="n">
        <f aca="false">MAX(0,(MIN($F19,CB$4)-MAX($E19,CB$3)+1)/CB$5)</f>
        <v>0</v>
      </c>
      <c r="CC19" s="54" t="n">
        <f aca="false">MAX(0,(MIN($F19,CC$4)-MAX($E19,CC$3)+1)/CC$5)</f>
        <v>0</v>
      </c>
      <c r="CD19" s="54" t="n">
        <f aca="false">MAX(0,(MIN($F19,CD$4)-MAX($E19,CD$3)+1)/CD$5)</f>
        <v>0</v>
      </c>
      <c r="CE19" s="54" t="n">
        <f aca="false">MAX(0,(MIN($F19,CE$4)-MAX($E19,CE$3)+1)/CE$5)</f>
        <v>0</v>
      </c>
      <c r="CF19" s="54" t="n">
        <f aca="false">MAX(0,(MIN($F19,CF$4)-MAX($E19,CF$3)+1)/CF$5)</f>
        <v>0</v>
      </c>
      <c r="CG19" s="54" t="n">
        <f aca="false">MAX(0,(MIN($F19,CG$4)-MAX($E19,CG$3)+1)/CG$5)</f>
        <v>0</v>
      </c>
      <c r="CH19" s="54" t="n">
        <f aca="false">MAX(0,(MIN($F19,CH$4)-MAX($E19,CH$3)+1)/CH$5)</f>
        <v>0</v>
      </c>
      <c r="CI19" s="54" t="n">
        <f aca="false">MAX(0,(MIN($F19,CI$4)-MAX($E19,CI$3)+1)/CI$5)</f>
        <v>0</v>
      </c>
      <c r="CJ19" s="54" t="n">
        <f aca="false">MAX(0,(MIN($F19,CJ$4)-MAX($E19,CJ$3)+1)/CJ$5)</f>
        <v>0</v>
      </c>
      <c r="CK19" s="54" t="n">
        <f aca="false">MAX(0,(MIN($F19,CK$4)-MAX($E19,CK$3)+1)/CK$5)</f>
        <v>0</v>
      </c>
      <c r="CL19" s="54" t="n">
        <f aca="false">MAX(0,(MIN($F19,CL$4)-MAX($E19,CL$3)+1)/CL$5)</f>
        <v>0</v>
      </c>
      <c r="CM19" s="54" t="n">
        <f aca="false">MAX(0,(MIN($F19,CM$4)-MAX($E19,CM$3)+1)/CM$5)</f>
        <v>0</v>
      </c>
      <c r="CN19" s="54" t="n">
        <f aca="false">MAX(0,(MIN($F19,CN$4)-MAX($E19,CN$3)+1)/CN$5)</f>
        <v>0</v>
      </c>
      <c r="CO19" s="54" t="n">
        <f aca="false">MAX(0,(MIN($F19,CO$4)-MAX($E19,CO$3)+1)/CO$5)</f>
        <v>0</v>
      </c>
      <c r="CP19" s="54" t="n">
        <f aca="false">MAX(0,(MIN($F19,CP$4)-MAX($E19,CP$3)+1)/CP$5)</f>
        <v>0</v>
      </c>
      <c r="CQ19" s="54" t="n">
        <f aca="false">MAX(0,(MIN($F19,CQ$4)-MAX($E19,CQ$3)+1)/CQ$5)</f>
        <v>0</v>
      </c>
      <c r="CR19" s="54" t="n">
        <f aca="false">MAX(0,(MIN($F19,CR$4)-MAX($E19,CR$3)+1)/CR$5)</f>
        <v>0</v>
      </c>
      <c r="CS19" s="54" t="n">
        <f aca="false">MAX(0,(MIN($F19,CS$4)-MAX($E19,CS$3)+1)/CS$5)</f>
        <v>0</v>
      </c>
      <c r="CT19" s="54" t="n">
        <f aca="false">MAX(0,(MIN($F19,CT$4)-MAX($E19,CT$3)+1)/CT$5)</f>
        <v>0</v>
      </c>
      <c r="CU19" s="54" t="n">
        <f aca="false">MAX(0,(MIN($F19,CU$4)-MAX($E19,CU$3)+1)/CU$5)</f>
        <v>0</v>
      </c>
      <c r="CV19" s="54" t="n">
        <f aca="false">MAX(0,(MIN($F19,CV$4)-MAX($E19,CV$3)+1)/CV$5)</f>
        <v>0</v>
      </c>
      <c r="CW19" s="54" t="n">
        <f aca="false">MAX(0,(MIN($F19,CW$4)-MAX($E19,CW$3)+1)/CW$5)</f>
        <v>0</v>
      </c>
      <c r="CX19" s="54" t="n">
        <f aca="false">MAX(0,(MIN($F19,CX$4)-MAX($E19,CX$3)+1)/CX$5)</f>
        <v>0</v>
      </c>
      <c r="CY19" s="54" t="n">
        <f aca="false">MAX(0,(MIN($F19,CY$4)-MAX($E19,CY$3)+1)/CY$5)</f>
        <v>0</v>
      </c>
      <c r="CZ19" s="54" t="n">
        <f aca="false">MAX(0,(MIN($F19,CZ$4)-MAX($E19,CZ$3)+1)/CZ$5)</f>
        <v>0</v>
      </c>
      <c r="DA19" s="54" t="n">
        <f aca="false">MAX(0,(MIN($F19,DA$4)-MAX($E19,DA$3)+1)/DA$5)</f>
        <v>0</v>
      </c>
      <c r="DB19" s="54" t="n">
        <f aca="false">MAX(0,(MIN($F19,DB$4)-MAX($E19,DB$3)+1)/DB$5)</f>
        <v>0</v>
      </c>
      <c r="DC19" s="54" t="n">
        <f aca="false">MAX(0,(MIN($F19,DC$4)-MAX($E19,DC$3)+1)/DC$5)</f>
        <v>0</v>
      </c>
      <c r="DD19" s="54" t="n">
        <f aca="false">MAX(0,(MIN($F19,DD$4)-MAX($E19,DD$3)+1)/DD$5)</f>
        <v>0</v>
      </c>
      <c r="DE19" s="54" t="n">
        <f aca="false">MAX(0,(MIN($F19,DE$4)-MAX($E19,DE$3)+1)/DE$5)</f>
        <v>0</v>
      </c>
      <c r="DF19" s="54" t="n">
        <f aca="false">MAX(0,(MIN($F19,DF$4)-MAX($E19,DF$3)+1)/DF$5)</f>
        <v>0</v>
      </c>
      <c r="DG19" s="54" t="n">
        <f aca="false">MAX(0,(MIN($F19,DG$4)-MAX($E19,DG$3)+1)/DG$5)</f>
        <v>0</v>
      </c>
      <c r="DH19" s="54" t="n">
        <f aca="false">MAX(0,(MIN($F19,DH$4)-MAX($E19,DH$3)+1)/DH$5)</f>
        <v>0</v>
      </c>
      <c r="DI19" s="54" t="n">
        <f aca="false">MAX(0,(MIN($F19,DI$4)-MAX($E19,DI$3)+1)/DI$5)</f>
        <v>0</v>
      </c>
      <c r="DJ19" s="54" t="n">
        <f aca="false">MAX(0,(MIN($F19,DJ$4)-MAX($E19,DJ$3)+1)/DJ$5)</f>
        <v>0</v>
      </c>
      <c r="DK19" s="54" t="n">
        <f aca="false">MAX(0,(MIN($F19,DK$4)-MAX($E19,DK$3)+1)/DK$5)</f>
        <v>0</v>
      </c>
      <c r="DL19" s="54" t="n">
        <f aca="false">MAX(0,(MIN($F19,DL$4)-MAX($E19,DL$3)+1)/DL$5)</f>
        <v>0</v>
      </c>
      <c r="DM19" s="54" t="n">
        <f aca="false">MAX(0,(MIN($F19,DM$4)-MAX($E19,DM$3)+1)/DM$5)</f>
        <v>0</v>
      </c>
      <c r="DN19" s="54" t="n">
        <f aca="false">MAX(0,(MIN($F19,DN$4)-MAX($E19,DN$3)+1)/DN$5)</f>
        <v>0</v>
      </c>
      <c r="DO19" s="54" t="n">
        <f aca="false">MAX(0,(MIN($F19,DO$4)-MAX($E19,DO$3)+1)/DO$5)</f>
        <v>0</v>
      </c>
      <c r="DP19" s="54" t="n">
        <f aca="false">MAX(0,(MIN($F19,DP$4)-MAX($E19,DP$3)+1)/DP$5)</f>
        <v>0</v>
      </c>
      <c r="DQ19" s="54" t="n">
        <f aca="false">MAX(0,(MIN($F19,DQ$4)-MAX($E19,DQ$3)+1)/DQ$5)</f>
        <v>0</v>
      </c>
      <c r="DR19" s="54" t="n">
        <f aca="false">MAX(0,(MIN($F19,DR$4)-MAX($E19,DR$3)+1)/DR$5)</f>
        <v>0</v>
      </c>
      <c r="DS19" s="54" t="n">
        <f aca="false">MAX(0,(MIN($F19,DS$4)-MAX($E19,DS$3)+1)/DS$5)</f>
        <v>0</v>
      </c>
      <c r="DT19" s="54" t="n">
        <f aca="false">MAX(0,(MIN($F19,DT$4)-MAX($E19,DT$3)+1)/DT$5)</f>
        <v>0</v>
      </c>
      <c r="DU19" s="54" t="n">
        <f aca="false">MAX(0,(MIN($F19,DU$4)-MAX($E19,DU$3)+1)/DU$5)</f>
        <v>0</v>
      </c>
      <c r="DV19" s="54" t="n">
        <f aca="false">MAX(0,(MIN($F19,DV$4)-MAX($E19,DV$3)+1)/DV$5)</f>
        <v>0</v>
      </c>
      <c r="DW19" s="54" t="n">
        <f aca="false">MAX(0,(MIN($F19,DW$4)-MAX($E19,DW$3)+1)/DW$5)</f>
        <v>0</v>
      </c>
      <c r="DX19" s="54" t="n">
        <f aca="false">MAX(0,(MIN($F19,DX$4)-MAX($E19,DX$3)+1)/DX$5)</f>
        <v>0</v>
      </c>
      <c r="DY19" s="54" t="n">
        <f aca="false">MAX(0,(MIN($F19,DY$4)-MAX($E19,DY$3)+1)/DY$5)</f>
        <v>0</v>
      </c>
      <c r="DZ19" s="54" t="n">
        <f aca="false">MAX(0,(MIN($F19,DZ$4)-MAX($E19,DZ$3)+1)/DZ$5)</f>
        <v>0</v>
      </c>
      <c r="EA19" s="54" t="n">
        <f aca="false">MAX(0,(MIN($F19,EA$4)-MAX($E19,EA$3)+1)/EA$5)</f>
        <v>0</v>
      </c>
      <c r="EB19" s="54" t="n">
        <f aca="false">MAX(0,(MIN($F19,EB$4)-MAX($E19,EB$3)+1)/EB$5)</f>
        <v>0</v>
      </c>
      <c r="EC19" s="54" t="n">
        <f aca="false">MAX(0,(MIN($F19,EC$4)-MAX($E19,EC$3)+1)/EC$5)</f>
        <v>0</v>
      </c>
      <c r="ED19" s="54" t="n">
        <f aca="false">MAX(0,(MIN($F19,ED$4)-MAX($E19,ED$3)+1)/ED$5)</f>
        <v>0</v>
      </c>
      <c r="EE19" s="54" t="n">
        <f aca="false">MAX(0,(MIN($F19,EE$4)-MAX($E19,EE$3)+1)/EE$5)</f>
        <v>0</v>
      </c>
      <c r="EF19" s="54" t="n">
        <f aca="false">MAX(0,(MIN($F19,EF$4)-MAX($E19,EF$3)+1)/EF$5)</f>
        <v>0</v>
      </c>
      <c r="EG19" s="54" t="n">
        <f aca="false">MAX(0,(MIN($F19,EG$4)-MAX($E19,EG$3)+1)/EG$5)</f>
        <v>0</v>
      </c>
      <c r="EH19" s="54" t="n">
        <f aca="false">MAX(0,(MIN($F19,EH$4)-MAX($E19,EH$3)+1)/EH$5)</f>
        <v>0</v>
      </c>
      <c r="EI19" s="54" t="n">
        <f aca="false">MAX(0,(MIN($F19,EI$4)-MAX($E19,EI$3)+1)/EI$5)</f>
        <v>0</v>
      </c>
      <c r="EJ19" s="54" t="n">
        <f aca="false">MAX(0,(MIN($F19,EJ$4)-MAX($E19,EJ$3)+1)/EJ$5)</f>
        <v>0</v>
      </c>
      <c r="EK19" s="54" t="n">
        <f aca="false">MAX(0,(MIN($F19,EK$4)-MAX($E19,EK$3)+1)/EK$5)</f>
        <v>0</v>
      </c>
      <c r="EL19" s="54" t="n">
        <f aca="false">MAX(0,(MIN($F19,EL$4)-MAX($E19,EL$3)+1)/EL$5)</f>
        <v>0</v>
      </c>
      <c r="EM19" s="54" t="n">
        <f aca="false">MAX(0,(MIN($F19,EM$4)-MAX($E19,EM$3)+1)/EM$5)</f>
        <v>0</v>
      </c>
      <c r="EN19" s="54" t="n">
        <f aca="false">MAX(0,(MIN($F19,EN$4)-MAX($E19,EN$3)+1)/EN$5)</f>
        <v>0</v>
      </c>
      <c r="EO19" s="54" t="n">
        <f aca="false">MAX(0,(MIN($F19,EO$4)-MAX($E19,EO$3)+1)/EO$5)</f>
        <v>0</v>
      </c>
      <c r="EP19" s="54" t="n">
        <f aca="false">MAX(0,(MIN($F19,EP$4)-MAX($E19,EP$3)+1)/EP$5)</f>
        <v>0</v>
      </c>
      <c r="EQ19" s="54" t="n">
        <f aca="false">MAX(0,(MIN($F19,EQ$4)-MAX($E19,EQ$3)+1)/EQ$5)</f>
        <v>0</v>
      </c>
      <c r="ER19" s="54" t="n">
        <f aca="false">MAX(0,(MIN($F19,ER$4)-MAX($E19,ER$3)+1)/ER$5)</f>
        <v>0</v>
      </c>
      <c r="ES19" s="54" t="n">
        <f aca="false">MAX(0,(MIN($F19,ES$4)-MAX($E19,ES$3)+1)/ES$5)</f>
        <v>0</v>
      </c>
      <c r="ET19" s="54" t="n">
        <f aca="false">MAX(0,(MIN($F19,ET$4)-MAX($E19,ET$3)+1)/ET$5)</f>
        <v>0</v>
      </c>
    </row>
    <row r="20" customFormat="false" ht="15" hidden="false" customHeight="false" outlineLevel="0" collapsed="false">
      <c r="C20" s="1" t="s">
        <v>452</v>
      </c>
      <c r="D20" s="12" t="s">
        <v>41</v>
      </c>
      <c r="J20" s="46" t="n">
        <f aca="false">N(MONTH(J$4)=Months_In_Year)</f>
        <v>0</v>
      </c>
      <c r="K20" s="46" t="n">
        <f aca="false">N(MONTH(K$4)=Months_In_Year)</f>
        <v>1</v>
      </c>
      <c r="L20" s="46" t="n">
        <f aca="false">N(MONTH(L$4)=Months_In_Year)</f>
        <v>0</v>
      </c>
      <c r="M20" s="46" t="n">
        <f aca="false">N(MONTH(M$4)=Months_In_Year)</f>
        <v>0</v>
      </c>
      <c r="N20" s="46" t="n">
        <f aca="false">N(MONTH(N$4)=Months_In_Year)</f>
        <v>0</v>
      </c>
      <c r="O20" s="46" t="n">
        <f aca="false">N(MONTH(O$4)=Months_In_Year)</f>
        <v>1</v>
      </c>
      <c r="P20" s="46" t="n">
        <f aca="false">N(MONTH(P$4)=Months_In_Year)</f>
        <v>0</v>
      </c>
      <c r="Q20" s="46" t="n">
        <f aca="false">N(MONTH(Q$4)=Months_In_Year)</f>
        <v>0</v>
      </c>
      <c r="R20" s="46" t="n">
        <f aca="false">N(MONTH(R$4)=Months_In_Year)</f>
        <v>0</v>
      </c>
      <c r="S20" s="46" t="n">
        <f aca="false">N(MONTH(S$4)=Months_In_Year)</f>
        <v>1</v>
      </c>
      <c r="T20" s="46" t="n">
        <f aca="false">N(MONTH(T$4)=Months_In_Year)</f>
        <v>0</v>
      </c>
      <c r="U20" s="46" t="n">
        <f aca="false">N(MONTH(U$4)=Months_In_Year)</f>
        <v>0</v>
      </c>
      <c r="V20" s="46" t="n">
        <f aca="false">N(MONTH(V$4)=Months_In_Year)</f>
        <v>0</v>
      </c>
      <c r="W20" s="46" t="n">
        <f aca="false">N(MONTH(W$4)=Months_In_Year)</f>
        <v>1</v>
      </c>
      <c r="X20" s="46" t="n">
        <f aca="false">N(MONTH(X$4)=Months_In_Year)</f>
        <v>0</v>
      </c>
      <c r="Y20" s="46" t="n">
        <f aca="false">N(MONTH(Y$4)=Months_In_Year)</f>
        <v>0</v>
      </c>
      <c r="Z20" s="46" t="n">
        <f aca="false">N(MONTH(Z$4)=Months_In_Year)</f>
        <v>0</v>
      </c>
      <c r="AA20" s="46" t="n">
        <f aca="false">N(MONTH(AA$4)=Months_In_Year)</f>
        <v>1</v>
      </c>
      <c r="AB20" s="46" t="n">
        <f aca="false">N(MONTH(AB$4)=Months_In_Year)</f>
        <v>0</v>
      </c>
      <c r="AC20" s="46" t="n">
        <f aca="false">N(MONTH(AC$4)=Months_In_Year)</f>
        <v>0</v>
      </c>
      <c r="AD20" s="46" t="n">
        <f aca="false">N(MONTH(AD$4)=Months_In_Year)</f>
        <v>0</v>
      </c>
      <c r="AE20" s="46" t="n">
        <f aca="false">N(MONTH(AE$4)=Months_In_Year)</f>
        <v>1</v>
      </c>
      <c r="AF20" s="46" t="n">
        <f aca="false">N(MONTH(AF$4)=Months_In_Year)</f>
        <v>0</v>
      </c>
      <c r="AG20" s="46" t="n">
        <f aca="false">N(MONTH(AG$4)=Months_In_Year)</f>
        <v>0</v>
      </c>
      <c r="AH20" s="46" t="n">
        <f aca="false">N(MONTH(AH$4)=Months_In_Year)</f>
        <v>0</v>
      </c>
      <c r="AI20" s="46" t="n">
        <f aca="false">N(MONTH(AI$4)=Months_In_Year)</f>
        <v>1</v>
      </c>
      <c r="AJ20" s="46" t="n">
        <f aca="false">N(MONTH(AJ$4)=Months_In_Year)</f>
        <v>0</v>
      </c>
      <c r="AK20" s="46" t="n">
        <f aca="false">N(MONTH(AK$4)=Months_In_Year)</f>
        <v>0</v>
      </c>
      <c r="AL20" s="46" t="n">
        <f aca="false">N(MONTH(AL$4)=Months_In_Year)</f>
        <v>0</v>
      </c>
      <c r="AM20" s="46" t="n">
        <f aca="false">N(MONTH(AM$4)=Months_In_Year)</f>
        <v>1</v>
      </c>
      <c r="AN20" s="46" t="n">
        <f aca="false">N(MONTH(AN$4)=Months_In_Year)</f>
        <v>0</v>
      </c>
      <c r="AO20" s="46" t="n">
        <f aca="false">N(MONTH(AO$4)=Months_In_Year)</f>
        <v>0</v>
      </c>
      <c r="AP20" s="46" t="n">
        <f aca="false">N(MONTH(AP$4)=Months_In_Year)</f>
        <v>0</v>
      </c>
      <c r="AQ20" s="46" t="n">
        <f aca="false">N(MONTH(AQ$4)=Months_In_Year)</f>
        <v>1</v>
      </c>
      <c r="AR20" s="46" t="n">
        <f aca="false">N(MONTH(AR$4)=Months_In_Year)</f>
        <v>0</v>
      </c>
      <c r="AS20" s="46" t="n">
        <f aca="false">N(MONTH(AS$4)=Months_In_Year)</f>
        <v>0</v>
      </c>
      <c r="AT20" s="46" t="n">
        <f aca="false">N(MONTH(AT$4)=Months_In_Year)</f>
        <v>0</v>
      </c>
      <c r="AU20" s="46" t="n">
        <f aca="false">N(MONTH(AU$4)=Months_In_Year)</f>
        <v>1</v>
      </c>
      <c r="AV20" s="46" t="n">
        <f aca="false">N(MONTH(AV$4)=Months_In_Year)</f>
        <v>0</v>
      </c>
      <c r="AW20" s="46" t="n">
        <f aca="false">N(MONTH(AW$4)=Months_In_Year)</f>
        <v>0</v>
      </c>
      <c r="AX20" s="46" t="n">
        <f aca="false">N(MONTH(AX$4)=Months_In_Year)</f>
        <v>0</v>
      </c>
      <c r="AY20" s="46" t="n">
        <f aca="false">N(MONTH(AY$4)=Months_In_Year)</f>
        <v>1</v>
      </c>
      <c r="AZ20" s="46" t="n">
        <f aca="false">N(MONTH(AZ$4)=Months_In_Year)</f>
        <v>0</v>
      </c>
      <c r="BA20" s="46" t="n">
        <f aca="false">N(MONTH(BA$4)=Months_In_Year)</f>
        <v>0</v>
      </c>
      <c r="BB20" s="46" t="n">
        <f aca="false">N(MONTH(BB$4)=Months_In_Year)</f>
        <v>0</v>
      </c>
      <c r="BC20" s="46" t="n">
        <f aca="false">N(MONTH(BC$4)=Months_In_Year)</f>
        <v>1</v>
      </c>
      <c r="BD20" s="46" t="n">
        <f aca="false">N(MONTH(BD$4)=Months_In_Year)</f>
        <v>0</v>
      </c>
      <c r="BE20" s="46" t="n">
        <f aca="false">N(MONTH(BE$4)=Months_In_Year)</f>
        <v>0</v>
      </c>
      <c r="BF20" s="46" t="n">
        <f aca="false">N(MONTH(BF$4)=Months_In_Year)</f>
        <v>0</v>
      </c>
      <c r="BG20" s="46" t="n">
        <f aca="false">N(MONTH(BG$4)=Months_In_Year)</f>
        <v>1</v>
      </c>
      <c r="BH20" s="46" t="n">
        <f aca="false">N(MONTH(BH$4)=Months_In_Year)</f>
        <v>0</v>
      </c>
      <c r="BI20" s="46" t="n">
        <f aca="false">N(MONTH(BI$4)=Months_In_Year)</f>
        <v>0</v>
      </c>
      <c r="BJ20" s="46" t="n">
        <f aca="false">N(MONTH(BJ$4)=Months_In_Year)</f>
        <v>0</v>
      </c>
      <c r="BK20" s="46" t="n">
        <f aca="false">N(MONTH(BK$4)=Months_In_Year)</f>
        <v>1</v>
      </c>
      <c r="BL20" s="46" t="n">
        <f aca="false">N(MONTH(BL$4)=Months_In_Year)</f>
        <v>0</v>
      </c>
      <c r="BM20" s="46" t="n">
        <f aca="false">N(MONTH(BM$4)=Months_In_Year)</f>
        <v>0</v>
      </c>
      <c r="BN20" s="46" t="n">
        <f aca="false">N(MONTH(BN$4)=Months_In_Year)</f>
        <v>0</v>
      </c>
      <c r="BO20" s="46" t="n">
        <f aca="false">N(MONTH(BO$4)=Months_In_Year)</f>
        <v>1</v>
      </c>
      <c r="BP20" s="46" t="n">
        <f aca="false">N(MONTH(BP$4)=Months_In_Year)</f>
        <v>0</v>
      </c>
      <c r="BQ20" s="46" t="n">
        <f aca="false">N(MONTH(BQ$4)=Months_In_Year)</f>
        <v>0</v>
      </c>
      <c r="BR20" s="46" t="n">
        <f aca="false">N(MONTH(BR$4)=Months_In_Year)</f>
        <v>0</v>
      </c>
      <c r="BS20" s="46" t="n">
        <f aca="false">N(MONTH(BS$4)=Months_In_Year)</f>
        <v>1</v>
      </c>
      <c r="BT20" s="46" t="n">
        <f aca="false">N(MONTH(BT$4)=Months_In_Year)</f>
        <v>0</v>
      </c>
      <c r="BU20" s="46" t="n">
        <f aca="false">N(MONTH(BU$4)=Months_In_Year)</f>
        <v>0</v>
      </c>
      <c r="BV20" s="46" t="n">
        <f aca="false">N(MONTH(BV$4)=Months_In_Year)</f>
        <v>0</v>
      </c>
      <c r="BW20" s="46" t="n">
        <f aca="false">N(MONTH(BW$4)=Months_In_Year)</f>
        <v>1</v>
      </c>
      <c r="BX20" s="46" t="n">
        <f aca="false">N(MONTH(BX$4)=Months_In_Year)</f>
        <v>0</v>
      </c>
      <c r="BY20" s="46" t="n">
        <f aca="false">N(MONTH(BY$4)=Months_In_Year)</f>
        <v>0</v>
      </c>
      <c r="BZ20" s="46" t="n">
        <f aca="false">N(MONTH(BZ$4)=Months_In_Year)</f>
        <v>0</v>
      </c>
      <c r="CA20" s="46" t="n">
        <f aca="false">N(MONTH(CA$4)=Months_In_Year)</f>
        <v>1</v>
      </c>
      <c r="CB20" s="46" t="n">
        <f aca="false">N(MONTH(CB$4)=Months_In_Year)</f>
        <v>0</v>
      </c>
      <c r="CC20" s="46" t="n">
        <f aca="false">N(MONTH(CC$4)=Months_In_Year)</f>
        <v>0</v>
      </c>
      <c r="CD20" s="46" t="n">
        <f aca="false">N(MONTH(CD$4)=Months_In_Year)</f>
        <v>0</v>
      </c>
      <c r="CE20" s="46" t="n">
        <f aca="false">N(MONTH(CE$4)=Months_In_Year)</f>
        <v>1</v>
      </c>
      <c r="CF20" s="46" t="n">
        <f aca="false">N(MONTH(CF$4)=Months_In_Year)</f>
        <v>0</v>
      </c>
      <c r="CG20" s="46" t="n">
        <f aca="false">N(MONTH(CG$4)=Months_In_Year)</f>
        <v>0</v>
      </c>
      <c r="CH20" s="46" t="n">
        <f aca="false">N(MONTH(CH$4)=Months_In_Year)</f>
        <v>0</v>
      </c>
      <c r="CI20" s="46" t="n">
        <f aca="false">N(MONTH(CI$4)=Months_In_Year)</f>
        <v>1</v>
      </c>
      <c r="CJ20" s="46" t="n">
        <f aca="false">N(MONTH(CJ$4)=Months_In_Year)</f>
        <v>0</v>
      </c>
      <c r="CK20" s="46" t="n">
        <f aca="false">N(MONTH(CK$4)=Months_In_Year)</f>
        <v>0</v>
      </c>
      <c r="CL20" s="46" t="n">
        <f aca="false">N(MONTH(CL$4)=Months_In_Year)</f>
        <v>0</v>
      </c>
      <c r="CM20" s="46" t="n">
        <f aca="false">N(MONTH(CM$4)=Months_In_Year)</f>
        <v>1</v>
      </c>
      <c r="CN20" s="46" t="n">
        <f aca="false">N(MONTH(CN$4)=Months_In_Year)</f>
        <v>0</v>
      </c>
      <c r="CO20" s="46" t="n">
        <f aca="false">N(MONTH(CO$4)=Months_In_Year)</f>
        <v>0</v>
      </c>
      <c r="CP20" s="46" t="n">
        <f aca="false">N(MONTH(CP$4)=Months_In_Year)</f>
        <v>0</v>
      </c>
      <c r="CQ20" s="46" t="n">
        <f aca="false">N(MONTH(CQ$4)=Months_In_Year)</f>
        <v>1</v>
      </c>
      <c r="CR20" s="46" t="n">
        <f aca="false">N(MONTH(CR$4)=Months_In_Year)</f>
        <v>0</v>
      </c>
      <c r="CS20" s="46" t="n">
        <f aca="false">N(MONTH(CS$4)=Months_In_Year)</f>
        <v>0</v>
      </c>
      <c r="CT20" s="46" t="n">
        <f aca="false">N(MONTH(CT$4)=Months_In_Year)</f>
        <v>0</v>
      </c>
      <c r="CU20" s="46" t="n">
        <f aca="false">N(MONTH(CU$4)=Months_In_Year)</f>
        <v>1</v>
      </c>
      <c r="CV20" s="46" t="n">
        <f aca="false">N(MONTH(CV$4)=Months_In_Year)</f>
        <v>0</v>
      </c>
      <c r="CW20" s="46" t="n">
        <f aca="false">N(MONTH(CW$4)=Months_In_Year)</f>
        <v>0</v>
      </c>
      <c r="CX20" s="46" t="n">
        <f aca="false">N(MONTH(CX$4)=Months_In_Year)</f>
        <v>0</v>
      </c>
      <c r="CY20" s="46" t="n">
        <f aca="false">N(MONTH(CY$4)=Months_In_Year)</f>
        <v>1</v>
      </c>
      <c r="CZ20" s="46" t="n">
        <f aca="false">N(MONTH(CZ$4)=Months_In_Year)</f>
        <v>0</v>
      </c>
      <c r="DA20" s="46" t="n">
        <f aca="false">N(MONTH(DA$4)=Months_In_Year)</f>
        <v>0</v>
      </c>
      <c r="DB20" s="46" t="n">
        <f aca="false">N(MONTH(DB$4)=Months_In_Year)</f>
        <v>0</v>
      </c>
      <c r="DC20" s="46" t="n">
        <f aca="false">N(MONTH(DC$4)=Months_In_Year)</f>
        <v>1</v>
      </c>
      <c r="DD20" s="46" t="n">
        <f aca="false">N(MONTH(DD$4)=Months_In_Year)</f>
        <v>0</v>
      </c>
      <c r="DE20" s="46" t="n">
        <f aca="false">N(MONTH(DE$4)=Months_In_Year)</f>
        <v>0</v>
      </c>
      <c r="DF20" s="46" t="n">
        <f aca="false">N(MONTH(DF$4)=Months_In_Year)</f>
        <v>0</v>
      </c>
      <c r="DG20" s="46" t="n">
        <f aca="false">N(MONTH(DG$4)=Months_In_Year)</f>
        <v>1</v>
      </c>
      <c r="DH20" s="46" t="n">
        <f aca="false">N(MONTH(DH$4)=Months_In_Year)</f>
        <v>0</v>
      </c>
      <c r="DI20" s="46" t="n">
        <f aca="false">N(MONTH(DI$4)=Months_In_Year)</f>
        <v>0</v>
      </c>
      <c r="DJ20" s="46" t="n">
        <f aca="false">N(MONTH(DJ$4)=Months_In_Year)</f>
        <v>0</v>
      </c>
      <c r="DK20" s="46" t="n">
        <f aca="false">N(MONTH(DK$4)=Months_In_Year)</f>
        <v>1</v>
      </c>
      <c r="DL20" s="46" t="n">
        <f aca="false">N(MONTH(DL$4)=Months_In_Year)</f>
        <v>0</v>
      </c>
      <c r="DM20" s="46" t="n">
        <f aca="false">N(MONTH(DM$4)=Months_In_Year)</f>
        <v>0</v>
      </c>
      <c r="DN20" s="46" t="n">
        <f aca="false">N(MONTH(DN$4)=Months_In_Year)</f>
        <v>0</v>
      </c>
      <c r="DO20" s="46" t="n">
        <f aca="false">N(MONTH(DO$4)=Months_In_Year)</f>
        <v>1</v>
      </c>
      <c r="DP20" s="46" t="n">
        <f aca="false">N(MONTH(DP$4)=Months_In_Year)</f>
        <v>0</v>
      </c>
      <c r="DQ20" s="46" t="n">
        <f aca="false">N(MONTH(DQ$4)=Months_In_Year)</f>
        <v>0</v>
      </c>
      <c r="DR20" s="46" t="n">
        <f aca="false">N(MONTH(DR$4)=Months_In_Year)</f>
        <v>0</v>
      </c>
      <c r="DS20" s="46" t="n">
        <f aca="false">N(MONTH(DS$4)=Months_In_Year)</f>
        <v>1</v>
      </c>
      <c r="DT20" s="46" t="n">
        <f aca="false">N(MONTH(DT$4)=Months_In_Year)</f>
        <v>0</v>
      </c>
      <c r="DU20" s="46" t="n">
        <f aca="false">N(MONTH(DU$4)=Months_In_Year)</f>
        <v>0</v>
      </c>
      <c r="DV20" s="46" t="n">
        <f aca="false">N(MONTH(DV$4)=Months_In_Year)</f>
        <v>0</v>
      </c>
      <c r="DW20" s="46" t="n">
        <f aca="false">N(MONTH(DW$4)=Months_In_Year)</f>
        <v>1</v>
      </c>
      <c r="DX20" s="46" t="n">
        <f aca="false">N(MONTH(DX$4)=Months_In_Year)</f>
        <v>0</v>
      </c>
      <c r="DY20" s="46" t="n">
        <f aca="false">N(MONTH(DY$4)=Months_In_Year)</f>
        <v>0</v>
      </c>
      <c r="DZ20" s="46" t="n">
        <f aca="false">N(MONTH(DZ$4)=Months_In_Year)</f>
        <v>0</v>
      </c>
      <c r="EA20" s="46" t="n">
        <f aca="false">N(MONTH(EA$4)=Months_In_Year)</f>
        <v>1</v>
      </c>
      <c r="EB20" s="46" t="n">
        <f aca="false">N(MONTH(EB$4)=Months_In_Year)</f>
        <v>0</v>
      </c>
      <c r="EC20" s="46" t="n">
        <f aca="false">N(MONTH(EC$4)=Months_In_Year)</f>
        <v>0</v>
      </c>
      <c r="ED20" s="46" t="n">
        <f aca="false">N(MONTH(ED$4)=Months_In_Year)</f>
        <v>0</v>
      </c>
      <c r="EE20" s="46" t="n">
        <f aca="false">N(MONTH(EE$4)=Months_In_Year)</f>
        <v>1</v>
      </c>
      <c r="EF20" s="46" t="n">
        <f aca="false">N(MONTH(EF$4)=Months_In_Year)</f>
        <v>0</v>
      </c>
      <c r="EG20" s="46" t="n">
        <f aca="false">N(MONTH(EG$4)=Months_In_Year)</f>
        <v>0</v>
      </c>
      <c r="EH20" s="46" t="n">
        <f aca="false">N(MONTH(EH$4)=Months_In_Year)</f>
        <v>0</v>
      </c>
      <c r="EI20" s="46" t="n">
        <f aca="false">N(MONTH(EI$4)=Months_In_Year)</f>
        <v>1</v>
      </c>
      <c r="EJ20" s="46" t="n">
        <f aca="false">N(MONTH(EJ$4)=Months_In_Year)</f>
        <v>0</v>
      </c>
      <c r="EK20" s="46" t="n">
        <f aca="false">N(MONTH(EK$4)=Months_In_Year)</f>
        <v>0</v>
      </c>
      <c r="EL20" s="46" t="n">
        <f aca="false">N(MONTH(EL$4)=Months_In_Year)</f>
        <v>0</v>
      </c>
      <c r="EM20" s="46" t="n">
        <f aca="false">N(MONTH(EM$4)=Months_In_Year)</f>
        <v>1</v>
      </c>
      <c r="EN20" s="46" t="n">
        <f aca="false">N(MONTH(EN$4)=Months_In_Year)</f>
        <v>0</v>
      </c>
      <c r="EO20" s="46" t="n">
        <f aca="false">N(MONTH(EO$4)=Months_In_Year)</f>
        <v>0</v>
      </c>
      <c r="EP20" s="46" t="n">
        <f aca="false">N(MONTH(EP$4)=Months_In_Year)</f>
        <v>0</v>
      </c>
      <c r="EQ20" s="46" t="n">
        <f aca="false">N(MONTH(EQ$4)=Months_In_Year)</f>
        <v>1</v>
      </c>
      <c r="ER20" s="46" t="n">
        <f aca="false">N(MONTH(ER$4)=Months_In_Year)</f>
        <v>0</v>
      </c>
      <c r="ES20" s="46" t="n">
        <f aca="false">N(MONTH(ES$4)=Months_In_Year)</f>
        <v>0</v>
      </c>
      <c r="ET20" s="46" t="n">
        <f aca="false">N(MONTH(ET$4)=Months_In_Year)</f>
        <v>0</v>
      </c>
    </row>
    <row r="21" customFormat="false" ht="15" hidden="false" customHeight="false" outlineLevel="0" collapsed="false">
      <c r="C21" s="1" t="s">
        <v>453</v>
      </c>
      <c r="D21" s="12" t="s">
        <v>442</v>
      </c>
      <c r="J21" s="54" t="n">
        <f aca="false">1/(1+In_Buyer_Rate)^(MAX(0,J$4-In_COD)/Days_In_Year)</f>
        <v>1</v>
      </c>
      <c r="K21" s="54" t="n">
        <f aca="false">1/(1+In_Buyer_Rate)^(MAX(0,K$4-In_COD)/Days_In_Year)</f>
        <v>1</v>
      </c>
      <c r="L21" s="54" t="n">
        <f aca="false">1/(1+In_Buyer_Rate)^(MAX(0,L$4-In_COD)/Days_In_Year)</f>
        <v>1</v>
      </c>
      <c r="M21" s="54" t="n">
        <f aca="false">1/(1+In_Buyer_Rate)^(MAX(0,M$4-In_COD)/Days_In_Year)</f>
        <v>1</v>
      </c>
      <c r="N21" s="54" t="n">
        <f aca="false">1/(1+In_Buyer_Rate)^(MAX(0,N$4-In_COD)/Days_In_Year)</f>
        <v>1</v>
      </c>
      <c r="O21" s="54" t="n">
        <f aca="false">1/(1+In_Buyer_Rate)^(MAX(0,O$4-In_COD)/Days_In_Year)</f>
        <v>1</v>
      </c>
      <c r="P21" s="54" t="n">
        <f aca="false">1/(1+In_Buyer_Rate)^(MAX(0,P$4-In_COD)/Days_In_Year)</f>
        <v>1</v>
      </c>
      <c r="Q21" s="54" t="n">
        <f aca="false">1/(1+In_Buyer_Rate)^(MAX(0,Q$4-In_COD)/Days_In_Year)</f>
        <v>1</v>
      </c>
      <c r="R21" s="54" t="n">
        <f aca="false">1/(1+In_Buyer_Rate)^(MAX(0,R$4-In_COD)/Days_In_Year)</f>
        <v>1</v>
      </c>
      <c r="S21" s="54" t="n">
        <f aca="false">1/(1+In_Buyer_Rate)^(MAX(0,S$4-In_COD)/Days_In_Year)</f>
        <v>1</v>
      </c>
      <c r="T21" s="54" t="n">
        <f aca="false">1/(1+In_Buyer_Rate)^(MAX(0,T$4-In_COD)/Days_In_Year)</f>
        <v>1</v>
      </c>
      <c r="U21" s="54" t="n">
        <f aca="false">1/(1+In_Buyer_Rate)^(MAX(0,U$4-In_COD)/Days_In_Year)</f>
        <v>1</v>
      </c>
      <c r="V21" s="54" t="n">
        <f aca="false">1/(1+In_Buyer_Rate)^(MAX(0,V$4-In_COD)/Days_In_Year)</f>
        <v>1</v>
      </c>
      <c r="W21" s="54" t="n">
        <f aca="false">1/(1+In_Buyer_Rate)^(MAX(0,W$4-In_COD)/Days_In_Year)</f>
        <v>1</v>
      </c>
      <c r="X21" s="54" t="n">
        <f aca="false">1/(1+In_Buyer_Rate)^(MAX(0,X$4-In_COD)/Days_In_Year)</f>
        <v>1</v>
      </c>
      <c r="Y21" s="54" t="n">
        <f aca="false">1/(1+In_Buyer_Rate)^(MAX(0,Y$4-In_COD)/Days_In_Year)</f>
        <v>1</v>
      </c>
      <c r="Z21" s="54" t="n">
        <f aca="false">1/(1+In_Buyer_Rate)^(MAX(0,Z$4-In_COD)/Days_In_Year)</f>
        <v>1</v>
      </c>
      <c r="AA21" s="54" t="n">
        <f aca="false">1/(1+In_Buyer_Rate)^(MAX(0,AA$4-In_COD)/Days_In_Year)</f>
        <v>1</v>
      </c>
      <c r="AB21" s="54" t="n">
        <f aca="false">1/(1+In_Buyer_Rate)^(MAX(0,AB$4-In_COD)/Days_In_Year)</f>
        <v>1</v>
      </c>
      <c r="AC21" s="54" t="n">
        <f aca="false">1/(1+In_Buyer_Rate)^(MAX(0,AC$4-In_COD)/Days_In_Year)</f>
        <v>1</v>
      </c>
      <c r="AD21" s="54" t="n">
        <f aca="false">1/(1+In_Buyer_Rate)^(MAX(0,AD$4-In_COD)/Days_In_Year)</f>
        <v>1</v>
      </c>
      <c r="AE21" s="54" t="n">
        <f aca="false">1/(1+In_Buyer_Rate)^(MAX(0,AE$4-In_COD)/Days_In_Year)</f>
        <v>0.980788538821203</v>
      </c>
      <c r="AF21" s="54" t="n">
        <f aca="false">1/(1+In_Buyer_Rate)^(MAX(0,AF$4-In_COD)/Days_In_Year)</f>
        <v>0.962149007700345</v>
      </c>
      <c r="AG21" s="54" t="n">
        <f aca="false">1/(1+In_Buyer_Rate)^(MAX(0,AG$4-In_COD)/Days_In_Year)</f>
        <v>0.943863714120663</v>
      </c>
      <c r="AH21" s="54" t="n">
        <f aca="false">1/(1+In_Buyer_Rate)^(MAX(0,AH$4-In_COD)/Days_In_Year)</f>
        <v>0.925730713018759</v>
      </c>
      <c r="AI21" s="54" t="n">
        <f aca="false">1/(1+In_Buyer_Rate)^(MAX(0,AI$4-In_COD)/Days_In_Year)</f>
        <v>0.907946073363579</v>
      </c>
      <c r="AJ21" s="54" t="n">
        <f aca="false">1/(1+In_Buyer_Rate)^(MAX(0,AJ$4-In_COD)/Days_In_Year)</f>
        <v>0.890878710833653</v>
      </c>
      <c r="AK21" s="54" t="n">
        <f aca="false">1/(1+In_Buyer_Rate)^(MAX(0,AK$4-In_COD)/Days_In_Year)</f>
        <v>0.873947883445058</v>
      </c>
      <c r="AL21" s="54" t="n">
        <f aca="false">1/(1+In_Buyer_Rate)^(MAX(0,AL$4-In_COD)/Days_In_Year)</f>
        <v>0.857158067609962</v>
      </c>
      <c r="AM21" s="54" t="n">
        <f aca="false">1/(1+In_Buyer_Rate)^(MAX(0,AM$4-In_COD)/Days_In_Year)</f>
        <v>0.840690808669981</v>
      </c>
      <c r="AN21" s="54" t="n">
        <f aca="false">1/(1+In_Buyer_Rate)^(MAX(0,AN$4-In_COD)/Days_In_Year)</f>
        <v>0.824887695216345</v>
      </c>
      <c r="AO21" s="54" t="n">
        <f aca="false">1/(1+In_Buyer_Rate)^(MAX(0,AO$4-In_COD)/Days_In_Year)</f>
        <v>0.809211003189869</v>
      </c>
      <c r="AP21" s="54" t="n">
        <f aca="false">1/(1+In_Buyer_Rate)^(MAX(0,AP$4-In_COD)/Days_In_Year)</f>
        <v>0.793664877416631</v>
      </c>
      <c r="AQ21" s="54" t="n">
        <f aca="false">1/(1+In_Buyer_Rate)^(MAX(0,AQ$4-In_COD)/Days_In_Year)</f>
        <v>0.778417415435167</v>
      </c>
      <c r="AR21" s="54" t="n">
        <f aca="false">1/(1+In_Buyer_Rate)^(MAX(0,AR$4-In_COD)/Days_In_Year)</f>
        <v>0.763784902978097</v>
      </c>
      <c r="AS21" s="54" t="n">
        <f aca="false">1/(1+In_Buyer_Rate)^(MAX(0,AS$4-In_COD)/Days_In_Year)</f>
        <v>0.749269447398027</v>
      </c>
      <c r="AT21" s="54" t="n">
        <f aca="false">1/(1+In_Buyer_Rate)^(MAX(0,AT$4-In_COD)/Days_In_Year)</f>
        <v>0.734874886496881</v>
      </c>
      <c r="AU21" s="54" t="n">
        <f aca="false">1/(1+In_Buyer_Rate)^(MAX(0,AU$4-In_COD)/Days_In_Year)</f>
        <v>0.720756866143673</v>
      </c>
      <c r="AV21" s="54" t="n">
        <f aca="false">1/(1+In_Buyer_Rate)^(MAX(0,AV$4-In_COD)/Days_In_Year)</f>
        <v>0.707059142826878</v>
      </c>
      <c r="AW21" s="54" t="n">
        <f aca="false">1/(1+In_Buyer_Rate)^(MAX(0,AW$4-In_COD)/Days_In_Year)</f>
        <v>0.693621739782947</v>
      </c>
      <c r="AX21" s="54" t="n">
        <f aca="false">1/(1+In_Buyer_Rate)^(MAX(0,AX$4-In_COD)/Days_In_Year)</f>
        <v>0.680296252656337</v>
      </c>
      <c r="AY21" s="54" t="n">
        <f aca="false">1/(1+In_Buyer_Rate)^(MAX(0,AY$4-In_COD)/Days_In_Year)</f>
        <v>0.667226767608349</v>
      </c>
      <c r="AZ21" s="54" t="n">
        <f aca="false">1/(1+In_Buyer_Rate)^(MAX(0,AZ$4-In_COD)/Days_In_Year)</f>
        <v>0.654684391506368</v>
      </c>
      <c r="BA21" s="54" t="n">
        <f aca="false">1/(1+In_Buyer_Rate)^(MAX(0,BA$4-In_COD)/Days_In_Year)</f>
        <v>0.642242351650877</v>
      </c>
      <c r="BB21" s="54" t="n">
        <f aca="false">1/(1+In_Buyer_Rate)^(MAX(0,BB$4-In_COD)/Days_In_Year)</f>
        <v>0.629903937644757</v>
      </c>
      <c r="BC21" s="54" t="n">
        <f aca="false">1/(1+In_Buyer_Rate)^(MAX(0,BC$4-In_COD)/Days_In_Year)</f>
        <v>0.617802562600323</v>
      </c>
      <c r="BD21" s="54" t="n">
        <f aca="false">1/(1+In_Buyer_Rate)^(MAX(0,BD$4-In_COD)/Days_In_Year)</f>
        <v>0.606189251394785</v>
      </c>
      <c r="BE21" s="54" t="n">
        <f aca="false">1/(1+In_Buyer_Rate)^(MAX(0,BE$4-In_COD)/Days_In_Year)</f>
        <v>0.594668844121182</v>
      </c>
      <c r="BF21" s="54" t="n">
        <f aca="false">1/(1+In_Buyer_Rate)^(MAX(0,BF$4-In_COD)/Days_In_Year)</f>
        <v>0.583244386708108</v>
      </c>
      <c r="BG21" s="54" t="n">
        <f aca="false">1/(1+In_Buyer_Rate)^(MAX(0,BG$4-In_COD)/Days_In_Year)</f>
        <v>0.572039409815114</v>
      </c>
      <c r="BH21" s="54" t="n">
        <f aca="false">1/(1+In_Buyer_Rate)^(MAX(0,BH$4-In_COD)/Days_In_Year)</f>
        <v>0.561286343884061</v>
      </c>
      <c r="BI21" s="54" t="n">
        <f aca="false">1/(1+In_Buyer_Rate)^(MAX(0,BI$4-In_COD)/Days_In_Year)</f>
        <v>0.550619300112206</v>
      </c>
      <c r="BJ21" s="54" t="n">
        <f aca="false">1/(1+In_Buyer_Rate)^(MAX(0,BJ$4-In_COD)/Days_In_Year)</f>
        <v>0.540041098803804</v>
      </c>
      <c r="BK21" s="54" t="n">
        <f aca="false">1/(1+In_Buyer_Rate)^(MAX(0,BK$4-In_COD)/Days_In_Year)</f>
        <v>0.529666120199179</v>
      </c>
      <c r="BL21" s="54" t="n">
        <f aca="false">1/(1+In_Buyer_Rate)^(MAX(0,BL$4-In_COD)/Days_In_Year)</f>
        <v>0.519600007331484</v>
      </c>
      <c r="BM21" s="54" t="n">
        <f aca="false">1/(1+In_Buyer_Rate)^(MAX(0,BM$4-In_COD)/Days_In_Year)</f>
        <v>0.509725197294762</v>
      </c>
      <c r="BN21" s="54" t="n">
        <f aca="false">1/(1+In_Buyer_Rate)^(MAX(0,BN$4-In_COD)/Days_In_Year)</f>
        <v>0.499932631455079</v>
      </c>
      <c r="BO21" s="54" t="n">
        <f aca="false">1/(1+In_Buyer_Rate)^(MAX(0,BO$4-In_COD)/Days_In_Year)</f>
        <v>0.490328195113866</v>
      </c>
      <c r="BP21" s="54" t="n">
        <f aca="false">1/(1+In_Buyer_Rate)^(MAX(0,BP$4-In_COD)/Days_In_Year)</f>
        <v>0.481111117899522</v>
      </c>
      <c r="BQ21" s="54" t="n">
        <f aca="false">1/(1+In_Buyer_Rate)^(MAX(0,BQ$4-In_COD)/Days_In_Year)</f>
        <v>0.471967775272928</v>
      </c>
      <c r="BR21" s="54" t="n">
        <f aca="false">1/(1+In_Buyer_Rate)^(MAX(0,BR$4-In_COD)/Days_In_Year)</f>
        <v>0.462900584680629</v>
      </c>
      <c r="BS21" s="54" t="n">
        <f aca="false">1/(1+In_Buyer_Rate)^(MAX(0,BS$4-In_COD)/Days_In_Year)</f>
        <v>0.454007588068395</v>
      </c>
      <c r="BT21" s="54" t="n">
        <f aca="false">1/(1+In_Buyer_Rate)^(MAX(0,BT$4-In_COD)/Days_In_Year)</f>
        <v>0.445473257314372</v>
      </c>
      <c r="BU21" s="54" t="n">
        <f aca="false">1/(1+In_Buyer_Rate)^(MAX(0,BU$4-In_COD)/Days_In_Year)</f>
        <v>0.437007199326785</v>
      </c>
      <c r="BV21" s="54" t="n">
        <f aca="false">1/(1+In_Buyer_Rate)^(MAX(0,BV$4-In_COD)/Days_In_Year)</f>
        <v>0.428611652482064</v>
      </c>
      <c r="BW21" s="54" t="n">
        <f aca="false">1/(1+In_Buyer_Rate)^(MAX(0,BW$4-In_COD)/Days_In_Year)</f>
        <v>0.420377396359624</v>
      </c>
      <c r="BX21" s="54" t="n">
        <f aca="false">1/(1+In_Buyer_Rate)^(MAX(0,BX$4-In_COD)/Days_In_Year)</f>
        <v>0.412475238254048</v>
      </c>
      <c r="BY21" s="54" t="n">
        <f aca="false">1/(1+In_Buyer_Rate)^(MAX(0,BY$4-In_COD)/Days_In_Year)</f>
        <v>0.404636295672949</v>
      </c>
      <c r="BZ21" s="54" t="n">
        <f aca="false">1/(1+In_Buyer_Rate)^(MAX(0,BZ$4-In_COD)/Days_In_Year)</f>
        <v>0.396862641187096</v>
      </c>
      <c r="CA21" s="54" t="n">
        <f aca="false">1/(1+In_Buyer_Rate)^(MAX(0,CA$4-In_COD)/Days_In_Year)</f>
        <v>0.389238329962615</v>
      </c>
      <c r="CB21" s="54" t="n">
        <f aca="false">1/(1+In_Buyer_Rate)^(MAX(0,CB$4-In_COD)/Days_In_Year)</f>
        <v>0.381840996411503</v>
      </c>
      <c r="CC21" s="54" t="n">
        <f aca="false">1/(1+In_Buyer_Rate)^(MAX(0,CC$4-In_COD)/Days_In_Year)</f>
        <v>0.374584246506588</v>
      </c>
      <c r="CD21" s="54" t="n">
        <f aca="false">1/(1+In_Buyer_Rate)^(MAX(0,CD$4-In_COD)/Days_In_Year)</f>
        <v>0.367387935796638</v>
      </c>
      <c r="CE21" s="54" t="n">
        <f aca="false">1/(1+In_Buyer_Rate)^(MAX(0,CE$4-In_COD)/Days_In_Year)</f>
        <v>0.360329876730523</v>
      </c>
      <c r="CF21" s="54" t="n">
        <f aca="false">1/(1+In_Buyer_Rate)^(MAX(0,CF$4-In_COD)/Days_In_Year)</f>
        <v>0.353556478158799</v>
      </c>
      <c r="CG21" s="54" t="n">
        <f aca="false">1/(1+In_Buyer_Rate)^(MAX(0,CG$4-In_COD)/Days_In_Year)</f>
        <v>0.346837265283878</v>
      </c>
      <c r="CH21" s="54" t="n">
        <f aca="false">1/(1+In_Buyer_Rate)^(MAX(0,CH$4-In_COD)/Days_In_Year)</f>
        <v>0.340174014626517</v>
      </c>
      <c r="CI21" s="54" t="n">
        <f aca="false">1/(1+In_Buyer_Rate)^(MAX(0,CI$4-In_COD)/Days_In_Year)</f>
        <v>0.333638774750484</v>
      </c>
      <c r="CJ21" s="54" t="n">
        <f aca="false">1/(1+In_Buyer_Rate)^(MAX(0,CJ$4-In_COD)/Days_In_Year)</f>
        <v>0.327367109406295</v>
      </c>
      <c r="CK21" s="54" t="n">
        <f aca="false">1/(1+In_Buyer_Rate)^(MAX(0,CK$4-In_COD)/Days_In_Year)</f>
        <v>0.321145616003591</v>
      </c>
      <c r="CL21" s="54" t="n">
        <f aca="false">1/(1+In_Buyer_Rate)^(MAX(0,CL$4-In_COD)/Days_In_Year)</f>
        <v>0.314975939468997</v>
      </c>
      <c r="CM21" s="54" t="n">
        <f aca="false">1/(1+In_Buyer_Rate)^(MAX(0,CM$4-In_COD)/Days_In_Year)</f>
        <v>0.308924791435633</v>
      </c>
      <c r="CN21" s="54" t="n">
        <f aca="false">1/(1+In_Buyer_Rate)^(MAX(0,CN$4-In_COD)/Days_In_Year)</f>
        <v>0.303117693894718</v>
      </c>
      <c r="CO21" s="54" t="n">
        <f aca="false">1/(1+In_Buyer_Rate)^(MAX(0,CO$4-In_COD)/Days_In_Year)</f>
        <v>0.297357051855177</v>
      </c>
      <c r="CP21" s="54" t="n">
        <f aca="false">1/(1+In_Buyer_Rate)^(MAX(0,CP$4-In_COD)/Days_In_Year)</f>
        <v>0.291644388397219</v>
      </c>
      <c r="CQ21" s="54" t="n">
        <f aca="false">1/(1+In_Buyer_Rate)^(MAX(0,CQ$4-In_COD)/Days_In_Year)</f>
        <v>0.286041473551512</v>
      </c>
      <c r="CR21" s="54" t="n">
        <f aca="false">1/(1+In_Buyer_Rate)^(MAX(0,CR$4-In_COD)/Days_In_Year)</f>
        <v>0.280605358897759</v>
      </c>
      <c r="CS21" s="54" t="n">
        <f aca="false">1/(1+In_Buyer_Rate)^(MAX(0,CS$4-In_COD)/Days_In_Year)</f>
        <v>0.275272555635049</v>
      </c>
      <c r="CT21" s="54" t="n">
        <f aca="false">1/(1+In_Buyer_Rate)^(MAX(0,CT$4-In_COD)/Days_In_Year)</f>
        <v>0.269984167618878</v>
      </c>
      <c r="CU21" s="54" t="n">
        <f aca="false">1/(1+In_Buyer_Rate)^(MAX(0,CU$4-In_COD)/Days_In_Year)</f>
        <v>0.264797377263778</v>
      </c>
      <c r="CV21" s="54" t="n">
        <f aca="false">1/(1+In_Buyer_Rate)^(MAX(0,CV$4-In_COD)/Days_In_Year)</f>
        <v>0.259819776757184</v>
      </c>
      <c r="CW21" s="54" t="n">
        <f aca="false">1/(1+In_Buyer_Rate)^(MAX(0,CW$4-In_COD)/Days_In_Year)</f>
        <v>0.254881995958379</v>
      </c>
      <c r="CX21" s="54" t="n">
        <f aca="false">1/(1+In_Buyer_Rate)^(MAX(0,CX$4-In_COD)/Days_In_Year)</f>
        <v>0.24998534038785</v>
      </c>
      <c r="CY21" s="54" t="n">
        <f aca="false">1/(1+In_Buyer_Rate)^(MAX(0,CY$4-In_COD)/Days_In_Year)</f>
        <v>0.24518275672572</v>
      </c>
      <c r="CZ21" s="54" t="n">
        <f aca="false">1/(1+In_Buyer_Rate)^(MAX(0,CZ$4-In_COD)/Days_In_Year)</f>
        <v>0.240573867367763</v>
      </c>
      <c r="DA21" s="54" t="n">
        <f aca="false">1/(1+In_Buyer_Rate)^(MAX(0,DA$4-In_COD)/Days_In_Year)</f>
        <v>0.23600184810961</v>
      </c>
      <c r="DB21" s="54" t="n">
        <f aca="false">1/(1+In_Buyer_Rate)^(MAX(0,DB$4-In_COD)/Days_In_Year)</f>
        <v>0.231467907766528</v>
      </c>
      <c r="DC21" s="54" t="n">
        <f aca="false">1/(1+In_Buyer_Rate)^(MAX(0,DC$4-In_COD)/Days_In_Year)</f>
        <v>0.227021071042334</v>
      </c>
      <c r="DD21" s="54" t="n">
        <f aca="false">1/(1+In_Buyer_Rate)^(MAX(0,DD$4-In_COD)/Days_In_Year)</f>
        <v>0.222753580896077</v>
      </c>
      <c r="DE21" s="54" t="n">
        <f aca="false">1/(1+In_Buyer_Rate)^(MAX(0,DE$4-In_COD)/Days_In_Year)</f>
        <v>0.21852022973112</v>
      </c>
      <c r="DF21" s="54" t="n">
        <f aca="false">1/(1+In_Buyer_Rate)^(MAX(0,DF$4-In_COD)/Days_In_Year)</f>
        <v>0.214322136820859</v>
      </c>
      <c r="DG21" s="54" t="n">
        <f aca="false">1/(1+In_Buyer_Rate)^(MAX(0,DG$4-In_COD)/Days_In_Year)</f>
        <v>0.210204695409568</v>
      </c>
      <c r="DH21" s="54" t="n">
        <f aca="false">1/(1+In_Buyer_Rate)^(MAX(0,DH$4-In_COD)/Days_In_Year)</f>
        <v>0.206209831270407</v>
      </c>
      <c r="DI21" s="54" t="n">
        <f aca="false">1/(1+In_Buyer_Rate)^(MAX(0,DI$4-In_COD)/Days_In_Year)</f>
        <v>0.202290888078013</v>
      </c>
      <c r="DJ21" s="54" t="n">
        <f aca="false">1/(1+In_Buyer_Rate)^(MAX(0,DJ$4-In_COD)/Days_In_Year)</f>
        <v>0.198404584534878</v>
      </c>
      <c r="DK21" s="54" t="n">
        <f aca="false">1/(1+In_Buyer_Rate)^(MAX(0,DK$4-In_COD)/Days_In_Year)</f>
        <v>0.194592942561391</v>
      </c>
      <c r="DL21" s="54" t="n">
        <f aca="false">1/(1+In_Buyer_Rate)^(MAX(0,DL$4-In_COD)/Days_In_Year)</f>
        <v>0.190935028954081</v>
      </c>
      <c r="DM21" s="54" t="n">
        <f aca="false">1/(1+In_Buyer_Rate)^(MAX(0,DM$4-In_COD)/Days_In_Year)</f>
        <v>0.187306377850012</v>
      </c>
      <c r="DN21" s="54" t="n">
        <f aca="false">1/(1+In_Buyer_Rate)^(MAX(0,DN$4-In_COD)/Days_In_Year)</f>
        <v>0.183707948643405</v>
      </c>
      <c r="DO21" s="54" t="n">
        <f aca="false">1/(1+In_Buyer_Rate)^(MAX(0,DO$4-In_COD)/Days_In_Year)</f>
        <v>0.180178650519806</v>
      </c>
      <c r="DP21" s="54" t="n">
        <f aca="false">1/(1+In_Buyer_Rate)^(MAX(0,DP$4-In_COD)/Days_In_Year)</f>
        <v>0.176791693476001</v>
      </c>
      <c r="DQ21" s="54" t="n">
        <f aca="false">1/(1+In_Buyer_Rate)^(MAX(0,DQ$4-In_COD)/Days_In_Year)</f>
        <v>0.173431831342604</v>
      </c>
      <c r="DR21" s="54" t="n">
        <f aca="false">1/(1+In_Buyer_Rate)^(MAX(0,DR$4-In_COD)/Days_In_Year)</f>
        <v>0.170099952447597</v>
      </c>
      <c r="DS21" s="54" t="n">
        <f aca="false">1/(1+In_Buyer_Rate)^(MAX(0,DS$4-In_COD)/Days_In_Year)</f>
        <v>0.166832083814635</v>
      </c>
      <c r="DT21" s="54" t="n">
        <f aca="false">1/(1+In_Buyer_Rate)^(MAX(0,DT$4-In_COD)/Days_In_Year)</f>
        <v>0.163696012477778</v>
      </c>
      <c r="DU21" s="54" t="n">
        <f aca="false">1/(1+In_Buyer_Rate)^(MAX(0,DU$4-In_COD)/Days_In_Year)</f>
        <v>0.160585029020929</v>
      </c>
      <c r="DV21" s="54" t="n">
        <f aca="false">1/(1+In_Buyer_Rate)^(MAX(0,DV$4-In_COD)/Days_In_Year)</f>
        <v>0.157499955969998</v>
      </c>
      <c r="DW21" s="54" t="n">
        <f aca="false">1/(1+In_Buyer_Rate)^(MAX(0,DW$4-In_COD)/Days_In_Year)</f>
        <v>0.154474151680218</v>
      </c>
      <c r="DX21" s="54" t="n">
        <f aca="false">1/(1+In_Buyer_Rate)^(MAX(0,DX$4-In_COD)/Days_In_Year)</f>
        <v>0.151538426349381</v>
      </c>
      <c r="DY21" s="54" t="n">
        <f aca="false">1/(1+In_Buyer_Rate)^(MAX(0,DY$4-In_COD)/Days_In_Year)</f>
        <v>0.148658493415683</v>
      </c>
      <c r="DZ21" s="54" t="n">
        <f aca="false">1/(1+In_Buyer_Rate)^(MAX(0,DZ$4-In_COD)/Days_In_Year)</f>
        <v>0.145802546540529</v>
      </c>
      <c r="EA21" s="54" t="n">
        <f aca="false">1/(1+In_Buyer_Rate)^(MAX(0,EA$4-In_COD)/Days_In_Year)</f>
        <v>0.143001466577896</v>
      </c>
      <c r="EB21" s="54" t="n">
        <f aca="false">1/(1+In_Buyer_Rate)^(MAX(0,EB$4-In_COD)/Days_In_Year)</f>
        <v>0.140313357730909</v>
      </c>
      <c r="EC21" s="54" t="n">
        <f aca="false">1/(1+In_Buyer_Rate)^(MAX(0,EC$4-In_COD)/Days_In_Year)</f>
        <v>0.137646753162669</v>
      </c>
      <c r="ED21" s="54" t="n">
        <f aca="false">1/(1+In_Buyer_Rate)^(MAX(0,ED$4-In_COD)/Days_In_Year)</f>
        <v>0.135002357907897</v>
      </c>
      <c r="EE21" s="54" t="n">
        <f aca="false">1/(1+In_Buyer_Rate)^(MAX(0,EE$4-In_COD)/Days_In_Year)</f>
        <v>0.132408765349904</v>
      </c>
      <c r="EF21" s="54" t="n">
        <f aca="false">1/(1+In_Buyer_Rate)^(MAX(0,EF$4-In_COD)/Days_In_Year)</f>
        <v>0.129919775676767</v>
      </c>
      <c r="EG21" s="54" t="n">
        <f aca="false">1/(1+In_Buyer_Rate)^(MAX(0,EG$4-In_COD)/Days_In_Year)</f>
        <v>0.127450697372842</v>
      </c>
      <c r="EH21" s="54" t="n">
        <f aca="false">1/(1+In_Buyer_Rate)^(MAX(0,EH$4-In_COD)/Days_In_Year)</f>
        <v>0.125002183248053</v>
      </c>
      <c r="EI21" s="54" t="n">
        <f aca="false">1/(1+In_Buyer_Rate)^(MAX(0,EI$4-In_COD)/Days_In_Year)</f>
        <v>0.122600708657318</v>
      </c>
      <c r="EJ21" s="54" t="n">
        <f aca="false">1/(1+In_Buyer_Rate)^(MAX(0,EJ$4-In_COD)/Days_In_Year)</f>
        <v>0.120296088589599</v>
      </c>
      <c r="EK21" s="54" t="n">
        <f aca="false">1/(1+In_Buyer_Rate)^(MAX(0,EK$4-In_COD)/Days_In_Year)</f>
        <v>0.118009904974854</v>
      </c>
      <c r="EL21" s="54" t="n">
        <f aca="false">1/(1+In_Buyer_Rate)^(MAX(0,EL$4-In_COD)/Days_In_Year)</f>
        <v>0.115742762266716</v>
      </c>
      <c r="EM21" s="54" t="n">
        <f aca="false">1/(1+In_Buyer_Rate)^(MAX(0,EM$4-In_COD)/Days_In_Year)</f>
        <v>0.113519174682702</v>
      </c>
      <c r="EN21" s="54" t="n">
        <f aca="false">1/(1+In_Buyer_Rate)^(MAX(0,EN$4-In_COD)/Days_In_Year)</f>
        <v>0.111361783863418</v>
      </c>
      <c r="EO21" s="54" t="n">
        <f aca="false">1/(1+In_Buyer_Rate)^(MAX(0,EO$4-In_COD)/Days_In_Year)</f>
        <v>0.109245393475647</v>
      </c>
      <c r="EP21" s="54" t="n">
        <f aca="false">1/(1+In_Buyer_Rate)^(MAX(0,EP$4-In_COD)/Days_In_Year)</f>
        <v>0.107146629839927</v>
      </c>
      <c r="EQ21" s="54" t="n">
        <f aca="false">1/(1+In_Buyer_Rate)^(MAX(0,EQ$4-In_COD)/Days_In_Year)</f>
        <v>0.105088186520319</v>
      </c>
      <c r="ER21" s="54" t="n">
        <f aca="false">1/(1+In_Buyer_Rate)^(MAX(0,ER$4-In_COD)/Days_In_Year)</f>
        <v>0.103112762836498</v>
      </c>
      <c r="ES21" s="54" t="n">
        <f aca="false">1/(1+In_Buyer_Rate)^(MAX(0,ES$4-In_COD)/Days_In_Year)</f>
        <v>0.101153142107081</v>
      </c>
      <c r="ET21" s="54" t="n">
        <f aca="false">1/(1+In_Buyer_Rate)^(MAX(0,ET$4-In_COD)/Days_In_Year)</f>
        <v>0.0992098424443773</v>
      </c>
    </row>
    <row r="23" customFormat="false" ht="15" hidden="false" customHeight="false" outlineLevel="0" collapsed="false">
      <c r="A23" s="10" t="s">
        <v>13</v>
      </c>
      <c r="B23" s="10"/>
      <c r="C23" s="10" t="s">
        <v>454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</row>
    <row r="24" customFormat="false" ht="15" hidden="false" customHeight="false" outlineLevel="0" collapsed="false">
      <c r="C24" s="1" t="s">
        <v>455</v>
      </c>
      <c r="D24" s="12" t="s">
        <v>93</v>
      </c>
      <c r="E24" s="49" t="n">
        <f aca="false">In_MVA*(1+INDEX(Dash_Overbuild,1,$A$1))</f>
        <v>151</v>
      </c>
      <c r="F24" s="49" t="n">
        <f aca="false">In_MVA+($E24-In_MVA)*In_Overbuild_Built</f>
        <v>100</v>
      </c>
    </row>
    <row r="25" customFormat="false" ht="15" hidden="false" customHeight="false" outlineLevel="0" collapsed="false">
      <c r="C25" s="1" t="s">
        <v>456</v>
      </c>
      <c r="D25" s="12" t="s">
        <v>93</v>
      </c>
      <c r="E25" s="49" t="n">
        <f aca="false">INDEX(Dash_BESS,1,$A$1)*In_MVA</f>
        <v>51</v>
      </c>
      <c r="F25" s="49" t="n">
        <f aca="false">$E25*In_BESS_Built</f>
        <v>51</v>
      </c>
    </row>
    <row r="26" customFormat="false" ht="15" hidden="false" customHeight="false" outlineLevel="0" collapsed="false">
      <c r="C26" s="1" t="s">
        <v>457</v>
      </c>
      <c r="D26" s="12" t="s">
        <v>458</v>
      </c>
      <c r="E26" s="49" t="n">
        <f aca="false">$E25*INDEX(Dash_BESS_Hours,1,$A$1)</f>
        <v>204</v>
      </c>
    </row>
    <row r="27" customFormat="false" ht="15" hidden="false" customHeight="false" outlineLevel="0" collapsed="false">
      <c r="C27" s="1" t="s">
        <v>459</v>
      </c>
      <c r="D27" s="12" t="s">
        <v>35</v>
      </c>
      <c r="E27" s="55" t="n">
        <f aca="false">($F24-In_MVA)/$F24*In_Bottleneck_Loss</f>
        <v>0</v>
      </c>
    </row>
    <row r="29" customFormat="false" ht="15" hidden="false" customHeight="false" outlineLevel="0" collapsed="false">
      <c r="A29" s="10" t="s">
        <v>13</v>
      </c>
      <c r="B29" s="10"/>
      <c r="C29" s="10" t="s">
        <v>460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</row>
    <row r="30" customFormat="false" ht="15" hidden="false" customHeight="false" outlineLevel="0" collapsed="false">
      <c r="C30" s="1" t="s">
        <v>461</v>
      </c>
      <c r="D30" s="12" t="s">
        <v>27</v>
      </c>
      <c r="E30" s="29" t="n">
        <f aca="false">INDEX(Dash_Municipal,1,$A$1)</f>
        <v>50</v>
      </c>
      <c r="F30" s="29" t="n">
        <f aca="false">INDEX(Osz1_Pts,1+SUMPRODUCT((Osz1_LB&lt;$E30)+(Osz1_LB=$E30)*Osz1_Incl))*Osz1_W</f>
        <v>20</v>
      </c>
    </row>
    <row r="31" customFormat="false" ht="15" hidden="false" customHeight="false" outlineLevel="0" collapsed="false">
      <c r="C31" s="1" t="s">
        <v>462</v>
      </c>
      <c r="D31" s="12" t="s">
        <v>32</v>
      </c>
      <c r="E31" s="29" t="n">
        <f aca="false">INDEX(Dash_Community,1,$A$1)</f>
        <v>3</v>
      </c>
      <c r="F31" s="29" t="n">
        <f aca="false">INDEX(Osz2_Pts,1+SUMPRODUCT((Osz2_LB&lt;$E31)+(Osz2_LB=$E31)*Osz2_Incl))*Osz2_W</f>
        <v>15</v>
      </c>
    </row>
    <row r="32" customFormat="false" ht="15" hidden="false" customHeight="false" outlineLevel="0" collapsed="false">
      <c r="C32" s="1" t="s">
        <v>463</v>
      </c>
      <c r="D32" s="12" t="s">
        <v>35</v>
      </c>
      <c r="E32" s="48" t="n">
        <f aca="false">INDEX(Dash_Overbuild,1,$A$1)</f>
        <v>0.51</v>
      </c>
      <c r="F32" s="29" t="n">
        <f aca="false">INDEX(Osz3_Pts,1+SUMPRODUCT((Osz3_LB&lt;$E32)+(Osz3_LB=$E32)*Osz3_Incl))*Osz3_W</f>
        <v>10</v>
      </c>
    </row>
    <row r="33" customFormat="false" ht="15" hidden="false" customHeight="false" outlineLevel="0" collapsed="false">
      <c r="C33" s="1" t="s">
        <v>464</v>
      </c>
      <c r="D33" s="12" t="s">
        <v>35</v>
      </c>
      <c r="E33" s="48" t="n">
        <f aca="false">INDEX(Dash_BESS,1,$A$1)/IF(In_OSZ4_Basis=1,$E24/In_MVA,1)</f>
        <v>0.51</v>
      </c>
      <c r="F33" s="29" t="n">
        <f aca="false">INDEX(Osz4_Pts,1+SUMPRODUCT((Osz4_LB&lt;$E33)+(Osz4_LB=$E33)*Osz4_Incl))*Osz4_W*($E33&gt;=Osz4_Min)</f>
        <v>15</v>
      </c>
    </row>
    <row r="34" customFormat="false" ht="15" hidden="false" customHeight="false" outlineLevel="0" collapsed="false">
      <c r="C34" s="1" t="s">
        <v>465</v>
      </c>
      <c r="D34" s="12" t="s">
        <v>41</v>
      </c>
      <c r="E34" s="46" t="n">
        <f aca="false">INDEX(Dash_Partial,1,$A$1)</f>
        <v>1</v>
      </c>
      <c r="F34" s="29" t="n">
        <f aca="false">$E34*Osz5_Pts*Osz5_W</f>
        <v>5</v>
      </c>
    </row>
    <row r="35" customFormat="false" ht="15" hidden="false" customHeight="false" outlineLevel="0" collapsed="false">
      <c r="C35" s="1" t="s">
        <v>466</v>
      </c>
      <c r="D35" s="12" t="s">
        <v>13</v>
      </c>
      <c r="E35" s="52" t="n">
        <f aca="false">INDEX(Dash_PB_Mult,1,$A$1)</f>
        <v>1</v>
      </c>
      <c r="F35" s="29" t="n">
        <f aca="false">INDEX(Osz6_Pts,1+SUMPRODUCT((Osz6_LB&lt;$E35)+(Osz6_LB=$E35)*Osz6_Incl))*Osz6_W</f>
        <v>0</v>
      </c>
    </row>
    <row r="36" customFormat="false" ht="15" hidden="false" customHeight="false" outlineLevel="0" collapsed="false">
      <c r="C36" s="1" t="s">
        <v>467</v>
      </c>
      <c r="D36" s="12" t="s">
        <v>41</v>
      </c>
      <c r="E36" s="46" t="n">
        <f aca="false">INDEX(Dash_Brownfield,1,$A$1)</f>
        <v>0</v>
      </c>
      <c r="F36" s="29" t="n">
        <f aca="false">$E36*Osz7_Pts*Osz7_W</f>
        <v>0</v>
      </c>
    </row>
    <row r="37" customFormat="false" ht="15" hidden="false" customHeight="false" outlineLevel="0" collapsed="false">
      <c r="C37" s="1" t="s">
        <v>468</v>
      </c>
      <c r="D37" s="12" t="s">
        <v>41</v>
      </c>
      <c r="E37" s="46" t="n">
        <f aca="false">INDEX(Dash_Shared,1,$A$1)</f>
        <v>1</v>
      </c>
      <c r="F37" s="29" t="n">
        <f aca="false">$E37*Osz8_Pts*Osz8_W</f>
        <v>5</v>
      </c>
    </row>
    <row r="38" customFormat="false" ht="15" hidden="false" customHeight="false" outlineLevel="0" collapsed="false">
      <c r="C38" s="1" t="s">
        <v>469</v>
      </c>
      <c r="D38" s="12" t="s">
        <v>41</v>
      </c>
      <c r="E38" s="46" t="n">
        <f aca="false">INDEX(Dash_EU_Turbine,1,$A$1)</f>
        <v>1</v>
      </c>
      <c r="F38" s="29" t="n">
        <f aca="false">$E38*Osz9a_Pts*Osz9_W</f>
        <v>12</v>
      </c>
    </row>
    <row r="39" customFormat="false" ht="15" hidden="false" customHeight="false" outlineLevel="0" collapsed="false">
      <c r="C39" s="1" t="s">
        <v>470</v>
      </c>
      <c r="D39" s="12" t="s">
        <v>41</v>
      </c>
      <c r="E39" s="46" t="n">
        <f aca="false">INDEX(Dash_EU_Transformer,1,$A$1)</f>
        <v>1</v>
      </c>
      <c r="F39" s="29" t="n">
        <f aca="false">$E39*Osz9b_Pts*Osz9_W</f>
        <v>3</v>
      </c>
    </row>
    <row r="40" customFormat="false" ht="15" hidden="false" customHeight="false" outlineLevel="0" collapsed="false">
      <c r="C40" s="31" t="s">
        <v>471</v>
      </c>
      <c r="D40" s="12" t="s">
        <v>70</v>
      </c>
      <c r="E40" s="32" t="n">
        <f aca="false">ROUND(SUM($F30:$F39),Points_Decimals)</f>
        <v>85</v>
      </c>
      <c r="F40" s="32" t="n">
        <f aca="false">ROUND(SUM($F30:$F37),Points_Decimals)</f>
        <v>70</v>
      </c>
    </row>
    <row r="41" customFormat="false" ht="15" hidden="false" customHeight="false" outlineLevel="0" collapsed="false">
      <c r="C41" s="1" t="s">
        <v>69</v>
      </c>
      <c r="D41" s="12" t="s">
        <v>70</v>
      </c>
      <c r="E41" s="29" t="n">
        <f aca="false">IF(In_CN_Turbine=1,$F40,$E40)</f>
        <v>85</v>
      </c>
    </row>
    <row r="42" customFormat="false" ht="15" hidden="false" customHeight="false" outlineLevel="0" collapsed="false">
      <c r="C42" s="1" t="s">
        <v>472</v>
      </c>
      <c r="D42" s="12" t="s">
        <v>180</v>
      </c>
      <c r="E42" s="42" t="n">
        <f aca="false">N(In_MVA&gt;In_Group_Cap)+N($E24&lt;In_MVA)+N($E25&gt;$E24)+N($E26&lt;$E25*In_Min_Hours)</f>
        <v>0</v>
      </c>
      <c r="F42" s="42" t="n">
        <f aca="false">($E30&lt;&gt;0)*($E30&lt;Osz1_Min)+($E30&gt;Osz1_Max)+($E31&lt;&gt;0)*($E31&lt;Osz2_Min)+($E31&gt;Osz2_Max)</f>
        <v>0</v>
      </c>
    </row>
    <row r="44" customFormat="false" ht="15" hidden="false" customHeight="false" outlineLevel="0" collapsed="false">
      <c r="A44" s="10" t="s">
        <v>13</v>
      </c>
      <c r="B44" s="10"/>
      <c r="C44" s="10" t="s">
        <v>473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</row>
    <row r="45" customFormat="false" ht="15" hidden="false" customHeight="false" outlineLevel="0" collapsed="false">
      <c r="C45" s="1" t="s">
        <v>474</v>
      </c>
      <c r="D45" s="12" t="s">
        <v>256</v>
      </c>
      <c r="E45" s="47" t="n">
        <f aca="false">$E24*In_Bench_Wind+$E26*In_Bench_BESS</f>
        <v>102106</v>
      </c>
    </row>
    <row r="46" customFormat="false" ht="15" hidden="false" customHeight="false" outlineLevel="0" collapsed="false">
      <c r="C46" s="1" t="s">
        <v>475</v>
      </c>
      <c r="D46" s="12" t="s">
        <v>222</v>
      </c>
      <c r="E46" s="47" t="n">
        <f aca="false">In_Signing_Fee+In_DD</f>
        <v>400</v>
      </c>
      <c r="F46" s="28" t="n">
        <f aca="false">In_Invest_Date</f>
        <v>46234</v>
      </c>
      <c r="I46" s="47" t="n">
        <f aca="false">SUM(J46:ET46)</f>
        <v>-400</v>
      </c>
      <c r="J46" s="47" t="n">
        <f aca="false">-$E46*N(AND(J$3&lt;=$F46,J$4&gt;=$F46))</f>
        <v>-400</v>
      </c>
      <c r="K46" s="47" t="n">
        <f aca="false">-$E46*N(AND(K$3&lt;=$F46,K$4&gt;=$F46))</f>
        <v>-0</v>
      </c>
      <c r="L46" s="47" t="n">
        <f aca="false">-$E46*N(AND(L$3&lt;=$F46,L$4&gt;=$F46))</f>
        <v>-0</v>
      </c>
      <c r="M46" s="47" t="n">
        <f aca="false">-$E46*N(AND(M$3&lt;=$F46,M$4&gt;=$F46))</f>
        <v>-0</v>
      </c>
      <c r="N46" s="47" t="n">
        <f aca="false">-$E46*N(AND(N$3&lt;=$F46,N$4&gt;=$F46))</f>
        <v>-0</v>
      </c>
      <c r="O46" s="47" t="n">
        <f aca="false">-$E46*N(AND(O$3&lt;=$F46,O$4&gt;=$F46))</f>
        <v>-0</v>
      </c>
      <c r="P46" s="47" t="n">
        <f aca="false">-$E46*N(AND(P$3&lt;=$F46,P$4&gt;=$F46))</f>
        <v>-0</v>
      </c>
      <c r="Q46" s="47" t="n">
        <f aca="false">-$E46*N(AND(Q$3&lt;=$F46,Q$4&gt;=$F46))</f>
        <v>-0</v>
      </c>
      <c r="R46" s="47" t="n">
        <f aca="false">-$E46*N(AND(R$3&lt;=$F46,R$4&gt;=$F46))</f>
        <v>-0</v>
      </c>
      <c r="S46" s="47" t="n">
        <f aca="false">-$E46*N(AND(S$3&lt;=$F46,S$4&gt;=$F46))</f>
        <v>-0</v>
      </c>
      <c r="T46" s="47" t="n">
        <f aca="false">-$E46*N(AND(T$3&lt;=$F46,T$4&gt;=$F46))</f>
        <v>-0</v>
      </c>
      <c r="U46" s="47" t="n">
        <f aca="false">-$E46*N(AND(U$3&lt;=$F46,U$4&gt;=$F46))</f>
        <v>-0</v>
      </c>
      <c r="V46" s="47" t="n">
        <f aca="false">-$E46*N(AND(V$3&lt;=$F46,V$4&gt;=$F46))</f>
        <v>-0</v>
      </c>
      <c r="W46" s="47" t="n">
        <f aca="false">-$E46*N(AND(W$3&lt;=$F46,W$4&gt;=$F46))</f>
        <v>-0</v>
      </c>
      <c r="X46" s="47" t="n">
        <f aca="false">-$E46*N(AND(X$3&lt;=$F46,X$4&gt;=$F46))</f>
        <v>-0</v>
      </c>
      <c r="Y46" s="47" t="n">
        <f aca="false">-$E46*N(AND(Y$3&lt;=$F46,Y$4&gt;=$F46))</f>
        <v>-0</v>
      </c>
      <c r="Z46" s="47" t="n">
        <f aca="false">-$E46*N(AND(Z$3&lt;=$F46,Z$4&gt;=$F46))</f>
        <v>-0</v>
      </c>
      <c r="AA46" s="47" t="n">
        <f aca="false">-$E46*N(AND(AA$3&lt;=$F46,AA$4&gt;=$F46))</f>
        <v>-0</v>
      </c>
      <c r="AB46" s="47" t="n">
        <f aca="false">-$E46*N(AND(AB$3&lt;=$F46,AB$4&gt;=$F46))</f>
        <v>-0</v>
      </c>
      <c r="AC46" s="47" t="n">
        <f aca="false">-$E46*N(AND(AC$3&lt;=$F46,AC$4&gt;=$F46))</f>
        <v>-0</v>
      </c>
      <c r="AD46" s="47" t="n">
        <f aca="false">-$E46*N(AND(AD$3&lt;=$F46,AD$4&gt;=$F46))</f>
        <v>-0</v>
      </c>
      <c r="AE46" s="47" t="n">
        <f aca="false">-$E46*N(AND(AE$3&lt;=$F46,AE$4&gt;=$F46))</f>
        <v>-0</v>
      </c>
      <c r="AF46" s="47" t="n">
        <f aca="false">-$E46*N(AND(AF$3&lt;=$F46,AF$4&gt;=$F46))</f>
        <v>-0</v>
      </c>
      <c r="AG46" s="47" t="n">
        <f aca="false">-$E46*N(AND(AG$3&lt;=$F46,AG$4&gt;=$F46))</f>
        <v>-0</v>
      </c>
      <c r="AH46" s="47" t="n">
        <f aca="false">-$E46*N(AND(AH$3&lt;=$F46,AH$4&gt;=$F46))</f>
        <v>-0</v>
      </c>
      <c r="AI46" s="47" t="n">
        <f aca="false">-$E46*N(AND(AI$3&lt;=$F46,AI$4&gt;=$F46))</f>
        <v>-0</v>
      </c>
      <c r="AJ46" s="47" t="n">
        <f aca="false">-$E46*N(AND(AJ$3&lt;=$F46,AJ$4&gt;=$F46))</f>
        <v>-0</v>
      </c>
      <c r="AK46" s="47" t="n">
        <f aca="false">-$E46*N(AND(AK$3&lt;=$F46,AK$4&gt;=$F46))</f>
        <v>-0</v>
      </c>
      <c r="AL46" s="47" t="n">
        <f aca="false">-$E46*N(AND(AL$3&lt;=$F46,AL$4&gt;=$F46))</f>
        <v>-0</v>
      </c>
      <c r="AM46" s="47" t="n">
        <f aca="false">-$E46*N(AND(AM$3&lt;=$F46,AM$4&gt;=$F46))</f>
        <v>-0</v>
      </c>
      <c r="AN46" s="47" t="n">
        <f aca="false">-$E46*N(AND(AN$3&lt;=$F46,AN$4&gt;=$F46))</f>
        <v>-0</v>
      </c>
      <c r="AO46" s="47" t="n">
        <f aca="false">-$E46*N(AND(AO$3&lt;=$F46,AO$4&gt;=$F46))</f>
        <v>-0</v>
      </c>
      <c r="AP46" s="47" t="n">
        <f aca="false">-$E46*N(AND(AP$3&lt;=$F46,AP$4&gt;=$F46))</f>
        <v>-0</v>
      </c>
      <c r="AQ46" s="47" t="n">
        <f aca="false">-$E46*N(AND(AQ$3&lt;=$F46,AQ$4&gt;=$F46))</f>
        <v>-0</v>
      </c>
      <c r="AR46" s="47" t="n">
        <f aca="false">-$E46*N(AND(AR$3&lt;=$F46,AR$4&gt;=$F46))</f>
        <v>-0</v>
      </c>
      <c r="AS46" s="47" t="n">
        <f aca="false">-$E46*N(AND(AS$3&lt;=$F46,AS$4&gt;=$F46))</f>
        <v>-0</v>
      </c>
      <c r="AT46" s="47" t="n">
        <f aca="false">-$E46*N(AND(AT$3&lt;=$F46,AT$4&gt;=$F46))</f>
        <v>-0</v>
      </c>
      <c r="AU46" s="47" t="n">
        <f aca="false">-$E46*N(AND(AU$3&lt;=$F46,AU$4&gt;=$F46))</f>
        <v>-0</v>
      </c>
      <c r="AV46" s="47" t="n">
        <f aca="false">-$E46*N(AND(AV$3&lt;=$F46,AV$4&gt;=$F46))</f>
        <v>-0</v>
      </c>
      <c r="AW46" s="47" t="n">
        <f aca="false">-$E46*N(AND(AW$3&lt;=$F46,AW$4&gt;=$F46))</f>
        <v>-0</v>
      </c>
      <c r="AX46" s="47" t="n">
        <f aca="false">-$E46*N(AND(AX$3&lt;=$F46,AX$4&gt;=$F46))</f>
        <v>-0</v>
      </c>
      <c r="AY46" s="47" t="n">
        <f aca="false">-$E46*N(AND(AY$3&lt;=$F46,AY$4&gt;=$F46))</f>
        <v>-0</v>
      </c>
      <c r="AZ46" s="47" t="n">
        <f aca="false">-$E46*N(AND(AZ$3&lt;=$F46,AZ$4&gt;=$F46))</f>
        <v>-0</v>
      </c>
      <c r="BA46" s="47" t="n">
        <f aca="false">-$E46*N(AND(BA$3&lt;=$F46,BA$4&gt;=$F46))</f>
        <v>-0</v>
      </c>
      <c r="BB46" s="47" t="n">
        <f aca="false">-$E46*N(AND(BB$3&lt;=$F46,BB$4&gt;=$F46))</f>
        <v>-0</v>
      </c>
      <c r="BC46" s="47" t="n">
        <f aca="false">-$E46*N(AND(BC$3&lt;=$F46,BC$4&gt;=$F46))</f>
        <v>-0</v>
      </c>
      <c r="BD46" s="47" t="n">
        <f aca="false">-$E46*N(AND(BD$3&lt;=$F46,BD$4&gt;=$F46))</f>
        <v>-0</v>
      </c>
      <c r="BE46" s="47" t="n">
        <f aca="false">-$E46*N(AND(BE$3&lt;=$F46,BE$4&gt;=$F46))</f>
        <v>-0</v>
      </c>
      <c r="BF46" s="47" t="n">
        <f aca="false">-$E46*N(AND(BF$3&lt;=$F46,BF$4&gt;=$F46))</f>
        <v>-0</v>
      </c>
      <c r="BG46" s="47" t="n">
        <f aca="false">-$E46*N(AND(BG$3&lt;=$F46,BG$4&gt;=$F46))</f>
        <v>-0</v>
      </c>
      <c r="BH46" s="47" t="n">
        <f aca="false">-$E46*N(AND(BH$3&lt;=$F46,BH$4&gt;=$F46))</f>
        <v>-0</v>
      </c>
      <c r="BI46" s="47" t="n">
        <f aca="false">-$E46*N(AND(BI$3&lt;=$F46,BI$4&gt;=$F46))</f>
        <v>-0</v>
      </c>
      <c r="BJ46" s="47" t="n">
        <f aca="false">-$E46*N(AND(BJ$3&lt;=$F46,BJ$4&gt;=$F46))</f>
        <v>-0</v>
      </c>
      <c r="BK46" s="47" t="n">
        <f aca="false">-$E46*N(AND(BK$3&lt;=$F46,BK$4&gt;=$F46))</f>
        <v>-0</v>
      </c>
      <c r="BL46" s="47" t="n">
        <f aca="false">-$E46*N(AND(BL$3&lt;=$F46,BL$4&gt;=$F46))</f>
        <v>-0</v>
      </c>
      <c r="BM46" s="47" t="n">
        <f aca="false">-$E46*N(AND(BM$3&lt;=$F46,BM$4&gt;=$F46))</f>
        <v>-0</v>
      </c>
      <c r="BN46" s="47" t="n">
        <f aca="false">-$E46*N(AND(BN$3&lt;=$F46,BN$4&gt;=$F46))</f>
        <v>-0</v>
      </c>
      <c r="BO46" s="47" t="n">
        <f aca="false">-$E46*N(AND(BO$3&lt;=$F46,BO$4&gt;=$F46))</f>
        <v>-0</v>
      </c>
      <c r="BP46" s="47" t="n">
        <f aca="false">-$E46*N(AND(BP$3&lt;=$F46,BP$4&gt;=$F46))</f>
        <v>-0</v>
      </c>
      <c r="BQ46" s="47" t="n">
        <f aca="false">-$E46*N(AND(BQ$3&lt;=$F46,BQ$4&gt;=$F46))</f>
        <v>-0</v>
      </c>
      <c r="BR46" s="47" t="n">
        <f aca="false">-$E46*N(AND(BR$3&lt;=$F46,BR$4&gt;=$F46))</f>
        <v>-0</v>
      </c>
      <c r="BS46" s="47" t="n">
        <f aca="false">-$E46*N(AND(BS$3&lt;=$F46,BS$4&gt;=$F46))</f>
        <v>-0</v>
      </c>
      <c r="BT46" s="47" t="n">
        <f aca="false">-$E46*N(AND(BT$3&lt;=$F46,BT$4&gt;=$F46))</f>
        <v>-0</v>
      </c>
      <c r="BU46" s="47" t="n">
        <f aca="false">-$E46*N(AND(BU$3&lt;=$F46,BU$4&gt;=$F46))</f>
        <v>-0</v>
      </c>
      <c r="BV46" s="47" t="n">
        <f aca="false">-$E46*N(AND(BV$3&lt;=$F46,BV$4&gt;=$F46))</f>
        <v>-0</v>
      </c>
      <c r="BW46" s="47" t="n">
        <f aca="false">-$E46*N(AND(BW$3&lt;=$F46,BW$4&gt;=$F46))</f>
        <v>-0</v>
      </c>
      <c r="BX46" s="47" t="n">
        <f aca="false">-$E46*N(AND(BX$3&lt;=$F46,BX$4&gt;=$F46))</f>
        <v>-0</v>
      </c>
      <c r="BY46" s="47" t="n">
        <f aca="false">-$E46*N(AND(BY$3&lt;=$F46,BY$4&gt;=$F46))</f>
        <v>-0</v>
      </c>
      <c r="BZ46" s="47" t="n">
        <f aca="false">-$E46*N(AND(BZ$3&lt;=$F46,BZ$4&gt;=$F46))</f>
        <v>-0</v>
      </c>
      <c r="CA46" s="47" t="n">
        <f aca="false">-$E46*N(AND(CA$3&lt;=$F46,CA$4&gt;=$F46))</f>
        <v>-0</v>
      </c>
      <c r="CB46" s="47" t="n">
        <f aca="false">-$E46*N(AND(CB$3&lt;=$F46,CB$4&gt;=$F46))</f>
        <v>-0</v>
      </c>
      <c r="CC46" s="47" t="n">
        <f aca="false">-$E46*N(AND(CC$3&lt;=$F46,CC$4&gt;=$F46))</f>
        <v>-0</v>
      </c>
      <c r="CD46" s="47" t="n">
        <f aca="false">-$E46*N(AND(CD$3&lt;=$F46,CD$4&gt;=$F46))</f>
        <v>-0</v>
      </c>
      <c r="CE46" s="47" t="n">
        <f aca="false">-$E46*N(AND(CE$3&lt;=$F46,CE$4&gt;=$F46))</f>
        <v>-0</v>
      </c>
      <c r="CF46" s="47" t="n">
        <f aca="false">-$E46*N(AND(CF$3&lt;=$F46,CF$4&gt;=$F46))</f>
        <v>-0</v>
      </c>
      <c r="CG46" s="47" t="n">
        <f aca="false">-$E46*N(AND(CG$3&lt;=$F46,CG$4&gt;=$F46))</f>
        <v>-0</v>
      </c>
      <c r="CH46" s="47" t="n">
        <f aca="false">-$E46*N(AND(CH$3&lt;=$F46,CH$4&gt;=$F46))</f>
        <v>-0</v>
      </c>
      <c r="CI46" s="47" t="n">
        <f aca="false">-$E46*N(AND(CI$3&lt;=$F46,CI$4&gt;=$F46))</f>
        <v>-0</v>
      </c>
      <c r="CJ46" s="47" t="n">
        <f aca="false">-$E46*N(AND(CJ$3&lt;=$F46,CJ$4&gt;=$F46))</f>
        <v>-0</v>
      </c>
      <c r="CK46" s="47" t="n">
        <f aca="false">-$E46*N(AND(CK$3&lt;=$F46,CK$4&gt;=$F46))</f>
        <v>-0</v>
      </c>
      <c r="CL46" s="47" t="n">
        <f aca="false">-$E46*N(AND(CL$3&lt;=$F46,CL$4&gt;=$F46))</f>
        <v>-0</v>
      </c>
      <c r="CM46" s="47" t="n">
        <f aca="false">-$E46*N(AND(CM$3&lt;=$F46,CM$4&gt;=$F46))</f>
        <v>-0</v>
      </c>
      <c r="CN46" s="47" t="n">
        <f aca="false">-$E46*N(AND(CN$3&lt;=$F46,CN$4&gt;=$F46))</f>
        <v>-0</v>
      </c>
      <c r="CO46" s="47" t="n">
        <f aca="false">-$E46*N(AND(CO$3&lt;=$F46,CO$4&gt;=$F46))</f>
        <v>-0</v>
      </c>
      <c r="CP46" s="47" t="n">
        <f aca="false">-$E46*N(AND(CP$3&lt;=$F46,CP$4&gt;=$F46))</f>
        <v>-0</v>
      </c>
      <c r="CQ46" s="47" t="n">
        <f aca="false">-$E46*N(AND(CQ$3&lt;=$F46,CQ$4&gt;=$F46))</f>
        <v>-0</v>
      </c>
      <c r="CR46" s="47" t="n">
        <f aca="false">-$E46*N(AND(CR$3&lt;=$F46,CR$4&gt;=$F46))</f>
        <v>-0</v>
      </c>
      <c r="CS46" s="47" t="n">
        <f aca="false">-$E46*N(AND(CS$3&lt;=$F46,CS$4&gt;=$F46))</f>
        <v>-0</v>
      </c>
      <c r="CT46" s="47" t="n">
        <f aca="false">-$E46*N(AND(CT$3&lt;=$F46,CT$4&gt;=$F46))</f>
        <v>-0</v>
      </c>
      <c r="CU46" s="47" t="n">
        <f aca="false">-$E46*N(AND(CU$3&lt;=$F46,CU$4&gt;=$F46))</f>
        <v>-0</v>
      </c>
      <c r="CV46" s="47" t="n">
        <f aca="false">-$E46*N(AND(CV$3&lt;=$F46,CV$4&gt;=$F46))</f>
        <v>-0</v>
      </c>
      <c r="CW46" s="47" t="n">
        <f aca="false">-$E46*N(AND(CW$3&lt;=$F46,CW$4&gt;=$F46))</f>
        <v>-0</v>
      </c>
      <c r="CX46" s="47" t="n">
        <f aca="false">-$E46*N(AND(CX$3&lt;=$F46,CX$4&gt;=$F46))</f>
        <v>-0</v>
      </c>
      <c r="CY46" s="47" t="n">
        <f aca="false">-$E46*N(AND(CY$3&lt;=$F46,CY$4&gt;=$F46))</f>
        <v>-0</v>
      </c>
      <c r="CZ46" s="47" t="n">
        <f aca="false">-$E46*N(AND(CZ$3&lt;=$F46,CZ$4&gt;=$F46))</f>
        <v>-0</v>
      </c>
      <c r="DA46" s="47" t="n">
        <f aca="false">-$E46*N(AND(DA$3&lt;=$F46,DA$4&gt;=$F46))</f>
        <v>-0</v>
      </c>
      <c r="DB46" s="47" t="n">
        <f aca="false">-$E46*N(AND(DB$3&lt;=$F46,DB$4&gt;=$F46))</f>
        <v>-0</v>
      </c>
      <c r="DC46" s="47" t="n">
        <f aca="false">-$E46*N(AND(DC$3&lt;=$F46,DC$4&gt;=$F46))</f>
        <v>-0</v>
      </c>
      <c r="DD46" s="47" t="n">
        <f aca="false">-$E46*N(AND(DD$3&lt;=$F46,DD$4&gt;=$F46))</f>
        <v>-0</v>
      </c>
      <c r="DE46" s="47" t="n">
        <f aca="false">-$E46*N(AND(DE$3&lt;=$F46,DE$4&gt;=$F46))</f>
        <v>-0</v>
      </c>
      <c r="DF46" s="47" t="n">
        <f aca="false">-$E46*N(AND(DF$3&lt;=$F46,DF$4&gt;=$F46))</f>
        <v>-0</v>
      </c>
      <c r="DG46" s="47" t="n">
        <f aca="false">-$E46*N(AND(DG$3&lt;=$F46,DG$4&gt;=$F46))</f>
        <v>-0</v>
      </c>
      <c r="DH46" s="47" t="n">
        <f aca="false">-$E46*N(AND(DH$3&lt;=$F46,DH$4&gt;=$F46))</f>
        <v>-0</v>
      </c>
      <c r="DI46" s="47" t="n">
        <f aca="false">-$E46*N(AND(DI$3&lt;=$F46,DI$4&gt;=$F46))</f>
        <v>-0</v>
      </c>
      <c r="DJ46" s="47" t="n">
        <f aca="false">-$E46*N(AND(DJ$3&lt;=$F46,DJ$4&gt;=$F46))</f>
        <v>-0</v>
      </c>
      <c r="DK46" s="47" t="n">
        <f aca="false">-$E46*N(AND(DK$3&lt;=$F46,DK$4&gt;=$F46))</f>
        <v>-0</v>
      </c>
      <c r="DL46" s="47" t="n">
        <f aca="false">-$E46*N(AND(DL$3&lt;=$F46,DL$4&gt;=$F46))</f>
        <v>-0</v>
      </c>
      <c r="DM46" s="47" t="n">
        <f aca="false">-$E46*N(AND(DM$3&lt;=$F46,DM$4&gt;=$F46))</f>
        <v>-0</v>
      </c>
      <c r="DN46" s="47" t="n">
        <f aca="false">-$E46*N(AND(DN$3&lt;=$F46,DN$4&gt;=$F46))</f>
        <v>-0</v>
      </c>
      <c r="DO46" s="47" t="n">
        <f aca="false">-$E46*N(AND(DO$3&lt;=$F46,DO$4&gt;=$F46))</f>
        <v>-0</v>
      </c>
      <c r="DP46" s="47" t="n">
        <f aca="false">-$E46*N(AND(DP$3&lt;=$F46,DP$4&gt;=$F46))</f>
        <v>-0</v>
      </c>
      <c r="DQ46" s="47" t="n">
        <f aca="false">-$E46*N(AND(DQ$3&lt;=$F46,DQ$4&gt;=$F46))</f>
        <v>-0</v>
      </c>
      <c r="DR46" s="47" t="n">
        <f aca="false">-$E46*N(AND(DR$3&lt;=$F46,DR$4&gt;=$F46))</f>
        <v>-0</v>
      </c>
      <c r="DS46" s="47" t="n">
        <f aca="false">-$E46*N(AND(DS$3&lt;=$F46,DS$4&gt;=$F46))</f>
        <v>-0</v>
      </c>
      <c r="DT46" s="47" t="n">
        <f aca="false">-$E46*N(AND(DT$3&lt;=$F46,DT$4&gt;=$F46))</f>
        <v>-0</v>
      </c>
      <c r="DU46" s="47" t="n">
        <f aca="false">-$E46*N(AND(DU$3&lt;=$F46,DU$4&gt;=$F46))</f>
        <v>-0</v>
      </c>
      <c r="DV46" s="47" t="n">
        <f aca="false">-$E46*N(AND(DV$3&lt;=$F46,DV$4&gt;=$F46))</f>
        <v>-0</v>
      </c>
      <c r="DW46" s="47" t="n">
        <f aca="false">-$E46*N(AND(DW$3&lt;=$F46,DW$4&gt;=$F46))</f>
        <v>-0</v>
      </c>
      <c r="DX46" s="47" t="n">
        <f aca="false">-$E46*N(AND(DX$3&lt;=$F46,DX$4&gt;=$F46))</f>
        <v>-0</v>
      </c>
      <c r="DY46" s="47" t="n">
        <f aca="false">-$E46*N(AND(DY$3&lt;=$F46,DY$4&gt;=$F46))</f>
        <v>-0</v>
      </c>
      <c r="DZ46" s="47" t="n">
        <f aca="false">-$E46*N(AND(DZ$3&lt;=$F46,DZ$4&gt;=$F46))</f>
        <v>-0</v>
      </c>
      <c r="EA46" s="47" t="n">
        <f aca="false">-$E46*N(AND(EA$3&lt;=$F46,EA$4&gt;=$F46))</f>
        <v>-0</v>
      </c>
      <c r="EB46" s="47" t="n">
        <f aca="false">-$E46*N(AND(EB$3&lt;=$F46,EB$4&gt;=$F46))</f>
        <v>-0</v>
      </c>
      <c r="EC46" s="47" t="n">
        <f aca="false">-$E46*N(AND(EC$3&lt;=$F46,EC$4&gt;=$F46))</f>
        <v>-0</v>
      </c>
      <c r="ED46" s="47" t="n">
        <f aca="false">-$E46*N(AND(ED$3&lt;=$F46,ED$4&gt;=$F46))</f>
        <v>-0</v>
      </c>
      <c r="EE46" s="47" t="n">
        <f aca="false">-$E46*N(AND(EE$3&lt;=$F46,EE$4&gt;=$F46))</f>
        <v>-0</v>
      </c>
      <c r="EF46" s="47" t="n">
        <f aca="false">-$E46*N(AND(EF$3&lt;=$F46,EF$4&gt;=$F46))</f>
        <v>-0</v>
      </c>
      <c r="EG46" s="47" t="n">
        <f aca="false">-$E46*N(AND(EG$3&lt;=$F46,EG$4&gt;=$F46))</f>
        <v>-0</v>
      </c>
      <c r="EH46" s="47" t="n">
        <f aca="false">-$E46*N(AND(EH$3&lt;=$F46,EH$4&gt;=$F46))</f>
        <v>-0</v>
      </c>
      <c r="EI46" s="47" t="n">
        <f aca="false">-$E46*N(AND(EI$3&lt;=$F46,EI$4&gt;=$F46))</f>
        <v>-0</v>
      </c>
      <c r="EJ46" s="47" t="n">
        <f aca="false">-$E46*N(AND(EJ$3&lt;=$F46,EJ$4&gt;=$F46))</f>
        <v>-0</v>
      </c>
      <c r="EK46" s="47" t="n">
        <f aca="false">-$E46*N(AND(EK$3&lt;=$F46,EK$4&gt;=$F46))</f>
        <v>-0</v>
      </c>
      <c r="EL46" s="47" t="n">
        <f aca="false">-$E46*N(AND(EL$3&lt;=$F46,EL$4&gt;=$F46))</f>
        <v>-0</v>
      </c>
      <c r="EM46" s="47" t="n">
        <f aca="false">-$E46*N(AND(EM$3&lt;=$F46,EM$4&gt;=$F46))</f>
        <v>-0</v>
      </c>
      <c r="EN46" s="47" t="n">
        <f aca="false">-$E46*N(AND(EN$3&lt;=$F46,EN$4&gt;=$F46))</f>
        <v>-0</v>
      </c>
      <c r="EO46" s="47" t="n">
        <f aca="false">-$E46*N(AND(EO$3&lt;=$F46,EO$4&gt;=$F46))</f>
        <v>-0</v>
      </c>
      <c r="EP46" s="47" t="n">
        <f aca="false">-$E46*N(AND(EP$3&lt;=$F46,EP$4&gt;=$F46))</f>
        <v>-0</v>
      </c>
      <c r="EQ46" s="47" t="n">
        <f aca="false">-$E46*N(AND(EQ$3&lt;=$F46,EQ$4&gt;=$F46))</f>
        <v>-0</v>
      </c>
      <c r="ER46" s="47" t="n">
        <f aca="false">-$E46*N(AND(ER$3&lt;=$F46,ER$4&gt;=$F46))</f>
        <v>-0</v>
      </c>
      <c r="ES46" s="47" t="n">
        <f aca="false">-$E46*N(AND(ES$3&lt;=$F46,ES$4&gt;=$F46))</f>
        <v>-0</v>
      </c>
      <c r="ET46" s="47" t="n">
        <f aca="false">-$E46*N(AND(ET$3&lt;=$F46,ET$4&gt;=$F46))</f>
        <v>-0</v>
      </c>
    </row>
    <row r="47" customFormat="false" ht="15" hidden="false" customHeight="false" outlineLevel="0" collapsed="false">
      <c r="C47" s="1" t="s">
        <v>476</v>
      </c>
      <c r="D47" s="12" t="s">
        <v>222</v>
      </c>
      <c r="E47" s="47" t="n">
        <f aca="false">In_Part_Fee*Thousand/In_FX</f>
        <v>8.21917808219178</v>
      </c>
      <c r="F47" s="28" t="n">
        <f aca="false">In_Bid_Date</f>
        <v>46325</v>
      </c>
      <c r="I47" s="47" t="n">
        <f aca="false">SUM(J47:ET47)</f>
        <v>-8.21917808219178</v>
      </c>
      <c r="J47" s="47" t="n">
        <f aca="false">-$E47*N(AND(J$3&lt;=$F47,J$4&gt;=$F47))</f>
        <v>-0</v>
      </c>
      <c r="K47" s="47" t="n">
        <f aca="false">-$E47*N(AND(K$3&lt;=$F47,K$4&gt;=$F47))</f>
        <v>-8.21917808219178</v>
      </c>
      <c r="L47" s="47" t="n">
        <f aca="false">-$E47*N(AND(L$3&lt;=$F47,L$4&gt;=$F47))</f>
        <v>-0</v>
      </c>
      <c r="M47" s="47" t="n">
        <f aca="false">-$E47*N(AND(M$3&lt;=$F47,M$4&gt;=$F47))</f>
        <v>-0</v>
      </c>
      <c r="N47" s="47" t="n">
        <f aca="false">-$E47*N(AND(N$3&lt;=$F47,N$4&gt;=$F47))</f>
        <v>-0</v>
      </c>
      <c r="O47" s="47" t="n">
        <f aca="false">-$E47*N(AND(O$3&lt;=$F47,O$4&gt;=$F47))</f>
        <v>-0</v>
      </c>
      <c r="P47" s="47" t="n">
        <f aca="false">-$E47*N(AND(P$3&lt;=$F47,P$4&gt;=$F47))</f>
        <v>-0</v>
      </c>
      <c r="Q47" s="47" t="n">
        <f aca="false">-$E47*N(AND(Q$3&lt;=$F47,Q$4&gt;=$F47))</f>
        <v>-0</v>
      </c>
      <c r="R47" s="47" t="n">
        <f aca="false">-$E47*N(AND(R$3&lt;=$F47,R$4&gt;=$F47))</f>
        <v>-0</v>
      </c>
      <c r="S47" s="47" t="n">
        <f aca="false">-$E47*N(AND(S$3&lt;=$F47,S$4&gt;=$F47))</f>
        <v>-0</v>
      </c>
      <c r="T47" s="47" t="n">
        <f aca="false">-$E47*N(AND(T$3&lt;=$F47,T$4&gt;=$F47))</f>
        <v>-0</v>
      </c>
      <c r="U47" s="47" t="n">
        <f aca="false">-$E47*N(AND(U$3&lt;=$F47,U$4&gt;=$F47))</f>
        <v>-0</v>
      </c>
      <c r="V47" s="47" t="n">
        <f aca="false">-$E47*N(AND(V$3&lt;=$F47,V$4&gt;=$F47))</f>
        <v>-0</v>
      </c>
      <c r="W47" s="47" t="n">
        <f aca="false">-$E47*N(AND(W$3&lt;=$F47,W$4&gt;=$F47))</f>
        <v>-0</v>
      </c>
      <c r="X47" s="47" t="n">
        <f aca="false">-$E47*N(AND(X$3&lt;=$F47,X$4&gt;=$F47))</f>
        <v>-0</v>
      </c>
      <c r="Y47" s="47" t="n">
        <f aca="false">-$E47*N(AND(Y$3&lt;=$F47,Y$4&gt;=$F47))</f>
        <v>-0</v>
      </c>
      <c r="Z47" s="47" t="n">
        <f aca="false">-$E47*N(AND(Z$3&lt;=$F47,Z$4&gt;=$F47))</f>
        <v>-0</v>
      </c>
      <c r="AA47" s="47" t="n">
        <f aca="false">-$E47*N(AND(AA$3&lt;=$F47,AA$4&gt;=$F47))</f>
        <v>-0</v>
      </c>
      <c r="AB47" s="47" t="n">
        <f aca="false">-$E47*N(AND(AB$3&lt;=$F47,AB$4&gt;=$F47))</f>
        <v>-0</v>
      </c>
      <c r="AC47" s="47" t="n">
        <f aca="false">-$E47*N(AND(AC$3&lt;=$F47,AC$4&gt;=$F47))</f>
        <v>-0</v>
      </c>
      <c r="AD47" s="47" t="n">
        <f aca="false">-$E47*N(AND(AD$3&lt;=$F47,AD$4&gt;=$F47))</f>
        <v>-0</v>
      </c>
      <c r="AE47" s="47" t="n">
        <f aca="false">-$E47*N(AND(AE$3&lt;=$F47,AE$4&gt;=$F47))</f>
        <v>-0</v>
      </c>
      <c r="AF47" s="47" t="n">
        <f aca="false">-$E47*N(AND(AF$3&lt;=$F47,AF$4&gt;=$F47))</f>
        <v>-0</v>
      </c>
      <c r="AG47" s="47" t="n">
        <f aca="false">-$E47*N(AND(AG$3&lt;=$F47,AG$4&gt;=$F47))</f>
        <v>-0</v>
      </c>
      <c r="AH47" s="47" t="n">
        <f aca="false">-$E47*N(AND(AH$3&lt;=$F47,AH$4&gt;=$F47))</f>
        <v>-0</v>
      </c>
      <c r="AI47" s="47" t="n">
        <f aca="false">-$E47*N(AND(AI$3&lt;=$F47,AI$4&gt;=$F47))</f>
        <v>-0</v>
      </c>
      <c r="AJ47" s="47" t="n">
        <f aca="false">-$E47*N(AND(AJ$3&lt;=$F47,AJ$4&gt;=$F47))</f>
        <v>-0</v>
      </c>
      <c r="AK47" s="47" t="n">
        <f aca="false">-$E47*N(AND(AK$3&lt;=$F47,AK$4&gt;=$F47))</f>
        <v>-0</v>
      </c>
      <c r="AL47" s="47" t="n">
        <f aca="false">-$E47*N(AND(AL$3&lt;=$F47,AL$4&gt;=$F47))</f>
        <v>-0</v>
      </c>
      <c r="AM47" s="47" t="n">
        <f aca="false">-$E47*N(AND(AM$3&lt;=$F47,AM$4&gt;=$F47))</f>
        <v>-0</v>
      </c>
      <c r="AN47" s="47" t="n">
        <f aca="false">-$E47*N(AND(AN$3&lt;=$F47,AN$4&gt;=$F47))</f>
        <v>-0</v>
      </c>
      <c r="AO47" s="47" t="n">
        <f aca="false">-$E47*N(AND(AO$3&lt;=$F47,AO$4&gt;=$F47))</f>
        <v>-0</v>
      </c>
      <c r="AP47" s="47" t="n">
        <f aca="false">-$E47*N(AND(AP$3&lt;=$F47,AP$4&gt;=$F47))</f>
        <v>-0</v>
      </c>
      <c r="AQ47" s="47" t="n">
        <f aca="false">-$E47*N(AND(AQ$3&lt;=$F47,AQ$4&gt;=$F47))</f>
        <v>-0</v>
      </c>
      <c r="AR47" s="47" t="n">
        <f aca="false">-$E47*N(AND(AR$3&lt;=$F47,AR$4&gt;=$F47))</f>
        <v>-0</v>
      </c>
      <c r="AS47" s="47" t="n">
        <f aca="false">-$E47*N(AND(AS$3&lt;=$F47,AS$4&gt;=$F47))</f>
        <v>-0</v>
      </c>
      <c r="AT47" s="47" t="n">
        <f aca="false">-$E47*N(AND(AT$3&lt;=$F47,AT$4&gt;=$F47))</f>
        <v>-0</v>
      </c>
      <c r="AU47" s="47" t="n">
        <f aca="false">-$E47*N(AND(AU$3&lt;=$F47,AU$4&gt;=$F47))</f>
        <v>-0</v>
      </c>
      <c r="AV47" s="47" t="n">
        <f aca="false">-$E47*N(AND(AV$3&lt;=$F47,AV$4&gt;=$F47))</f>
        <v>-0</v>
      </c>
      <c r="AW47" s="47" t="n">
        <f aca="false">-$E47*N(AND(AW$3&lt;=$F47,AW$4&gt;=$F47))</f>
        <v>-0</v>
      </c>
      <c r="AX47" s="47" t="n">
        <f aca="false">-$E47*N(AND(AX$3&lt;=$F47,AX$4&gt;=$F47))</f>
        <v>-0</v>
      </c>
      <c r="AY47" s="47" t="n">
        <f aca="false">-$E47*N(AND(AY$3&lt;=$F47,AY$4&gt;=$F47))</f>
        <v>-0</v>
      </c>
      <c r="AZ47" s="47" t="n">
        <f aca="false">-$E47*N(AND(AZ$3&lt;=$F47,AZ$4&gt;=$F47))</f>
        <v>-0</v>
      </c>
      <c r="BA47" s="47" t="n">
        <f aca="false">-$E47*N(AND(BA$3&lt;=$F47,BA$4&gt;=$F47))</f>
        <v>-0</v>
      </c>
      <c r="BB47" s="47" t="n">
        <f aca="false">-$E47*N(AND(BB$3&lt;=$F47,BB$4&gt;=$F47))</f>
        <v>-0</v>
      </c>
      <c r="BC47" s="47" t="n">
        <f aca="false">-$E47*N(AND(BC$3&lt;=$F47,BC$4&gt;=$F47))</f>
        <v>-0</v>
      </c>
      <c r="BD47" s="47" t="n">
        <f aca="false">-$E47*N(AND(BD$3&lt;=$F47,BD$4&gt;=$F47))</f>
        <v>-0</v>
      </c>
      <c r="BE47" s="47" t="n">
        <f aca="false">-$E47*N(AND(BE$3&lt;=$F47,BE$4&gt;=$F47))</f>
        <v>-0</v>
      </c>
      <c r="BF47" s="47" t="n">
        <f aca="false">-$E47*N(AND(BF$3&lt;=$F47,BF$4&gt;=$F47))</f>
        <v>-0</v>
      </c>
      <c r="BG47" s="47" t="n">
        <f aca="false">-$E47*N(AND(BG$3&lt;=$F47,BG$4&gt;=$F47))</f>
        <v>-0</v>
      </c>
      <c r="BH47" s="47" t="n">
        <f aca="false">-$E47*N(AND(BH$3&lt;=$F47,BH$4&gt;=$F47))</f>
        <v>-0</v>
      </c>
      <c r="BI47" s="47" t="n">
        <f aca="false">-$E47*N(AND(BI$3&lt;=$F47,BI$4&gt;=$F47))</f>
        <v>-0</v>
      </c>
      <c r="BJ47" s="47" t="n">
        <f aca="false">-$E47*N(AND(BJ$3&lt;=$F47,BJ$4&gt;=$F47))</f>
        <v>-0</v>
      </c>
      <c r="BK47" s="47" t="n">
        <f aca="false">-$E47*N(AND(BK$3&lt;=$F47,BK$4&gt;=$F47))</f>
        <v>-0</v>
      </c>
      <c r="BL47" s="47" t="n">
        <f aca="false">-$E47*N(AND(BL$3&lt;=$F47,BL$4&gt;=$F47))</f>
        <v>-0</v>
      </c>
      <c r="BM47" s="47" t="n">
        <f aca="false">-$E47*N(AND(BM$3&lt;=$F47,BM$4&gt;=$F47))</f>
        <v>-0</v>
      </c>
      <c r="BN47" s="47" t="n">
        <f aca="false">-$E47*N(AND(BN$3&lt;=$F47,BN$4&gt;=$F47))</f>
        <v>-0</v>
      </c>
      <c r="BO47" s="47" t="n">
        <f aca="false">-$E47*N(AND(BO$3&lt;=$F47,BO$4&gt;=$F47))</f>
        <v>-0</v>
      </c>
      <c r="BP47" s="47" t="n">
        <f aca="false">-$E47*N(AND(BP$3&lt;=$F47,BP$4&gt;=$F47))</f>
        <v>-0</v>
      </c>
      <c r="BQ47" s="47" t="n">
        <f aca="false">-$E47*N(AND(BQ$3&lt;=$F47,BQ$4&gt;=$F47))</f>
        <v>-0</v>
      </c>
      <c r="BR47" s="47" t="n">
        <f aca="false">-$E47*N(AND(BR$3&lt;=$F47,BR$4&gt;=$F47))</f>
        <v>-0</v>
      </c>
      <c r="BS47" s="47" t="n">
        <f aca="false">-$E47*N(AND(BS$3&lt;=$F47,BS$4&gt;=$F47))</f>
        <v>-0</v>
      </c>
      <c r="BT47" s="47" t="n">
        <f aca="false">-$E47*N(AND(BT$3&lt;=$F47,BT$4&gt;=$F47))</f>
        <v>-0</v>
      </c>
      <c r="BU47" s="47" t="n">
        <f aca="false">-$E47*N(AND(BU$3&lt;=$F47,BU$4&gt;=$F47))</f>
        <v>-0</v>
      </c>
      <c r="BV47" s="47" t="n">
        <f aca="false">-$E47*N(AND(BV$3&lt;=$F47,BV$4&gt;=$F47))</f>
        <v>-0</v>
      </c>
      <c r="BW47" s="47" t="n">
        <f aca="false">-$E47*N(AND(BW$3&lt;=$F47,BW$4&gt;=$F47))</f>
        <v>-0</v>
      </c>
      <c r="BX47" s="47" t="n">
        <f aca="false">-$E47*N(AND(BX$3&lt;=$F47,BX$4&gt;=$F47))</f>
        <v>-0</v>
      </c>
      <c r="BY47" s="47" t="n">
        <f aca="false">-$E47*N(AND(BY$3&lt;=$F47,BY$4&gt;=$F47))</f>
        <v>-0</v>
      </c>
      <c r="BZ47" s="47" t="n">
        <f aca="false">-$E47*N(AND(BZ$3&lt;=$F47,BZ$4&gt;=$F47))</f>
        <v>-0</v>
      </c>
      <c r="CA47" s="47" t="n">
        <f aca="false">-$E47*N(AND(CA$3&lt;=$F47,CA$4&gt;=$F47))</f>
        <v>-0</v>
      </c>
      <c r="CB47" s="47" t="n">
        <f aca="false">-$E47*N(AND(CB$3&lt;=$F47,CB$4&gt;=$F47))</f>
        <v>-0</v>
      </c>
      <c r="CC47" s="47" t="n">
        <f aca="false">-$E47*N(AND(CC$3&lt;=$F47,CC$4&gt;=$F47))</f>
        <v>-0</v>
      </c>
      <c r="CD47" s="47" t="n">
        <f aca="false">-$E47*N(AND(CD$3&lt;=$F47,CD$4&gt;=$F47))</f>
        <v>-0</v>
      </c>
      <c r="CE47" s="47" t="n">
        <f aca="false">-$E47*N(AND(CE$3&lt;=$F47,CE$4&gt;=$F47))</f>
        <v>-0</v>
      </c>
      <c r="CF47" s="47" t="n">
        <f aca="false">-$E47*N(AND(CF$3&lt;=$F47,CF$4&gt;=$F47))</f>
        <v>-0</v>
      </c>
      <c r="CG47" s="47" t="n">
        <f aca="false">-$E47*N(AND(CG$3&lt;=$F47,CG$4&gt;=$F47))</f>
        <v>-0</v>
      </c>
      <c r="CH47" s="47" t="n">
        <f aca="false">-$E47*N(AND(CH$3&lt;=$F47,CH$4&gt;=$F47))</f>
        <v>-0</v>
      </c>
      <c r="CI47" s="47" t="n">
        <f aca="false">-$E47*N(AND(CI$3&lt;=$F47,CI$4&gt;=$F47))</f>
        <v>-0</v>
      </c>
      <c r="CJ47" s="47" t="n">
        <f aca="false">-$E47*N(AND(CJ$3&lt;=$F47,CJ$4&gt;=$F47))</f>
        <v>-0</v>
      </c>
      <c r="CK47" s="47" t="n">
        <f aca="false">-$E47*N(AND(CK$3&lt;=$F47,CK$4&gt;=$F47))</f>
        <v>-0</v>
      </c>
      <c r="CL47" s="47" t="n">
        <f aca="false">-$E47*N(AND(CL$3&lt;=$F47,CL$4&gt;=$F47))</f>
        <v>-0</v>
      </c>
      <c r="CM47" s="47" t="n">
        <f aca="false">-$E47*N(AND(CM$3&lt;=$F47,CM$4&gt;=$F47))</f>
        <v>-0</v>
      </c>
      <c r="CN47" s="47" t="n">
        <f aca="false">-$E47*N(AND(CN$3&lt;=$F47,CN$4&gt;=$F47))</f>
        <v>-0</v>
      </c>
      <c r="CO47" s="47" t="n">
        <f aca="false">-$E47*N(AND(CO$3&lt;=$F47,CO$4&gt;=$F47))</f>
        <v>-0</v>
      </c>
      <c r="CP47" s="47" t="n">
        <f aca="false">-$E47*N(AND(CP$3&lt;=$F47,CP$4&gt;=$F47))</f>
        <v>-0</v>
      </c>
      <c r="CQ47" s="47" t="n">
        <f aca="false">-$E47*N(AND(CQ$3&lt;=$F47,CQ$4&gt;=$F47))</f>
        <v>-0</v>
      </c>
      <c r="CR47" s="47" t="n">
        <f aca="false">-$E47*N(AND(CR$3&lt;=$F47,CR$4&gt;=$F47))</f>
        <v>-0</v>
      </c>
      <c r="CS47" s="47" t="n">
        <f aca="false">-$E47*N(AND(CS$3&lt;=$F47,CS$4&gt;=$F47))</f>
        <v>-0</v>
      </c>
      <c r="CT47" s="47" t="n">
        <f aca="false">-$E47*N(AND(CT$3&lt;=$F47,CT$4&gt;=$F47))</f>
        <v>-0</v>
      </c>
      <c r="CU47" s="47" t="n">
        <f aca="false">-$E47*N(AND(CU$3&lt;=$F47,CU$4&gt;=$F47))</f>
        <v>-0</v>
      </c>
      <c r="CV47" s="47" t="n">
        <f aca="false">-$E47*N(AND(CV$3&lt;=$F47,CV$4&gt;=$F47))</f>
        <v>-0</v>
      </c>
      <c r="CW47" s="47" t="n">
        <f aca="false">-$E47*N(AND(CW$3&lt;=$F47,CW$4&gt;=$F47))</f>
        <v>-0</v>
      </c>
      <c r="CX47" s="47" t="n">
        <f aca="false">-$E47*N(AND(CX$3&lt;=$F47,CX$4&gt;=$F47))</f>
        <v>-0</v>
      </c>
      <c r="CY47" s="47" t="n">
        <f aca="false">-$E47*N(AND(CY$3&lt;=$F47,CY$4&gt;=$F47))</f>
        <v>-0</v>
      </c>
      <c r="CZ47" s="47" t="n">
        <f aca="false">-$E47*N(AND(CZ$3&lt;=$F47,CZ$4&gt;=$F47))</f>
        <v>-0</v>
      </c>
      <c r="DA47" s="47" t="n">
        <f aca="false">-$E47*N(AND(DA$3&lt;=$F47,DA$4&gt;=$F47))</f>
        <v>-0</v>
      </c>
      <c r="DB47" s="47" t="n">
        <f aca="false">-$E47*N(AND(DB$3&lt;=$F47,DB$4&gt;=$F47))</f>
        <v>-0</v>
      </c>
      <c r="DC47" s="47" t="n">
        <f aca="false">-$E47*N(AND(DC$3&lt;=$F47,DC$4&gt;=$F47))</f>
        <v>-0</v>
      </c>
      <c r="DD47" s="47" t="n">
        <f aca="false">-$E47*N(AND(DD$3&lt;=$F47,DD$4&gt;=$F47))</f>
        <v>-0</v>
      </c>
      <c r="DE47" s="47" t="n">
        <f aca="false">-$E47*N(AND(DE$3&lt;=$F47,DE$4&gt;=$F47))</f>
        <v>-0</v>
      </c>
      <c r="DF47" s="47" t="n">
        <f aca="false">-$E47*N(AND(DF$3&lt;=$F47,DF$4&gt;=$F47))</f>
        <v>-0</v>
      </c>
      <c r="DG47" s="47" t="n">
        <f aca="false">-$E47*N(AND(DG$3&lt;=$F47,DG$4&gt;=$F47))</f>
        <v>-0</v>
      </c>
      <c r="DH47" s="47" t="n">
        <f aca="false">-$E47*N(AND(DH$3&lt;=$F47,DH$4&gt;=$F47))</f>
        <v>-0</v>
      </c>
      <c r="DI47" s="47" t="n">
        <f aca="false">-$E47*N(AND(DI$3&lt;=$F47,DI$4&gt;=$F47))</f>
        <v>-0</v>
      </c>
      <c r="DJ47" s="47" t="n">
        <f aca="false">-$E47*N(AND(DJ$3&lt;=$F47,DJ$4&gt;=$F47))</f>
        <v>-0</v>
      </c>
      <c r="DK47" s="47" t="n">
        <f aca="false">-$E47*N(AND(DK$3&lt;=$F47,DK$4&gt;=$F47))</f>
        <v>-0</v>
      </c>
      <c r="DL47" s="47" t="n">
        <f aca="false">-$E47*N(AND(DL$3&lt;=$F47,DL$4&gt;=$F47))</f>
        <v>-0</v>
      </c>
      <c r="DM47" s="47" t="n">
        <f aca="false">-$E47*N(AND(DM$3&lt;=$F47,DM$4&gt;=$F47))</f>
        <v>-0</v>
      </c>
      <c r="DN47" s="47" t="n">
        <f aca="false">-$E47*N(AND(DN$3&lt;=$F47,DN$4&gt;=$F47))</f>
        <v>-0</v>
      </c>
      <c r="DO47" s="47" t="n">
        <f aca="false">-$E47*N(AND(DO$3&lt;=$F47,DO$4&gt;=$F47))</f>
        <v>-0</v>
      </c>
      <c r="DP47" s="47" t="n">
        <f aca="false">-$E47*N(AND(DP$3&lt;=$F47,DP$4&gt;=$F47))</f>
        <v>-0</v>
      </c>
      <c r="DQ47" s="47" t="n">
        <f aca="false">-$E47*N(AND(DQ$3&lt;=$F47,DQ$4&gt;=$F47))</f>
        <v>-0</v>
      </c>
      <c r="DR47" s="47" t="n">
        <f aca="false">-$E47*N(AND(DR$3&lt;=$F47,DR$4&gt;=$F47))</f>
        <v>-0</v>
      </c>
      <c r="DS47" s="47" t="n">
        <f aca="false">-$E47*N(AND(DS$3&lt;=$F47,DS$4&gt;=$F47))</f>
        <v>-0</v>
      </c>
      <c r="DT47" s="47" t="n">
        <f aca="false">-$E47*N(AND(DT$3&lt;=$F47,DT$4&gt;=$F47))</f>
        <v>-0</v>
      </c>
      <c r="DU47" s="47" t="n">
        <f aca="false">-$E47*N(AND(DU$3&lt;=$F47,DU$4&gt;=$F47))</f>
        <v>-0</v>
      </c>
      <c r="DV47" s="47" t="n">
        <f aca="false">-$E47*N(AND(DV$3&lt;=$F47,DV$4&gt;=$F47))</f>
        <v>-0</v>
      </c>
      <c r="DW47" s="47" t="n">
        <f aca="false">-$E47*N(AND(DW$3&lt;=$F47,DW$4&gt;=$F47))</f>
        <v>-0</v>
      </c>
      <c r="DX47" s="47" t="n">
        <f aca="false">-$E47*N(AND(DX$3&lt;=$F47,DX$4&gt;=$F47))</f>
        <v>-0</v>
      </c>
      <c r="DY47" s="47" t="n">
        <f aca="false">-$E47*N(AND(DY$3&lt;=$F47,DY$4&gt;=$F47))</f>
        <v>-0</v>
      </c>
      <c r="DZ47" s="47" t="n">
        <f aca="false">-$E47*N(AND(DZ$3&lt;=$F47,DZ$4&gt;=$F47))</f>
        <v>-0</v>
      </c>
      <c r="EA47" s="47" t="n">
        <f aca="false">-$E47*N(AND(EA$3&lt;=$F47,EA$4&gt;=$F47))</f>
        <v>-0</v>
      </c>
      <c r="EB47" s="47" t="n">
        <f aca="false">-$E47*N(AND(EB$3&lt;=$F47,EB$4&gt;=$F47))</f>
        <v>-0</v>
      </c>
      <c r="EC47" s="47" t="n">
        <f aca="false">-$E47*N(AND(EC$3&lt;=$F47,EC$4&gt;=$F47))</f>
        <v>-0</v>
      </c>
      <c r="ED47" s="47" t="n">
        <f aca="false">-$E47*N(AND(ED$3&lt;=$F47,ED$4&gt;=$F47))</f>
        <v>-0</v>
      </c>
      <c r="EE47" s="47" t="n">
        <f aca="false">-$E47*N(AND(EE$3&lt;=$F47,EE$4&gt;=$F47))</f>
        <v>-0</v>
      </c>
      <c r="EF47" s="47" t="n">
        <f aca="false">-$E47*N(AND(EF$3&lt;=$F47,EF$4&gt;=$F47))</f>
        <v>-0</v>
      </c>
      <c r="EG47" s="47" t="n">
        <f aca="false">-$E47*N(AND(EG$3&lt;=$F47,EG$4&gt;=$F47))</f>
        <v>-0</v>
      </c>
      <c r="EH47" s="47" t="n">
        <f aca="false">-$E47*N(AND(EH$3&lt;=$F47,EH$4&gt;=$F47))</f>
        <v>-0</v>
      </c>
      <c r="EI47" s="47" t="n">
        <f aca="false">-$E47*N(AND(EI$3&lt;=$F47,EI$4&gt;=$F47))</f>
        <v>-0</v>
      </c>
      <c r="EJ47" s="47" t="n">
        <f aca="false">-$E47*N(AND(EJ$3&lt;=$F47,EJ$4&gt;=$F47))</f>
        <v>-0</v>
      </c>
      <c r="EK47" s="47" t="n">
        <f aca="false">-$E47*N(AND(EK$3&lt;=$F47,EK$4&gt;=$F47))</f>
        <v>-0</v>
      </c>
      <c r="EL47" s="47" t="n">
        <f aca="false">-$E47*N(AND(EL$3&lt;=$F47,EL$4&gt;=$F47))</f>
        <v>-0</v>
      </c>
      <c r="EM47" s="47" t="n">
        <f aca="false">-$E47*N(AND(EM$3&lt;=$F47,EM$4&gt;=$F47))</f>
        <v>-0</v>
      </c>
      <c r="EN47" s="47" t="n">
        <f aca="false">-$E47*N(AND(EN$3&lt;=$F47,EN$4&gt;=$F47))</f>
        <v>-0</v>
      </c>
      <c r="EO47" s="47" t="n">
        <f aca="false">-$E47*N(AND(EO$3&lt;=$F47,EO$4&gt;=$F47))</f>
        <v>-0</v>
      </c>
      <c r="EP47" s="47" t="n">
        <f aca="false">-$E47*N(AND(EP$3&lt;=$F47,EP$4&gt;=$F47))</f>
        <v>-0</v>
      </c>
      <c r="EQ47" s="47" t="n">
        <f aca="false">-$E47*N(AND(EQ$3&lt;=$F47,EQ$4&gt;=$F47))</f>
        <v>-0</v>
      </c>
      <c r="ER47" s="47" t="n">
        <f aca="false">-$E47*N(AND(ER$3&lt;=$F47,ER$4&gt;=$F47))</f>
        <v>-0</v>
      </c>
      <c r="ES47" s="47" t="n">
        <f aca="false">-$E47*N(AND(ES$3&lt;=$F47,ES$4&gt;=$F47))</f>
        <v>-0</v>
      </c>
      <c r="ET47" s="47" t="n">
        <f aca="false">-$E47*N(AND(ET$3&lt;=$F47,ET$4&gt;=$F47))</f>
        <v>-0</v>
      </c>
    </row>
    <row r="48" customFormat="false" ht="15" hidden="false" customHeight="false" outlineLevel="0" collapsed="false">
      <c r="C48" s="1" t="s">
        <v>477</v>
      </c>
      <c r="D48" s="12" t="s">
        <v>222</v>
      </c>
      <c r="E48" s="47" t="n">
        <f aca="false">In_Bid_Rate*$E45*Thousand/In_FX</f>
        <v>1398.71232876712</v>
      </c>
      <c r="F48" s="28" t="n">
        <f aca="false">In_Bid_Date</f>
        <v>46325</v>
      </c>
      <c r="J48" s="47" t="n">
        <f aca="false">$E48*MAX(0,(MIN(In_Award_Date+In_PB_Days-1,J$4)-MAX($F48,J$3)+1)/J$5)</f>
        <v>0</v>
      </c>
      <c r="K48" s="47" t="n">
        <f aca="false">$E48*MAX(0,(MIN(In_Award_Date+In_PB_Days-1,K$4)-MAX($F48,K$3)+1)/K$5)</f>
        <v>897.000297796307</v>
      </c>
      <c r="L48" s="47" t="n">
        <f aca="false">$E48*MAX(0,(MIN(In_Award_Date+In_PB_Days-1,L$4)-MAX($F48,L$3)+1)/L$5)</f>
        <v>0</v>
      </c>
      <c r="M48" s="47" t="n">
        <f aca="false">$E48*MAX(0,(MIN(In_Award_Date+In_PB_Days-1,M$4)-MAX($F48,M$3)+1)/M$5)</f>
        <v>0</v>
      </c>
      <c r="N48" s="47" t="n">
        <f aca="false">$E48*MAX(0,(MIN(In_Award_Date+In_PB_Days-1,N$4)-MAX($F48,N$3)+1)/N$5)</f>
        <v>0</v>
      </c>
      <c r="O48" s="47" t="n">
        <f aca="false">$E48*MAX(0,(MIN(In_Award_Date+In_PB_Days-1,O$4)-MAX($F48,O$3)+1)/O$5)</f>
        <v>0</v>
      </c>
      <c r="P48" s="47" t="n">
        <f aca="false">$E48*MAX(0,(MIN(In_Award_Date+In_PB_Days-1,P$4)-MAX($F48,P$3)+1)/P$5)</f>
        <v>0</v>
      </c>
      <c r="Q48" s="47" t="n">
        <f aca="false">$E48*MAX(0,(MIN(In_Award_Date+In_PB_Days-1,Q$4)-MAX($F48,Q$3)+1)/Q$5)</f>
        <v>0</v>
      </c>
      <c r="R48" s="47" t="n">
        <f aca="false">$E48*MAX(0,(MIN(In_Award_Date+In_PB_Days-1,R$4)-MAX($F48,R$3)+1)/R$5)</f>
        <v>0</v>
      </c>
      <c r="S48" s="47" t="n">
        <f aca="false">$E48*MAX(0,(MIN(In_Award_Date+In_PB_Days-1,S$4)-MAX($F48,S$3)+1)/S$5)</f>
        <v>0</v>
      </c>
      <c r="T48" s="47" t="n">
        <f aca="false">$E48*MAX(0,(MIN(In_Award_Date+In_PB_Days-1,T$4)-MAX($F48,T$3)+1)/T$5)</f>
        <v>0</v>
      </c>
      <c r="U48" s="47" t="n">
        <f aca="false">$E48*MAX(0,(MIN(In_Award_Date+In_PB_Days-1,U$4)-MAX($F48,U$3)+1)/U$5)</f>
        <v>0</v>
      </c>
      <c r="V48" s="47" t="n">
        <f aca="false">$E48*MAX(0,(MIN(In_Award_Date+In_PB_Days-1,V$4)-MAX($F48,V$3)+1)/V$5)</f>
        <v>0</v>
      </c>
      <c r="W48" s="47" t="n">
        <f aca="false">$E48*MAX(0,(MIN(In_Award_Date+In_PB_Days-1,W$4)-MAX($F48,W$3)+1)/W$5)</f>
        <v>0</v>
      </c>
      <c r="X48" s="47" t="n">
        <f aca="false">$E48*MAX(0,(MIN(In_Award_Date+In_PB_Days-1,X$4)-MAX($F48,X$3)+1)/X$5)</f>
        <v>0</v>
      </c>
      <c r="Y48" s="47" t="n">
        <f aca="false">$E48*MAX(0,(MIN(In_Award_Date+In_PB_Days-1,Y$4)-MAX($F48,Y$3)+1)/Y$5)</f>
        <v>0</v>
      </c>
      <c r="Z48" s="47" t="n">
        <f aca="false">$E48*MAX(0,(MIN(In_Award_Date+In_PB_Days-1,Z$4)-MAX($F48,Z$3)+1)/Z$5)</f>
        <v>0</v>
      </c>
      <c r="AA48" s="47" t="n">
        <f aca="false">$E48*MAX(0,(MIN(In_Award_Date+In_PB_Days-1,AA$4)-MAX($F48,AA$3)+1)/AA$5)</f>
        <v>0</v>
      </c>
      <c r="AB48" s="47" t="n">
        <f aca="false">$E48*MAX(0,(MIN(In_Award_Date+In_PB_Days-1,AB$4)-MAX($F48,AB$3)+1)/AB$5)</f>
        <v>0</v>
      </c>
      <c r="AC48" s="47" t="n">
        <f aca="false">$E48*MAX(0,(MIN(In_Award_Date+In_PB_Days-1,AC$4)-MAX($F48,AC$3)+1)/AC$5)</f>
        <v>0</v>
      </c>
      <c r="AD48" s="47" t="n">
        <f aca="false">$E48*MAX(0,(MIN(In_Award_Date+In_PB_Days-1,AD$4)-MAX($F48,AD$3)+1)/AD$5)</f>
        <v>0</v>
      </c>
      <c r="AE48" s="47" t="n">
        <f aca="false">$E48*MAX(0,(MIN(In_Award_Date+In_PB_Days-1,AE$4)-MAX($F48,AE$3)+1)/AE$5)</f>
        <v>0</v>
      </c>
      <c r="AF48" s="47" t="n">
        <f aca="false">$E48*MAX(0,(MIN(In_Award_Date+In_PB_Days-1,AF$4)-MAX($F48,AF$3)+1)/AF$5)</f>
        <v>0</v>
      </c>
      <c r="AG48" s="47" t="n">
        <f aca="false">$E48*MAX(0,(MIN(In_Award_Date+In_PB_Days-1,AG$4)-MAX($F48,AG$3)+1)/AG$5)</f>
        <v>0</v>
      </c>
      <c r="AH48" s="47" t="n">
        <f aca="false">$E48*MAX(0,(MIN(In_Award_Date+In_PB_Days-1,AH$4)-MAX($F48,AH$3)+1)/AH$5)</f>
        <v>0</v>
      </c>
      <c r="AI48" s="47" t="n">
        <f aca="false">$E48*MAX(0,(MIN(In_Award_Date+In_PB_Days-1,AI$4)-MAX($F48,AI$3)+1)/AI$5)</f>
        <v>0</v>
      </c>
      <c r="AJ48" s="47" t="n">
        <f aca="false">$E48*MAX(0,(MIN(In_Award_Date+In_PB_Days-1,AJ$4)-MAX($F48,AJ$3)+1)/AJ$5)</f>
        <v>0</v>
      </c>
      <c r="AK48" s="47" t="n">
        <f aca="false">$E48*MAX(0,(MIN(In_Award_Date+In_PB_Days-1,AK$4)-MAX($F48,AK$3)+1)/AK$5)</f>
        <v>0</v>
      </c>
      <c r="AL48" s="47" t="n">
        <f aca="false">$E48*MAX(0,(MIN(In_Award_Date+In_PB_Days-1,AL$4)-MAX($F48,AL$3)+1)/AL$5)</f>
        <v>0</v>
      </c>
      <c r="AM48" s="47" t="n">
        <f aca="false">$E48*MAX(0,(MIN(In_Award_Date+In_PB_Days-1,AM$4)-MAX($F48,AM$3)+1)/AM$5)</f>
        <v>0</v>
      </c>
      <c r="AN48" s="47" t="n">
        <f aca="false">$E48*MAX(0,(MIN(In_Award_Date+In_PB_Days-1,AN$4)-MAX($F48,AN$3)+1)/AN$5)</f>
        <v>0</v>
      </c>
      <c r="AO48" s="47" t="n">
        <f aca="false">$E48*MAX(0,(MIN(In_Award_Date+In_PB_Days-1,AO$4)-MAX($F48,AO$3)+1)/AO$5)</f>
        <v>0</v>
      </c>
      <c r="AP48" s="47" t="n">
        <f aca="false">$E48*MAX(0,(MIN(In_Award_Date+In_PB_Days-1,AP$4)-MAX($F48,AP$3)+1)/AP$5)</f>
        <v>0</v>
      </c>
      <c r="AQ48" s="47" t="n">
        <f aca="false">$E48*MAX(0,(MIN(In_Award_Date+In_PB_Days-1,AQ$4)-MAX($F48,AQ$3)+1)/AQ$5)</f>
        <v>0</v>
      </c>
      <c r="AR48" s="47" t="n">
        <f aca="false">$E48*MAX(0,(MIN(In_Award_Date+In_PB_Days-1,AR$4)-MAX($F48,AR$3)+1)/AR$5)</f>
        <v>0</v>
      </c>
      <c r="AS48" s="47" t="n">
        <f aca="false">$E48*MAX(0,(MIN(In_Award_Date+In_PB_Days-1,AS$4)-MAX($F48,AS$3)+1)/AS$5)</f>
        <v>0</v>
      </c>
      <c r="AT48" s="47" t="n">
        <f aca="false">$E48*MAX(0,(MIN(In_Award_Date+In_PB_Days-1,AT$4)-MAX($F48,AT$3)+1)/AT$5)</f>
        <v>0</v>
      </c>
      <c r="AU48" s="47" t="n">
        <f aca="false">$E48*MAX(0,(MIN(In_Award_Date+In_PB_Days-1,AU$4)-MAX($F48,AU$3)+1)/AU$5)</f>
        <v>0</v>
      </c>
      <c r="AV48" s="47" t="n">
        <f aca="false">$E48*MAX(0,(MIN(In_Award_Date+In_PB_Days-1,AV$4)-MAX($F48,AV$3)+1)/AV$5)</f>
        <v>0</v>
      </c>
      <c r="AW48" s="47" t="n">
        <f aca="false">$E48*MAX(0,(MIN(In_Award_Date+In_PB_Days-1,AW$4)-MAX($F48,AW$3)+1)/AW$5)</f>
        <v>0</v>
      </c>
      <c r="AX48" s="47" t="n">
        <f aca="false">$E48*MAX(0,(MIN(In_Award_Date+In_PB_Days-1,AX$4)-MAX($F48,AX$3)+1)/AX$5)</f>
        <v>0</v>
      </c>
      <c r="AY48" s="47" t="n">
        <f aca="false">$E48*MAX(0,(MIN(In_Award_Date+In_PB_Days-1,AY$4)-MAX($F48,AY$3)+1)/AY$5)</f>
        <v>0</v>
      </c>
      <c r="AZ48" s="47" t="n">
        <f aca="false">$E48*MAX(0,(MIN(In_Award_Date+In_PB_Days-1,AZ$4)-MAX($F48,AZ$3)+1)/AZ$5)</f>
        <v>0</v>
      </c>
      <c r="BA48" s="47" t="n">
        <f aca="false">$E48*MAX(0,(MIN(In_Award_Date+In_PB_Days-1,BA$4)-MAX($F48,BA$3)+1)/BA$5)</f>
        <v>0</v>
      </c>
      <c r="BB48" s="47" t="n">
        <f aca="false">$E48*MAX(0,(MIN(In_Award_Date+In_PB_Days-1,BB$4)-MAX($F48,BB$3)+1)/BB$5)</f>
        <v>0</v>
      </c>
      <c r="BC48" s="47" t="n">
        <f aca="false">$E48*MAX(0,(MIN(In_Award_Date+In_PB_Days-1,BC$4)-MAX($F48,BC$3)+1)/BC$5)</f>
        <v>0</v>
      </c>
      <c r="BD48" s="47" t="n">
        <f aca="false">$E48*MAX(0,(MIN(In_Award_Date+In_PB_Days-1,BD$4)-MAX($F48,BD$3)+1)/BD$5)</f>
        <v>0</v>
      </c>
      <c r="BE48" s="47" t="n">
        <f aca="false">$E48*MAX(0,(MIN(In_Award_Date+In_PB_Days-1,BE$4)-MAX($F48,BE$3)+1)/BE$5)</f>
        <v>0</v>
      </c>
      <c r="BF48" s="47" t="n">
        <f aca="false">$E48*MAX(0,(MIN(In_Award_Date+In_PB_Days-1,BF$4)-MAX($F48,BF$3)+1)/BF$5)</f>
        <v>0</v>
      </c>
      <c r="BG48" s="47" t="n">
        <f aca="false">$E48*MAX(0,(MIN(In_Award_Date+In_PB_Days-1,BG$4)-MAX($F48,BG$3)+1)/BG$5)</f>
        <v>0</v>
      </c>
      <c r="BH48" s="47" t="n">
        <f aca="false">$E48*MAX(0,(MIN(In_Award_Date+In_PB_Days-1,BH$4)-MAX($F48,BH$3)+1)/BH$5)</f>
        <v>0</v>
      </c>
      <c r="BI48" s="47" t="n">
        <f aca="false">$E48*MAX(0,(MIN(In_Award_Date+In_PB_Days-1,BI$4)-MAX($F48,BI$3)+1)/BI$5)</f>
        <v>0</v>
      </c>
      <c r="BJ48" s="47" t="n">
        <f aca="false">$E48*MAX(0,(MIN(In_Award_Date+In_PB_Days-1,BJ$4)-MAX($F48,BJ$3)+1)/BJ$5)</f>
        <v>0</v>
      </c>
      <c r="BK48" s="47" t="n">
        <f aca="false">$E48*MAX(0,(MIN(In_Award_Date+In_PB_Days-1,BK$4)-MAX($F48,BK$3)+1)/BK$5)</f>
        <v>0</v>
      </c>
      <c r="BL48" s="47" t="n">
        <f aca="false">$E48*MAX(0,(MIN(In_Award_Date+In_PB_Days-1,BL$4)-MAX($F48,BL$3)+1)/BL$5)</f>
        <v>0</v>
      </c>
      <c r="BM48" s="47" t="n">
        <f aca="false">$E48*MAX(0,(MIN(In_Award_Date+In_PB_Days-1,BM$4)-MAX($F48,BM$3)+1)/BM$5)</f>
        <v>0</v>
      </c>
      <c r="BN48" s="47" t="n">
        <f aca="false">$E48*MAX(0,(MIN(In_Award_Date+In_PB_Days-1,BN$4)-MAX($F48,BN$3)+1)/BN$5)</f>
        <v>0</v>
      </c>
      <c r="BO48" s="47" t="n">
        <f aca="false">$E48*MAX(0,(MIN(In_Award_Date+In_PB_Days-1,BO$4)-MAX($F48,BO$3)+1)/BO$5)</f>
        <v>0</v>
      </c>
      <c r="BP48" s="47" t="n">
        <f aca="false">$E48*MAX(0,(MIN(In_Award_Date+In_PB_Days-1,BP$4)-MAX($F48,BP$3)+1)/BP$5)</f>
        <v>0</v>
      </c>
      <c r="BQ48" s="47" t="n">
        <f aca="false">$E48*MAX(0,(MIN(In_Award_Date+In_PB_Days-1,BQ$4)-MAX($F48,BQ$3)+1)/BQ$5)</f>
        <v>0</v>
      </c>
      <c r="BR48" s="47" t="n">
        <f aca="false">$E48*MAX(0,(MIN(In_Award_Date+In_PB_Days-1,BR$4)-MAX($F48,BR$3)+1)/BR$5)</f>
        <v>0</v>
      </c>
      <c r="BS48" s="47" t="n">
        <f aca="false">$E48*MAX(0,(MIN(In_Award_Date+In_PB_Days-1,BS$4)-MAX($F48,BS$3)+1)/BS$5)</f>
        <v>0</v>
      </c>
      <c r="BT48" s="47" t="n">
        <f aca="false">$E48*MAX(0,(MIN(In_Award_Date+In_PB_Days-1,BT$4)-MAX($F48,BT$3)+1)/BT$5)</f>
        <v>0</v>
      </c>
      <c r="BU48" s="47" t="n">
        <f aca="false">$E48*MAX(0,(MIN(In_Award_Date+In_PB_Days-1,BU$4)-MAX($F48,BU$3)+1)/BU$5)</f>
        <v>0</v>
      </c>
      <c r="BV48" s="47" t="n">
        <f aca="false">$E48*MAX(0,(MIN(In_Award_Date+In_PB_Days-1,BV$4)-MAX($F48,BV$3)+1)/BV$5)</f>
        <v>0</v>
      </c>
      <c r="BW48" s="47" t="n">
        <f aca="false">$E48*MAX(0,(MIN(In_Award_Date+In_PB_Days-1,BW$4)-MAX($F48,BW$3)+1)/BW$5)</f>
        <v>0</v>
      </c>
      <c r="BX48" s="47" t="n">
        <f aca="false">$E48*MAX(0,(MIN(In_Award_Date+In_PB_Days-1,BX$4)-MAX($F48,BX$3)+1)/BX$5)</f>
        <v>0</v>
      </c>
      <c r="BY48" s="47" t="n">
        <f aca="false">$E48*MAX(0,(MIN(In_Award_Date+In_PB_Days-1,BY$4)-MAX($F48,BY$3)+1)/BY$5)</f>
        <v>0</v>
      </c>
      <c r="BZ48" s="47" t="n">
        <f aca="false">$E48*MAX(0,(MIN(In_Award_Date+In_PB_Days-1,BZ$4)-MAX($F48,BZ$3)+1)/BZ$5)</f>
        <v>0</v>
      </c>
      <c r="CA48" s="47" t="n">
        <f aca="false">$E48*MAX(0,(MIN(In_Award_Date+In_PB_Days-1,CA$4)-MAX($F48,CA$3)+1)/CA$5)</f>
        <v>0</v>
      </c>
      <c r="CB48" s="47" t="n">
        <f aca="false">$E48*MAX(0,(MIN(In_Award_Date+In_PB_Days-1,CB$4)-MAX($F48,CB$3)+1)/CB$5)</f>
        <v>0</v>
      </c>
      <c r="CC48" s="47" t="n">
        <f aca="false">$E48*MAX(0,(MIN(In_Award_Date+In_PB_Days-1,CC$4)-MAX($F48,CC$3)+1)/CC$5)</f>
        <v>0</v>
      </c>
      <c r="CD48" s="47" t="n">
        <f aca="false">$E48*MAX(0,(MIN(In_Award_Date+In_PB_Days-1,CD$4)-MAX($F48,CD$3)+1)/CD$5)</f>
        <v>0</v>
      </c>
      <c r="CE48" s="47" t="n">
        <f aca="false">$E48*MAX(0,(MIN(In_Award_Date+In_PB_Days-1,CE$4)-MAX($F48,CE$3)+1)/CE$5)</f>
        <v>0</v>
      </c>
      <c r="CF48" s="47" t="n">
        <f aca="false">$E48*MAX(0,(MIN(In_Award_Date+In_PB_Days-1,CF$4)-MAX($F48,CF$3)+1)/CF$5)</f>
        <v>0</v>
      </c>
      <c r="CG48" s="47" t="n">
        <f aca="false">$E48*MAX(0,(MIN(In_Award_Date+In_PB_Days-1,CG$4)-MAX($F48,CG$3)+1)/CG$5)</f>
        <v>0</v>
      </c>
      <c r="CH48" s="47" t="n">
        <f aca="false">$E48*MAX(0,(MIN(In_Award_Date+In_PB_Days-1,CH$4)-MAX($F48,CH$3)+1)/CH$5)</f>
        <v>0</v>
      </c>
      <c r="CI48" s="47" t="n">
        <f aca="false">$E48*MAX(0,(MIN(In_Award_Date+In_PB_Days-1,CI$4)-MAX($F48,CI$3)+1)/CI$5)</f>
        <v>0</v>
      </c>
      <c r="CJ48" s="47" t="n">
        <f aca="false">$E48*MAX(0,(MIN(In_Award_Date+In_PB_Days-1,CJ$4)-MAX($F48,CJ$3)+1)/CJ$5)</f>
        <v>0</v>
      </c>
      <c r="CK48" s="47" t="n">
        <f aca="false">$E48*MAX(0,(MIN(In_Award_Date+In_PB_Days-1,CK$4)-MAX($F48,CK$3)+1)/CK$5)</f>
        <v>0</v>
      </c>
      <c r="CL48" s="47" t="n">
        <f aca="false">$E48*MAX(0,(MIN(In_Award_Date+In_PB_Days-1,CL$4)-MAX($F48,CL$3)+1)/CL$5)</f>
        <v>0</v>
      </c>
      <c r="CM48" s="47" t="n">
        <f aca="false">$E48*MAX(0,(MIN(In_Award_Date+In_PB_Days-1,CM$4)-MAX($F48,CM$3)+1)/CM$5)</f>
        <v>0</v>
      </c>
      <c r="CN48" s="47" t="n">
        <f aca="false">$E48*MAX(0,(MIN(In_Award_Date+In_PB_Days-1,CN$4)-MAX($F48,CN$3)+1)/CN$5)</f>
        <v>0</v>
      </c>
      <c r="CO48" s="47" t="n">
        <f aca="false">$E48*MAX(0,(MIN(In_Award_Date+In_PB_Days-1,CO$4)-MAX($F48,CO$3)+1)/CO$5)</f>
        <v>0</v>
      </c>
      <c r="CP48" s="47" t="n">
        <f aca="false">$E48*MAX(0,(MIN(In_Award_Date+In_PB_Days-1,CP$4)-MAX($F48,CP$3)+1)/CP$5)</f>
        <v>0</v>
      </c>
      <c r="CQ48" s="47" t="n">
        <f aca="false">$E48*MAX(0,(MIN(In_Award_Date+In_PB_Days-1,CQ$4)-MAX($F48,CQ$3)+1)/CQ$5)</f>
        <v>0</v>
      </c>
      <c r="CR48" s="47" t="n">
        <f aca="false">$E48*MAX(0,(MIN(In_Award_Date+In_PB_Days-1,CR$4)-MAX($F48,CR$3)+1)/CR$5)</f>
        <v>0</v>
      </c>
      <c r="CS48" s="47" t="n">
        <f aca="false">$E48*MAX(0,(MIN(In_Award_Date+In_PB_Days-1,CS$4)-MAX($F48,CS$3)+1)/CS$5)</f>
        <v>0</v>
      </c>
      <c r="CT48" s="47" t="n">
        <f aca="false">$E48*MAX(0,(MIN(In_Award_Date+In_PB_Days-1,CT$4)-MAX($F48,CT$3)+1)/CT$5)</f>
        <v>0</v>
      </c>
      <c r="CU48" s="47" t="n">
        <f aca="false">$E48*MAX(0,(MIN(In_Award_Date+In_PB_Days-1,CU$4)-MAX($F48,CU$3)+1)/CU$5)</f>
        <v>0</v>
      </c>
      <c r="CV48" s="47" t="n">
        <f aca="false">$E48*MAX(0,(MIN(In_Award_Date+In_PB_Days-1,CV$4)-MAX($F48,CV$3)+1)/CV$5)</f>
        <v>0</v>
      </c>
      <c r="CW48" s="47" t="n">
        <f aca="false">$E48*MAX(0,(MIN(In_Award_Date+In_PB_Days-1,CW$4)-MAX($F48,CW$3)+1)/CW$5)</f>
        <v>0</v>
      </c>
      <c r="CX48" s="47" t="n">
        <f aca="false">$E48*MAX(0,(MIN(In_Award_Date+In_PB_Days-1,CX$4)-MAX($F48,CX$3)+1)/CX$5)</f>
        <v>0</v>
      </c>
      <c r="CY48" s="47" t="n">
        <f aca="false">$E48*MAX(0,(MIN(In_Award_Date+In_PB_Days-1,CY$4)-MAX($F48,CY$3)+1)/CY$5)</f>
        <v>0</v>
      </c>
      <c r="CZ48" s="47" t="n">
        <f aca="false">$E48*MAX(0,(MIN(In_Award_Date+In_PB_Days-1,CZ$4)-MAX($F48,CZ$3)+1)/CZ$5)</f>
        <v>0</v>
      </c>
      <c r="DA48" s="47" t="n">
        <f aca="false">$E48*MAX(0,(MIN(In_Award_Date+In_PB_Days-1,DA$4)-MAX($F48,DA$3)+1)/DA$5)</f>
        <v>0</v>
      </c>
      <c r="DB48" s="47" t="n">
        <f aca="false">$E48*MAX(0,(MIN(In_Award_Date+In_PB_Days-1,DB$4)-MAX($F48,DB$3)+1)/DB$5)</f>
        <v>0</v>
      </c>
      <c r="DC48" s="47" t="n">
        <f aca="false">$E48*MAX(0,(MIN(In_Award_Date+In_PB_Days-1,DC$4)-MAX($F48,DC$3)+1)/DC$5)</f>
        <v>0</v>
      </c>
      <c r="DD48" s="47" t="n">
        <f aca="false">$E48*MAX(0,(MIN(In_Award_Date+In_PB_Days-1,DD$4)-MAX($F48,DD$3)+1)/DD$5)</f>
        <v>0</v>
      </c>
      <c r="DE48" s="47" t="n">
        <f aca="false">$E48*MAX(0,(MIN(In_Award_Date+In_PB_Days-1,DE$4)-MAX($F48,DE$3)+1)/DE$5)</f>
        <v>0</v>
      </c>
      <c r="DF48" s="47" t="n">
        <f aca="false">$E48*MAX(0,(MIN(In_Award_Date+In_PB_Days-1,DF$4)-MAX($F48,DF$3)+1)/DF$5)</f>
        <v>0</v>
      </c>
      <c r="DG48" s="47" t="n">
        <f aca="false">$E48*MAX(0,(MIN(In_Award_Date+In_PB_Days-1,DG$4)-MAX($F48,DG$3)+1)/DG$5)</f>
        <v>0</v>
      </c>
      <c r="DH48" s="47" t="n">
        <f aca="false">$E48*MAX(0,(MIN(In_Award_Date+In_PB_Days-1,DH$4)-MAX($F48,DH$3)+1)/DH$5)</f>
        <v>0</v>
      </c>
      <c r="DI48" s="47" t="n">
        <f aca="false">$E48*MAX(0,(MIN(In_Award_Date+In_PB_Days-1,DI$4)-MAX($F48,DI$3)+1)/DI$5)</f>
        <v>0</v>
      </c>
      <c r="DJ48" s="47" t="n">
        <f aca="false">$E48*MAX(0,(MIN(In_Award_Date+In_PB_Days-1,DJ$4)-MAX($F48,DJ$3)+1)/DJ$5)</f>
        <v>0</v>
      </c>
      <c r="DK48" s="47" t="n">
        <f aca="false">$E48*MAX(0,(MIN(In_Award_Date+In_PB_Days-1,DK$4)-MAX($F48,DK$3)+1)/DK$5)</f>
        <v>0</v>
      </c>
      <c r="DL48" s="47" t="n">
        <f aca="false">$E48*MAX(0,(MIN(In_Award_Date+In_PB_Days-1,DL$4)-MAX($F48,DL$3)+1)/DL$5)</f>
        <v>0</v>
      </c>
      <c r="DM48" s="47" t="n">
        <f aca="false">$E48*MAX(0,(MIN(In_Award_Date+In_PB_Days-1,DM$4)-MAX($F48,DM$3)+1)/DM$5)</f>
        <v>0</v>
      </c>
      <c r="DN48" s="47" t="n">
        <f aca="false">$E48*MAX(0,(MIN(In_Award_Date+In_PB_Days-1,DN$4)-MAX($F48,DN$3)+1)/DN$5)</f>
        <v>0</v>
      </c>
      <c r="DO48" s="47" t="n">
        <f aca="false">$E48*MAX(0,(MIN(In_Award_Date+In_PB_Days-1,DO$4)-MAX($F48,DO$3)+1)/DO$5)</f>
        <v>0</v>
      </c>
      <c r="DP48" s="47" t="n">
        <f aca="false">$E48*MAX(0,(MIN(In_Award_Date+In_PB_Days-1,DP$4)-MAX($F48,DP$3)+1)/DP$5)</f>
        <v>0</v>
      </c>
      <c r="DQ48" s="47" t="n">
        <f aca="false">$E48*MAX(0,(MIN(In_Award_Date+In_PB_Days-1,DQ$4)-MAX($F48,DQ$3)+1)/DQ$5)</f>
        <v>0</v>
      </c>
      <c r="DR48" s="47" t="n">
        <f aca="false">$E48*MAX(0,(MIN(In_Award_Date+In_PB_Days-1,DR$4)-MAX($F48,DR$3)+1)/DR$5)</f>
        <v>0</v>
      </c>
      <c r="DS48" s="47" t="n">
        <f aca="false">$E48*MAX(0,(MIN(In_Award_Date+In_PB_Days-1,DS$4)-MAX($F48,DS$3)+1)/DS$5)</f>
        <v>0</v>
      </c>
      <c r="DT48" s="47" t="n">
        <f aca="false">$E48*MAX(0,(MIN(In_Award_Date+In_PB_Days-1,DT$4)-MAX($F48,DT$3)+1)/DT$5)</f>
        <v>0</v>
      </c>
      <c r="DU48" s="47" t="n">
        <f aca="false">$E48*MAX(0,(MIN(In_Award_Date+In_PB_Days-1,DU$4)-MAX($F48,DU$3)+1)/DU$5)</f>
        <v>0</v>
      </c>
      <c r="DV48" s="47" t="n">
        <f aca="false">$E48*MAX(0,(MIN(In_Award_Date+In_PB_Days-1,DV$4)-MAX($F48,DV$3)+1)/DV$5)</f>
        <v>0</v>
      </c>
      <c r="DW48" s="47" t="n">
        <f aca="false">$E48*MAX(0,(MIN(In_Award_Date+In_PB_Days-1,DW$4)-MAX($F48,DW$3)+1)/DW$5)</f>
        <v>0</v>
      </c>
      <c r="DX48" s="47" t="n">
        <f aca="false">$E48*MAX(0,(MIN(In_Award_Date+In_PB_Days-1,DX$4)-MAX($F48,DX$3)+1)/DX$5)</f>
        <v>0</v>
      </c>
      <c r="DY48" s="47" t="n">
        <f aca="false">$E48*MAX(0,(MIN(In_Award_Date+In_PB_Days-1,DY$4)-MAX($F48,DY$3)+1)/DY$5)</f>
        <v>0</v>
      </c>
      <c r="DZ48" s="47" t="n">
        <f aca="false">$E48*MAX(0,(MIN(In_Award_Date+In_PB_Days-1,DZ$4)-MAX($F48,DZ$3)+1)/DZ$5)</f>
        <v>0</v>
      </c>
      <c r="EA48" s="47" t="n">
        <f aca="false">$E48*MAX(0,(MIN(In_Award_Date+In_PB_Days-1,EA$4)-MAX($F48,EA$3)+1)/EA$5)</f>
        <v>0</v>
      </c>
      <c r="EB48" s="47" t="n">
        <f aca="false">$E48*MAX(0,(MIN(In_Award_Date+In_PB_Days-1,EB$4)-MAX($F48,EB$3)+1)/EB$5)</f>
        <v>0</v>
      </c>
      <c r="EC48" s="47" t="n">
        <f aca="false">$E48*MAX(0,(MIN(In_Award_Date+In_PB_Days-1,EC$4)-MAX($F48,EC$3)+1)/EC$5)</f>
        <v>0</v>
      </c>
      <c r="ED48" s="47" t="n">
        <f aca="false">$E48*MAX(0,(MIN(In_Award_Date+In_PB_Days-1,ED$4)-MAX($F48,ED$3)+1)/ED$5)</f>
        <v>0</v>
      </c>
      <c r="EE48" s="47" t="n">
        <f aca="false">$E48*MAX(0,(MIN(In_Award_Date+In_PB_Days-1,EE$4)-MAX($F48,EE$3)+1)/EE$5)</f>
        <v>0</v>
      </c>
      <c r="EF48" s="47" t="n">
        <f aca="false">$E48*MAX(0,(MIN(In_Award_Date+In_PB_Days-1,EF$4)-MAX($F48,EF$3)+1)/EF$5)</f>
        <v>0</v>
      </c>
      <c r="EG48" s="47" t="n">
        <f aca="false">$E48*MAX(0,(MIN(In_Award_Date+In_PB_Days-1,EG$4)-MAX($F48,EG$3)+1)/EG$5)</f>
        <v>0</v>
      </c>
      <c r="EH48" s="47" t="n">
        <f aca="false">$E48*MAX(0,(MIN(In_Award_Date+In_PB_Days-1,EH$4)-MAX($F48,EH$3)+1)/EH$5)</f>
        <v>0</v>
      </c>
      <c r="EI48" s="47" t="n">
        <f aca="false">$E48*MAX(0,(MIN(In_Award_Date+In_PB_Days-1,EI$4)-MAX($F48,EI$3)+1)/EI$5)</f>
        <v>0</v>
      </c>
      <c r="EJ48" s="47" t="n">
        <f aca="false">$E48*MAX(0,(MIN(In_Award_Date+In_PB_Days-1,EJ$4)-MAX($F48,EJ$3)+1)/EJ$5)</f>
        <v>0</v>
      </c>
      <c r="EK48" s="47" t="n">
        <f aca="false">$E48*MAX(0,(MIN(In_Award_Date+In_PB_Days-1,EK$4)-MAX($F48,EK$3)+1)/EK$5)</f>
        <v>0</v>
      </c>
      <c r="EL48" s="47" t="n">
        <f aca="false">$E48*MAX(0,(MIN(In_Award_Date+In_PB_Days-1,EL$4)-MAX($F48,EL$3)+1)/EL$5)</f>
        <v>0</v>
      </c>
      <c r="EM48" s="47" t="n">
        <f aca="false">$E48*MAX(0,(MIN(In_Award_Date+In_PB_Days-1,EM$4)-MAX($F48,EM$3)+1)/EM$5)</f>
        <v>0</v>
      </c>
      <c r="EN48" s="47" t="n">
        <f aca="false">$E48*MAX(0,(MIN(In_Award_Date+In_PB_Days-1,EN$4)-MAX($F48,EN$3)+1)/EN$5)</f>
        <v>0</v>
      </c>
      <c r="EO48" s="47" t="n">
        <f aca="false">$E48*MAX(0,(MIN(In_Award_Date+In_PB_Days-1,EO$4)-MAX($F48,EO$3)+1)/EO$5)</f>
        <v>0</v>
      </c>
      <c r="EP48" s="47" t="n">
        <f aca="false">$E48*MAX(0,(MIN(In_Award_Date+In_PB_Days-1,EP$4)-MAX($F48,EP$3)+1)/EP$5)</f>
        <v>0</v>
      </c>
      <c r="EQ48" s="47" t="n">
        <f aca="false">$E48*MAX(0,(MIN(In_Award_Date+In_PB_Days-1,EQ$4)-MAX($F48,EQ$3)+1)/EQ$5)</f>
        <v>0</v>
      </c>
      <c r="ER48" s="47" t="n">
        <f aca="false">$E48*MAX(0,(MIN(In_Award_Date+In_PB_Days-1,ER$4)-MAX($F48,ER$3)+1)/ER$5)</f>
        <v>0</v>
      </c>
      <c r="ES48" s="47" t="n">
        <f aca="false">$E48*MAX(0,(MIN(In_Award_Date+In_PB_Days-1,ES$4)-MAX($F48,ES$3)+1)/ES$5)</f>
        <v>0</v>
      </c>
      <c r="ET48" s="47" t="n">
        <f aca="false">$E48*MAX(0,(MIN(In_Award_Date+In_PB_Days-1,ET$4)-MAX($F48,ET$3)+1)/ET$5)</f>
        <v>0</v>
      </c>
    </row>
    <row r="49" customFormat="false" ht="15" hidden="false" customHeight="false" outlineLevel="0" collapsed="false">
      <c r="C49" s="1" t="s">
        <v>478</v>
      </c>
      <c r="D49" s="12" t="s">
        <v>222</v>
      </c>
      <c r="E49" s="47" t="n">
        <f aca="false">In_PB_Rate*$E35*$E45*Thousand/In_FX</f>
        <v>6993.56164383562</v>
      </c>
      <c r="F49" s="44" t="n">
        <f aca="false">In_Award_Date+In_PB_Days</f>
        <v>46384</v>
      </c>
      <c r="J49" s="47" t="n">
        <f aca="false">$E49*MAX(0,(MIN(In_PB_Release,J$4)-MAX($F49,J$3)+1)/J$5)</f>
        <v>0</v>
      </c>
      <c r="K49" s="47" t="n">
        <f aca="false">$E49*MAX(0,(MIN(In_PB_Release,K$4)-MAX($F49,K$3)+1)/K$5)</f>
        <v>304.06789755807</v>
      </c>
      <c r="L49" s="47" t="n">
        <f aca="false">$E49*MAX(0,(MIN(In_PB_Release,L$4)-MAX($F49,L$3)+1)/L$5)</f>
        <v>6993.56164383562</v>
      </c>
      <c r="M49" s="47" t="n">
        <f aca="false">$E49*MAX(0,(MIN(In_PB_Release,M$4)-MAX($F49,M$3)+1)/M$5)</f>
        <v>6993.56164383562</v>
      </c>
      <c r="N49" s="47" t="n">
        <f aca="false">$E49*MAX(0,(MIN(In_PB_Release,N$4)-MAX($F49,N$3)+1)/N$5)</f>
        <v>6993.56164383562</v>
      </c>
      <c r="O49" s="47" t="n">
        <f aca="false">$E49*MAX(0,(MIN(In_PB_Release,O$4)-MAX($F49,O$3)+1)/O$5)</f>
        <v>6993.56164383562</v>
      </c>
      <c r="P49" s="47" t="n">
        <f aca="false">$E49*MAX(0,(MIN(In_PB_Release,P$4)-MAX($F49,P$3)+1)/P$5)</f>
        <v>6993.56164383562</v>
      </c>
      <c r="Q49" s="47" t="n">
        <f aca="false">$E49*MAX(0,(MIN(In_PB_Release,Q$4)-MAX($F49,Q$3)+1)/Q$5)</f>
        <v>6993.56164383562</v>
      </c>
      <c r="R49" s="47" t="n">
        <f aca="false">$E49*MAX(0,(MIN(In_PB_Release,R$4)-MAX($F49,R$3)+1)/R$5)</f>
        <v>6993.56164383562</v>
      </c>
      <c r="S49" s="47" t="n">
        <f aca="false">$E49*MAX(0,(MIN(In_PB_Release,S$4)-MAX($F49,S$3)+1)/S$5)</f>
        <v>6993.56164383562</v>
      </c>
      <c r="T49" s="47" t="n">
        <f aca="false">$E49*MAX(0,(MIN(In_PB_Release,T$4)-MAX($F49,T$3)+1)/T$5)</f>
        <v>6993.56164383562</v>
      </c>
      <c r="U49" s="47" t="n">
        <f aca="false">$E49*MAX(0,(MIN(In_PB_Release,U$4)-MAX($F49,U$3)+1)/U$5)</f>
        <v>6993.56164383562</v>
      </c>
      <c r="V49" s="47" t="n">
        <f aca="false">$E49*MAX(0,(MIN(In_PB_Release,V$4)-MAX($F49,V$3)+1)/V$5)</f>
        <v>6993.56164383562</v>
      </c>
      <c r="W49" s="47" t="n">
        <f aca="false">$E49*MAX(0,(MIN(In_PB_Release,W$4)-MAX($F49,W$3)+1)/W$5)</f>
        <v>6993.56164383562</v>
      </c>
      <c r="X49" s="47" t="n">
        <f aca="false">$E49*MAX(0,(MIN(In_PB_Release,X$4)-MAX($F49,X$3)+1)/X$5)</f>
        <v>6993.56164383562</v>
      </c>
      <c r="Y49" s="47" t="n">
        <f aca="false">$E49*MAX(0,(MIN(In_PB_Release,Y$4)-MAX($F49,Y$3)+1)/Y$5)</f>
        <v>6993.56164383562</v>
      </c>
      <c r="Z49" s="47" t="n">
        <f aca="false">$E49*MAX(0,(MIN(In_PB_Release,Z$4)-MAX($F49,Z$3)+1)/Z$5)</f>
        <v>6993.56164383562</v>
      </c>
      <c r="AA49" s="47" t="n">
        <f aca="false">$E49*MAX(0,(MIN(In_PB_Release,AA$4)-MAX($F49,AA$3)+1)/AA$5)</f>
        <v>6993.56164383562</v>
      </c>
      <c r="AB49" s="47" t="n">
        <f aca="false">$E49*MAX(0,(MIN(In_PB_Release,AB$4)-MAX($F49,AB$3)+1)/AB$5)</f>
        <v>6993.56164383562</v>
      </c>
      <c r="AC49" s="47" t="n">
        <f aca="false">$E49*MAX(0,(MIN(In_PB_Release,AC$4)-MAX($F49,AC$3)+1)/AC$5)</f>
        <v>6993.56164383562</v>
      </c>
      <c r="AD49" s="47" t="n">
        <f aca="false">$E49*MAX(0,(MIN(In_PB_Release,AD$4)-MAX($F49,AD$3)+1)/AD$5)</f>
        <v>6993.56164383562</v>
      </c>
      <c r="AE49" s="47" t="n">
        <f aca="false">$E49*MAX(0,(MIN(In_PB_Release,AE$4)-MAX($F49,AE$3)+1)/AE$5)</f>
        <v>6993.56164383562</v>
      </c>
      <c r="AF49" s="47" t="n">
        <f aca="false">$E49*MAX(0,(MIN(In_PB_Release,AF$4)-MAX($F49,AF$3)+1)/AF$5)</f>
        <v>6993.56164383562</v>
      </c>
      <c r="AG49" s="47" t="n">
        <f aca="false">$E49*MAX(0,(MIN(In_PB_Release,AG$4)-MAX($F49,AG$3)+1)/AG$5)</f>
        <v>6993.56164383562</v>
      </c>
      <c r="AH49" s="47" t="n">
        <f aca="false">$E49*MAX(0,(MIN(In_PB_Release,AH$4)-MAX($F49,AH$3)+1)/AH$5)</f>
        <v>6993.56164383562</v>
      </c>
      <c r="AI49" s="47" t="n">
        <f aca="false">$E49*MAX(0,(MIN(In_PB_Release,AI$4)-MAX($F49,AI$3)+1)/AI$5)</f>
        <v>6993.56164383562</v>
      </c>
      <c r="AJ49" s="47" t="n">
        <f aca="false">$E49*MAX(0,(MIN(In_PB_Release,AJ$4)-MAX($F49,AJ$3)+1)/AJ$5)</f>
        <v>6993.56164383562</v>
      </c>
      <c r="AK49" s="47" t="n">
        <f aca="false">$E49*MAX(0,(MIN(In_PB_Release,AK$4)-MAX($F49,AK$3)+1)/AK$5)</f>
        <v>0</v>
      </c>
      <c r="AL49" s="47" t="n">
        <f aca="false">$E49*MAX(0,(MIN(In_PB_Release,AL$4)-MAX($F49,AL$3)+1)/AL$5)</f>
        <v>0</v>
      </c>
      <c r="AM49" s="47" t="n">
        <f aca="false">$E49*MAX(0,(MIN(In_PB_Release,AM$4)-MAX($F49,AM$3)+1)/AM$5)</f>
        <v>0</v>
      </c>
      <c r="AN49" s="47" t="n">
        <f aca="false">$E49*MAX(0,(MIN(In_PB_Release,AN$4)-MAX($F49,AN$3)+1)/AN$5)</f>
        <v>0</v>
      </c>
      <c r="AO49" s="47" t="n">
        <f aca="false">$E49*MAX(0,(MIN(In_PB_Release,AO$4)-MAX($F49,AO$3)+1)/AO$5)</f>
        <v>0</v>
      </c>
      <c r="AP49" s="47" t="n">
        <f aca="false">$E49*MAX(0,(MIN(In_PB_Release,AP$4)-MAX($F49,AP$3)+1)/AP$5)</f>
        <v>0</v>
      </c>
      <c r="AQ49" s="47" t="n">
        <f aca="false">$E49*MAX(0,(MIN(In_PB_Release,AQ$4)-MAX($F49,AQ$3)+1)/AQ$5)</f>
        <v>0</v>
      </c>
      <c r="AR49" s="47" t="n">
        <f aca="false">$E49*MAX(0,(MIN(In_PB_Release,AR$4)-MAX($F49,AR$3)+1)/AR$5)</f>
        <v>0</v>
      </c>
      <c r="AS49" s="47" t="n">
        <f aca="false">$E49*MAX(0,(MIN(In_PB_Release,AS$4)-MAX($F49,AS$3)+1)/AS$5)</f>
        <v>0</v>
      </c>
      <c r="AT49" s="47" t="n">
        <f aca="false">$E49*MAX(0,(MIN(In_PB_Release,AT$4)-MAX($F49,AT$3)+1)/AT$5)</f>
        <v>0</v>
      </c>
      <c r="AU49" s="47" t="n">
        <f aca="false">$E49*MAX(0,(MIN(In_PB_Release,AU$4)-MAX($F49,AU$3)+1)/AU$5)</f>
        <v>0</v>
      </c>
      <c r="AV49" s="47" t="n">
        <f aca="false">$E49*MAX(0,(MIN(In_PB_Release,AV$4)-MAX($F49,AV$3)+1)/AV$5)</f>
        <v>0</v>
      </c>
      <c r="AW49" s="47" t="n">
        <f aca="false">$E49*MAX(0,(MIN(In_PB_Release,AW$4)-MAX($F49,AW$3)+1)/AW$5)</f>
        <v>0</v>
      </c>
      <c r="AX49" s="47" t="n">
        <f aca="false">$E49*MAX(0,(MIN(In_PB_Release,AX$4)-MAX($F49,AX$3)+1)/AX$5)</f>
        <v>0</v>
      </c>
      <c r="AY49" s="47" t="n">
        <f aca="false">$E49*MAX(0,(MIN(In_PB_Release,AY$4)-MAX($F49,AY$3)+1)/AY$5)</f>
        <v>0</v>
      </c>
      <c r="AZ49" s="47" t="n">
        <f aca="false">$E49*MAX(0,(MIN(In_PB_Release,AZ$4)-MAX($F49,AZ$3)+1)/AZ$5)</f>
        <v>0</v>
      </c>
      <c r="BA49" s="47" t="n">
        <f aca="false">$E49*MAX(0,(MIN(In_PB_Release,BA$4)-MAX($F49,BA$3)+1)/BA$5)</f>
        <v>0</v>
      </c>
      <c r="BB49" s="47" t="n">
        <f aca="false">$E49*MAX(0,(MIN(In_PB_Release,BB$4)-MAX($F49,BB$3)+1)/BB$5)</f>
        <v>0</v>
      </c>
      <c r="BC49" s="47" t="n">
        <f aca="false">$E49*MAX(0,(MIN(In_PB_Release,BC$4)-MAX($F49,BC$3)+1)/BC$5)</f>
        <v>0</v>
      </c>
      <c r="BD49" s="47" t="n">
        <f aca="false">$E49*MAX(0,(MIN(In_PB_Release,BD$4)-MAX($F49,BD$3)+1)/BD$5)</f>
        <v>0</v>
      </c>
      <c r="BE49" s="47" t="n">
        <f aca="false">$E49*MAX(0,(MIN(In_PB_Release,BE$4)-MAX($F49,BE$3)+1)/BE$5)</f>
        <v>0</v>
      </c>
      <c r="BF49" s="47" t="n">
        <f aca="false">$E49*MAX(0,(MIN(In_PB_Release,BF$4)-MAX($F49,BF$3)+1)/BF$5)</f>
        <v>0</v>
      </c>
      <c r="BG49" s="47" t="n">
        <f aca="false">$E49*MAX(0,(MIN(In_PB_Release,BG$4)-MAX($F49,BG$3)+1)/BG$5)</f>
        <v>0</v>
      </c>
      <c r="BH49" s="47" t="n">
        <f aca="false">$E49*MAX(0,(MIN(In_PB_Release,BH$4)-MAX($F49,BH$3)+1)/BH$5)</f>
        <v>0</v>
      </c>
      <c r="BI49" s="47" t="n">
        <f aca="false">$E49*MAX(0,(MIN(In_PB_Release,BI$4)-MAX($F49,BI$3)+1)/BI$5)</f>
        <v>0</v>
      </c>
      <c r="BJ49" s="47" t="n">
        <f aca="false">$E49*MAX(0,(MIN(In_PB_Release,BJ$4)-MAX($F49,BJ$3)+1)/BJ$5)</f>
        <v>0</v>
      </c>
      <c r="BK49" s="47" t="n">
        <f aca="false">$E49*MAX(0,(MIN(In_PB_Release,BK$4)-MAX($F49,BK$3)+1)/BK$5)</f>
        <v>0</v>
      </c>
      <c r="BL49" s="47" t="n">
        <f aca="false">$E49*MAX(0,(MIN(In_PB_Release,BL$4)-MAX($F49,BL$3)+1)/BL$5)</f>
        <v>0</v>
      </c>
      <c r="BM49" s="47" t="n">
        <f aca="false">$E49*MAX(0,(MIN(In_PB_Release,BM$4)-MAX($F49,BM$3)+1)/BM$5)</f>
        <v>0</v>
      </c>
      <c r="BN49" s="47" t="n">
        <f aca="false">$E49*MAX(0,(MIN(In_PB_Release,BN$4)-MAX($F49,BN$3)+1)/BN$5)</f>
        <v>0</v>
      </c>
      <c r="BO49" s="47" t="n">
        <f aca="false">$E49*MAX(0,(MIN(In_PB_Release,BO$4)-MAX($F49,BO$3)+1)/BO$5)</f>
        <v>0</v>
      </c>
      <c r="BP49" s="47" t="n">
        <f aca="false">$E49*MAX(0,(MIN(In_PB_Release,BP$4)-MAX($F49,BP$3)+1)/BP$5)</f>
        <v>0</v>
      </c>
      <c r="BQ49" s="47" t="n">
        <f aca="false">$E49*MAX(0,(MIN(In_PB_Release,BQ$4)-MAX($F49,BQ$3)+1)/BQ$5)</f>
        <v>0</v>
      </c>
      <c r="BR49" s="47" t="n">
        <f aca="false">$E49*MAX(0,(MIN(In_PB_Release,BR$4)-MAX($F49,BR$3)+1)/BR$5)</f>
        <v>0</v>
      </c>
      <c r="BS49" s="47" t="n">
        <f aca="false">$E49*MAX(0,(MIN(In_PB_Release,BS$4)-MAX($F49,BS$3)+1)/BS$5)</f>
        <v>0</v>
      </c>
      <c r="BT49" s="47" t="n">
        <f aca="false">$E49*MAX(0,(MIN(In_PB_Release,BT$4)-MAX($F49,BT$3)+1)/BT$5)</f>
        <v>0</v>
      </c>
      <c r="BU49" s="47" t="n">
        <f aca="false">$E49*MAX(0,(MIN(In_PB_Release,BU$4)-MAX($F49,BU$3)+1)/BU$5)</f>
        <v>0</v>
      </c>
      <c r="BV49" s="47" t="n">
        <f aca="false">$E49*MAX(0,(MIN(In_PB_Release,BV$4)-MAX($F49,BV$3)+1)/BV$5)</f>
        <v>0</v>
      </c>
      <c r="BW49" s="47" t="n">
        <f aca="false">$E49*MAX(0,(MIN(In_PB_Release,BW$4)-MAX($F49,BW$3)+1)/BW$5)</f>
        <v>0</v>
      </c>
      <c r="BX49" s="47" t="n">
        <f aca="false">$E49*MAX(0,(MIN(In_PB_Release,BX$4)-MAX($F49,BX$3)+1)/BX$5)</f>
        <v>0</v>
      </c>
      <c r="BY49" s="47" t="n">
        <f aca="false">$E49*MAX(0,(MIN(In_PB_Release,BY$4)-MAX($F49,BY$3)+1)/BY$5)</f>
        <v>0</v>
      </c>
      <c r="BZ49" s="47" t="n">
        <f aca="false">$E49*MAX(0,(MIN(In_PB_Release,BZ$4)-MAX($F49,BZ$3)+1)/BZ$5)</f>
        <v>0</v>
      </c>
      <c r="CA49" s="47" t="n">
        <f aca="false">$E49*MAX(0,(MIN(In_PB_Release,CA$4)-MAX($F49,CA$3)+1)/CA$5)</f>
        <v>0</v>
      </c>
      <c r="CB49" s="47" t="n">
        <f aca="false">$E49*MAX(0,(MIN(In_PB_Release,CB$4)-MAX($F49,CB$3)+1)/CB$5)</f>
        <v>0</v>
      </c>
      <c r="CC49" s="47" t="n">
        <f aca="false">$E49*MAX(0,(MIN(In_PB_Release,CC$4)-MAX($F49,CC$3)+1)/CC$5)</f>
        <v>0</v>
      </c>
      <c r="CD49" s="47" t="n">
        <f aca="false">$E49*MAX(0,(MIN(In_PB_Release,CD$4)-MAX($F49,CD$3)+1)/CD$5)</f>
        <v>0</v>
      </c>
      <c r="CE49" s="47" t="n">
        <f aca="false">$E49*MAX(0,(MIN(In_PB_Release,CE$4)-MAX($F49,CE$3)+1)/CE$5)</f>
        <v>0</v>
      </c>
      <c r="CF49" s="47" t="n">
        <f aca="false">$E49*MAX(0,(MIN(In_PB_Release,CF$4)-MAX($F49,CF$3)+1)/CF$5)</f>
        <v>0</v>
      </c>
      <c r="CG49" s="47" t="n">
        <f aca="false">$E49*MAX(0,(MIN(In_PB_Release,CG$4)-MAX($F49,CG$3)+1)/CG$5)</f>
        <v>0</v>
      </c>
      <c r="CH49" s="47" t="n">
        <f aca="false">$E49*MAX(0,(MIN(In_PB_Release,CH$4)-MAX($F49,CH$3)+1)/CH$5)</f>
        <v>0</v>
      </c>
      <c r="CI49" s="47" t="n">
        <f aca="false">$E49*MAX(0,(MIN(In_PB_Release,CI$4)-MAX($F49,CI$3)+1)/CI$5)</f>
        <v>0</v>
      </c>
      <c r="CJ49" s="47" t="n">
        <f aca="false">$E49*MAX(0,(MIN(In_PB_Release,CJ$4)-MAX($F49,CJ$3)+1)/CJ$5)</f>
        <v>0</v>
      </c>
      <c r="CK49" s="47" t="n">
        <f aca="false">$E49*MAX(0,(MIN(In_PB_Release,CK$4)-MAX($F49,CK$3)+1)/CK$5)</f>
        <v>0</v>
      </c>
      <c r="CL49" s="47" t="n">
        <f aca="false">$E49*MAX(0,(MIN(In_PB_Release,CL$4)-MAX($F49,CL$3)+1)/CL$5)</f>
        <v>0</v>
      </c>
      <c r="CM49" s="47" t="n">
        <f aca="false">$E49*MAX(0,(MIN(In_PB_Release,CM$4)-MAX($F49,CM$3)+1)/CM$5)</f>
        <v>0</v>
      </c>
      <c r="CN49" s="47" t="n">
        <f aca="false">$E49*MAX(0,(MIN(In_PB_Release,CN$4)-MAX($F49,CN$3)+1)/CN$5)</f>
        <v>0</v>
      </c>
      <c r="CO49" s="47" t="n">
        <f aca="false">$E49*MAX(0,(MIN(In_PB_Release,CO$4)-MAX($F49,CO$3)+1)/CO$5)</f>
        <v>0</v>
      </c>
      <c r="CP49" s="47" t="n">
        <f aca="false">$E49*MAX(0,(MIN(In_PB_Release,CP$4)-MAX($F49,CP$3)+1)/CP$5)</f>
        <v>0</v>
      </c>
      <c r="CQ49" s="47" t="n">
        <f aca="false">$E49*MAX(0,(MIN(In_PB_Release,CQ$4)-MAX($F49,CQ$3)+1)/CQ$5)</f>
        <v>0</v>
      </c>
      <c r="CR49" s="47" t="n">
        <f aca="false">$E49*MAX(0,(MIN(In_PB_Release,CR$4)-MAX($F49,CR$3)+1)/CR$5)</f>
        <v>0</v>
      </c>
      <c r="CS49" s="47" t="n">
        <f aca="false">$E49*MAX(0,(MIN(In_PB_Release,CS$4)-MAX($F49,CS$3)+1)/CS$5)</f>
        <v>0</v>
      </c>
      <c r="CT49" s="47" t="n">
        <f aca="false">$E49*MAX(0,(MIN(In_PB_Release,CT$4)-MAX($F49,CT$3)+1)/CT$5)</f>
        <v>0</v>
      </c>
      <c r="CU49" s="47" t="n">
        <f aca="false">$E49*MAX(0,(MIN(In_PB_Release,CU$4)-MAX($F49,CU$3)+1)/CU$5)</f>
        <v>0</v>
      </c>
      <c r="CV49" s="47" t="n">
        <f aca="false">$E49*MAX(0,(MIN(In_PB_Release,CV$4)-MAX($F49,CV$3)+1)/CV$5)</f>
        <v>0</v>
      </c>
      <c r="CW49" s="47" t="n">
        <f aca="false">$E49*MAX(0,(MIN(In_PB_Release,CW$4)-MAX($F49,CW$3)+1)/CW$5)</f>
        <v>0</v>
      </c>
      <c r="CX49" s="47" t="n">
        <f aca="false">$E49*MAX(0,(MIN(In_PB_Release,CX$4)-MAX($F49,CX$3)+1)/CX$5)</f>
        <v>0</v>
      </c>
      <c r="CY49" s="47" t="n">
        <f aca="false">$E49*MAX(0,(MIN(In_PB_Release,CY$4)-MAX($F49,CY$3)+1)/CY$5)</f>
        <v>0</v>
      </c>
      <c r="CZ49" s="47" t="n">
        <f aca="false">$E49*MAX(0,(MIN(In_PB_Release,CZ$4)-MAX($F49,CZ$3)+1)/CZ$5)</f>
        <v>0</v>
      </c>
      <c r="DA49" s="47" t="n">
        <f aca="false">$E49*MAX(0,(MIN(In_PB_Release,DA$4)-MAX($F49,DA$3)+1)/DA$5)</f>
        <v>0</v>
      </c>
      <c r="DB49" s="47" t="n">
        <f aca="false">$E49*MAX(0,(MIN(In_PB_Release,DB$4)-MAX($F49,DB$3)+1)/DB$5)</f>
        <v>0</v>
      </c>
      <c r="DC49" s="47" t="n">
        <f aca="false">$E49*MAX(0,(MIN(In_PB_Release,DC$4)-MAX($F49,DC$3)+1)/DC$5)</f>
        <v>0</v>
      </c>
      <c r="DD49" s="47" t="n">
        <f aca="false">$E49*MAX(0,(MIN(In_PB_Release,DD$4)-MAX($F49,DD$3)+1)/DD$5)</f>
        <v>0</v>
      </c>
      <c r="DE49" s="47" t="n">
        <f aca="false">$E49*MAX(0,(MIN(In_PB_Release,DE$4)-MAX($F49,DE$3)+1)/DE$5)</f>
        <v>0</v>
      </c>
      <c r="DF49" s="47" t="n">
        <f aca="false">$E49*MAX(0,(MIN(In_PB_Release,DF$4)-MAX($F49,DF$3)+1)/DF$5)</f>
        <v>0</v>
      </c>
      <c r="DG49" s="47" t="n">
        <f aca="false">$E49*MAX(0,(MIN(In_PB_Release,DG$4)-MAX($F49,DG$3)+1)/DG$5)</f>
        <v>0</v>
      </c>
      <c r="DH49" s="47" t="n">
        <f aca="false">$E49*MAX(0,(MIN(In_PB_Release,DH$4)-MAX($F49,DH$3)+1)/DH$5)</f>
        <v>0</v>
      </c>
      <c r="DI49" s="47" t="n">
        <f aca="false">$E49*MAX(0,(MIN(In_PB_Release,DI$4)-MAX($F49,DI$3)+1)/DI$5)</f>
        <v>0</v>
      </c>
      <c r="DJ49" s="47" t="n">
        <f aca="false">$E49*MAX(0,(MIN(In_PB_Release,DJ$4)-MAX($F49,DJ$3)+1)/DJ$5)</f>
        <v>0</v>
      </c>
      <c r="DK49" s="47" t="n">
        <f aca="false">$E49*MAX(0,(MIN(In_PB_Release,DK$4)-MAX($F49,DK$3)+1)/DK$5)</f>
        <v>0</v>
      </c>
      <c r="DL49" s="47" t="n">
        <f aca="false">$E49*MAX(0,(MIN(In_PB_Release,DL$4)-MAX($F49,DL$3)+1)/DL$5)</f>
        <v>0</v>
      </c>
      <c r="DM49" s="47" t="n">
        <f aca="false">$E49*MAX(0,(MIN(In_PB_Release,DM$4)-MAX($F49,DM$3)+1)/DM$5)</f>
        <v>0</v>
      </c>
      <c r="DN49" s="47" t="n">
        <f aca="false">$E49*MAX(0,(MIN(In_PB_Release,DN$4)-MAX($F49,DN$3)+1)/DN$5)</f>
        <v>0</v>
      </c>
      <c r="DO49" s="47" t="n">
        <f aca="false">$E49*MAX(0,(MIN(In_PB_Release,DO$4)-MAX($F49,DO$3)+1)/DO$5)</f>
        <v>0</v>
      </c>
      <c r="DP49" s="47" t="n">
        <f aca="false">$E49*MAX(0,(MIN(In_PB_Release,DP$4)-MAX($F49,DP$3)+1)/DP$5)</f>
        <v>0</v>
      </c>
      <c r="DQ49" s="47" t="n">
        <f aca="false">$E49*MAX(0,(MIN(In_PB_Release,DQ$4)-MAX($F49,DQ$3)+1)/DQ$5)</f>
        <v>0</v>
      </c>
      <c r="DR49" s="47" t="n">
        <f aca="false">$E49*MAX(0,(MIN(In_PB_Release,DR$4)-MAX($F49,DR$3)+1)/DR$5)</f>
        <v>0</v>
      </c>
      <c r="DS49" s="47" t="n">
        <f aca="false">$E49*MAX(0,(MIN(In_PB_Release,DS$4)-MAX($F49,DS$3)+1)/DS$5)</f>
        <v>0</v>
      </c>
      <c r="DT49" s="47" t="n">
        <f aca="false">$E49*MAX(0,(MIN(In_PB_Release,DT$4)-MAX($F49,DT$3)+1)/DT$5)</f>
        <v>0</v>
      </c>
      <c r="DU49" s="47" t="n">
        <f aca="false">$E49*MAX(0,(MIN(In_PB_Release,DU$4)-MAX($F49,DU$3)+1)/DU$5)</f>
        <v>0</v>
      </c>
      <c r="DV49" s="47" t="n">
        <f aca="false">$E49*MAX(0,(MIN(In_PB_Release,DV$4)-MAX($F49,DV$3)+1)/DV$5)</f>
        <v>0</v>
      </c>
      <c r="DW49" s="47" t="n">
        <f aca="false">$E49*MAX(0,(MIN(In_PB_Release,DW$4)-MAX($F49,DW$3)+1)/DW$5)</f>
        <v>0</v>
      </c>
      <c r="DX49" s="47" t="n">
        <f aca="false">$E49*MAX(0,(MIN(In_PB_Release,DX$4)-MAX($F49,DX$3)+1)/DX$5)</f>
        <v>0</v>
      </c>
      <c r="DY49" s="47" t="n">
        <f aca="false">$E49*MAX(0,(MIN(In_PB_Release,DY$4)-MAX($F49,DY$3)+1)/DY$5)</f>
        <v>0</v>
      </c>
      <c r="DZ49" s="47" t="n">
        <f aca="false">$E49*MAX(0,(MIN(In_PB_Release,DZ$4)-MAX($F49,DZ$3)+1)/DZ$5)</f>
        <v>0</v>
      </c>
      <c r="EA49" s="47" t="n">
        <f aca="false">$E49*MAX(0,(MIN(In_PB_Release,EA$4)-MAX($F49,EA$3)+1)/EA$5)</f>
        <v>0</v>
      </c>
      <c r="EB49" s="47" t="n">
        <f aca="false">$E49*MAX(0,(MIN(In_PB_Release,EB$4)-MAX($F49,EB$3)+1)/EB$5)</f>
        <v>0</v>
      </c>
      <c r="EC49" s="47" t="n">
        <f aca="false">$E49*MAX(0,(MIN(In_PB_Release,EC$4)-MAX($F49,EC$3)+1)/EC$5)</f>
        <v>0</v>
      </c>
      <c r="ED49" s="47" t="n">
        <f aca="false">$E49*MAX(0,(MIN(In_PB_Release,ED$4)-MAX($F49,ED$3)+1)/ED$5)</f>
        <v>0</v>
      </c>
      <c r="EE49" s="47" t="n">
        <f aca="false">$E49*MAX(0,(MIN(In_PB_Release,EE$4)-MAX($F49,EE$3)+1)/EE$5)</f>
        <v>0</v>
      </c>
      <c r="EF49" s="47" t="n">
        <f aca="false">$E49*MAX(0,(MIN(In_PB_Release,EF$4)-MAX($F49,EF$3)+1)/EF$5)</f>
        <v>0</v>
      </c>
      <c r="EG49" s="47" t="n">
        <f aca="false">$E49*MAX(0,(MIN(In_PB_Release,EG$4)-MAX($F49,EG$3)+1)/EG$5)</f>
        <v>0</v>
      </c>
      <c r="EH49" s="47" t="n">
        <f aca="false">$E49*MAX(0,(MIN(In_PB_Release,EH$4)-MAX($F49,EH$3)+1)/EH$5)</f>
        <v>0</v>
      </c>
      <c r="EI49" s="47" t="n">
        <f aca="false">$E49*MAX(0,(MIN(In_PB_Release,EI$4)-MAX($F49,EI$3)+1)/EI$5)</f>
        <v>0</v>
      </c>
      <c r="EJ49" s="47" t="n">
        <f aca="false">$E49*MAX(0,(MIN(In_PB_Release,EJ$4)-MAX($F49,EJ$3)+1)/EJ$5)</f>
        <v>0</v>
      </c>
      <c r="EK49" s="47" t="n">
        <f aca="false">$E49*MAX(0,(MIN(In_PB_Release,EK$4)-MAX($F49,EK$3)+1)/EK$5)</f>
        <v>0</v>
      </c>
      <c r="EL49" s="47" t="n">
        <f aca="false">$E49*MAX(0,(MIN(In_PB_Release,EL$4)-MAX($F49,EL$3)+1)/EL$5)</f>
        <v>0</v>
      </c>
      <c r="EM49" s="47" t="n">
        <f aca="false">$E49*MAX(0,(MIN(In_PB_Release,EM$4)-MAX($F49,EM$3)+1)/EM$5)</f>
        <v>0</v>
      </c>
      <c r="EN49" s="47" t="n">
        <f aca="false">$E49*MAX(0,(MIN(In_PB_Release,EN$4)-MAX($F49,EN$3)+1)/EN$5)</f>
        <v>0</v>
      </c>
      <c r="EO49" s="47" t="n">
        <f aca="false">$E49*MAX(0,(MIN(In_PB_Release,EO$4)-MAX($F49,EO$3)+1)/EO$5)</f>
        <v>0</v>
      </c>
      <c r="EP49" s="47" t="n">
        <f aca="false">$E49*MAX(0,(MIN(In_PB_Release,EP$4)-MAX($F49,EP$3)+1)/EP$5)</f>
        <v>0</v>
      </c>
      <c r="EQ49" s="47" t="n">
        <f aca="false">$E49*MAX(0,(MIN(In_PB_Release,EQ$4)-MAX($F49,EQ$3)+1)/EQ$5)</f>
        <v>0</v>
      </c>
      <c r="ER49" s="47" t="n">
        <f aca="false">$E49*MAX(0,(MIN(In_PB_Release,ER$4)-MAX($F49,ER$3)+1)/ER$5)</f>
        <v>0</v>
      </c>
      <c r="ES49" s="47" t="n">
        <f aca="false">$E49*MAX(0,(MIN(In_PB_Release,ES$4)-MAX($F49,ES$3)+1)/ES$5)</f>
        <v>0</v>
      </c>
      <c r="ET49" s="47" t="n">
        <f aca="false">$E49*MAX(0,(MIN(In_PB_Release,ET$4)-MAX($F49,ET$3)+1)/ET$5)</f>
        <v>0</v>
      </c>
    </row>
    <row r="50" customFormat="false" ht="15" hidden="false" customHeight="false" outlineLevel="0" collapsed="false">
      <c r="C50" s="1" t="s">
        <v>479</v>
      </c>
      <c r="D50" s="12" t="s">
        <v>222</v>
      </c>
      <c r="E50" s="47" t="n">
        <f aca="false">In_TSO_Security*In_MVA*Thousand/In_FX</f>
        <v>1232.87671232877</v>
      </c>
      <c r="F50" s="28" t="n">
        <f aca="false">In_TSO_Date</f>
        <v>46386</v>
      </c>
      <c r="I50" s="47" t="n">
        <f aca="false">SUM(J50:ET50)</f>
        <v>-1232.87671232877</v>
      </c>
      <c r="J50" s="47" t="n">
        <f aca="false">-$E50*N(AND(J$3&lt;=$F50,J$4&gt;=$F50))</f>
        <v>-0</v>
      </c>
      <c r="K50" s="47" t="n">
        <f aca="false">-$E50*N(AND(K$3&lt;=$F50,K$4&gt;=$F50))</f>
        <v>-1232.87671232877</v>
      </c>
      <c r="L50" s="47" t="n">
        <f aca="false">-$E50*N(AND(L$3&lt;=$F50,L$4&gt;=$F50))</f>
        <v>-0</v>
      </c>
      <c r="M50" s="47" t="n">
        <f aca="false">-$E50*N(AND(M$3&lt;=$F50,M$4&gt;=$F50))</f>
        <v>-0</v>
      </c>
      <c r="N50" s="47" t="n">
        <f aca="false">-$E50*N(AND(N$3&lt;=$F50,N$4&gt;=$F50))</f>
        <v>-0</v>
      </c>
      <c r="O50" s="47" t="n">
        <f aca="false">-$E50*N(AND(O$3&lt;=$F50,O$4&gt;=$F50))</f>
        <v>-0</v>
      </c>
      <c r="P50" s="47" t="n">
        <f aca="false">-$E50*N(AND(P$3&lt;=$F50,P$4&gt;=$F50))</f>
        <v>-0</v>
      </c>
      <c r="Q50" s="47" t="n">
        <f aca="false">-$E50*N(AND(Q$3&lt;=$F50,Q$4&gt;=$F50))</f>
        <v>-0</v>
      </c>
      <c r="R50" s="47" t="n">
        <f aca="false">-$E50*N(AND(R$3&lt;=$F50,R$4&gt;=$F50))</f>
        <v>-0</v>
      </c>
      <c r="S50" s="47" t="n">
        <f aca="false">-$E50*N(AND(S$3&lt;=$F50,S$4&gt;=$F50))</f>
        <v>-0</v>
      </c>
      <c r="T50" s="47" t="n">
        <f aca="false">-$E50*N(AND(T$3&lt;=$F50,T$4&gt;=$F50))</f>
        <v>-0</v>
      </c>
      <c r="U50" s="47" t="n">
        <f aca="false">-$E50*N(AND(U$3&lt;=$F50,U$4&gt;=$F50))</f>
        <v>-0</v>
      </c>
      <c r="V50" s="47" t="n">
        <f aca="false">-$E50*N(AND(V$3&lt;=$F50,V$4&gt;=$F50))</f>
        <v>-0</v>
      </c>
      <c r="W50" s="47" t="n">
        <f aca="false">-$E50*N(AND(W$3&lt;=$F50,W$4&gt;=$F50))</f>
        <v>-0</v>
      </c>
      <c r="X50" s="47" t="n">
        <f aca="false">-$E50*N(AND(X$3&lt;=$F50,X$4&gt;=$F50))</f>
        <v>-0</v>
      </c>
      <c r="Y50" s="47" t="n">
        <f aca="false">-$E50*N(AND(Y$3&lt;=$F50,Y$4&gt;=$F50))</f>
        <v>-0</v>
      </c>
      <c r="Z50" s="47" t="n">
        <f aca="false">-$E50*N(AND(Z$3&lt;=$F50,Z$4&gt;=$F50))</f>
        <v>-0</v>
      </c>
      <c r="AA50" s="47" t="n">
        <f aca="false">-$E50*N(AND(AA$3&lt;=$F50,AA$4&gt;=$F50))</f>
        <v>-0</v>
      </c>
      <c r="AB50" s="47" t="n">
        <f aca="false">-$E50*N(AND(AB$3&lt;=$F50,AB$4&gt;=$F50))</f>
        <v>-0</v>
      </c>
      <c r="AC50" s="47" t="n">
        <f aca="false">-$E50*N(AND(AC$3&lt;=$F50,AC$4&gt;=$F50))</f>
        <v>-0</v>
      </c>
      <c r="AD50" s="47" t="n">
        <f aca="false">-$E50*N(AND(AD$3&lt;=$F50,AD$4&gt;=$F50))</f>
        <v>-0</v>
      </c>
      <c r="AE50" s="47" t="n">
        <f aca="false">-$E50*N(AND(AE$3&lt;=$F50,AE$4&gt;=$F50))</f>
        <v>-0</v>
      </c>
      <c r="AF50" s="47" t="n">
        <f aca="false">-$E50*N(AND(AF$3&lt;=$F50,AF$4&gt;=$F50))</f>
        <v>-0</v>
      </c>
      <c r="AG50" s="47" t="n">
        <f aca="false">-$E50*N(AND(AG$3&lt;=$F50,AG$4&gt;=$F50))</f>
        <v>-0</v>
      </c>
      <c r="AH50" s="47" t="n">
        <f aca="false">-$E50*N(AND(AH$3&lt;=$F50,AH$4&gt;=$F50))</f>
        <v>-0</v>
      </c>
      <c r="AI50" s="47" t="n">
        <f aca="false">-$E50*N(AND(AI$3&lt;=$F50,AI$4&gt;=$F50))</f>
        <v>-0</v>
      </c>
      <c r="AJ50" s="47" t="n">
        <f aca="false">-$E50*N(AND(AJ$3&lt;=$F50,AJ$4&gt;=$F50))</f>
        <v>-0</v>
      </c>
      <c r="AK50" s="47" t="n">
        <f aca="false">-$E50*N(AND(AK$3&lt;=$F50,AK$4&gt;=$F50))</f>
        <v>-0</v>
      </c>
      <c r="AL50" s="47" t="n">
        <f aca="false">-$E50*N(AND(AL$3&lt;=$F50,AL$4&gt;=$F50))</f>
        <v>-0</v>
      </c>
      <c r="AM50" s="47" t="n">
        <f aca="false">-$E50*N(AND(AM$3&lt;=$F50,AM$4&gt;=$F50))</f>
        <v>-0</v>
      </c>
      <c r="AN50" s="47" t="n">
        <f aca="false">-$E50*N(AND(AN$3&lt;=$F50,AN$4&gt;=$F50))</f>
        <v>-0</v>
      </c>
      <c r="AO50" s="47" t="n">
        <f aca="false">-$E50*N(AND(AO$3&lt;=$F50,AO$4&gt;=$F50))</f>
        <v>-0</v>
      </c>
      <c r="AP50" s="47" t="n">
        <f aca="false">-$E50*N(AND(AP$3&lt;=$F50,AP$4&gt;=$F50))</f>
        <v>-0</v>
      </c>
      <c r="AQ50" s="47" t="n">
        <f aca="false">-$E50*N(AND(AQ$3&lt;=$F50,AQ$4&gt;=$F50))</f>
        <v>-0</v>
      </c>
      <c r="AR50" s="47" t="n">
        <f aca="false">-$E50*N(AND(AR$3&lt;=$F50,AR$4&gt;=$F50))</f>
        <v>-0</v>
      </c>
      <c r="AS50" s="47" t="n">
        <f aca="false">-$E50*N(AND(AS$3&lt;=$F50,AS$4&gt;=$F50))</f>
        <v>-0</v>
      </c>
      <c r="AT50" s="47" t="n">
        <f aca="false">-$E50*N(AND(AT$3&lt;=$F50,AT$4&gt;=$F50))</f>
        <v>-0</v>
      </c>
      <c r="AU50" s="47" t="n">
        <f aca="false">-$E50*N(AND(AU$3&lt;=$F50,AU$4&gt;=$F50))</f>
        <v>-0</v>
      </c>
      <c r="AV50" s="47" t="n">
        <f aca="false">-$E50*N(AND(AV$3&lt;=$F50,AV$4&gt;=$F50))</f>
        <v>-0</v>
      </c>
      <c r="AW50" s="47" t="n">
        <f aca="false">-$E50*N(AND(AW$3&lt;=$F50,AW$4&gt;=$F50))</f>
        <v>-0</v>
      </c>
      <c r="AX50" s="47" t="n">
        <f aca="false">-$E50*N(AND(AX$3&lt;=$F50,AX$4&gt;=$F50))</f>
        <v>-0</v>
      </c>
      <c r="AY50" s="47" t="n">
        <f aca="false">-$E50*N(AND(AY$3&lt;=$F50,AY$4&gt;=$F50))</f>
        <v>-0</v>
      </c>
      <c r="AZ50" s="47" t="n">
        <f aca="false">-$E50*N(AND(AZ$3&lt;=$F50,AZ$4&gt;=$F50))</f>
        <v>-0</v>
      </c>
      <c r="BA50" s="47" t="n">
        <f aca="false">-$E50*N(AND(BA$3&lt;=$F50,BA$4&gt;=$F50))</f>
        <v>-0</v>
      </c>
      <c r="BB50" s="47" t="n">
        <f aca="false">-$E50*N(AND(BB$3&lt;=$F50,BB$4&gt;=$F50))</f>
        <v>-0</v>
      </c>
      <c r="BC50" s="47" t="n">
        <f aca="false">-$E50*N(AND(BC$3&lt;=$F50,BC$4&gt;=$F50))</f>
        <v>-0</v>
      </c>
      <c r="BD50" s="47" t="n">
        <f aca="false">-$E50*N(AND(BD$3&lt;=$F50,BD$4&gt;=$F50))</f>
        <v>-0</v>
      </c>
      <c r="BE50" s="47" t="n">
        <f aca="false">-$E50*N(AND(BE$3&lt;=$F50,BE$4&gt;=$F50))</f>
        <v>-0</v>
      </c>
      <c r="BF50" s="47" t="n">
        <f aca="false">-$E50*N(AND(BF$3&lt;=$F50,BF$4&gt;=$F50))</f>
        <v>-0</v>
      </c>
      <c r="BG50" s="47" t="n">
        <f aca="false">-$E50*N(AND(BG$3&lt;=$F50,BG$4&gt;=$F50))</f>
        <v>-0</v>
      </c>
      <c r="BH50" s="47" t="n">
        <f aca="false">-$E50*N(AND(BH$3&lt;=$F50,BH$4&gt;=$F50))</f>
        <v>-0</v>
      </c>
      <c r="BI50" s="47" t="n">
        <f aca="false">-$E50*N(AND(BI$3&lt;=$F50,BI$4&gt;=$F50))</f>
        <v>-0</v>
      </c>
      <c r="BJ50" s="47" t="n">
        <f aca="false">-$E50*N(AND(BJ$3&lt;=$F50,BJ$4&gt;=$F50))</f>
        <v>-0</v>
      </c>
      <c r="BK50" s="47" t="n">
        <f aca="false">-$E50*N(AND(BK$3&lt;=$F50,BK$4&gt;=$F50))</f>
        <v>-0</v>
      </c>
      <c r="BL50" s="47" t="n">
        <f aca="false">-$E50*N(AND(BL$3&lt;=$F50,BL$4&gt;=$F50))</f>
        <v>-0</v>
      </c>
      <c r="BM50" s="47" t="n">
        <f aca="false">-$E50*N(AND(BM$3&lt;=$F50,BM$4&gt;=$F50))</f>
        <v>-0</v>
      </c>
      <c r="BN50" s="47" t="n">
        <f aca="false">-$E50*N(AND(BN$3&lt;=$F50,BN$4&gt;=$F50))</f>
        <v>-0</v>
      </c>
      <c r="BO50" s="47" t="n">
        <f aca="false">-$E50*N(AND(BO$3&lt;=$F50,BO$4&gt;=$F50))</f>
        <v>-0</v>
      </c>
      <c r="BP50" s="47" t="n">
        <f aca="false">-$E50*N(AND(BP$3&lt;=$F50,BP$4&gt;=$F50))</f>
        <v>-0</v>
      </c>
      <c r="BQ50" s="47" t="n">
        <f aca="false">-$E50*N(AND(BQ$3&lt;=$F50,BQ$4&gt;=$F50))</f>
        <v>-0</v>
      </c>
      <c r="BR50" s="47" t="n">
        <f aca="false">-$E50*N(AND(BR$3&lt;=$F50,BR$4&gt;=$F50))</f>
        <v>-0</v>
      </c>
      <c r="BS50" s="47" t="n">
        <f aca="false">-$E50*N(AND(BS$3&lt;=$F50,BS$4&gt;=$F50))</f>
        <v>-0</v>
      </c>
      <c r="BT50" s="47" t="n">
        <f aca="false">-$E50*N(AND(BT$3&lt;=$F50,BT$4&gt;=$F50))</f>
        <v>-0</v>
      </c>
      <c r="BU50" s="47" t="n">
        <f aca="false">-$E50*N(AND(BU$3&lt;=$F50,BU$4&gt;=$F50))</f>
        <v>-0</v>
      </c>
      <c r="BV50" s="47" t="n">
        <f aca="false">-$E50*N(AND(BV$3&lt;=$F50,BV$4&gt;=$F50))</f>
        <v>-0</v>
      </c>
      <c r="BW50" s="47" t="n">
        <f aca="false">-$E50*N(AND(BW$3&lt;=$F50,BW$4&gt;=$F50))</f>
        <v>-0</v>
      </c>
      <c r="BX50" s="47" t="n">
        <f aca="false">-$E50*N(AND(BX$3&lt;=$F50,BX$4&gt;=$F50))</f>
        <v>-0</v>
      </c>
      <c r="BY50" s="47" t="n">
        <f aca="false">-$E50*N(AND(BY$3&lt;=$F50,BY$4&gt;=$F50))</f>
        <v>-0</v>
      </c>
      <c r="BZ50" s="47" t="n">
        <f aca="false">-$E50*N(AND(BZ$3&lt;=$F50,BZ$4&gt;=$F50))</f>
        <v>-0</v>
      </c>
      <c r="CA50" s="47" t="n">
        <f aca="false">-$E50*N(AND(CA$3&lt;=$F50,CA$4&gt;=$F50))</f>
        <v>-0</v>
      </c>
      <c r="CB50" s="47" t="n">
        <f aca="false">-$E50*N(AND(CB$3&lt;=$F50,CB$4&gt;=$F50))</f>
        <v>-0</v>
      </c>
      <c r="CC50" s="47" t="n">
        <f aca="false">-$E50*N(AND(CC$3&lt;=$F50,CC$4&gt;=$F50))</f>
        <v>-0</v>
      </c>
      <c r="CD50" s="47" t="n">
        <f aca="false">-$E50*N(AND(CD$3&lt;=$F50,CD$4&gt;=$F50))</f>
        <v>-0</v>
      </c>
      <c r="CE50" s="47" t="n">
        <f aca="false">-$E50*N(AND(CE$3&lt;=$F50,CE$4&gt;=$F50))</f>
        <v>-0</v>
      </c>
      <c r="CF50" s="47" t="n">
        <f aca="false">-$E50*N(AND(CF$3&lt;=$F50,CF$4&gt;=$F50))</f>
        <v>-0</v>
      </c>
      <c r="CG50" s="47" t="n">
        <f aca="false">-$E50*N(AND(CG$3&lt;=$F50,CG$4&gt;=$F50))</f>
        <v>-0</v>
      </c>
      <c r="CH50" s="47" t="n">
        <f aca="false">-$E50*N(AND(CH$3&lt;=$F50,CH$4&gt;=$F50))</f>
        <v>-0</v>
      </c>
      <c r="CI50" s="47" t="n">
        <f aca="false">-$E50*N(AND(CI$3&lt;=$F50,CI$4&gt;=$F50))</f>
        <v>-0</v>
      </c>
      <c r="CJ50" s="47" t="n">
        <f aca="false">-$E50*N(AND(CJ$3&lt;=$F50,CJ$4&gt;=$F50))</f>
        <v>-0</v>
      </c>
      <c r="CK50" s="47" t="n">
        <f aca="false">-$E50*N(AND(CK$3&lt;=$F50,CK$4&gt;=$F50))</f>
        <v>-0</v>
      </c>
      <c r="CL50" s="47" t="n">
        <f aca="false">-$E50*N(AND(CL$3&lt;=$F50,CL$4&gt;=$F50))</f>
        <v>-0</v>
      </c>
      <c r="CM50" s="47" t="n">
        <f aca="false">-$E50*N(AND(CM$3&lt;=$F50,CM$4&gt;=$F50))</f>
        <v>-0</v>
      </c>
      <c r="CN50" s="47" t="n">
        <f aca="false">-$E50*N(AND(CN$3&lt;=$F50,CN$4&gt;=$F50))</f>
        <v>-0</v>
      </c>
      <c r="CO50" s="47" t="n">
        <f aca="false">-$E50*N(AND(CO$3&lt;=$F50,CO$4&gt;=$F50))</f>
        <v>-0</v>
      </c>
      <c r="CP50" s="47" t="n">
        <f aca="false">-$E50*N(AND(CP$3&lt;=$F50,CP$4&gt;=$F50))</f>
        <v>-0</v>
      </c>
      <c r="CQ50" s="47" t="n">
        <f aca="false">-$E50*N(AND(CQ$3&lt;=$F50,CQ$4&gt;=$F50))</f>
        <v>-0</v>
      </c>
      <c r="CR50" s="47" t="n">
        <f aca="false">-$E50*N(AND(CR$3&lt;=$F50,CR$4&gt;=$F50))</f>
        <v>-0</v>
      </c>
      <c r="CS50" s="47" t="n">
        <f aca="false">-$E50*N(AND(CS$3&lt;=$F50,CS$4&gt;=$F50))</f>
        <v>-0</v>
      </c>
      <c r="CT50" s="47" t="n">
        <f aca="false">-$E50*N(AND(CT$3&lt;=$F50,CT$4&gt;=$F50))</f>
        <v>-0</v>
      </c>
      <c r="CU50" s="47" t="n">
        <f aca="false">-$E50*N(AND(CU$3&lt;=$F50,CU$4&gt;=$F50))</f>
        <v>-0</v>
      </c>
      <c r="CV50" s="47" t="n">
        <f aca="false">-$E50*N(AND(CV$3&lt;=$F50,CV$4&gt;=$F50))</f>
        <v>-0</v>
      </c>
      <c r="CW50" s="47" t="n">
        <f aca="false">-$E50*N(AND(CW$3&lt;=$F50,CW$4&gt;=$F50))</f>
        <v>-0</v>
      </c>
      <c r="CX50" s="47" t="n">
        <f aca="false">-$E50*N(AND(CX$3&lt;=$F50,CX$4&gt;=$F50))</f>
        <v>-0</v>
      </c>
      <c r="CY50" s="47" t="n">
        <f aca="false">-$E50*N(AND(CY$3&lt;=$F50,CY$4&gt;=$F50))</f>
        <v>-0</v>
      </c>
      <c r="CZ50" s="47" t="n">
        <f aca="false">-$E50*N(AND(CZ$3&lt;=$F50,CZ$4&gt;=$F50))</f>
        <v>-0</v>
      </c>
      <c r="DA50" s="47" t="n">
        <f aca="false">-$E50*N(AND(DA$3&lt;=$F50,DA$4&gt;=$F50))</f>
        <v>-0</v>
      </c>
      <c r="DB50" s="47" t="n">
        <f aca="false">-$E50*N(AND(DB$3&lt;=$F50,DB$4&gt;=$F50))</f>
        <v>-0</v>
      </c>
      <c r="DC50" s="47" t="n">
        <f aca="false">-$E50*N(AND(DC$3&lt;=$F50,DC$4&gt;=$F50))</f>
        <v>-0</v>
      </c>
      <c r="DD50" s="47" t="n">
        <f aca="false">-$E50*N(AND(DD$3&lt;=$F50,DD$4&gt;=$F50))</f>
        <v>-0</v>
      </c>
      <c r="DE50" s="47" t="n">
        <f aca="false">-$E50*N(AND(DE$3&lt;=$F50,DE$4&gt;=$F50))</f>
        <v>-0</v>
      </c>
      <c r="DF50" s="47" t="n">
        <f aca="false">-$E50*N(AND(DF$3&lt;=$F50,DF$4&gt;=$F50))</f>
        <v>-0</v>
      </c>
      <c r="DG50" s="47" t="n">
        <f aca="false">-$E50*N(AND(DG$3&lt;=$F50,DG$4&gt;=$F50))</f>
        <v>-0</v>
      </c>
      <c r="DH50" s="47" t="n">
        <f aca="false">-$E50*N(AND(DH$3&lt;=$F50,DH$4&gt;=$F50))</f>
        <v>-0</v>
      </c>
      <c r="DI50" s="47" t="n">
        <f aca="false">-$E50*N(AND(DI$3&lt;=$F50,DI$4&gt;=$F50))</f>
        <v>-0</v>
      </c>
      <c r="DJ50" s="47" t="n">
        <f aca="false">-$E50*N(AND(DJ$3&lt;=$F50,DJ$4&gt;=$F50))</f>
        <v>-0</v>
      </c>
      <c r="DK50" s="47" t="n">
        <f aca="false">-$E50*N(AND(DK$3&lt;=$F50,DK$4&gt;=$F50))</f>
        <v>-0</v>
      </c>
      <c r="DL50" s="47" t="n">
        <f aca="false">-$E50*N(AND(DL$3&lt;=$F50,DL$4&gt;=$F50))</f>
        <v>-0</v>
      </c>
      <c r="DM50" s="47" t="n">
        <f aca="false">-$E50*N(AND(DM$3&lt;=$F50,DM$4&gt;=$F50))</f>
        <v>-0</v>
      </c>
      <c r="DN50" s="47" t="n">
        <f aca="false">-$E50*N(AND(DN$3&lt;=$F50,DN$4&gt;=$F50))</f>
        <v>-0</v>
      </c>
      <c r="DO50" s="47" t="n">
        <f aca="false">-$E50*N(AND(DO$3&lt;=$F50,DO$4&gt;=$F50))</f>
        <v>-0</v>
      </c>
      <c r="DP50" s="47" t="n">
        <f aca="false">-$E50*N(AND(DP$3&lt;=$F50,DP$4&gt;=$F50))</f>
        <v>-0</v>
      </c>
      <c r="DQ50" s="47" t="n">
        <f aca="false">-$E50*N(AND(DQ$3&lt;=$F50,DQ$4&gt;=$F50))</f>
        <v>-0</v>
      </c>
      <c r="DR50" s="47" t="n">
        <f aca="false">-$E50*N(AND(DR$3&lt;=$F50,DR$4&gt;=$F50))</f>
        <v>-0</v>
      </c>
      <c r="DS50" s="47" t="n">
        <f aca="false">-$E50*N(AND(DS$3&lt;=$F50,DS$4&gt;=$F50))</f>
        <v>-0</v>
      </c>
      <c r="DT50" s="47" t="n">
        <f aca="false">-$E50*N(AND(DT$3&lt;=$F50,DT$4&gt;=$F50))</f>
        <v>-0</v>
      </c>
      <c r="DU50" s="47" t="n">
        <f aca="false">-$E50*N(AND(DU$3&lt;=$F50,DU$4&gt;=$F50))</f>
        <v>-0</v>
      </c>
      <c r="DV50" s="47" t="n">
        <f aca="false">-$E50*N(AND(DV$3&lt;=$F50,DV$4&gt;=$F50))</f>
        <v>-0</v>
      </c>
      <c r="DW50" s="47" t="n">
        <f aca="false">-$E50*N(AND(DW$3&lt;=$F50,DW$4&gt;=$F50))</f>
        <v>-0</v>
      </c>
      <c r="DX50" s="47" t="n">
        <f aca="false">-$E50*N(AND(DX$3&lt;=$F50,DX$4&gt;=$F50))</f>
        <v>-0</v>
      </c>
      <c r="DY50" s="47" t="n">
        <f aca="false">-$E50*N(AND(DY$3&lt;=$F50,DY$4&gt;=$F50))</f>
        <v>-0</v>
      </c>
      <c r="DZ50" s="47" t="n">
        <f aca="false">-$E50*N(AND(DZ$3&lt;=$F50,DZ$4&gt;=$F50))</f>
        <v>-0</v>
      </c>
      <c r="EA50" s="47" t="n">
        <f aca="false">-$E50*N(AND(EA$3&lt;=$F50,EA$4&gt;=$F50))</f>
        <v>-0</v>
      </c>
      <c r="EB50" s="47" t="n">
        <f aca="false">-$E50*N(AND(EB$3&lt;=$F50,EB$4&gt;=$F50))</f>
        <v>-0</v>
      </c>
      <c r="EC50" s="47" t="n">
        <f aca="false">-$E50*N(AND(EC$3&lt;=$F50,EC$4&gt;=$F50))</f>
        <v>-0</v>
      </c>
      <c r="ED50" s="47" t="n">
        <f aca="false">-$E50*N(AND(ED$3&lt;=$F50,ED$4&gt;=$F50))</f>
        <v>-0</v>
      </c>
      <c r="EE50" s="47" t="n">
        <f aca="false">-$E50*N(AND(EE$3&lt;=$F50,EE$4&gt;=$F50))</f>
        <v>-0</v>
      </c>
      <c r="EF50" s="47" t="n">
        <f aca="false">-$E50*N(AND(EF$3&lt;=$F50,EF$4&gt;=$F50))</f>
        <v>-0</v>
      </c>
      <c r="EG50" s="47" t="n">
        <f aca="false">-$E50*N(AND(EG$3&lt;=$F50,EG$4&gt;=$F50))</f>
        <v>-0</v>
      </c>
      <c r="EH50" s="47" t="n">
        <f aca="false">-$E50*N(AND(EH$3&lt;=$F50,EH$4&gt;=$F50))</f>
        <v>-0</v>
      </c>
      <c r="EI50" s="47" t="n">
        <f aca="false">-$E50*N(AND(EI$3&lt;=$F50,EI$4&gt;=$F50))</f>
        <v>-0</v>
      </c>
      <c r="EJ50" s="47" t="n">
        <f aca="false">-$E50*N(AND(EJ$3&lt;=$F50,EJ$4&gt;=$F50))</f>
        <v>-0</v>
      </c>
      <c r="EK50" s="47" t="n">
        <f aca="false">-$E50*N(AND(EK$3&lt;=$F50,EK$4&gt;=$F50))</f>
        <v>-0</v>
      </c>
      <c r="EL50" s="47" t="n">
        <f aca="false">-$E50*N(AND(EL$3&lt;=$F50,EL$4&gt;=$F50))</f>
        <v>-0</v>
      </c>
      <c r="EM50" s="47" t="n">
        <f aca="false">-$E50*N(AND(EM$3&lt;=$F50,EM$4&gt;=$F50))</f>
        <v>-0</v>
      </c>
      <c r="EN50" s="47" t="n">
        <f aca="false">-$E50*N(AND(EN$3&lt;=$F50,EN$4&gt;=$F50))</f>
        <v>-0</v>
      </c>
      <c r="EO50" s="47" t="n">
        <f aca="false">-$E50*N(AND(EO$3&lt;=$F50,EO$4&gt;=$F50))</f>
        <v>-0</v>
      </c>
      <c r="EP50" s="47" t="n">
        <f aca="false">-$E50*N(AND(EP$3&lt;=$F50,EP$4&gt;=$F50))</f>
        <v>-0</v>
      </c>
      <c r="EQ50" s="47" t="n">
        <f aca="false">-$E50*N(AND(EQ$3&lt;=$F50,EQ$4&gt;=$F50))</f>
        <v>-0</v>
      </c>
      <c r="ER50" s="47" t="n">
        <f aca="false">-$E50*N(AND(ER$3&lt;=$F50,ER$4&gt;=$F50))</f>
        <v>-0</v>
      </c>
      <c r="ES50" s="47" t="n">
        <f aca="false">-$E50*N(AND(ES$3&lt;=$F50,ES$4&gt;=$F50))</f>
        <v>-0</v>
      </c>
      <c r="ET50" s="47" t="n">
        <f aca="false">-$E50*N(AND(ET$3&lt;=$F50,ET$4&gt;=$F50))</f>
        <v>-0</v>
      </c>
    </row>
    <row r="51" customFormat="false" ht="15" hidden="false" customHeight="false" outlineLevel="0" collapsed="false">
      <c r="C51" s="1" t="s">
        <v>480</v>
      </c>
      <c r="D51" s="12" t="s">
        <v>222</v>
      </c>
      <c r="E51" s="47" t="n">
        <f aca="false">In_Direct_Fee*Thousand/In_FX</f>
        <v>1392.72823013699</v>
      </c>
      <c r="F51" s="28" t="n">
        <f aca="false">In_HCSSZ_Date</f>
        <v>47126</v>
      </c>
      <c r="I51" s="47" t="n">
        <f aca="false">SUM(J51:ET51)</f>
        <v>-1392.72823013699</v>
      </c>
      <c r="J51" s="47" t="n">
        <f aca="false">-$E51*N(AND(J$3&lt;=$F51,J$4&gt;=$F51))</f>
        <v>-0</v>
      </c>
      <c r="K51" s="47" t="n">
        <f aca="false">-$E51*N(AND(K$3&lt;=$F51,K$4&gt;=$F51))</f>
        <v>-0</v>
      </c>
      <c r="L51" s="47" t="n">
        <f aca="false">-$E51*N(AND(L$3&lt;=$F51,L$4&gt;=$F51))</f>
        <v>-0</v>
      </c>
      <c r="M51" s="47" t="n">
        <f aca="false">-$E51*N(AND(M$3&lt;=$F51,M$4&gt;=$F51))</f>
        <v>-0</v>
      </c>
      <c r="N51" s="47" t="n">
        <f aca="false">-$E51*N(AND(N$3&lt;=$F51,N$4&gt;=$F51))</f>
        <v>-0</v>
      </c>
      <c r="O51" s="47" t="n">
        <f aca="false">-$E51*N(AND(O$3&lt;=$F51,O$4&gt;=$F51))</f>
        <v>-0</v>
      </c>
      <c r="P51" s="47" t="n">
        <f aca="false">-$E51*N(AND(P$3&lt;=$F51,P$4&gt;=$F51))</f>
        <v>-0</v>
      </c>
      <c r="Q51" s="47" t="n">
        <f aca="false">-$E51*N(AND(Q$3&lt;=$F51,Q$4&gt;=$F51))</f>
        <v>-0</v>
      </c>
      <c r="R51" s="47" t="n">
        <f aca="false">-$E51*N(AND(R$3&lt;=$F51,R$4&gt;=$F51))</f>
        <v>-0</v>
      </c>
      <c r="S51" s="47" t="n">
        <f aca="false">-$E51*N(AND(S$3&lt;=$F51,S$4&gt;=$F51))</f>
        <v>-0</v>
      </c>
      <c r="T51" s="47" t="n">
        <f aca="false">-$E51*N(AND(T$3&lt;=$F51,T$4&gt;=$F51))</f>
        <v>-1392.72823013699</v>
      </c>
      <c r="U51" s="47" t="n">
        <f aca="false">-$E51*N(AND(U$3&lt;=$F51,U$4&gt;=$F51))</f>
        <v>-0</v>
      </c>
      <c r="V51" s="47" t="n">
        <f aca="false">-$E51*N(AND(V$3&lt;=$F51,V$4&gt;=$F51))</f>
        <v>-0</v>
      </c>
      <c r="W51" s="47" t="n">
        <f aca="false">-$E51*N(AND(W$3&lt;=$F51,W$4&gt;=$F51))</f>
        <v>-0</v>
      </c>
      <c r="X51" s="47" t="n">
        <f aca="false">-$E51*N(AND(X$3&lt;=$F51,X$4&gt;=$F51))</f>
        <v>-0</v>
      </c>
      <c r="Y51" s="47" t="n">
        <f aca="false">-$E51*N(AND(Y$3&lt;=$F51,Y$4&gt;=$F51))</f>
        <v>-0</v>
      </c>
      <c r="Z51" s="47" t="n">
        <f aca="false">-$E51*N(AND(Z$3&lt;=$F51,Z$4&gt;=$F51))</f>
        <v>-0</v>
      </c>
      <c r="AA51" s="47" t="n">
        <f aca="false">-$E51*N(AND(AA$3&lt;=$F51,AA$4&gt;=$F51))</f>
        <v>-0</v>
      </c>
      <c r="AB51" s="47" t="n">
        <f aca="false">-$E51*N(AND(AB$3&lt;=$F51,AB$4&gt;=$F51))</f>
        <v>-0</v>
      </c>
      <c r="AC51" s="47" t="n">
        <f aca="false">-$E51*N(AND(AC$3&lt;=$F51,AC$4&gt;=$F51))</f>
        <v>-0</v>
      </c>
      <c r="AD51" s="47" t="n">
        <f aca="false">-$E51*N(AND(AD$3&lt;=$F51,AD$4&gt;=$F51))</f>
        <v>-0</v>
      </c>
      <c r="AE51" s="47" t="n">
        <f aca="false">-$E51*N(AND(AE$3&lt;=$F51,AE$4&gt;=$F51))</f>
        <v>-0</v>
      </c>
      <c r="AF51" s="47" t="n">
        <f aca="false">-$E51*N(AND(AF$3&lt;=$F51,AF$4&gt;=$F51))</f>
        <v>-0</v>
      </c>
      <c r="AG51" s="47" t="n">
        <f aca="false">-$E51*N(AND(AG$3&lt;=$F51,AG$4&gt;=$F51))</f>
        <v>-0</v>
      </c>
      <c r="AH51" s="47" t="n">
        <f aca="false">-$E51*N(AND(AH$3&lt;=$F51,AH$4&gt;=$F51))</f>
        <v>-0</v>
      </c>
      <c r="AI51" s="47" t="n">
        <f aca="false">-$E51*N(AND(AI$3&lt;=$F51,AI$4&gt;=$F51))</f>
        <v>-0</v>
      </c>
      <c r="AJ51" s="47" t="n">
        <f aca="false">-$E51*N(AND(AJ$3&lt;=$F51,AJ$4&gt;=$F51))</f>
        <v>-0</v>
      </c>
      <c r="AK51" s="47" t="n">
        <f aca="false">-$E51*N(AND(AK$3&lt;=$F51,AK$4&gt;=$F51))</f>
        <v>-0</v>
      </c>
      <c r="AL51" s="47" t="n">
        <f aca="false">-$E51*N(AND(AL$3&lt;=$F51,AL$4&gt;=$F51))</f>
        <v>-0</v>
      </c>
      <c r="AM51" s="47" t="n">
        <f aca="false">-$E51*N(AND(AM$3&lt;=$F51,AM$4&gt;=$F51))</f>
        <v>-0</v>
      </c>
      <c r="AN51" s="47" t="n">
        <f aca="false">-$E51*N(AND(AN$3&lt;=$F51,AN$4&gt;=$F51))</f>
        <v>-0</v>
      </c>
      <c r="AO51" s="47" t="n">
        <f aca="false">-$E51*N(AND(AO$3&lt;=$F51,AO$4&gt;=$F51))</f>
        <v>-0</v>
      </c>
      <c r="AP51" s="47" t="n">
        <f aca="false">-$E51*N(AND(AP$3&lt;=$F51,AP$4&gt;=$F51))</f>
        <v>-0</v>
      </c>
      <c r="AQ51" s="47" t="n">
        <f aca="false">-$E51*N(AND(AQ$3&lt;=$F51,AQ$4&gt;=$F51))</f>
        <v>-0</v>
      </c>
      <c r="AR51" s="47" t="n">
        <f aca="false">-$E51*N(AND(AR$3&lt;=$F51,AR$4&gt;=$F51))</f>
        <v>-0</v>
      </c>
      <c r="AS51" s="47" t="n">
        <f aca="false">-$E51*N(AND(AS$3&lt;=$F51,AS$4&gt;=$F51))</f>
        <v>-0</v>
      </c>
      <c r="AT51" s="47" t="n">
        <f aca="false">-$E51*N(AND(AT$3&lt;=$F51,AT$4&gt;=$F51))</f>
        <v>-0</v>
      </c>
      <c r="AU51" s="47" t="n">
        <f aca="false">-$E51*N(AND(AU$3&lt;=$F51,AU$4&gt;=$F51))</f>
        <v>-0</v>
      </c>
      <c r="AV51" s="47" t="n">
        <f aca="false">-$E51*N(AND(AV$3&lt;=$F51,AV$4&gt;=$F51))</f>
        <v>-0</v>
      </c>
      <c r="AW51" s="47" t="n">
        <f aca="false">-$E51*N(AND(AW$3&lt;=$F51,AW$4&gt;=$F51))</f>
        <v>-0</v>
      </c>
      <c r="AX51" s="47" t="n">
        <f aca="false">-$E51*N(AND(AX$3&lt;=$F51,AX$4&gt;=$F51))</f>
        <v>-0</v>
      </c>
      <c r="AY51" s="47" t="n">
        <f aca="false">-$E51*N(AND(AY$3&lt;=$F51,AY$4&gt;=$F51))</f>
        <v>-0</v>
      </c>
      <c r="AZ51" s="47" t="n">
        <f aca="false">-$E51*N(AND(AZ$3&lt;=$F51,AZ$4&gt;=$F51))</f>
        <v>-0</v>
      </c>
      <c r="BA51" s="47" t="n">
        <f aca="false">-$E51*N(AND(BA$3&lt;=$F51,BA$4&gt;=$F51))</f>
        <v>-0</v>
      </c>
      <c r="BB51" s="47" t="n">
        <f aca="false">-$E51*N(AND(BB$3&lt;=$F51,BB$4&gt;=$F51))</f>
        <v>-0</v>
      </c>
      <c r="BC51" s="47" t="n">
        <f aca="false">-$E51*N(AND(BC$3&lt;=$F51,BC$4&gt;=$F51))</f>
        <v>-0</v>
      </c>
      <c r="BD51" s="47" t="n">
        <f aca="false">-$E51*N(AND(BD$3&lt;=$F51,BD$4&gt;=$F51))</f>
        <v>-0</v>
      </c>
      <c r="BE51" s="47" t="n">
        <f aca="false">-$E51*N(AND(BE$3&lt;=$F51,BE$4&gt;=$F51))</f>
        <v>-0</v>
      </c>
      <c r="BF51" s="47" t="n">
        <f aca="false">-$E51*N(AND(BF$3&lt;=$F51,BF$4&gt;=$F51))</f>
        <v>-0</v>
      </c>
      <c r="BG51" s="47" t="n">
        <f aca="false">-$E51*N(AND(BG$3&lt;=$F51,BG$4&gt;=$F51))</f>
        <v>-0</v>
      </c>
      <c r="BH51" s="47" t="n">
        <f aca="false">-$E51*N(AND(BH$3&lt;=$F51,BH$4&gt;=$F51))</f>
        <v>-0</v>
      </c>
      <c r="BI51" s="47" t="n">
        <f aca="false">-$E51*N(AND(BI$3&lt;=$F51,BI$4&gt;=$F51))</f>
        <v>-0</v>
      </c>
      <c r="BJ51" s="47" t="n">
        <f aca="false">-$E51*N(AND(BJ$3&lt;=$F51,BJ$4&gt;=$F51))</f>
        <v>-0</v>
      </c>
      <c r="BK51" s="47" t="n">
        <f aca="false">-$E51*N(AND(BK$3&lt;=$F51,BK$4&gt;=$F51))</f>
        <v>-0</v>
      </c>
      <c r="BL51" s="47" t="n">
        <f aca="false">-$E51*N(AND(BL$3&lt;=$F51,BL$4&gt;=$F51))</f>
        <v>-0</v>
      </c>
      <c r="BM51" s="47" t="n">
        <f aca="false">-$E51*N(AND(BM$3&lt;=$F51,BM$4&gt;=$F51))</f>
        <v>-0</v>
      </c>
      <c r="BN51" s="47" t="n">
        <f aca="false">-$E51*N(AND(BN$3&lt;=$F51,BN$4&gt;=$F51))</f>
        <v>-0</v>
      </c>
      <c r="BO51" s="47" t="n">
        <f aca="false">-$E51*N(AND(BO$3&lt;=$F51,BO$4&gt;=$F51))</f>
        <v>-0</v>
      </c>
      <c r="BP51" s="47" t="n">
        <f aca="false">-$E51*N(AND(BP$3&lt;=$F51,BP$4&gt;=$F51))</f>
        <v>-0</v>
      </c>
      <c r="BQ51" s="47" t="n">
        <f aca="false">-$E51*N(AND(BQ$3&lt;=$F51,BQ$4&gt;=$F51))</f>
        <v>-0</v>
      </c>
      <c r="BR51" s="47" t="n">
        <f aca="false">-$E51*N(AND(BR$3&lt;=$F51,BR$4&gt;=$F51))</f>
        <v>-0</v>
      </c>
      <c r="BS51" s="47" t="n">
        <f aca="false">-$E51*N(AND(BS$3&lt;=$F51,BS$4&gt;=$F51))</f>
        <v>-0</v>
      </c>
      <c r="BT51" s="47" t="n">
        <f aca="false">-$E51*N(AND(BT$3&lt;=$F51,BT$4&gt;=$F51))</f>
        <v>-0</v>
      </c>
      <c r="BU51" s="47" t="n">
        <f aca="false">-$E51*N(AND(BU$3&lt;=$F51,BU$4&gt;=$F51))</f>
        <v>-0</v>
      </c>
      <c r="BV51" s="47" t="n">
        <f aca="false">-$E51*N(AND(BV$3&lt;=$F51,BV$4&gt;=$F51))</f>
        <v>-0</v>
      </c>
      <c r="BW51" s="47" t="n">
        <f aca="false">-$E51*N(AND(BW$3&lt;=$F51,BW$4&gt;=$F51))</f>
        <v>-0</v>
      </c>
      <c r="BX51" s="47" t="n">
        <f aca="false">-$E51*N(AND(BX$3&lt;=$F51,BX$4&gt;=$F51))</f>
        <v>-0</v>
      </c>
      <c r="BY51" s="47" t="n">
        <f aca="false">-$E51*N(AND(BY$3&lt;=$F51,BY$4&gt;=$F51))</f>
        <v>-0</v>
      </c>
      <c r="BZ51" s="47" t="n">
        <f aca="false">-$E51*N(AND(BZ$3&lt;=$F51,BZ$4&gt;=$F51))</f>
        <v>-0</v>
      </c>
      <c r="CA51" s="47" t="n">
        <f aca="false">-$E51*N(AND(CA$3&lt;=$F51,CA$4&gt;=$F51))</f>
        <v>-0</v>
      </c>
      <c r="CB51" s="47" t="n">
        <f aca="false">-$E51*N(AND(CB$3&lt;=$F51,CB$4&gt;=$F51))</f>
        <v>-0</v>
      </c>
      <c r="CC51" s="47" t="n">
        <f aca="false">-$E51*N(AND(CC$3&lt;=$F51,CC$4&gt;=$F51))</f>
        <v>-0</v>
      </c>
      <c r="CD51" s="47" t="n">
        <f aca="false">-$E51*N(AND(CD$3&lt;=$F51,CD$4&gt;=$F51))</f>
        <v>-0</v>
      </c>
      <c r="CE51" s="47" t="n">
        <f aca="false">-$E51*N(AND(CE$3&lt;=$F51,CE$4&gt;=$F51))</f>
        <v>-0</v>
      </c>
      <c r="CF51" s="47" t="n">
        <f aca="false">-$E51*N(AND(CF$3&lt;=$F51,CF$4&gt;=$F51))</f>
        <v>-0</v>
      </c>
      <c r="CG51" s="47" t="n">
        <f aca="false">-$E51*N(AND(CG$3&lt;=$F51,CG$4&gt;=$F51))</f>
        <v>-0</v>
      </c>
      <c r="CH51" s="47" t="n">
        <f aca="false">-$E51*N(AND(CH$3&lt;=$F51,CH$4&gt;=$F51))</f>
        <v>-0</v>
      </c>
      <c r="CI51" s="47" t="n">
        <f aca="false">-$E51*N(AND(CI$3&lt;=$F51,CI$4&gt;=$F51))</f>
        <v>-0</v>
      </c>
      <c r="CJ51" s="47" t="n">
        <f aca="false">-$E51*N(AND(CJ$3&lt;=$F51,CJ$4&gt;=$F51))</f>
        <v>-0</v>
      </c>
      <c r="CK51" s="47" t="n">
        <f aca="false">-$E51*N(AND(CK$3&lt;=$F51,CK$4&gt;=$F51))</f>
        <v>-0</v>
      </c>
      <c r="CL51" s="47" t="n">
        <f aca="false">-$E51*N(AND(CL$3&lt;=$F51,CL$4&gt;=$F51))</f>
        <v>-0</v>
      </c>
      <c r="CM51" s="47" t="n">
        <f aca="false">-$E51*N(AND(CM$3&lt;=$F51,CM$4&gt;=$F51))</f>
        <v>-0</v>
      </c>
      <c r="CN51" s="47" t="n">
        <f aca="false">-$E51*N(AND(CN$3&lt;=$F51,CN$4&gt;=$F51))</f>
        <v>-0</v>
      </c>
      <c r="CO51" s="47" t="n">
        <f aca="false">-$E51*N(AND(CO$3&lt;=$F51,CO$4&gt;=$F51))</f>
        <v>-0</v>
      </c>
      <c r="CP51" s="47" t="n">
        <f aca="false">-$E51*N(AND(CP$3&lt;=$F51,CP$4&gt;=$F51))</f>
        <v>-0</v>
      </c>
      <c r="CQ51" s="47" t="n">
        <f aca="false">-$E51*N(AND(CQ$3&lt;=$F51,CQ$4&gt;=$F51))</f>
        <v>-0</v>
      </c>
      <c r="CR51" s="47" t="n">
        <f aca="false">-$E51*N(AND(CR$3&lt;=$F51,CR$4&gt;=$F51))</f>
        <v>-0</v>
      </c>
      <c r="CS51" s="47" t="n">
        <f aca="false">-$E51*N(AND(CS$3&lt;=$F51,CS$4&gt;=$F51))</f>
        <v>-0</v>
      </c>
      <c r="CT51" s="47" t="n">
        <f aca="false">-$E51*N(AND(CT$3&lt;=$F51,CT$4&gt;=$F51))</f>
        <v>-0</v>
      </c>
      <c r="CU51" s="47" t="n">
        <f aca="false">-$E51*N(AND(CU$3&lt;=$F51,CU$4&gt;=$F51))</f>
        <v>-0</v>
      </c>
      <c r="CV51" s="47" t="n">
        <f aca="false">-$E51*N(AND(CV$3&lt;=$F51,CV$4&gt;=$F51))</f>
        <v>-0</v>
      </c>
      <c r="CW51" s="47" t="n">
        <f aca="false">-$E51*N(AND(CW$3&lt;=$F51,CW$4&gt;=$F51))</f>
        <v>-0</v>
      </c>
      <c r="CX51" s="47" t="n">
        <f aca="false">-$E51*N(AND(CX$3&lt;=$F51,CX$4&gt;=$F51))</f>
        <v>-0</v>
      </c>
      <c r="CY51" s="47" t="n">
        <f aca="false">-$E51*N(AND(CY$3&lt;=$F51,CY$4&gt;=$F51))</f>
        <v>-0</v>
      </c>
      <c r="CZ51" s="47" t="n">
        <f aca="false">-$E51*N(AND(CZ$3&lt;=$F51,CZ$4&gt;=$F51))</f>
        <v>-0</v>
      </c>
      <c r="DA51" s="47" t="n">
        <f aca="false">-$E51*N(AND(DA$3&lt;=$F51,DA$4&gt;=$F51))</f>
        <v>-0</v>
      </c>
      <c r="DB51" s="47" t="n">
        <f aca="false">-$E51*N(AND(DB$3&lt;=$F51,DB$4&gt;=$F51))</f>
        <v>-0</v>
      </c>
      <c r="DC51" s="47" t="n">
        <f aca="false">-$E51*N(AND(DC$3&lt;=$F51,DC$4&gt;=$F51))</f>
        <v>-0</v>
      </c>
      <c r="DD51" s="47" t="n">
        <f aca="false">-$E51*N(AND(DD$3&lt;=$F51,DD$4&gt;=$F51))</f>
        <v>-0</v>
      </c>
      <c r="DE51" s="47" t="n">
        <f aca="false">-$E51*N(AND(DE$3&lt;=$F51,DE$4&gt;=$F51))</f>
        <v>-0</v>
      </c>
      <c r="DF51" s="47" t="n">
        <f aca="false">-$E51*N(AND(DF$3&lt;=$F51,DF$4&gt;=$F51))</f>
        <v>-0</v>
      </c>
      <c r="DG51" s="47" t="n">
        <f aca="false">-$E51*N(AND(DG$3&lt;=$F51,DG$4&gt;=$F51))</f>
        <v>-0</v>
      </c>
      <c r="DH51" s="47" t="n">
        <f aca="false">-$E51*N(AND(DH$3&lt;=$F51,DH$4&gt;=$F51))</f>
        <v>-0</v>
      </c>
      <c r="DI51" s="47" t="n">
        <f aca="false">-$E51*N(AND(DI$3&lt;=$F51,DI$4&gt;=$F51))</f>
        <v>-0</v>
      </c>
      <c r="DJ51" s="47" t="n">
        <f aca="false">-$E51*N(AND(DJ$3&lt;=$F51,DJ$4&gt;=$F51))</f>
        <v>-0</v>
      </c>
      <c r="DK51" s="47" t="n">
        <f aca="false">-$E51*N(AND(DK$3&lt;=$F51,DK$4&gt;=$F51))</f>
        <v>-0</v>
      </c>
      <c r="DL51" s="47" t="n">
        <f aca="false">-$E51*N(AND(DL$3&lt;=$F51,DL$4&gt;=$F51))</f>
        <v>-0</v>
      </c>
      <c r="DM51" s="47" t="n">
        <f aca="false">-$E51*N(AND(DM$3&lt;=$F51,DM$4&gt;=$F51))</f>
        <v>-0</v>
      </c>
      <c r="DN51" s="47" t="n">
        <f aca="false">-$E51*N(AND(DN$3&lt;=$F51,DN$4&gt;=$F51))</f>
        <v>-0</v>
      </c>
      <c r="DO51" s="47" t="n">
        <f aca="false">-$E51*N(AND(DO$3&lt;=$F51,DO$4&gt;=$F51))</f>
        <v>-0</v>
      </c>
      <c r="DP51" s="47" t="n">
        <f aca="false">-$E51*N(AND(DP$3&lt;=$F51,DP$4&gt;=$F51))</f>
        <v>-0</v>
      </c>
      <c r="DQ51" s="47" t="n">
        <f aca="false">-$E51*N(AND(DQ$3&lt;=$F51,DQ$4&gt;=$F51))</f>
        <v>-0</v>
      </c>
      <c r="DR51" s="47" t="n">
        <f aca="false">-$E51*N(AND(DR$3&lt;=$F51,DR$4&gt;=$F51))</f>
        <v>-0</v>
      </c>
      <c r="DS51" s="47" t="n">
        <f aca="false">-$E51*N(AND(DS$3&lt;=$F51,DS$4&gt;=$F51))</f>
        <v>-0</v>
      </c>
      <c r="DT51" s="47" t="n">
        <f aca="false">-$E51*N(AND(DT$3&lt;=$F51,DT$4&gt;=$F51))</f>
        <v>-0</v>
      </c>
      <c r="DU51" s="47" t="n">
        <f aca="false">-$E51*N(AND(DU$3&lt;=$F51,DU$4&gt;=$F51))</f>
        <v>-0</v>
      </c>
      <c r="DV51" s="47" t="n">
        <f aca="false">-$E51*N(AND(DV$3&lt;=$F51,DV$4&gt;=$F51))</f>
        <v>-0</v>
      </c>
      <c r="DW51" s="47" t="n">
        <f aca="false">-$E51*N(AND(DW$3&lt;=$F51,DW$4&gt;=$F51))</f>
        <v>-0</v>
      </c>
      <c r="DX51" s="47" t="n">
        <f aca="false">-$E51*N(AND(DX$3&lt;=$F51,DX$4&gt;=$F51))</f>
        <v>-0</v>
      </c>
      <c r="DY51" s="47" t="n">
        <f aca="false">-$E51*N(AND(DY$3&lt;=$F51,DY$4&gt;=$F51))</f>
        <v>-0</v>
      </c>
      <c r="DZ51" s="47" t="n">
        <f aca="false">-$E51*N(AND(DZ$3&lt;=$F51,DZ$4&gt;=$F51))</f>
        <v>-0</v>
      </c>
      <c r="EA51" s="47" t="n">
        <f aca="false">-$E51*N(AND(EA$3&lt;=$F51,EA$4&gt;=$F51))</f>
        <v>-0</v>
      </c>
      <c r="EB51" s="47" t="n">
        <f aca="false">-$E51*N(AND(EB$3&lt;=$F51,EB$4&gt;=$F51))</f>
        <v>-0</v>
      </c>
      <c r="EC51" s="47" t="n">
        <f aca="false">-$E51*N(AND(EC$3&lt;=$F51,EC$4&gt;=$F51))</f>
        <v>-0</v>
      </c>
      <c r="ED51" s="47" t="n">
        <f aca="false">-$E51*N(AND(ED$3&lt;=$F51,ED$4&gt;=$F51))</f>
        <v>-0</v>
      </c>
      <c r="EE51" s="47" t="n">
        <f aca="false">-$E51*N(AND(EE$3&lt;=$F51,EE$4&gt;=$F51))</f>
        <v>-0</v>
      </c>
      <c r="EF51" s="47" t="n">
        <f aca="false">-$E51*N(AND(EF$3&lt;=$F51,EF$4&gt;=$F51))</f>
        <v>-0</v>
      </c>
      <c r="EG51" s="47" t="n">
        <f aca="false">-$E51*N(AND(EG$3&lt;=$F51,EG$4&gt;=$F51))</f>
        <v>-0</v>
      </c>
      <c r="EH51" s="47" t="n">
        <f aca="false">-$E51*N(AND(EH$3&lt;=$F51,EH$4&gt;=$F51))</f>
        <v>-0</v>
      </c>
      <c r="EI51" s="47" t="n">
        <f aca="false">-$E51*N(AND(EI$3&lt;=$F51,EI$4&gt;=$F51))</f>
        <v>-0</v>
      </c>
      <c r="EJ51" s="47" t="n">
        <f aca="false">-$E51*N(AND(EJ$3&lt;=$F51,EJ$4&gt;=$F51))</f>
        <v>-0</v>
      </c>
      <c r="EK51" s="47" t="n">
        <f aca="false">-$E51*N(AND(EK$3&lt;=$F51,EK$4&gt;=$F51))</f>
        <v>-0</v>
      </c>
      <c r="EL51" s="47" t="n">
        <f aca="false">-$E51*N(AND(EL$3&lt;=$F51,EL$4&gt;=$F51))</f>
        <v>-0</v>
      </c>
      <c r="EM51" s="47" t="n">
        <f aca="false">-$E51*N(AND(EM$3&lt;=$F51,EM$4&gt;=$F51))</f>
        <v>-0</v>
      </c>
      <c r="EN51" s="47" t="n">
        <f aca="false">-$E51*N(AND(EN$3&lt;=$F51,EN$4&gt;=$F51))</f>
        <v>-0</v>
      </c>
      <c r="EO51" s="47" t="n">
        <f aca="false">-$E51*N(AND(EO$3&lt;=$F51,EO$4&gt;=$F51))</f>
        <v>-0</v>
      </c>
      <c r="EP51" s="47" t="n">
        <f aca="false">-$E51*N(AND(EP$3&lt;=$F51,EP$4&gt;=$F51))</f>
        <v>-0</v>
      </c>
      <c r="EQ51" s="47" t="n">
        <f aca="false">-$E51*N(AND(EQ$3&lt;=$F51,EQ$4&gt;=$F51))</f>
        <v>-0</v>
      </c>
      <c r="ER51" s="47" t="n">
        <f aca="false">-$E51*N(AND(ER$3&lt;=$F51,ER$4&gt;=$F51))</f>
        <v>-0</v>
      </c>
      <c r="ES51" s="47" t="n">
        <f aca="false">-$E51*N(AND(ES$3&lt;=$F51,ES$4&gt;=$F51))</f>
        <v>-0</v>
      </c>
      <c r="ET51" s="47" t="n">
        <f aca="false">-$E51*N(AND(ET$3&lt;=$F51,ET$4&gt;=$F51))</f>
        <v>-0</v>
      </c>
    </row>
    <row r="52" customFormat="false" ht="15" hidden="false" customHeight="false" outlineLevel="0" collapsed="false">
      <c r="C52" s="1" t="s">
        <v>481</v>
      </c>
      <c r="D52" s="12" t="s">
        <v>222</v>
      </c>
      <c r="E52" s="47" t="n">
        <f aca="false">(In_Indirect_Fee-In_TSO_Security)*In_MVA*Thousand/In_FX</f>
        <v>18786.6591780822</v>
      </c>
      <c r="F52" s="28" t="n">
        <f aca="false">In_HCSSZ_Date</f>
        <v>47126</v>
      </c>
      <c r="I52" s="47" t="n">
        <f aca="false">SUM(J52:ET52)</f>
        <v>-18786.6591780822</v>
      </c>
      <c r="J52" s="47" t="n">
        <f aca="false">-$E52*N(AND(J$3&lt;=$F52,J$4&gt;=$F52))</f>
        <v>-0</v>
      </c>
      <c r="K52" s="47" t="n">
        <f aca="false">-$E52*N(AND(K$3&lt;=$F52,K$4&gt;=$F52))</f>
        <v>-0</v>
      </c>
      <c r="L52" s="47" t="n">
        <f aca="false">-$E52*N(AND(L$3&lt;=$F52,L$4&gt;=$F52))</f>
        <v>-0</v>
      </c>
      <c r="M52" s="47" t="n">
        <f aca="false">-$E52*N(AND(M$3&lt;=$F52,M$4&gt;=$F52))</f>
        <v>-0</v>
      </c>
      <c r="N52" s="47" t="n">
        <f aca="false">-$E52*N(AND(N$3&lt;=$F52,N$4&gt;=$F52))</f>
        <v>-0</v>
      </c>
      <c r="O52" s="47" t="n">
        <f aca="false">-$E52*N(AND(O$3&lt;=$F52,O$4&gt;=$F52))</f>
        <v>-0</v>
      </c>
      <c r="P52" s="47" t="n">
        <f aca="false">-$E52*N(AND(P$3&lt;=$F52,P$4&gt;=$F52))</f>
        <v>-0</v>
      </c>
      <c r="Q52" s="47" t="n">
        <f aca="false">-$E52*N(AND(Q$3&lt;=$F52,Q$4&gt;=$F52))</f>
        <v>-0</v>
      </c>
      <c r="R52" s="47" t="n">
        <f aca="false">-$E52*N(AND(R$3&lt;=$F52,R$4&gt;=$F52))</f>
        <v>-0</v>
      </c>
      <c r="S52" s="47" t="n">
        <f aca="false">-$E52*N(AND(S$3&lt;=$F52,S$4&gt;=$F52))</f>
        <v>-0</v>
      </c>
      <c r="T52" s="47" t="n">
        <f aca="false">-$E52*N(AND(T$3&lt;=$F52,T$4&gt;=$F52))</f>
        <v>-18786.6591780822</v>
      </c>
      <c r="U52" s="47" t="n">
        <f aca="false">-$E52*N(AND(U$3&lt;=$F52,U$4&gt;=$F52))</f>
        <v>-0</v>
      </c>
      <c r="V52" s="47" t="n">
        <f aca="false">-$E52*N(AND(V$3&lt;=$F52,V$4&gt;=$F52))</f>
        <v>-0</v>
      </c>
      <c r="W52" s="47" t="n">
        <f aca="false">-$E52*N(AND(W$3&lt;=$F52,W$4&gt;=$F52))</f>
        <v>-0</v>
      </c>
      <c r="X52" s="47" t="n">
        <f aca="false">-$E52*N(AND(X$3&lt;=$F52,X$4&gt;=$F52))</f>
        <v>-0</v>
      </c>
      <c r="Y52" s="47" t="n">
        <f aca="false">-$E52*N(AND(Y$3&lt;=$F52,Y$4&gt;=$F52))</f>
        <v>-0</v>
      </c>
      <c r="Z52" s="47" t="n">
        <f aca="false">-$E52*N(AND(Z$3&lt;=$F52,Z$4&gt;=$F52))</f>
        <v>-0</v>
      </c>
      <c r="AA52" s="47" t="n">
        <f aca="false">-$E52*N(AND(AA$3&lt;=$F52,AA$4&gt;=$F52))</f>
        <v>-0</v>
      </c>
      <c r="AB52" s="47" t="n">
        <f aca="false">-$E52*N(AND(AB$3&lt;=$F52,AB$4&gt;=$F52))</f>
        <v>-0</v>
      </c>
      <c r="AC52" s="47" t="n">
        <f aca="false">-$E52*N(AND(AC$3&lt;=$F52,AC$4&gt;=$F52))</f>
        <v>-0</v>
      </c>
      <c r="AD52" s="47" t="n">
        <f aca="false">-$E52*N(AND(AD$3&lt;=$F52,AD$4&gt;=$F52))</f>
        <v>-0</v>
      </c>
      <c r="AE52" s="47" t="n">
        <f aca="false">-$E52*N(AND(AE$3&lt;=$F52,AE$4&gt;=$F52))</f>
        <v>-0</v>
      </c>
      <c r="AF52" s="47" t="n">
        <f aca="false">-$E52*N(AND(AF$3&lt;=$F52,AF$4&gt;=$F52))</f>
        <v>-0</v>
      </c>
      <c r="AG52" s="47" t="n">
        <f aca="false">-$E52*N(AND(AG$3&lt;=$F52,AG$4&gt;=$F52))</f>
        <v>-0</v>
      </c>
      <c r="AH52" s="47" t="n">
        <f aca="false">-$E52*N(AND(AH$3&lt;=$F52,AH$4&gt;=$F52))</f>
        <v>-0</v>
      </c>
      <c r="AI52" s="47" t="n">
        <f aca="false">-$E52*N(AND(AI$3&lt;=$F52,AI$4&gt;=$F52))</f>
        <v>-0</v>
      </c>
      <c r="AJ52" s="47" t="n">
        <f aca="false">-$E52*N(AND(AJ$3&lt;=$F52,AJ$4&gt;=$F52))</f>
        <v>-0</v>
      </c>
      <c r="AK52" s="47" t="n">
        <f aca="false">-$E52*N(AND(AK$3&lt;=$F52,AK$4&gt;=$F52))</f>
        <v>-0</v>
      </c>
      <c r="AL52" s="47" t="n">
        <f aca="false">-$E52*N(AND(AL$3&lt;=$F52,AL$4&gt;=$F52))</f>
        <v>-0</v>
      </c>
      <c r="AM52" s="47" t="n">
        <f aca="false">-$E52*N(AND(AM$3&lt;=$F52,AM$4&gt;=$F52))</f>
        <v>-0</v>
      </c>
      <c r="AN52" s="47" t="n">
        <f aca="false">-$E52*N(AND(AN$3&lt;=$F52,AN$4&gt;=$F52))</f>
        <v>-0</v>
      </c>
      <c r="AO52" s="47" t="n">
        <f aca="false">-$E52*N(AND(AO$3&lt;=$F52,AO$4&gt;=$F52))</f>
        <v>-0</v>
      </c>
      <c r="AP52" s="47" t="n">
        <f aca="false">-$E52*N(AND(AP$3&lt;=$F52,AP$4&gt;=$F52))</f>
        <v>-0</v>
      </c>
      <c r="AQ52" s="47" t="n">
        <f aca="false">-$E52*N(AND(AQ$3&lt;=$F52,AQ$4&gt;=$F52))</f>
        <v>-0</v>
      </c>
      <c r="AR52" s="47" t="n">
        <f aca="false">-$E52*N(AND(AR$3&lt;=$F52,AR$4&gt;=$F52))</f>
        <v>-0</v>
      </c>
      <c r="AS52" s="47" t="n">
        <f aca="false">-$E52*N(AND(AS$3&lt;=$F52,AS$4&gt;=$F52))</f>
        <v>-0</v>
      </c>
      <c r="AT52" s="47" t="n">
        <f aca="false">-$E52*N(AND(AT$3&lt;=$F52,AT$4&gt;=$F52))</f>
        <v>-0</v>
      </c>
      <c r="AU52" s="47" t="n">
        <f aca="false">-$E52*N(AND(AU$3&lt;=$F52,AU$4&gt;=$F52))</f>
        <v>-0</v>
      </c>
      <c r="AV52" s="47" t="n">
        <f aca="false">-$E52*N(AND(AV$3&lt;=$F52,AV$4&gt;=$F52))</f>
        <v>-0</v>
      </c>
      <c r="AW52" s="47" t="n">
        <f aca="false">-$E52*N(AND(AW$3&lt;=$F52,AW$4&gt;=$F52))</f>
        <v>-0</v>
      </c>
      <c r="AX52" s="47" t="n">
        <f aca="false">-$E52*N(AND(AX$3&lt;=$F52,AX$4&gt;=$F52))</f>
        <v>-0</v>
      </c>
      <c r="AY52" s="47" t="n">
        <f aca="false">-$E52*N(AND(AY$3&lt;=$F52,AY$4&gt;=$F52))</f>
        <v>-0</v>
      </c>
      <c r="AZ52" s="47" t="n">
        <f aca="false">-$E52*N(AND(AZ$3&lt;=$F52,AZ$4&gt;=$F52))</f>
        <v>-0</v>
      </c>
      <c r="BA52" s="47" t="n">
        <f aca="false">-$E52*N(AND(BA$3&lt;=$F52,BA$4&gt;=$F52))</f>
        <v>-0</v>
      </c>
      <c r="BB52" s="47" t="n">
        <f aca="false">-$E52*N(AND(BB$3&lt;=$F52,BB$4&gt;=$F52))</f>
        <v>-0</v>
      </c>
      <c r="BC52" s="47" t="n">
        <f aca="false">-$E52*N(AND(BC$3&lt;=$F52,BC$4&gt;=$F52))</f>
        <v>-0</v>
      </c>
      <c r="BD52" s="47" t="n">
        <f aca="false">-$E52*N(AND(BD$3&lt;=$F52,BD$4&gt;=$F52))</f>
        <v>-0</v>
      </c>
      <c r="BE52" s="47" t="n">
        <f aca="false">-$E52*N(AND(BE$3&lt;=$F52,BE$4&gt;=$F52))</f>
        <v>-0</v>
      </c>
      <c r="BF52" s="47" t="n">
        <f aca="false">-$E52*N(AND(BF$3&lt;=$F52,BF$4&gt;=$F52))</f>
        <v>-0</v>
      </c>
      <c r="BG52" s="47" t="n">
        <f aca="false">-$E52*N(AND(BG$3&lt;=$F52,BG$4&gt;=$F52))</f>
        <v>-0</v>
      </c>
      <c r="BH52" s="47" t="n">
        <f aca="false">-$E52*N(AND(BH$3&lt;=$F52,BH$4&gt;=$F52))</f>
        <v>-0</v>
      </c>
      <c r="BI52" s="47" t="n">
        <f aca="false">-$E52*N(AND(BI$3&lt;=$F52,BI$4&gt;=$F52))</f>
        <v>-0</v>
      </c>
      <c r="BJ52" s="47" t="n">
        <f aca="false">-$E52*N(AND(BJ$3&lt;=$F52,BJ$4&gt;=$F52))</f>
        <v>-0</v>
      </c>
      <c r="BK52" s="47" t="n">
        <f aca="false">-$E52*N(AND(BK$3&lt;=$F52,BK$4&gt;=$F52))</f>
        <v>-0</v>
      </c>
      <c r="BL52" s="47" t="n">
        <f aca="false">-$E52*N(AND(BL$3&lt;=$F52,BL$4&gt;=$F52))</f>
        <v>-0</v>
      </c>
      <c r="BM52" s="47" t="n">
        <f aca="false">-$E52*N(AND(BM$3&lt;=$F52,BM$4&gt;=$F52))</f>
        <v>-0</v>
      </c>
      <c r="BN52" s="47" t="n">
        <f aca="false">-$E52*N(AND(BN$3&lt;=$F52,BN$4&gt;=$F52))</f>
        <v>-0</v>
      </c>
      <c r="BO52" s="47" t="n">
        <f aca="false">-$E52*N(AND(BO$3&lt;=$F52,BO$4&gt;=$F52))</f>
        <v>-0</v>
      </c>
      <c r="BP52" s="47" t="n">
        <f aca="false">-$E52*N(AND(BP$3&lt;=$F52,BP$4&gt;=$F52))</f>
        <v>-0</v>
      </c>
      <c r="BQ52" s="47" t="n">
        <f aca="false">-$E52*N(AND(BQ$3&lt;=$F52,BQ$4&gt;=$F52))</f>
        <v>-0</v>
      </c>
      <c r="BR52" s="47" t="n">
        <f aca="false">-$E52*N(AND(BR$3&lt;=$F52,BR$4&gt;=$F52))</f>
        <v>-0</v>
      </c>
      <c r="BS52" s="47" t="n">
        <f aca="false">-$E52*N(AND(BS$3&lt;=$F52,BS$4&gt;=$F52))</f>
        <v>-0</v>
      </c>
      <c r="BT52" s="47" t="n">
        <f aca="false">-$E52*N(AND(BT$3&lt;=$F52,BT$4&gt;=$F52))</f>
        <v>-0</v>
      </c>
      <c r="BU52" s="47" t="n">
        <f aca="false">-$E52*N(AND(BU$3&lt;=$F52,BU$4&gt;=$F52))</f>
        <v>-0</v>
      </c>
      <c r="BV52" s="47" t="n">
        <f aca="false">-$E52*N(AND(BV$3&lt;=$F52,BV$4&gt;=$F52))</f>
        <v>-0</v>
      </c>
      <c r="BW52" s="47" t="n">
        <f aca="false">-$E52*N(AND(BW$3&lt;=$F52,BW$4&gt;=$F52))</f>
        <v>-0</v>
      </c>
      <c r="BX52" s="47" t="n">
        <f aca="false">-$E52*N(AND(BX$3&lt;=$F52,BX$4&gt;=$F52))</f>
        <v>-0</v>
      </c>
      <c r="BY52" s="47" t="n">
        <f aca="false">-$E52*N(AND(BY$3&lt;=$F52,BY$4&gt;=$F52))</f>
        <v>-0</v>
      </c>
      <c r="BZ52" s="47" t="n">
        <f aca="false">-$E52*N(AND(BZ$3&lt;=$F52,BZ$4&gt;=$F52))</f>
        <v>-0</v>
      </c>
      <c r="CA52" s="47" t="n">
        <f aca="false">-$E52*N(AND(CA$3&lt;=$F52,CA$4&gt;=$F52))</f>
        <v>-0</v>
      </c>
      <c r="CB52" s="47" t="n">
        <f aca="false">-$E52*N(AND(CB$3&lt;=$F52,CB$4&gt;=$F52))</f>
        <v>-0</v>
      </c>
      <c r="CC52" s="47" t="n">
        <f aca="false">-$E52*N(AND(CC$3&lt;=$F52,CC$4&gt;=$F52))</f>
        <v>-0</v>
      </c>
      <c r="CD52" s="47" t="n">
        <f aca="false">-$E52*N(AND(CD$3&lt;=$F52,CD$4&gt;=$F52))</f>
        <v>-0</v>
      </c>
      <c r="CE52" s="47" t="n">
        <f aca="false">-$E52*N(AND(CE$3&lt;=$F52,CE$4&gt;=$F52))</f>
        <v>-0</v>
      </c>
      <c r="CF52" s="47" t="n">
        <f aca="false">-$E52*N(AND(CF$3&lt;=$F52,CF$4&gt;=$F52))</f>
        <v>-0</v>
      </c>
      <c r="CG52" s="47" t="n">
        <f aca="false">-$E52*N(AND(CG$3&lt;=$F52,CG$4&gt;=$F52))</f>
        <v>-0</v>
      </c>
      <c r="CH52" s="47" t="n">
        <f aca="false">-$E52*N(AND(CH$3&lt;=$F52,CH$4&gt;=$F52))</f>
        <v>-0</v>
      </c>
      <c r="CI52" s="47" t="n">
        <f aca="false">-$E52*N(AND(CI$3&lt;=$F52,CI$4&gt;=$F52))</f>
        <v>-0</v>
      </c>
      <c r="CJ52" s="47" t="n">
        <f aca="false">-$E52*N(AND(CJ$3&lt;=$F52,CJ$4&gt;=$F52))</f>
        <v>-0</v>
      </c>
      <c r="CK52" s="47" t="n">
        <f aca="false">-$E52*N(AND(CK$3&lt;=$F52,CK$4&gt;=$F52))</f>
        <v>-0</v>
      </c>
      <c r="CL52" s="47" t="n">
        <f aca="false">-$E52*N(AND(CL$3&lt;=$F52,CL$4&gt;=$F52))</f>
        <v>-0</v>
      </c>
      <c r="CM52" s="47" t="n">
        <f aca="false">-$E52*N(AND(CM$3&lt;=$F52,CM$4&gt;=$F52))</f>
        <v>-0</v>
      </c>
      <c r="CN52" s="47" t="n">
        <f aca="false">-$E52*N(AND(CN$3&lt;=$F52,CN$4&gt;=$F52))</f>
        <v>-0</v>
      </c>
      <c r="CO52" s="47" t="n">
        <f aca="false">-$E52*N(AND(CO$3&lt;=$F52,CO$4&gt;=$F52))</f>
        <v>-0</v>
      </c>
      <c r="CP52" s="47" t="n">
        <f aca="false">-$E52*N(AND(CP$3&lt;=$F52,CP$4&gt;=$F52))</f>
        <v>-0</v>
      </c>
      <c r="CQ52" s="47" t="n">
        <f aca="false">-$E52*N(AND(CQ$3&lt;=$F52,CQ$4&gt;=$F52))</f>
        <v>-0</v>
      </c>
      <c r="CR52" s="47" t="n">
        <f aca="false">-$E52*N(AND(CR$3&lt;=$F52,CR$4&gt;=$F52))</f>
        <v>-0</v>
      </c>
      <c r="CS52" s="47" t="n">
        <f aca="false">-$E52*N(AND(CS$3&lt;=$F52,CS$4&gt;=$F52))</f>
        <v>-0</v>
      </c>
      <c r="CT52" s="47" t="n">
        <f aca="false">-$E52*N(AND(CT$3&lt;=$F52,CT$4&gt;=$F52))</f>
        <v>-0</v>
      </c>
      <c r="CU52" s="47" t="n">
        <f aca="false">-$E52*N(AND(CU$3&lt;=$F52,CU$4&gt;=$F52))</f>
        <v>-0</v>
      </c>
      <c r="CV52" s="47" t="n">
        <f aca="false">-$E52*N(AND(CV$3&lt;=$F52,CV$4&gt;=$F52))</f>
        <v>-0</v>
      </c>
      <c r="CW52" s="47" t="n">
        <f aca="false">-$E52*N(AND(CW$3&lt;=$F52,CW$4&gt;=$F52))</f>
        <v>-0</v>
      </c>
      <c r="CX52" s="47" t="n">
        <f aca="false">-$E52*N(AND(CX$3&lt;=$F52,CX$4&gt;=$F52))</f>
        <v>-0</v>
      </c>
      <c r="CY52" s="47" t="n">
        <f aca="false">-$E52*N(AND(CY$3&lt;=$F52,CY$4&gt;=$F52))</f>
        <v>-0</v>
      </c>
      <c r="CZ52" s="47" t="n">
        <f aca="false">-$E52*N(AND(CZ$3&lt;=$F52,CZ$4&gt;=$F52))</f>
        <v>-0</v>
      </c>
      <c r="DA52" s="47" t="n">
        <f aca="false">-$E52*N(AND(DA$3&lt;=$F52,DA$4&gt;=$F52))</f>
        <v>-0</v>
      </c>
      <c r="DB52" s="47" t="n">
        <f aca="false">-$E52*N(AND(DB$3&lt;=$F52,DB$4&gt;=$F52))</f>
        <v>-0</v>
      </c>
      <c r="DC52" s="47" t="n">
        <f aca="false">-$E52*N(AND(DC$3&lt;=$F52,DC$4&gt;=$F52))</f>
        <v>-0</v>
      </c>
      <c r="DD52" s="47" t="n">
        <f aca="false">-$E52*N(AND(DD$3&lt;=$F52,DD$4&gt;=$F52))</f>
        <v>-0</v>
      </c>
      <c r="DE52" s="47" t="n">
        <f aca="false">-$E52*N(AND(DE$3&lt;=$F52,DE$4&gt;=$F52))</f>
        <v>-0</v>
      </c>
      <c r="DF52" s="47" t="n">
        <f aca="false">-$E52*N(AND(DF$3&lt;=$F52,DF$4&gt;=$F52))</f>
        <v>-0</v>
      </c>
      <c r="DG52" s="47" t="n">
        <f aca="false">-$E52*N(AND(DG$3&lt;=$F52,DG$4&gt;=$F52))</f>
        <v>-0</v>
      </c>
      <c r="DH52" s="47" t="n">
        <f aca="false">-$E52*N(AND(DH$3&lt;=$F52,DH$4&gt;=$F52))</f>
        <v>-0</v>
      </c>
      <c r="DI52" s="47" t="n">
        <f aca="false">-$E52*N(AND(DI$3&lt;=$F52,DI$4&gt;=$F52))</f>
        <v>-0</v>
      </c>
      <c r="DJ52" s="47" t="n">
        <f aca="false">-$E52*N(AND(DJ$3&lt;=$F52,DJ$4&gt;=$F52))</f>
        <v>-0</v>
      </c>
      <c r="DK52" s="47" t="n">
        <f aca="false">-$E52*N(AND(DK$3&lt;=$F52,DK$4&gt;=$F52))</f>
        <v>-0</v>
      </c>
      <c r="DL52" s="47" t="n">
        <f aca="false">-$E52*N(AND(DL$3&lt;=$F52,DL$4&gt;=$F52))</f>
        <v>-0</v>
      </c>
      <c r="DM52" s="47" t="n">
        <f aca="false">-$E52*N(AND(DM$3&lt;=$F52,DM$4&gt;=$F52))</f>
        <v>-0</v>
      </c>
      <c r="DN52" s="47" t="n">
        <f aca="false">-$E52*N(AND(DN$3&lt;=$F52,DN$4&gt;=$F52))</f>
        <v>-0</v>
      </c>
      <c r="DO52" s="47" t="n">
        <f aca="false">-$E52*N(AND(DO$3&lt;=$F52,DO$4&gt;=$F52))</f>
        <v>-0</v>
      </c>
      <c r="DP52" s="47" t="n">
        <f aca="false">-$E52*N(AND(DP$3&lt;=$F52,DP$4&gt;=$F52))</f>
        <v>-0</v>
      </c>
      <c r="DQ52" s="47" t="n">
        <f aca="false">-$E52*N(AND(DQ$3&lt;=$F52,DQ$4&gt;=$F52))</f>
        <v>-0</v>
      </c>
      <c r="DR52" s="47" t="n">
        <f aca="false">-$E52*N(AND(DR$3&lt;=$F52,DR$4&gt;=$F52))</f>
        <v>-0</v>
      </c>
      <c r="DS52" s="47" t="n">
        <f aca="false">-$E52*N(AND(DS$3&lt;=$F52,DS$4&gt;=$F52))</f>
        <v>-0</v>
      </c>
      <c r="DT52" s="47" t="n">
        <f aca="false">-$E52*N(AND(DT$3&lt;=$F52,DT$4&gt;=$F52))</f>
        <v>-0</v>
      </c>
      <c r="DU52" s="47" t="n">
        <f aca="false">-$E52*N(AND(DU$3&lt;=$F52,DU$4&gt;=$F52))</f>
        <v>-0</v>
      </c>
      <c r="DV52" s="47" t="n">
        <f aca="false">-$E52*N(AND(DV$3&lt;=$F52,DV$4&gt;=$F52))</f>
        <v>-0</v>
      </c>
      <c r="DW52" s="47" t="n">
        <f aca="false">-$E52*N(AND(DW$3&lt;=$F52,DW$4&gt;=$F52))</f>
        <v>-0</v>
      </c>
      <c r="DX52" s="47" t="n">
        <f aca="false">-$E52*N(AND(DX$3&lt;=$F52,DX$4&gt;=$F52))</f>
        <v>-0</v>
      </c>
      <c r="DY52" s="47" t="n">
        <f aca="false">-$E52*N(AND(DY$3&lt;=$F52,DY$4&gt;=$F52))</f>
        <v>-0</v>
      </c>
      <c r="DZ52" s="47" t="n">
        <f aca="false">-$E52*N(AND(DZ$3&lt;=$F52,DZ$4&gt;=$F52))</f>
        <v>-0</v>
      </c>
      <c r="EA52" s="47" t="n">
        <f aca="false">-$E52*N(AND(EA$3&lt;=$F52,EA$4&gt;=$F52))</f>
        <v>-0</v>
      </c>
      <c r="EB52" s="47" t="n">
        <f aca="false">-$E52*N(AND(EB$3&lt;=$F52,EB$4&gt;=$F52))</f>
        <v>-0</v>
      </c>
      <c r="EC52" s="47" t="n">
        <f aca="false">-$E52*N(AND(EC$3&lt;=$F52,EC$4&gt;=$F52))</f>
        <v>-0</v>
      </c>
      <c r="ED52" s="47" t="n">
        <f aca="false">-$E52*N(AND(ED$3&lt;=$F52,ED$4&gt;=$F52))</f>
        <v>-0</v>
      </c>
      <c r="EE52" s="47" t="n">
        <f aca="false">-$E52*N(AND(EE$3&lt;=$F52,EE$4&gt;=$F52))</f>
        <v>-0</v>
      </c>
      <c r="EF52" s="47" t="n">
        <f aca="false">-$E52*N(AND(EF$3&lt;=$F52,EF$4&gt;=$F52))</f>
        <v>-0</v>
      </c>
      <c r="EG52" s="47" t="n">
        <f aca="false">-$E52*N(AND(EG$3&lt;=$F52,EG$4&gt;=$F52))</f>
        <v>-0</v>
      </c>
      <c r="EH52" s="47" t="n">
        <f aca="false">-$E52*N(AND(EH$3&lt;=$F52,EH$4&gt;=$F52))</f>
        <v>-0</v>
      </c>
      <c r="EI52" s="47" t="n">
        <f aca="false">-$E52*N(AND(EI$3&lt;=$F52,EI$4&gt;=$F52))</f>
        <v>-0</v>
      </c>
      <c r="EJ52" s="47" t="n">
        <f aca="false">-$E52*N(AND(EJ$3&lt;=$F52,EJ$4&gt;=$F52))</f>
        <v>-0</v>
      </c>
      <c r="EK52" s="47" t="n">
        <f aca="false">-$E52*N(AND(EK$3&lt;=$F52,EK$4&gt;=$F52))</f>
        <v>-0</v>
      </c>
      <c r="EL52" s="47" t="n">
        <f aca="false">-$E52*N(AND(EL$3&lt;=$F52,EL$4&gt;=$F52))</f>
        <v>-0</v>
      </c>
      <c r="EM52" s="47" t="n">
        <f aca="false">-$E52*N(AND(EM$3&lt;=$F52,EM$4&gt;=$F52))</f>
        <v>-0</v>
      </c>
      <c r="EN52" s="47" t="n">
        <f aca="false">-$E52*N(AND(EN$3&lt;=$F52,EN$4&gt;=$F52))</f>
        <v>-0</v>
      </c>
      <c r="EO52" s="47" t="n">
        <f aca="false">-$E52*N(AND(EO$3&lt;=$F52,EO$4&gt;=$F52))</f>
        <v>-0</v>
      </c>
      <c r="EP52" s="47" t="n">
        <f aca="false">-$E52*N(AND(EP$3&lt;=$F52,EP$4&gt;=$F52))</f>
        <v>-0</v>
      </c>
      <c r="EQ52" s="47" t="n">
        <f aca="false">-$E52*N(AND(EQ$3&lt;=$F52,EQ$4&gt;=$F52))</f>
        <v>-0</v>
      </c>
      <c r="ER52" s="47" t="n">
        <f aca="false">-$E52*N(AND(ER$3&lt;=$F52,ER$4&gt;=$F52))</f>
        <v>-0</v>
      </c>
      <c r="ES52" s="47" t="n">
        <f aca="false">-$E52*N(AND(ES$3&lt;=$F52,ES$4&gt;=$F52))</f>
        <v>-0</v>
      </c>
      <c r="ET52" s="47" t="n">
        <f aca="false">-$E52*N(AND(ET$3&lt;=$F52,ET$4&gt;=$F52))</f>
        <v>-0</v>
      </c>
    </row>
    <row r="53" customFormat="false" ht="15" hidden="false" customHeight="false" outlineLevel="0" collapsed="false">
      <c r="C53" s="1" t="s">
        <v>482</v>
      </c>
      <c r="D53" s="12" t="s">
        <v>222</v>
      </c>
      <c r="I53" s="47" t="n">
        <f aca="false">SUM(J53:ET53)</f>
        <v>-20179.3874082192</v>
      </c>
      <c r="J53" s="47" t="n">
        <f aca="false">J51+J52</f>
        <v>-0</v>
      </c>
      <c r="K53" s="47" t="n">
        <f aca="false">K51+K52</f>
        <v>-0</v>
      </c>
      <c r="L53" s="47" t="n">
        <f aca="false">L51+L52</f>
        <v>-0</v>
      </c>
      <c r="M53" s="47" t="n">
        <f aca="false">M51+M52</f>
        <v>-0</v>
      </c>
      <c r="N53" s="47" t="n">
        <f aca="false">N51+N52</f>
        <v>-0</v>
      </c>
      <c r="O53" s="47" t="n">
        <f aca="false">O51+O52</f>
        <v>-0</v>
      </c>
      <c r="P53" s="47" t="n">
        <f aca="false">P51+P52</f>
        <v>-0</v>
      </c>
      <c r="Q53" s="47" t="n">
        <f aca="false">Q51+Q52</f>
        <v>-0</v>
      </c>
      <c r="R53" s="47" t="n">
        <f aca="false">R51+R52</f>
        <v>-0</v>
      </c>
      <c r="S53" s="47" t="n">
        <f aca="false">S51+S52</f>
        <v>-0</v>
      </c>
      <c r="T53" s="47" t="n">
        <f aca="false">T51+T52</f>
        <v>-20179.3874082192</v>
      </c>
      <c r="U53" s="47" t="n">
        <f aca="false">U51+U52</f>
        <v>-0</v>
      </c>
      <c r="V53" s="47" t="n">
        <f aca="false">V51+V52</f>
        <v>-0</v>
      </c>
      <c r="W53" s="47" t="n">
        <f aca="false">W51+W52</f>
        <v>-0</v>
      </c>
      <c r="X53" s="47" t="n">
        <f aca="false">X51+X52</f>
        <v>-0</v>
      </c>
      <c r="Y53" s="47" t="n">
        <f aca="false">Y51+Y52</f>
        <v>-0</v>
      </c>
      <c r="Z53" s="47" t="n">
        <f aca="false">Z51+Z52</f>
        <v>-0</v>
      </c>
      <c r="AA53" s="47" t="n">
        <f aca="false">AA51+AA52</f>
        <v>-0</v>
      </c>
      <c r="AB53" s="47" t="n">
        <f aca="false">AB51+AB52</f>
        <v>-0</v>
      </c>
      <c r="AC53" s="47" t="n">
        <f aca="false">AC51+AC52</f>
        <v>-0</v>
      </c>
      <c r="AD53" s="47" t="n">
        <f aca="false">AD51+AD52</f>
        <v>-0</v>
      </c>
      <c r="AE53" s="47" t="n">
        <f aca="false">AE51+AE52</f>
        <v>-0</v>
      </c>
      <c r="AF53" s="47" t="n">
        <f aca="false">AF51+AF52</f>
        <v>-0</v>
      </c>
      <c r="AG53" s="47" t="n">
        <f aca="false">AG51+AG52</f>
        <v>-0</v>
      </c>
      <c r="AH53" s="47" t="n">
        <f aca="false">AH51+AH52</f>
        <v>-0</v>
      </c>
      <c r="AI53" s="47" t="n">
        <f aca="false">AI51+AI52</f>
        <v>-0</v>
      </c>
      <c r="AJ53" s="47" t="n">
        <f aca="false">AJ51+AJ52</f>
        <v>-0</v>
      </c>
      <c r="AK53" s="47" t="n">
        <f aca="false">AK51+AK52</f>
        <v>-0</v>
      </c>
      <c r="AL53" s="47" t="n">
        <f aca="false">AL51+AL52</f>
        <v>-0</v>
      </c>
      <c r="AM53" s="47" t="n">
        <f aca="false">AM51+AM52</f>
        <v>-0</v>
      </c>
      <c r="AN53" s="47" t="n">
        <f aca="false">AN51+AN52</f>
        <v>-0</v>
      </c>
      <c r="AO53" s="47" t="n">
        <f aca="false">AO51+AO52</f>
        <v>-0</v>
      </c>
      <c r="AP53" s="47" t="n">
        <f aca="false">AP51+AP52</f>
        <v>-0</v>
      </c>
      <c r="AQ53" s="47" t="n">
        <f aca="false">AQ51+AQ52</f>
        <v>-0</v>
      </c>
      <c r="AR53" s="47" t="n">
        <f aca="false">AR51+AR52</f>
        <v>-0</v>
      </c>
      <c r="AS53" s="47" t="n">
        <f aca="false">AS51+AS52</f>
        <v>-0</v>
      </c>
      <c r="AT53" s="47" t="n">
        <f aca="false">AT51+AT52</f>
        <v>-0</v>
      </c>
      <c r="AU53" s="47" t="n">
        <f aca="false">AU51+AU52</f>
        <v>-0</v>
      </c>
      <c r="AV53" s="47" t="n">
        <f aca="false">AV51+AV52</f>
        <v>-0</v>
      </c>
      <c r="AW53" s="47" t="n">
        <f aca="false">AW51+AW52</f>
        <v>-0</v>
      </c>
      <c r="AX53" s="47" t="n">
        <f aca="false">AX51+AX52</f>
        <v>-0</v>
      </c>
      <c r="AY53" s="47" t="n">
        <f aca="false">AY51+AY52</f>
        <v>-0</v>
      </c>
      <c r="AZ53" s="47" t="n">
        <f aca="false">AZ51+AZ52</f>
        <v>-0</v>
      </c>
      <c r="BA53" s="47" t="n">
        <f aca="false">BA51+BA52</f>
        <v>-0</v>
      </c>
      <c r="BB53" s="47" t="n">
        <f aca="false">BB51+BB52</f>
        <v>-0</v>
      </c>
      <c r="BC53" s="47" t="n">
        <f aca="false">BC51+BC52</f>
        <v>-0</v>
      </c>
      <c r="BD53" s="47" t="n">
        <f aca="false">BD51+BD52</f>
        <v>-0</v>
      </c>
      <c r="BE53" s="47" t="n">
        <f aca="false">BE51+BE52</f>
        <v>-0</v>
      </c>
      <c r="BF53" s="47" t="n">
        <f aca="false">BF51+BF52</f>
        <v>-0</v>
      </c>
      <c r="BG53" s="47" t="n">
        <f aca="false">BG51+BG52</f>
        <v>-0</v>
      </c>
      <c r="BH53" s="47" t="n">
        <f aca="false">BH51+BH52</f>
        <v>-0</v>
      </c>
      <c r="BI53" s="47" t="n">
        <f aca="false">BI51+BI52</f>
        <v>-0</v>
      </c>
      <c r="BJ53" s="47" t="n">
        <f aca="false">BJ51+BJ52</f>
        <v>-0</v>
      </c>
      <c r="BK53" s="47" t="n">
        <f aca="false">BK51+BK52</f>
        <v>-0</v>
      </c>
      <c r="BL53" s="47" t="n">
        <f aca="false">BL51+BL52</f>
        <v>-0</v>
      </c>
      <c r="BM53" s="47" t="n">
        <f aca="false">BM51+BM52</f>
        <v>-0</v>
      </c>
      <c r="BN53" s="47" t="n">
        <f aca="false">BN51+BN52</f>
        <v>-0</v>
      </c>
      <c r="BO53" s="47" t="n">
        <f aca="false">BO51+BO52</f>
        <v>-0</v>
      </c>
      <c r="BP53" s="47" t="n">
        <f aca="false">BP51+BP52</f>
        <v>-0</v>
      </c>
      <c r="BQ53" s="47" t="n">
        <f aca="false">BQ51+BQ52</f>
        <v>-0</v>
      </c>
      <c r="BR53" s="47" t="n">
        <f aca="false">BR51+BR52</f>
        <v>-0</v>
      </c>
      <c r="BS53" s="47" t="n">
        <f aca="false">BS51+BS52</f>
        <v>-0</v>
      </c>
      <c r="BT53" s="47" t="n">
        <f aca="false">BT51+BT52</f>
        <v>-0</v>
      </c>
      <c r="BU53" s="47" t="n">
        <f aca="false">BU51+BU52</f>
        <v>-0</v>
      </c>
      <c r="BV53" s="47" t="n">
        <f aca="false">BV51+BV52</f>
        <v>-0</v>
      </c>
      <c r="BW53" s="47" t="n">
        <f aca="false">BW51+BW52</f>
        <v>-0</v>
      </c>
      <c r="BX53" s="47" t="n">
        <f aca="false">BX51+BX52</f>
        <v>-0</v>
      </c>
      <c r="BY53" s="47" t="n">
        <f aca="false">BY51+BY52</f>
        <v>-0</v>
      </c>
      <c r="BZ53" s="47" t="n">
        <f aca="false">BZ51+BZ52</f>
        <v>-0</v>
      </c>
      <c r="CA53" s="47" t="n">
        <f aca="false">CA51+CA52</f>
        <v>-0</v>
      </c>
      <c r="CB53" s="47" t="n">
        <f aca="false">CB51+CB52</f>
        <v>-0</v>
      </c>
      <c r="CC53" s="47" t="n">
        <f aca="false">CC51+CC52</f>
        <v>-0</v>
      </c>
      <c r="CD53" s="47" t="n">
        <f aca="false">CD51+CD52</f>
        <v>-0</v>
      </c>
      <c r="CE53" s="47" t="n">
        <f aca="false">CE51+CE52</f>
        <v>-0</v>
      </c>
      <c r="CF53" s="47" t="n">
        <f aca="false">CF51+CF52</f>
        <v>-0</v>
      </c>
      <c r="CG53" s="47" t="n">
        <f aca="false">CG51+CG52</f>
        <v>-0</v>
      </c>
      <c r="CH53" s="47" t="n">
        <f aca="false">CH51+CH52</f>
        <v>-0</v>
      </c>
      <c r="CI53" s="47" t="n">
        <f aca="false">CI51+CI52</f>
        <v>-0</v>
      </c>
      <c r="CJ53" s="47" t="n">
        <f aca="false">CJ51+CJ52</f>
        <v>-0</v>
      </c>
      <c r="CK53" s="47" t="n">
        <f aca="false">CK51+CK52</f>
        <v>-0</v>
      </c>
      <c r="CL53" s="47" t="n">
        <f aca="false">CL51+CL52</f>
        <v>-0</v>
      </c>
      <c r="CM53" s="47" t="n">
        <f aca="false">CM51+CM52</f>
        <v>-0</v>
      </c>
      <c r="CN53" s="47" t="n">
        <f aca="false">CN51+CN52</f>
        <v>-0</v>
      </c>
      <c r="CO53" s="47" t="n">
        <f aca="false">CO51+CO52</f>
        <v>-0</v>
      </c>
      <c r="CP53" s="47" t="n">
        <f aca="false">CP51+CP52</f>
        <v>-0</v>
      </c>
      <c r="CQ53" s="47" t="n">
        <f aca="false">CQ51+CQ52</f>
        <v>-0</v>
      </c>
      <c r="CR53" s="47" t="n">
        <f aca="false">CR51+CR52</f>
        <v>-0</v>
      </c>
      <c r="CS53" s="47" t="n">
        <f aca="false">CS51+CS52</f>
        <v>-0</v>
      </c>
      <c r="CT53" s="47" t="n">
        <f aca="false">CT51+CT52</f>
        <v>-0</v>
      </c>
      <c r="CU53" s="47" t="n">
        <f aca="false">CU51+CU52</f>
        <v>-0</v>
      </c>
      <c r="CV53" s="47" t="n">
        <f aca="false">CV51+CV52</f>
        <v>-0</v>
      </c>
      <c r="CW53" s="47" t="n">
        <f aca="false">CW51+CW52</f>
        <v>-0</v>
      </c>
      <c r="CX53" s="47" t="n">
        <f aca="false">CX51+CX52</f>
        <v>-0</v>
      </c>
      <c r="CY53" s="47" t="n">
        <f aca="false">CY51+CY52</f>
        <v>-0</v>
      </c>
      <c r="CZ53" s="47" t="n">
        <f aca="false">CZ51+CZ52</f>
        <v>-0</v>
      </c>
      <c r="DA53" s="47" t="n">
        <f aca="false">DA51+DA52</f>
        <v>-0</v>
      </c>
      <c r="DB53" s="47" t="n">
        <f aca="false">DB51+DB52</f>
        <v>-0</v>
      </c>
      <c r="DC53" s="47" t="n">
        <f aca="false">DC51+DC52</f>
        <v>-0</v>
      </c>
      <c r="DD53" s="47" t="n">
        <f aca="false">DD51+DD52</f>
        <v>-0</v>
      </c>
      <c r="DE53" s="47" t="n">
        <f aca="false">DE51+DE52</f>
        <v>-0</v>
      </c>
      <c r="DF53" s="47" t="n">
        <f aca="false">DF51+DF52</f>
        <v>-0</v>
      </c>
      <c r="DG53" s="47" t="n">
        <f aca="false">DG51+DG52</f>
        <v>-0</v>
      </c>
      <c r="DH53" s="47" t="n">
        <f aca="false">DH51+DH52</f>
        <v>-0</v>
      </c>
      <c r="DI53" s="47" t="n">
        <f aca="false">DI51+DI52</f>
        <v>-0</v>
      </c>
      <c r="DJ53" s="47" t="n">
        <f aca="false">DJ51+DJ52</f>
        <v>-0</v>
      </c>
      <c r="DK53" s="47" t="n">
        <f aca="false">DK51+DK52</f>
        <v>-0</v>
      </c>
      <c r="DL53" s="47" t="n">
        <f aca="false">DL51+DL52</f>
        <v>-0</v>
      </c>
      <c r="DM53" s="47" t="n">
        <f aca="false">DM51+DM52</f>
        <v>-0</v>
      </c>
      <c r="DN53" s="47" t="n">
        <f aca="false">DN51+DN52</f>
        <v>-0</v>
      </c>
      <c r="DO53" s="47" t="n">
        <f aca="false">DO51+DO52</f>
        <v>-0</v>
      </c>
      <c r="DP53" s="47" t="n">
        <f aca="false">DP51+DP52</f>
        <v>-0</v>
      </c>
      <c r="DQ53" s="47" t="n">
        <f aca="false">DQ51+DQ52</f>
        <v>-0</v>
      </c>
      <c r="DR53" s="47" t="n">
        <f aca="false">DR51+DR52</f>
        <v>-0</v>
      </c>
      <c r="DS53" s="47" t="n">
        <f aca="false">DS51+DS52</f>
        <v>-0</v>
      </c>
      <c r="DT53" s="47" t="n">
        <f aca="false">DT51+DT52</f>
        <v>-0</v>
      </c>
      <c r="DU53" s="47" t="n">
        <f aca="false">DU51+DU52</f>
        <v>-0</v>
      </c>
      <c r="DV53" s="47" t="n">
        <f aca="false">DV51+DV52</f>
        <v>-0</v>
      </c>
      <c r="DW53" s="47" t="n">
        <f aca="false">DW51+DW52</f>
        <v>-0</v>
      </c>
      <c r="DX53" s="47" t="n">
        <f aca="false">DX51+DX52</f>
        <v>-0</v>
      </c>
      <c r="DY53" s="47" t="n">
        <f aca="false">DY51+DY52</f>
        <v>-0</v>
      </c>
      <c r="DZ53" s="47" t="n">
        <f aca="false">DZ51+DZ52</f>
        <v>-0</v>
      </c>
      <c r="EA53" s="47" t="n">
        <f aca="false">EA51+EA52</f>
        <v>-0</v>
      </c>
      <c r="EB53" s="47" t="n">
        <f aca="false">EB51+EB52</f>
        <v>-0</v>
      </c>
      <c r="EC53" s="47" t="n">
        <f aca="false">EC51+EC52</f>
        <v>-0</v>
      </c>
      <c r="ED53" s="47" t="n">
        <f aca="false">ED51+ED52</f>
        <v>-0</v>
      </c>
      <c r="EE53" s="47" t="n">
        <f aca="false">EE51+EE52</f>
        <v>-0</v>
      </c>
      <c r="EF53" s="47" t="n">
        <f aca="false">EF51+EF52</f>
        <v>-0</v>
      </c>
      <c r="EG53" s="47" t="n">
        <f aca="false">EG51+EG52</f>
        <v>-0</v>
      </c>
      <c r="EH53" s="47" t="n">
        <f aca="false">EH51+EH52</f>
        <v>-0</v>
      </c>
      <c r="EI53" s="47" t="n">
        <f aca="false">EI51+EI52</f>
        <v>-0</v>
      </c>
      <c r="EJ53" s="47" t="n">
        <f aca="false">EJ51+EJ52</f>
        <v>-0</v>
      </c>
      <c r="EK53" s="47" t="n">
        <f aca="false">EK51+EK52</f>
        <v>-0</v>
      </c>
      <c r="EL53" s="47" t="n">
        <f aca="false">EL51+EL52</f>
        <v>-0</v>
      </c>
      <c r="EM53" s="47" t="n">
        <f aca="false">EM51+EM52</f>
        <v>-0</v>
      </c>
      <c r="EN53" s="47" t="n">
        <f aca="false">EN51+EN52</f>
        <v>-0</v>
      </c>
      <c r="EO53" s="47" t="n">
        <f aca="false">EO51+EO52</f>
        <v>-0</v>
      </c>
      <c r="EP53" s="47" t="n">
        <f aca="false">EP51+EP52</f>
        <v>-0</v>
      </c>
      <c r="EQ53" s="47" t="n">
        <f aca="false">EQ51+EQ52</f>
        <v>-0</v>
      </c>
      <c r="ER53" s="47" t="n">
        <f aca="false">ER51+ER52</f>
        <v>-0</v>
      </c>
      <c r="ES53" s="47" t="n">
        <f aca="false">ES51+ES52</f>
        <v>-0</v>
      </c>
      <c r="ET53" s="47" t="n">
        <f aca="false">ET51+ET52</f>
        <v>-0</v>
      </c>
    </row>
    <row r="54" customFormat="false" ht="15" hidden="false" customHeight="false" outlineLevel="0" collapsed="false">
      <c r="C54" s="1" t="s">
        <v>483</v>
      </c>
      <c r="D54" s="12" t="s">
        <v>222</v>
      </c>
      <c r="I54" s="47" t="n">
        <f aca="false">SUM(J54:ET54)</f>
        <v>-2404.83056505451</v>
      </c>
      <c r="J54" s="47" t="n">
        <f aca="false">-SUMIFS(Devex_Keur,Devex_Date,"&gt;="&amp;J$3,Devex_Date,"&lt;="&amp;J$4,Devex_Land,0)</f>
        <v>-0</v>
      </c>
      <c r="K54" s="47" t="n">
        <f aca="false">-SUMIFS(Devex_Keur,Devex_Date,"&gt;="&amp;K$3,Devex_Date,"&lt;="&amp;K$4,Devex_Land,0)</f>
        <v>-178.520547945205</v>
      </c>
      <c r="L54" s="47" t="n">
        <f aca="false">-SUMIFS(Devex_Keur,Devex_Date,"&gt;="&amp;L$3,Devex_Date,"&lt;="&amp;L$4,Devex_Land,0)</f>
        <v>-407.86301369863</v>
      </c>
      <c r="M54" s="47" t="n">
        <f aca="false">-SUMIFS(Devex_Keur,Devex_Date,"&gt;="&amp;M$3,Devex_Date,"&lt;="&amp;M$4,Devex_Land,0)</f>
        <v>-43.8356164383562</v>
      </c>
      <c r="N54" s="47" t="n">
        <f aca="false">-SUMIFS(Devex_Keur,Devex_Date,"&gt;="&amp;N$3,Devex_Date,"&lt;="&amp;N$4,Devex_Land,0)</f>
        <v>-43.8356164383562</v>
      </c>
      <c r="O54" s="47" t="n">
        <f aca="false">-SUMIFS(Devex_Keur,Devex_Date,"&gt;="&amp;O$3,Devex_Date,"&lt;="&amp;O$4,Devex_Land,0)</f>
        <v>-184.361643835616</v>
      </c>
      <c r="P54" s="47" t="n">
        <f aca="false">-SUMIFS(Devex_Keur,Devex_Date,"&gt;="&amp;P$3,Devex_Date,"&lt;="&amp;P$4,Devex_Land,0)</f>
        <v>-1290.04179480011</v>
      </c>
      <c r="Q54" s="47" t="n">
        <f aca="false">-SUMIFS(Devex_Keur,Devex_Date,"&gt;="&amp;Q$3,Devex_Date,"&lt;="&amp;Q$4,Devex_Land,0)</f>
        <v>-4.60958904109589</v>
      </c>
      <c r="R54" s="47" t="n">
        <f aca="false">-SUMIFS(Devex_Keur,Devex_Date,"&gt;="&amp;R$3,Devex_Date,"&lt;="&amp;R$4,Devex_Land,0)</f>
        <v>-164.09150998043</v>
      </c>
      <c r="S54" s="47" t="n">
        <f aca="false">-SUMIFS(Devex_Keur,Devex_Date,"&gt;="&amp;S$3,Devex_Date,"&lt;="&amp;S$4,Devex_Land,0)</f>
        <v>-32.8767123287671</v>
      </c>
      <c r="T54" s="47" t="n">
        <f aca="false">-SUMIFS(Devex_Keur,Devex_Date,"&gt;="&amp;T$3,Devex_Date,"&lt;="&amp;T$4,Devex_Land,0)</f>
        <v>-54.7945205479452</v>
      </c>
      <c r="U54" s="47" t="n">
        <f aca="false">-SUMIFS(Devex_Keur,Devex_Date,"&gt;="&amp;U$3,Devex_Date,"&lt;="&amp;U$4,Devex_Land,0)</f>
        <v>-0</v>
      </c>
      <c r="V54" s="47" t="n">
        <f aca="false">-SUMIFS(Devex_Keur,Devex_Date,"&gt;="&amp;V$3,Devex_Date,"&lt;="&amp;V$4,Devex_Land,0)</f>
        <v>-0</v>
      </c>
      <c r="W54" s="47" t="n">
        <f aca="false">-SUMIFS(Devex_Keur,Devex_Date,"&gt;="&amp;W$3,Devex_Date,"&lt;="&amp;W$4,Devex_Land,0)</f>
        <v>-0</v>
      </c>
      <c r="X54" s="47" t="n">
        <f aca="false">-SUMIFS(Devex_Keur,Devex_Date,"&gt;="&amp;X$3,Devex_Date,"&lt;="&amp;X$4,Devex_Land,0)</f>
        <v>-0</v>
      </c>
      <c r="Y54" s="47" t="n">
        <f aca="false">-SUMIFS(Devex_Keur,Devex_Date,"&gt;="&amp;Y$3,Devex_Date,"&lt;="&amp;Y$4,Devex_Land,0)</f>
        <v>-0</v>
      </c>
      <c r="Z54" s="47" t="n">
        <f aca="false">-SUMIFS(Devex_Keur,Devex_Date,"&gt;="&amp;Z$3,Devex_Date,"&lt;="&amp;Z$4,Devex_Land,0)</f>
        <v>-0</v>
      </c>
      <c r="AA54" s="47" t="n">
        <f aca="false">-SUMIFS(Devex_Keur,Devex_Date,"&gt;="&amp;AA$3,Devex_Date,"&lt;="&amp;AA$4,Devex_Land,0)</f>
        <v>-0</v>
      </c>
      <c r="AB54" s="47" t="n">
        <f aca="false">-SUMIFS(Devex_Keur,Devex_Date,"&gt;="&amp;AB$3,Devex_Date,"&lt;="&amp;AB$4,Devex_Land,0)</f>
        <v>-0</v>
      </c>
      <c r="AC54" s="47" t="n">
        <f aca="false">-SUMIFS(Devex_Keur,Devex_Date,"&gt;="&amp;AC$3,Devex_Date,"&lt;="&amp;AC$4,Devex_Land,0)</f>
        <v>-0</v>
      </c>
      <c r="AD54" s="47" t="n">
        <f aca="false">-SUMIFS(Devex_Keur,Devex_Date,"&gt;="&amp;AD$3,Devex_Date,"&lt;="&amp;AD$4,Devex_Land,0)</f>
        <v>-0</v>
      </c>
      <c r="AE54" s="47" t="n">
        <f aca="false">-SUMIFS(Devex_Keur,Devex_Date,"&gt;="&amp;AE$3,Devex_Date,"&lt;="&amp;AE$4,Devex_Land,0)</f>
        <v>-0</v>
      </c>
      <c r="AF54" s="47" t="n">
        <f aca="false">-SUMIFS(Devex_Keur,Devex_Date,"&gt;="&amp;AF$3,Devex_Date,"&lt;="&amp;AF$4,Devex_Land,0)</f>
        <v>-0</v>
      </c>
      <c r="AG54" s="47" t="n">
        <f aca="false">-SUMIFS(Devex_Keur,Devex_Date,"&gt;="&amp;AG$3,Devex_Date,"&lt;="&amp;AG$4,Devex_Land,0)</f>
        <v>-0</v>
      </c>
      <c r="AH54" s="47" t="n">
        <f aca="false">-SUMIFS(Devex_Keur,Devex_Date,"&gt;="&amp;AH$3,Devex_Date,"&lt;="&amp;AH$4,Devex_Land,0)</f>
        <v>-0</v>
      </c>
      <c r="AI54" s="47" t="n">
        <f aca="false">-SUMIFS(Devex_Keur,Devex_Date,"&gt;="&amp;AI$3,Devex_Date,"&lt;="&amp;AI$4,Devex_Land,0)</f>
        <v>-0</v>
      </c>
      <c r="AJ54" s="47" t="n">
        <f aca="false">-SUMIFS(Devex_Keur,Devex_Date,"&gt;="&amp;AJ$3,Devex_Date,"&lt;="&amp;AJ$4,Devex_Land,0)</f>
        <v>-0</v>
      </c>
      <c r="AK54" s="47" t="n">
        <f aca="false">-SUMIFS(Devex_Keur,Devex_Date,"&gt;="&amp;AK$3,Devex_Date,"&lt;="&amp;AK$4,Devex_Land,0)</f>
        <v>-0</v>
      </c>
      <c r="AL54" s="47" t="n">
        <f aca="false">-SUMIFS(Devex_Keur,Devex_Date,"&gt;="&amp;AL$3,Devex_Date,"&lt;="&amp;AL$4,Devex_Land,0)</f>
        <v>-0</v>
      </c>
      <c r="AM54" s="47" t="n">
        <f aca="false">-SUMIFS(Devex_Keur,Devex_Date,"&gt;="&amp;AM$3,Devex_Date,"&lt;="&amp;AM$4,Devex_Land,0)</f>
        <v>-0</v>
      </c>
      <c r="AN54" s="47" t="n">
        <f aca="false">-SUMIFS(Devex_Keur,Devex_Date,"&gt;="&amp;AN$3,Devex_Date,"&lt;="&amp;AN$4,Devex_Land,0)</f>
        <v>-0</v>
      </c>
      <c r="AO54" s="47" t="n">
        <f aca="false">-SUMIFS(Devex_Keur,Devex_Date,"&gt;="&amp;AO$3,Devex_Date,"&lt;="&amp;AO$4,Devex_Land,0)</f>
        <v>-0</v>
      </c>
      <c r="AP54" s="47" t="n">
        <f aca="false">-SUMIFS(Devex_Keur,Devex_Date,"&gt;="&amp;AP$3,Devex_Date,"&lt;="&amp;AP$4,Devex_Land,0)</f>
        <v>-0</v>
      </c>
      <c r="AQ54" s="47" t="n">
        <f aca="false">-SUMIFS(Devex_Keur,Devex_Date,"&gt;="&amp;AQ$3,Devex_Date,"&lt;="&amp;AQ$4,Devex_Land,0)</f>
        <v>-0</v>
      </c>
      <c r="AR54" s="47" t="n">
        <f aca="false">-SUMIFS(Devex_Keur,Devex_Date,"&gt;="&amp;AR$3,Devex_Date,"&lt;="&amp;AR$4,Devex_Land,0)</f>
        <v>-0</v>
      </c>
      <c r="AS54" s="47" t="n">
        <f aca="false">-SUMIFS(Devex_Keur,Devex_Date,"&gt;="&amp;AS$3,Devex_Date,"&lt;="&amp;AS$4,Devex_Land,0)</f>
        <v>-0</v>
      </c>
      <c r="AT54" s="47" t="n">
        <f aca="false">-SUMIFS(Devex_Keur,Devex_Date,"&gt;="&amp;AT$3,Devex_Date,"&lt;="&amp;AT$4,Devex_Land,0)</f>
        <v>-0</v>
      </c>
      <c r="AU54" s="47" t="n">
        <f aca="false">-SUMIFS(Devex_Keur,Devex_Date,"&gt;="&amp;AU$3,Devex_Date,"&lt;="&amp;AU$4,Devex_Land,0)</f>
        <v>-0</v>
      </c>
      <c r="AV54" s="47" t="n">
        <f aca="false">-SUMIFS(Devex_Keur,Devex_Date,"&gt;="&amp;AV$3,Devex_Date,"&lt;="&amp;AV$4,Devex_Land,0)</f>
        <v>-0</v>
      </c>
      <c r="AW54" s="47" t="n">
        <f aca="false">-SUMIFS(Devex_Keur,Devex_Date,"&gt;="&amp;AW$3,Devex_Date,"&lt;="&amp;AW$4,Devex_Land,0)</f>
        <v>-0</v>
      </c>
      <c r="AX54" s="47" t="n">
        <f aca="false">-SUMIFS(Devex_Keur,Devex_Date,"&gt;="&amp;AX$3,Devex_Date,"&lt;="&amp;AX$4,Devex_Land,0)</f>
        <v>-0</v>
      </c>
      <c r="AY54" s="47" t="n">
        <f aca="false">-SUMIFS(Devex_Keur,Devex_Date,"&gt;="&amp;AY$3,Devex_Date,"&lt;="&amp;AY$4,Devex_Land,0)</f>
        <v>-0</v>
      </c>
      <c r="AZ54" s="47" t="n">
        <f aca="false">-SUMIFS(Devex_Keur,Devex_Date,"&gt;="&amp;AZ$3,Devex_Date,"&lt;="&amp;AZ$4,Devex_Land,0)</f>
        <v>-0</v>
      </c>
      <c r="BA54" s="47" t="n">
        <f aca="false">-SUMIFS(Devex_Keur,Devex_Date,"&gt;="&amp;BA$3,Devex_Date,"&lt;="&amp;BA$4,Devex_Land,0)</f>
        <v>-0</v>
      </c>
      <c r="BB54" s="47" t="n">
        <f aca="false">-SUMIFS(Devex_Keur,Devex_Date,"&gt;="&amp;BB$3,Devex_Date,"&lt;="&amp;BB$4,Devex_Land,0)</f>
        <v>-0</v>
      </c>
      <c r="BC54" s="47" t="n">
        <f aca="false">-SUMIFS(Devex_Keur,Devex_Date,"&gt;="&amp;BC$3,Devex_Date,"&lt;="&amp;BC$4,Devex_Land,0)</f>
        <v>-0</v>
      </c>
      <c r="BD54" s="47" t="n">
        <f aca="false">-SUMIFS(Devex_Keur,Devex_Date,"&gt;="&amp;BD$3,Devex_Date,"&lt;="&amp;BD$4,Devex_Land,0)</f>
        <v>-0</v>
      </c>
      <c r="BE54" s="47" t="n">
        <f aca="false">-SUMIFS(Devex_Keur,Devex_Date,"&gt;="&amp;BE$3,Devex_Date,"&lt;="&amp;BE$4,Devex_Land,0)</f>
        <v>-0</v>
      </c>
      <c r="BF54" s="47" t="n">
        <f aca="false">-SUMIFS(Devex_Keur,Devex_Date,"&gt;="&amp;BF$3,Devex_Date,"&lt;="&amp;BF$4,Devex_Land,0)</f>
        <v>-0</v>
      </c>
      <c r="BG54" s="47" t="n">
        <f aca="false">-SUMIFS(Devex_Keur,Devex_Date,"&gt;="&amp;BG$3,Devex_Date,"&lt;="&amp;BG$4,Devex_Land,0)</f>
        <v>-0</v>
      </c>
      <c r="BH54" s="47" t="n">
        <f aca="false">-SUMIFS(Devex_Keur,Devex_Date,"&gt;="&amp;BH$3,Devex_Date,"&lt;="&amp;BH$4,Devex_Land,0)</f>
        <v>-0</v>
      </c>
      <c r="BI54" s="47" t="n">
        <f aca="false">-SUMIFS(Devex_Keur,Devex_Date,"&gt;="&amp;BI$3,Devex_Date,"&lt;="&amp;BI$4,Devex_Land,0)</f>
        <v>-0</v>
      </c>
      <c r="BJ54" s="47" t="n">
        <f aca="false">-SUMIFS(Devex_Keur,Devex_Date,"&gt;="&amp;BJ$3,Devex_Date,"&lt;="&amp;BJ$4,Devex_Land,0)</f>
        <v>-0</v>
      </c>
      <c r="BK54" s="47" t="n">
        <f aca="false">-SUMIFS(Devex_Keur,Devex_Date,"&gt;="&amp;BK$3,Devex_Date,"&lt;="&amp;BK$4,Devex_Land,0)</f>
        <v>-0</v>
      </c>
      <c r="BL54" s="47" t="n">
        <f aca="false">-SUMIFS(Devex_Keur,Devex_Date,"&gt;="&amp;BL$3,Devex_Date,"&lt;="&amp;BL$4,Devex_Land,0)</f>
        <v>-0</v>
      </c>
      <c r="BM54" s="47" t="n">
        <f aca="false">-SUMIFS(Devex_Keur,Devex_Date,"&gt;="&amp;BM$3,Devex_Date,"&lt;="&amp;BM$4,Devex_Land,0)</f>
        <v>-0</v>
      </c>
      <c r="BN54" s="47" t="n">
        <f aca="false">-SUMIFS(Devex_Keur,Devex_Date,"&gt;="&amp;BN$3,Devex_Date,"&lt;="&amp;BN$4,Devex_Land,0)</f>
        <v>-0</v>
      </c>
      <c r="BO54" s="47" t="n">
        <f aca="false">-SUMIFS(Devex_Keur,Devex_Date,"&gt;="&amp;BO$3,Devex_Date,"&lt;="&amp;BO$4,Devex_Land,0)</f>
        <v>-0</v>
      </c>
      <c r="BP54" s="47" t="n">
        <f aca="false">-SUMIFS(Devex_Keur,Devex_Date,"&gt;="&amp;BP$3,Devex_Date,"&lt;="&amp;BP$4,Devex_Land,0)</f>
        <v>-0</v>
      </c>
      <c r="BQ54" s="47" t="n">
        <f aca="false">-SUMIFS(Devex_Keur,Devex_Date,"&gt;="&amp;BQ$3,Devex_Date,"&lt;="&amp;BQ$4,Devex_Land,0)</f>
        <v>-0</v>
      </c>
      <c r="BR54" s="47" t="n">
        <f aca="false">-SUMIFS(Devex_Keur,Devex_Date,"&gt;="&amp;BR$3,Devex_Date,"&lt;="&amp;BR$4,Devex_Land,0)</f>
        <v>-0</v>
      </c>
      <c r="BS54" s="47" t="n">
        <f aca="false">-SUMIFS(Devex_Keur,Devex_Date,"&gt;="&amp;BS$3,Devex_Date,"&lt;="&amp;BS$4,Devex_Land,0)</f>
        <v>-0</v>
      </c>
      <c r="BT54" s="47" t="n">
        <f aca="false">-SUMIFS(Devex_Keur,Devex_Date,"&gt;="&amp;BT$3,Devex_Date,"&lt;="&amp;BT$4,Devex_Land,0)</f>
        <v>-0</v>
      </c>
      <c r="BU54" s="47" t="n">
        <f aca="false">-SUMIFS(Devex_Keur,Devex_Date,"&gt;="&amp;BU$3,Devex_Date,"&lt;="&amp;BU$4,Devex_Land,0)</f>
        <v>-0</v>
      </c>
      <c r="BV54" s="47" t="n">
        <f aca="false">-SUMIFS(Devex_Keur,Devex_Date,"&gt;="&amp;BV$3,Devex_Date,"&lt;="&amp;BV$4,Devex_Land,0)</f>
        <v>-0</v>
      </c>
      <c r="BW54" s="47" t="n">
        <f aca="false">-SUMIFS(Devex_Keur,Devex_Date,"&gt;="&amp;BW$3,Devex_Date,"&lt;="&amp;BW$4,Devex_Land,0)</f>
        <v>-0</v>
      </c>
      <c r="BX54" s="47" t="n">
        <f aca="false">-SUMIFS(Devex_Keur,Devex_Date,"&gt;="&amp;BX$3,Devex_Date,"&lt;="&amp;BX$4,Devex_Land,0)</f>
        <v>-0</v>
      </c>
      <c r="BY54" s="47" t="n">
        <f aca="false">-SUMIFS(Devex_Keur,Devex_Date,"&gt;="&amp;BY$3,Devex_Date,"&lt;="&amp;BY$4,Devex_Land,0)</f>
        <v>-0</v>
      </c>
      <c r="BZ54" s="47" t="n">
        <f aca="false">-SUMIFS(Devex_Keur,Devex_Date,"&gt;="&amp;BZ$3,Devex_Date,"&lt;="&amp;BZ$4,Devex_Land,0)</f>
        <v>-0</v>
      </c>
      <c r="CA54" s="47" t="n">
        <f aca="false">-SUMIFS(Devex_Keur,Devex_Date,"&gt;="&amp;CA$3,Devex_Date,"&lt;="&amp;CA$4,Devex_Land,0)</f>
        <v>-0</v>
      </c>
      <c r="CB54" s="47" t="n">
        <f aca="false">-SUMIFS(Devex_Keur,Devex_Date,"&gt;="&amp;CB$3,Devex_Date,"&lt;="&amp;CB$4,Devex_Land,0)</f>
        <v>-0</v>
      </c>
      <c r="CC54" s="47" t="n">
        <f aca="false">-SUMIFS(Devex_Keur,Devex_Date,"&gt;="&amp;CC$3,Devex_Date,"&lt;="&amp;CC$4,Devex_Land,0)</f>
        <v>-0</v>
      </c>
      <c r="CD54" s="47" t="n">
        <f aca="false">-SUMIFS(Devex_Keur,Devex_Date,"&gt;="&amp;CD$3,Devex_Date,"&lt;="&amp;CD$4,Devex_Land,0)</f>
        <v>-0</v>
      </c>
      <c r="CE54" s="47" t="n">
        <f aca="false">-SUMIFS(Devex_Keur,Devex_Date,"&gt;="&amp;CE$3,Devex_Date,"&lt;="&amp;CE$4,Devex_Land,0)</f>
        <v>-0</v>
      </c>
      <c r="CF54" s="47" t="n">
        <f aca="false">-SUMIFS(Devex_Keur,Devex_Date,"&gt;="&amp;CF$3,Devex_Date,"&lt;="&amp;CF$4,Devex_Land,0)</f>
        <v>-0</v>
      </c>
      <c r="CG54" s="47" t="n">
        <f aca="false">-SUMIFS(Devex_Keur,Devex_Date,"&gt;="&amp;CG$3,Devex_Date,"&lt;="&amp;CG$4,Devex_Land,0)</f>
        <v>-0</v>
      </c>
      <c r="CH54" s="47" t="n">
        <f aca="false">-SUMIFS(Devex_Keur,Devex_Date,"&gt;="&amp;CH$3,Devex_Date,"&lt;="&amp;CH$4,Devex_Land,0)</f>
        <v>-0</v>
      </c>
      <c r="CI54" s="47" t="n">
        <f aca="false">-SUMIFS(Devex_Keur,Devex_Date,"&gt;="&amp;CI$3,Devex_Date,"&lt;="&amp;CI$4,Devex_Land,0)</f>
        <v>-0</v>
      </c>
      <c r="CJ54" s="47" t="n">
        <f aca="false">-SUMIFS(Devex_Keur,Devex_Date,"&gt;="&amp;CJ$3,Devex_Date,"&lt;="&amp;CJ$4,Devex_Land,0)</f>
        <v>-0</v>
      </c>
      <c r="CK54" s="47" t="n">
        <f aca="false">-SUMIFS(Devex_Keur,Devex_Date,"&gt;="&amp;CK$3,Devex_Date,"&lt;="&amp;CK$4,Devex_Land,0)</f>
        <v>-0</v>
      </c>
      <c r="CL54" s="47" t="n">
        <f aca="false">-SUMIFS(Devex_Keur,Devex_Date,"&gt;="&amp;CL$3,Devex_Date,"&lt;="&amp;CL$4,Devex_Land,0)</f>
        <v>-0</v>
      </c>
      <c r="CM54" s="47" t="n">
        <f aca="false">-SUMIFS(Devex_Keur,Devex_Date,"&gt;="&amp;CM$3,Devex_Date,"&lt;="&amp;CM$4,Devex_Land,0)</f>
        <v>-0</v>
      </c>
      <c r="CN54" s="47" t="n">
        <f aca="false">-SUMIFS(Devex_Keur,Devex_Date,"&gt;="&amp;CN$3,Devex_Date,"&lt;="&amp;CN$4,Devex_Land,0)</f>
        <v>-0</v>
      </c>
      <c r="CO54" s="47" t="n">
        <f aca="false">-SUMIFS(Devex_Keur,Devex_Date,"&gt;="&amp;CO$3,Devex_Date,"&lt;="&amp;CO$4,Devex_Land,0)</f>
        <v>-0</v>
      </c>
      <c r="CP54" s="47" t="n">
        <f aca="false">-SUMIFS(Devex_Keur,Devex_Date,"&gt;="&amp;CP$3,Devex_Date,"&lt;="&amp;CP$4,Devex_Land,0)</f>
        <v>-0</v>
      </c>
      <c r="CQ54" s="47" t="n">
        <f aca="false">-SUMIFS(Devex_Keur,Devex_Date,"&gt;="&amp;CQ$3,Devex_Date,"&lt;="&amp;CQ$4,Devex_Land,0)</f>
        <v>-0</v>
      </c>
      <c r="CR54" s="47" t="n">
        <f aca="false">-SUMIFS(Devex_Keur,Devex_Date,"&gt;="&amp;CR$3,Devex_Date,"&lt;="&amp;CR$4,Devex_Land,0)</f>
        <v>-0</v>
      </c>
      <c r="CS54" s="47" t="n">
        <f aca="false">-SUMIFS(Devex_Keur,Devex_Date,"&gt;="&amp;CS$3,Devex_Date,"&lt;="&amp;CS$4,Devex_Land,0)</f>
        <v>-0</v>
      </c>
      <c r="CT54" s="47" t="n">
        <f aca="false">-SUMIFS(Devex_Keur,Devex_Date,"&gt;="&amp;CT$3,Devex_Date,"&lt;="&amp;CT$4,Devex_Land,0)</f>
        <v>-0</v>
      </c>
      <c r="CU54" s="47" t="n">
        <f aca="false">-SUMIFS(Devex_Keur,Devex_Date,"&gt;="&amp;CU$3,Devex_Date,"&lt;="&amp;CU$4,Devex_Land,0)</f>
        <v>-0</v>
      </c>
      <c r="CV54" s="47" t="n">
        <f aca="false">-SUMIFS(Devex_Keur,Devex_Date,"&gt;="&amp;CV$3,Devex_Date,"&lt;="&amp;CV$4,Devex_Land,0)</f>
        <v>-0</v>
      </c>
      <c r="CW54" s="47" t="n">
        <f aca="false">-SUMIFS(Devex_Keur,Devex_Date,"&gt;="&amp;CW$3,Devex_Date,"&lt;="&amp;CW$4,Devex_Land,0)</f>
        <v>-0</v>
      </c>
      <c r="CX54" s="47" t="n">
        <f aca="false">-SUMIFS(Devex_Keur,Devex_Date,"&gt;="&amp;CX$3,Devex_Date,"&lt;="&amp;CX$4,Devex_Land,0)</f>
        <v>-0</v>
      </c>
      <c r="CY54" s="47" t="n">
        <f aca="false">-SUMIFS(Devex_Keur,Devex_Date,"&gt;="&amp;CY$3,Devex_Date,"&lt;="&amp;CY$4,Devex_Land,0)</f>
        <v>-0</v>
      </c>
      <c r="CZ54" s="47" t="n">
        <f aca="false">-SUMIFS(Devex_Keur,Devex_Date,"&gt;="&amp;CZ$3,Devex_Date,"&lt;="&amp;CZ$4,Devex_Land,0)</f>
        <v>-0</v>
      </c>
      <c r="DA54" s="47" t="n">
        <f aca="false">-SUMIFS(Devex_Keur,Devex_Date,"&gt;="&amp;DA$3,Devex_Date,"&lt;="&amp;DA$4,Devex_Land,0)</f>
        <v>-0</v>
      </c>
      <c r="DB54" s="47" t="n">
        <f aca="false">-SUMIFS(Devex_Keur,Devex_Date,"&gt;="&amp;DB$3,Devex_Date,"&lt;="&amp;DB$4,Devex_Land,0)</f>
        <v>-0</v>
      </c>
      <c r="DC54" s="47" t="n">
        <f aca="false">-SUMIFS(Devex_Keur,Devex_Date,"&gt;="&amp;DC$3,Devex_Date,"&lt;="&amp;DC$4,Devex_Land,0)</f>
        <v>-0</v>
      </c>
      <c r="DD54" s="47" t="n">
        <f aca="false">-SUMIFS(Devex_Keur,Devex_Date,"&gt;="&amp;DD$3,Devex_Date,"&lt;="&amp;DD$4,Devex_Land,0)</f>
        <v>-0</v>
      </c>
      <c r="DE54" s="47" t="n">
        <f aca="false">-SUMIFS(Devex_Keur,Devex_Date,"&gt;="&amp;DE$3,Devex_Date,"&lt;="&amp;DE$4,Devex_Land,0)</f>
        <v>-0</v>
      </c>
      <c r="DF54" s="47" t="n">
        <f aca="false">-SUMIFS(Devex_Keur,Devex_Date,"&gt;="&amp;DF$3,Devex_Date,"&lt;="&amp;DF$4,Devex_Land,0)</f>
        <v>-0</v>
      </c>
      <c r="DG54" s="47" t="n">
        <f aca="false">-SUMIFS(Devex_Keur,Devex_Date,"&gt;="&amp;DG$3,Devex_Date,"&lt;="&amp;DG$4,Devex_Land,0)</f>
        <v>-0</v>
      </c>
      <c r="DH54" s="47" t="n">
        <f aca="false">-SUMIFS(Devex_Keur,Devex_Date,"&gt;="&amp;DH$3,Devex_Date,"&lt;="&amp;DH$4,Devex_Land,0)</f>
        <v>-0</v>
      </c>
      <c r="DI54" s="47" t="n">
        <f aca="false">-SUMIFS(Devex_Keur,Devex_Date,"&gt;="&amp;DI$3,Devex_Date,"&lt;="&amp;DI$4,Devex_Land,0)</f>
        <v>-0</v>
      </c>
      <c r="DJ54" s="47" t="n">
        <f aca="false">-SUMIFS(Devex_Keur,Devex_Date,"&gt;="&amp;DJ$3,Devex_Date,"&lt;="&amp;DJ$4,Devex_Land,0)</f>
        <v>-0</v>
      </c>
      <c r="DK54" s="47" t="n">
        <f aca="false">-SUMIFS(Devex_Keur,Devex_Date,"&gt;="&amp;DK$3,Devex_Date,"&lt;="&amp;DK$4,Devex_Land,0)</f>
        <v>-0</v>
      </c>
      <c r="DL54" s="47" t="n">
        <f aca="false">-SUMIFS(Devex_Keur,Devex_Date,"&gt;="&amp;DL$3,Devex_Date,"&lt;="&amp;DL$4,Devex_Land,0)</f>
        <v>-0</v>
      </c>
      <c r="DM54" s="47" t="n">
        <f aca="false">-SUMIFS(Devex_Keur,Devex_Date,"&gt;="&amp;DM$3,Devex_Date,"&lt;="&amp;DM$4,Devex_Land,0)</f>
        <v>-0</v>
      </c>
      <c r="DN54" s="47" t="n">
        <f aca="false">-SUMIFS(Devex_Keur,Devex_Date,"&gt;="&amp;DN$3,Devex_Date,"&lt;="&amp;DN$4,Devex_Land,0)</f>
        <v>-0</v>
      </c>
      <c r="DO54" s="47" t="n">
        <f aca="false">-SUMIFS(Devex_Keur,Devex_Date,"&gt;="&amp;DO$3,Devex_Date,"&lt;="&amp;DO$4,Devex_Land,0)</f>
        <v>-0</v>
      </c>
      <c r="DP54" s="47" t="n">
        <f aca="false">-SUMIFS(Devex_Keur,Devex_Date,"&gt;="&amp;DP$3,Devex_Date,"&lt;="&amp;DP$4,Devex_Land,0)</f>
        <v>-0</v>
      </c>
      <c r="DQ54" s="47" t="n">
        <f aca="false">-SUMIFS(Devex_Keur,Devex_Date,"&gt;="&amp;DQ$3,Devex_Date,"&lt;="&amp;DQ$4,Devex_Land,0)</f>
        <v>-0</v>
      </c>
      <c r="DR54" s="47" t="n">
        <f aca="false">-SUMIFS(Devex_Keur,Devex_Date,"&gt;="&amp;DR$3,Devex_Date,"&lt;="&amp;DR$4,Devex_Land,0)</f>
        <v>-0</v>
      </c>
      <c r="DS54" s="47" t="n">
        <f aca="false">-SUMIFS(Devex_Keur,Devex_Date,"&gt;="&amp;DS$3,Devex_Date,"&lt;="&amp;DS$4,Devex_Land,0)</f>
        <v>-0</v>
      </c>
      <c r="DT54" s="47" t="n">
        <f aca="false">-SUMIFS(Devex_Keur,Devex_Date,"&gt;="&amp;DT$3,Devex_Date,"&lt;="&amp;DT$4,Devex_Land,0)</f>
        <v>-0</v>
      </c>
      <c r="DU54" s="47" t="n">
        <f aca="false">-SUMIFS(Devex_Keur,Devex_Date,"&gt;="&amp;DU$3,Devex_Date,"&lt;="&amp;DU$4,Devex_Land,0)</f>
        <v>-0</v>
      </c>
      <c r="DV54" s="47" t="n">
        <f aca="false">-SUMIFS(Devex_Keur,Devex_Date,"&gt;="&amp;DV$3,Devex_Date,"&lt;="&amp;DV$4,Devex_Land,0)</f>
        <v>-0</v>
      </c>
      <c r="DW54" s="47" t="n">
        <f aca="false">-SUMIFS(Devex_Keur,Devex_Date,"&gt;="&amp;DW$3,Devex_Date,"&lt;="&amp;DW$4,Devex_Land,0)</f>
        <v>-0</v>
      </c>
      <c r="DX54" s="47" t="n">
        <f aca="false">-SUMIFS(Devex_Keur,Devex_Date,"&gt;="&amp;DX$3,Devex_Date,"&lt;="&amp;DX$4,Devex_Land,0)</f>
        <v>-0</v>
      </c>
      <c r="DY54" s="47" t="n">
        <f aca="false">-SUMIFS(Devex_Keur,Devex_Date,"&gt;="&amp;DY$3,Devex_Date,"&lt;="&amp;DY$4,Devex_Land,0)</f>
        <v>-0</v>
      </c>
      <c r="DZ54" s="47" t="n">
        <f aca="false">-SUMIFS(Devex_Keur,Devex_Date,"&gt;="&amp;DZ$3,Devex_Date,"&lt;="&amp;DZ$4,Devex_Land,0)</f>
        <v>-0</v>
      </c>
      <c r="EA54" s="47" t="n">
        <f aca="false">-SUMIFS(Devex_Keur,Devex_Date,"&gt;="&amp;EA$3,Devex_Date,"&lt;="&amp;EA$4,Devex_Land,0)</f>
        <v>-0</v>
      </c>
      <c r="EB54" s="47" t="n">
        <f aca="false">-SUMIFS(Devex_Keur,Devex_Date,"&gt;="&amp;EB$3,Devex_Date,"&lt;="&amp;EB$4,Devex_Land,0)</f>
        <v>-0</v>
      </c>
      <c r="EC54" s="47" t="n">
        <f aca="false">-SUMIFS(Devex_Keur,Devex_Date,"&gt;="&amp;EC$3,Devex_Date,"&lt;="&amp;EC$4,Devex_Land,0)</f>
        <v>-0</v>
      </c>
      <c r="ED54" s="47" t="n">
        <f aca="false">-SUMIFS(Devex_Keur,Devex_Date,"&gt;="&amp;ED$3,Devex_Date,"&lt;="&amp;ED$4,Devex_Land,0)</f>
        <v>-0</v>
      </c>
      <c r="EE54" s="47" t="n">
        <f aca="false">-SUMIFS(Devex_Keur,Devex_Date,"&gt;="&amp;EE$3,Devex_Date,"&lt;="&amp;EE$4,Devex_Land,0)</f>
        <v>-0</v>
      </c>
      <c r="EF54" s="47" t="n">
        <f aca="false">-SUMIFS(Devex_Keur,Devex_Date,"&gt;="&amp;EF$3,Devex_Date,"&lt;="&amp;EF$4,Devex_Land,0)</f>
        <v>-0</v>
      </c>
      <c r="EG54" s="47" t="n">
        <f aca="false">-SUMIFS(Devex_Keur,Devex_Date,"&gt;="&amp;EG$3,Devex_Date,"&lt;="&amp;EG$4,Devex_Land,0)</f>
        <v>-0</v>
      </c>
      <c r="EH54" s="47" t="n">
        <f aca="false">-SUMIFS(Devex_Keur,Devex_Date,"&gt;="&amp;EH$3,Devex_Date,"&lt;="&amp;EH$4,Devex_Land,0)</f>
        <v>-0</v>
      </c>
      <c r="EI54" s="47" t="n">
        <f aca="false">-SUMIFS(Devex_Keur,Devex_Date,"&gt;="&amp;EI$3,Devex_Date,"&lt;="&amp;EI$4,Devex_Land,0)</f>
        <v>-0</v>
      </c>
      <c r="EJ54" s="47" t="n">
        <f aca="false">-SUMIFS(Devex_Keur,Devex_Date,"&gt;="&amp;EJ$3,Devex_Date,"&lt;="&amp;EJ$4,Devex_Land,0)</f>
        <v>-0</v>
      </c>
      <c r="EK54" s="47" t="n">
        <f aca="false">-SUMIFS(Devex_Keur,Devex_Date,"&gt;="&amp;EK$3,Devex_Date,"&lt;="&amp;EK$4,Devex_Land,0)</f>
        <v>-0</v>
      </c>
      <c r="EL54" s="47" t="n">
        <f aca="false">-SUMIFS(Devex_Keur,Devex_Date,"&gt;="&amp;EL$3,Devex_Date,"&lt;="&amp;EL$4,Devex_Land,0)</f>
        <v>-0</v>
      </c>
      <c r="EM54" s="47" t="n">
        <f aca="false">-SUMIFS(Devex_Keur,Devex_Date,"&gt;="&amp;EM$3,Devex_Date,"&lt;="&amp;EM$4,Devex_Land,0)</f>
        <v>-0</v>
      </c>
      <c r="EN54" s="47" t="n">
        <f aca="false">-SUMIFS(Devex_Keur,Devex_Date,"&gt;="&amp;EN$3,Devex_Date,"&lt;="&amp;EN$4,Devex_Land,0)</f>
        <v>-0</v>
      </c>
      <c r="EO54" s="47" t="n">
        <f aca="false">-SUMIFS(Devex_Keur,Devex_Date,"&gt;="&amp;EO$3,Devex_Date,"&lt;="&amp;EO$4,Devex_Land,0)</f>
        <v>-0</v>
      </c>
      <c r="EP54" s="47" t="n">
        <f aca="false">-SUMIFS(Devex_Keur,Devex_Date,"&gt;="&amp;EP$3,Devex_Date,"&lt;="&amp;EP$4,Devex_Land,0)</f>
        <v>-0</v>
      </c>
      <c r="EQ54" s="47" t="n">
        <f aca="false">-SUMIFS(Devex_Keur,Devex_Date,"&gt;="&amp;EQ$3,Devex_Date,"&lt;="&amp;EQ$4,Devex_Land,0)</f>
        <v>-0</v>
      </c>
      <c r="ER54" s="47" t="n">
        <f aca="false">-SUMIFS(Devex_Keur,Devex_Date,"&gt;="&amp;ER$3,Devex_Date,"&lt;="&amp;ER$4,Devex_Land,0)</f>
        <v>-0</v>
      </c>
      <c r="ES54" s="47" t="n">
        <f aca="false">-SUMIFS(Devex_Keur,Devex_Date,"&gt;="&amp;ES$3,Devex_Date,"&lt;="&amp;ES$4,Devex_Land,0)</f>
        <v>-0</v>
      </c>
      <c r="ET54" s="47" t="n">
        <f aca="false">-SUMIFS(Devex_Keur,Devex_Date,"&gt;="&amp;ET$3,Devex_Date,"&lt;="&amp;ET$4,Devex_Land,0)</f>
        <v>-0</v>
      </c>
    </row>
    <row r="55" customFormat="false" ht="15" hidden="false" customHeight="false" outlineLevel="0" collapsed="false">
      <c r="C55" s="1" t="s">
        <v>484</v>
      </c>
      <c r="D55" s="12" t="s">
        <v>222</v>
      </c>
      <c r="E55" s="47" t="n">
        <f aca="false">-SUMIF($J$4:$ET$4,"&lt;="&amp;$E12,$J55:$ET55)</f>
        <v>430.444520547945</v>
      </c>
      <c r="I55" s="47" t="n">
        <f aca="false">SUM(J55:ET55)</f>
        <v>-430.444520547945</v>
      </c>
      <c r="J55" s="47" t="n">
        <f aca="false">-SUMIFS(Devex_Keur,Devex_Date,"&gt;="&amp;J$3,Devex_Date,"&lt;="&amp;J$4,Devex_Land,1)</f>
        <v>-0</v>
      </c>
      <c r="K55" s="47" t="n">
        <f aca="false">-SUMIFS(Devex_Keur,Devex_Date,"&gt;="&amp;K$3,Devex_Date,"&lt;="&amp;K$4,Devex_Land,1)</f>
        <v>-0</v>
      </c>
      <c r="L55" s="47" t="n">
        <f aca="false">-SUMIFS(Devex_Keur,Devex_Date,"&gt;="&amp;L$3,Devex_Date,"&lt;="&amp;L$4,Devex_Land,1)</f>
        <v>-180.581506849315</v>
      </c>
      <c r="M55" s="47" t="n">
        <f aca="false">-SUMIFS(Devex_Keur,Devex_Date,"&gt;="&amp;M$3,Devex_Date,"&lt;="&amp;M$4,Devex_Land,1)</f>
        <v>-0</v>
      </c>
      <c r="N55" s="47" t="n">
        <f aca="false">-SUMIFS(Devex_Keur,Devex_Date,"&gt;="&amp;N$3,Devex_Date,"&lt;="&amp;N$4,Devex_Land,1)</f>
        <v>-0</v>
      </c>
      <c r="O55" s="47" t="n">
        <f aca="false">-SUMIFS(Devex_Keur,Devex_Date,"&gt;="&amp;O$3,Devex_Date,"&lt;="&amp;O$4,Devex_Land,1)</f>
        <v>-0</v>
      </c>
      <c r="P55" s="47" t="n">
        <f aca="false">-SUMIFS(Devex_Keur,Devex_Date,"&gt;="&amp;P$3,Devex_Date,"&lt;="&amp;P$4,Devex_Land,1)</f>
        <v>-0</v>
      </c>
      <c r="Q55" s="47" t="n">
        <f aca="false">-SUMIFS(Devex_Keur,Devex_Date,"&gt;="&amp;Q$3,Devex_Date,"&lt;="&amp;Q$4,Devex_Land,1)</f>
        <v>-0</v>
      </c>
      <c r="R55" s="47" t="n">
        <f aca="false">-SUMIFS(Devex_Keur,Devex_Date,"&gt;="&amp;R$3,Devex_Date,"&lt;="&amp;R$4,Devex_Land,1)</f>
        <v>-0</v>
      </c>
      <c r="S55" s="47" t="n">
        <f aca="false">-SUMIFS(Devex_Keur,Devex_Date,"&gt;="&amp;S$3,Devex_Date,"&lt;="&amp;S$4,Devex_Land,1)</f>
        <v>-0</v>
      </c>
      <c r="T55" s="47" t="n">
        <f aca="false">-SUMIFS(Devex_Keur,Devex_Date,"&gt;="&amp;T$3,Devex_Date,"&lt;="&amp;T$4,Devex_Land,1)</f>
        <v>-249.86301369863</v>
      </c>
      <c r="U55" s="47" t="n">
        <f aca="false">-SUMIFS(Devex_Keur,Devex_Date,"&gt;="&amp;U$3,Devex_Date,"&lt;="&amp;U$4,Devex_Land,1)</f>
        <v>-0</v>
      </c>
      <c r="V55" s="47" t="n">
        <f aca="false">-SUMIFS(Devex_Keur,Devex_Date,"&gt;="&amp;V$3,Devex_Date,"&lt;="&amp;V$4,Devex_Land,1)</f>
        <v>-0</v>
      </c>
      <c r="W55" s="47" t="n">
        <f aca="false">-SUMIFS(Devex_Keur,Devex_Date,"&gt;="&amp;W$3,Devex_Date,"&lt;="&amp;W$4,Devex_Land,1)</f>
        <v>-0</v>
      </c>
      <c r="X55" s="47" t="n">
        <f aca="false">-SUMIFS(Devex_Keur,Devex_Date,"&gt;="&amp;X$3,Devex_Date,"&lt;="&amp;X$4,Devex_Land,1)</f>
        <v>-0</v>
      </c>
      <c r="Y55" s="47" t="n">
        <f aca="false">-SUMIFS(Devex_Keur,Devex_Date,"&gt;="&amp;Y$3,Devex_Date,"&lt;="&amp;Y$4,Devex_Land,1)</f>
        <v>-0</v>
      </c>
      <c r="Z55" s="47" t="n">
        <f aca="false">-SUMIFS(Devex_Keur,Devex_Date,"&gt;="&amp;Z$3,Devex_Date,"&lt;="&amp;Z$4,Devex_Land,1)</f>
        <v>-0</v>
      </c>
      <c r="AA55" s="47" t="n">
        <f aca="false">-SUMIFS(Devex_Keur,Devex_Date,"&gt;="&amp;AA$3,Devex_Date,"&lt;="&amp;AA$4,Devex_Land,1)</f>
        <v>-0</v>
      </c>
      <c r="AB55" s="47" t="n">
        <f aca="false">-SUMIFS(Devex_Keur,Devex_Date,"&gt;="&amp;AB$3,Devex_Date,"&lt;="&amp;AB$4,Devex_Land,1)</f>
        <v>-0</v>
      </c>
      <c r="AC55" s="47" t="n">
        <f aca="false">-SUMIFS(Devex_Keur,Devex_Date,"&gt;="&amp;AC$3,Devex_Date,"&lt;="&amp;AC$4,Devex_Land,1)</f>
        <v>-0</v>
      </c>
      <c r="AD55" s="47" t="n">
        <f aca="false">-SUMIFS(Devex_Keur,Devex_Date,"&gt;="&amp;AD$3,Devex_Date,"&lt;="&amp;AD$4,Devex_Land,1)</f>
        <v>-0</v>
      </c>
      <c r="AE55" s="47" t="n">
        <f aca="false">-SUMIFS(Devex_Keur,Devex_Date,"&gt;="&amp;AE$3,Devex_Date,"&lt;="&amp;AE$4,Devex_Land,1)</f>
        <v>-0</v>
      </c>
      <c r="AF55" s="47" t="n">
        <f aca="false">-SUMIFS(Devex_Keur,Devex_Date,"&gt;="&amp;AF$3,Devex_Date,"&lt;="&amp;AF$4,Devex_Land,1)</f>
        <v>-0</v>
      </c>
      <c r="AG55" s="47" t="n">
        <f aca="false">-SUMIFS(Devex_Keur,Devex_Date,"&gt;="&amp;AG$3,Devex_Date,"&lt;="&amp;AG$4,Devex_Land,1)</f>
        <v>-0</v>
      </c>
      <c r="AH55" s="47" t="n">
        <f aca="false">-SUMIFS(Devex_Keur,Devex_Date,"&gt;="&amp;AH$3,Devex_Date,"&lt;="&amp;AH$4,Devex_Land,1)</f>
        <v>-0</v>
      </c>
      <c r="AI55" s="47" t="n">
        <f aca="false">-SUMIFS(Devex_Keur,Devex_Date,"&gt;="&amp;AI$3,Devex_Date,"&lt;="&amp;AI$4,Devex_Land,1)</f>
        <v>-0</v>
      </c>
      <c r="AJ55" s="47" t="n">
        <f aca="false">-SUMIFS(Devex_Keur,Devex_Date,"&gt;="&amp;AJ$3,Devex_Date,"&lt;="&amp;AJ$4,Devex_Land,1)</f>
        <v>-0</v>
      </c>
      <c r="AK55" s="47" t="n">
        <f aca="false">-SUMIFS(Devex_Keur,Devex_Date,"&gt;="&amp;AK$3,Devex_Date,"&lt;="&amp;AK$4,Devex_Land,1)</f>
        <v>-0</v>
      </c>
      <c r="AL55" s="47" t="n">
        <f aca="false">-SUMIFS(Devex_Keur,Devex_Date,"&gt;="&amp;AL$3,Devex_Date,"&lt;="&amp;AL$4,Devex_Land,1)</f>
        <v>-0</v>
      </c>
      <c r="AM55" s="47" t="n">
        <f aca="false">-SUMIFS(Devex_Keur,Devex_Date,"&gt;="&amp;AM$3,Devex_Date,"&lt;="&amp;AM$4,Devex_Land,1)</f>
        <v>-0</v>
      </c>
      <c r="AN55" s="47" t="n">
        <f aca="false">-SUMIFS(Devex_Keur,Devex_Date,"&gt;="&amp;AN$3,Devex_Date,"&lt;="&amp;AN$4,Devex_Land,1)</f>
        <v>-0</v>
      </c>
      <c r="AO55" s="47" t="n">
        <f aca="false">-SUMIFS(Devex_Keur,Devex_Date,"&gt;="&amp;AO$3,Devex_Date,"&lt;="&amp;AO$4,Devex_Land,1)</f>
        <v>-0</v>
      </c>
      <c r="AP55" s="47" t="n">
        <f aca="false">-SUMIFS(Devex_Keur,Devex_Date,"&gt;="&amp;AP$3,Devex_Date,"&lt;="&amp;AP$4,Devex_Land,1)</f>
        <v>-0</v>
      </c>
      <c r="AQ55" s="47" t="n">
        <f aca="false">-SUMIFS(Devex_Keur,Devex_Date,"&gt;="&amp;AQ$3,Devex_Date,"&lt;="&amp;AQ$4,Devex_Land,1)</f>
        <v>-0</v>
      </c>
      <c r="AR55" s="47" t="n">
        <f aca="false">-SUMIFS(Devex_Keur,Devex_Date,"&gt;="&amp;AR$3,Devex_Date,"&lt;="&amp;AR$4,Devex_Land,1)</f>
        <v>-0</v>
      </c>
      <c r="AS55" s="47" t="n">
        <f aca="false">-SUMIFS(Devex_Keur,Devex_Date,"&gt;="&amp;AS$3,Devex_Date,"&lt;="&amp;AS$4,Devex_Land,1)</f>
        <v>-0</v>
      </c>
      <c r="AT55" s="47" t="n">
        <f aca="false">-SUMIFS(Devex_Keur,Devex_Date,"&gt;="&amp;AT$3,Devex_Date,"&lt;="&amp;AT$4,Devex_Land,1)</f>
        <v>-0</v>
      </c>
      <c r="AU55" s="47" t="n">
        <f aca="false">-SUMIFS(Devex_Keur,Devex_Date,"&gt;="&amp;AU$3,Devex_Date,"&lt;="&amp;AU$4,Devex_Land,1)</f>
        <v>-0</v>
      </c>
      <c r="AV55" s="47" t="n">
        <f aca="false">-SUMIFS(Devex_Keur,Devex_Date,"&gt;="&amp;AV$3,Devex_Date,"&lt;="&amp;AV$4,Devex_Land,1)</f>
        <v>-0</v>
      </c>
      <c r="AW55" s="47" t="n">
        <f aca="false">-SUMIFS(Devex_Keur,Devex_Date,"&gt;="&amp;AW$3,Devex_Date,"&lt;="&amp;AW$4,Devex_Land,1)</f>
        <v>-0</v>
      </c>
      <c r="AX55" s="47" t="n">
        <f aca="false">-SUMIFS(Devex_Keur,Devex_Date,"&gt;="&amp;AX$3,Devex_Date,"&lt;="&amp;AX$4,Devex_Land,1)</f>
        <v>-0</v>
      </c>
      <c r="AY55" s="47" t="n">
        <f aca="false">-SUMIFS(Devex_Keur,Devex_Date,"&gt;="&amp;AY$3,Devex_Date,"&lt;="&amp;AY$4,Devex_Land,1)</f>
        <v>-0</v>
      </c>
      <c r="AZ55" s="47" t="n">
        <f aca="false">-SUMIFS(Devex_Keur,Devex_Date,"&gt;="&amp;AZ$3,Devex_Date,"&lt;="&amp;AZ$4,Devex_Land,1)</f>
        <v>-0</v>
      </c>
      <c r="BA55" s="47" t="n">
        <f aca="false">-SUMIFS(Devex_Keur,Devex_Date,"&gt;="&amp;BA$3,Devex_Date,"&lt;="&amp;BA$4,Devex_Land,1)</f>
        <v>-0</v>
      </c>
      <c r="BB55" s="47" t="n">
        <f aca="false">-SUMIFS(Devex_Keur,Devex_Date,"&gt;="&amp;BB$3,Devex_Date,"&lt;="&amp;BB$4,Devex_Land,1)</f>
        <v>-0</v>
      </c>
      <c r="BC55" s="47" t="n">
        <f aca="false">-SUMIFS(Devex_Keur,Devex_Date,"&gt;="&amp;BC$3,Devex_Date,"&lt;="&amp;BC$4,Devex_Land,1)</f>
        <v>-0</v>
      </c>
      <c r="BD55" s="47" t="n">
        <f aca="false">-SUMIFS(Devex_Keur,Devex_Date,"&gt;="&amp;BD$3,Devex_Date,"&lt;="&amp;BD$4,Devex_Land,1)</f>
        <v>-0</v>
      </c>
      <c r="BE55" s="47" t="n">
        <f aca="false">-SUMIFS(Devex_Keur,Devex_Date,"&gt;="&amp;BE$3,Devex_Date,"&lt;="&amp;BE$4,Devex_Land,1)</f>
        <v>-0</v>
      </c>
      <c r="BF55" s="47" t="n">
        <f aca="false">-SUMIFS(Devex_Keur,Devex_Date,"&gt;="&amp;BF$3,Devex_Date,"&lt;="&amp;BF$4,Devex_Land,1)</f>
        <v>-0</v>
      </c>
      <c r="BG55" s="47" t="n">
        <f aca="false">-SUMIFS(Devex_Keur,Devex_Date,"&gt;="&amp;BG$3,Devex_Date,"&lt;="&amp;BG$4,Devex_Land,1)</f>
        <v>-0</v>
      </c>
      <c r="BH55" s="47" t="n">
        <f aca="false">-SUMIFS(Devex_Keur,Devex_Date,"&gt;="&amp;BH$3,Devex_Date,"&lt;="&amp;BH$4,Devex_Land,1)</f>
        <v>-0</v>
      </c>
      <c r="BI55" s="47" t="n">
        <f aca="false">-SUMIFS(Devex_Keur,Devex_Date,"&gt;="&amp;BI$3,Devex_Date,"&lt;="&amp;BI$4,Devex_Land,1)</f>
        <v>-0</v>
      </c>
      <c r="BJ55" s="47" t="n">
        <f aca="false">-SUMIFS(Devex_Keur,Devex_Date,"&gt;="&amp;BJ$3,Devex_Date,"&lt;="&amp;BJ$4,Devex_Land,1)</f>
        <v>-0</v>
      </c>
      <c r="BK55" s="47" t="n">
        <f aca="false">-SUMIFS(Devex_Keur,Devex_Date,"&gt;="&amp;BK$3,Devex_Date,"&lt;="&amp;BK$4,Devex_Land,1)</f>
        <v>-0</v>
      </c>
      <c r="BL55" s="47" t="n">
        <f aca="false">-SUMIFS(Devex_Keur,Devex_Date,"&gt;="&amp;BL$3,Devex_Date,"&lt;="&amp;BL$4,Devex_Land,1)</f>
        <v>-0</v>
      </c>
      <c r="BM55" s="47" t="n">
        <f aca="false">-SUMIFS(Devex_Keur,Devex_Date,"&gt;="&amp;BM$3,Devex_Date,"&lt;="&amp;BM$4,Devex_Land,1)</f>
        <v>-0</v>
      </c>
      <c r="BN55" s="47" t="n">
        <f aca="false">-SUMIFS(Devex_Keur,Devex_Date,"&gt;="&amp;BN$3,Devex_Date,"&lt;="&amp;BN$4,Devex_Land,1)</f>
        <v>-0</v>
      </c>
      <c r="BO55" s="47" t="n">
        <f aca="false">-SUMIFS(Devex_Keur,Devex_Date,"&gt;="&amp;BO$3,Devex_Date,"&lt;="&amp;BO$4,Devex_Land,1)</f>
        <v>-0</v>
      </c>
      <c r="BP55" s="47" t="n">
        <f aca="false">-SUMIFS(Devex_Keur,Devex_Date,"&gt;="&amp;BP$3,Devex_Date,"&lt;="&amp;BP$4,Devex_Land,1)</f>
        <v>-0</v>
      </c>
      <c r="BQ55" s="47" t="n">
        <f aca="false">-SUMIFS(Devex_Keur,Devex_Date,"&gt;="&amp;BQ$3,Devex_Date,"&lt;="&amp;BQ$4,Devex_Land,1)</f>
        <v>-0</v>
      </c>
      <c r="BR55" s="47" t="n">
        <f aca="false">-SUMIFS(Devex_Keur,Devex_Date,"&gt;="&amp;BR$3,Devex_Date,"&lt;="&amp;BR$4,Devex_Land,1)</f>
        <v>-0</v>
      </c>
      <c r="BS55" s="47" t="n">
        <f aca="false">-SUMIFS(Devex_Keur,Devex_Date,"&gt;="&amp;BS$3,Devex_Date,"&lt;="&amp;BS$4,Devex_Land,1)</f>
        <v>-0</v>
      </c>
      <c r="BT55" s="47" t="n">
        <f aca="false">-SUMIFS(Devex_Keur,Devex_Date,"&gt;="&amp;BT$3,Devex_Date,"&lt;="&amp;BT$4,Devex_Land,1)</f>
        <v>-0</v>
      </c>
      <c r="BU55" s="47" t="n">
        <f aca="false">-SUMIFS(Devex_Keur,Devex_Date,"&gt;="&amp;BU$3,Devex_Date,"&lt;="&amp;BU$4,Devex_Land,1)</f>
        <v>-0</v>
      </c>
      <c r="BV55" s="47" t="n">
        <f aca="false">-SUMIFS(Devex_Keur,Devex_Date,"&gt;="&amp;BV$3,Devex_Date,"&lt;="&amp;BV$4,Devex_Land,1)</f>
        <v>-0</v>
      </c>
      <c r="BW55" s="47" t="n">
        <f aca="false">-SUMIFS(Devex_Keur,Devex_Date,"&gt;="&amp;BW$3,Devex_Date,"&lt;="&amp;BW$4,Devex_Land,1)</f>
        <v>-0</v>
      </c>
      <c r="BX55" s="47" t="n">
        <f aca="false">-SUMIFS(Devex_Keur,Devex_Date,"&gt;="&amp;BX$3,Devex_Date,"&lt;="&amp;BX$4,Devex_Land,1)</f>
        <v>-0</v>
      </c>
      <c r="BY55" s="47" t="n">
        <f aca="false">-SUMIFS(Devex_Keur,Devex_Date,"&gt;="&amp;BY$3,Devex_Date,"&lt;="&amp;BY$4,Devex_Land,1)</f>
        <v>-0</v>
      </c>
      <c r="BZ55" s="47" t="n">
        <f aca="false">-SUMIFS(Devex_Keur,Devex_Date,"&gt;="&amp;BZ$3,Devex_Date,"&lt;="&amp;BZ$4,Devex_Land,1)</f>
        <v>-0</v>
      </c>
      <c r="CA55" s="47" t="n">
        <f aca="false">-SUMIFS(Devex_Keur,Devex_Date,"&gt;="&amp;CA$3,Devex_Date,"&lt;="&amp;CA$4,Devex_Land,1)</f>
        <v>-0</v>
      </c>
      <c r="CB55" s="47" t="n">
        <f aca="false">-SUMIFS(Devex_Keur,Devex_Date,"&gt;="&amp;CB$3,Devex_Date,"&lt;="&amp;CB$4,Devex_Land,1)</f>
        <v>-0</v>
      </c>
      <c r="CC55" s="47" t="n">
        <f aca="false">-SUMIFS(Devex_Keur,Devex_Date,"&gt;="&amp;CC$3,Devex_Date,"&lt;="&amp;CC$4,Devex_Land,1)</f>
        <v>-0</v>
      </c>
      <c r="CD55" s="47" t="n">
        <f aca="false">-SUMIFS(Devex_Keur,Devex_Date,"&gt;="&amp;CD$3,Devex_Date,"&lt;="&amp;CD$4,Devex_Land,1)</f>
        <v>-0</v>
      </c>
      <c r="CE55" s="47" t="n">
        <f aca="false">-SUMIFS(Devex_Keur,Devex_Date,"&gt;="&amp;CE$3,Devex_Date,"&lt;="&amp;CE$4,Devex_Land,1)</f>
        <v>-0</v>
      </c>
      <c r="CF55" s="47" t="n">
        <f aca="false">-SUMIFS(Devex_Keur,Devex_Date,"&gt;="&amp;CF$3,Devex_Date,"&lt;="&amp;CF$4,Devex_Land,1)</f>
        <v>-0</v>
      </c>
      <c r="CG55" s="47" t="n">
        <f aca="false">-SUMIFS(Devex_Keur,Devex_Date,"&gt;="&amp;CG$3,Devex_Date,"&lt;="&amp;CG$4,Devex_Land,1)</f>
        <v>-0</v>
      </c>
      <c r="CH55" s="47" t="n">
        <f aca="false">-SUMIFS(Devex_Keur,Devex_Date,"&gt;="&amp;CH$3,Devex_Date,"&lt;="&amp;CH$4,Devex_Land,1)</f>
        <v>-0</v>
      </c>
      <c r="CI55" s="47" t="n">
        <f aca="false">-SUMIFS(Devex_Keur,Devex_Date,"&gt;="&amp;CI$3,Devex_Date,"&lt;="&amp;CI$4,Devex_Land,1)</f>
        <v>-0</v>
      </c>
      <c r="CJ55" s="47" t="n">
        <f aca="false">-SUMIFS(Devex_Keur,Devex_Date,"&gt;="&amp;CJ$3,Devex_Date,"&lt;="&amp;CJ$4,Devex_Land,1)</f>
        <v>-0</v>
      </c>
      <c r="CK55" s="47" t="n">
        <f aca="false">-SUMIFS(Devex_Keur,Devex_Date,"&gt;="&amp;CK$3,Devex_Date,"&lt;="&amp;CK$4,Devex_Land,1)</f>
        <v>-0</v>
      </c>
      <c r="CL55" s="47" t="n">
        <f aca="false">-SUMIFS(Devex_Keur,Devex_Date,"&gt;="&amp;CL$3,Devex_Date,"&lt;="&amp;CL$4,Devex_Land,1)</f>
        <v>-0</v>
      </c>
      <c r="CM55" s="47" t="n">
        <f aca="false">-SUMIFS(Devex_Keur,Devex_Date,"&gt;="&amp;CM$3,Devex_Date,"&lt;="&amp;CM$4,Devex_Land,1)</f>
        <v>-0</v>
      </c>
      <c r="CN55" s="47" t="n">
        <f aca="false">-SUMIFS(Devex_Keur,Devex_Date,"&gt;="&amp;CN$3,Devex_Date,"&lt;="&amp;CN$4,Devex_Land,1)</f>
        <v>-0</v>
      </c>
      <c r="CO55" s="47" t="n">
        <f aca="false">-SUMIFS(Devex_Keur,Devex_Date,"&gt;="&amp;CO$3,Devex_Date,"&lt;="&amp;CO$4,Devex_Land,1)</f>
        <v>-0</v>
      </c>
      <c r="CP55" s="47" t="n">
        <f aca="false">-SUMIFS(Devex_Keur,Devex_Date,"&gt;="&amp;CP$3,Devex_Date,"&lt;="&amp;CP$4,Devex_Land,1)</f>
        <v>-0</v>
      </c>
      <c r="CQ55" s="47" t="n">
        <f aca="false">-SUMIFS(Devex_Keur,Devex_Date,"&gt;="&amp;CQ$3,Devex_Date,"&lt;="&amp;CQ$4,Devex_Land,1)</f>
        <v>-0</v>
      </c>
      <c r="CR55" s="47" t="n">
        <f aca="false">-SUMIFS(Devex_Keur,Devex_Date,"&gt;="&amp;CR$3,Devex_Date,"&lt;="&amp;CR$4,Devex_Land,1)</f>
        <v>-0</v>
      </c>
      <c r="CS55" s="47" t="n">
        <f aca="false">-SUMIFS(Devex_Keur,Devex_Date,"&gt;="&amp;CS$3,Devex_Date,"&lt;="&amp;CS$4,Devex_Land,1)</f>
        <v>-0</v>
      </c>
      <c r="CT55" s="47" t="n">
        <f aca="false">-SUMIFS(Devex_Keur,Devex_Date,"&gt;="&amp;CT$3,Devex_Date,"&lt;="&amp;CT$4,Devex_Land,1)</f>
        <v>-0</v>
      </c>
      <c r="CU55" s="47" t="n">
        <f aca="false">-SUMIFS(Devex_Keur,Devex_Date,"&gt;="&amp;CU$3,Devex_Date,"&lt;="&amp;CU$4,Devex_Land,1)</f>
        <v>-0</v>
      </c>
      <c r="CV55" s="47" t="n">
        <f aca="false">-SUMIFS(Devex_Keur,Devex_Date,"&gt;="&amp;CV$3,Devex_Date,"&lt;="&amp;CV$4,Devex_Land,1)</f>
        <v>-0</v>
      </c>
      <c r="CW55" s="47" t="n">
        <f aca="false">-SUMIFS(Devex_Keur,Devex_Date,"&gt;="&amp;CW$3,Devex_Date,"&lt;="&amp;CW$4,Devex_Land,1)</f>
        <v>-0</v>
      </c>
      <c r="CX55" s="47" t="n">
        <f aca="false">-SUMIFS(Devex_Keur,Devex_Date,"&gt;="&amp;CX$3,Devex_Date,"&lt;="&amp;CX$4,Devex_Land,1)</f>
        <v>-0</v>
      </c>
      <c r="CY55" s="47" t="n">
        <f aca="false">-SUMIFS(Devex_Keur,Devex_Date,"&gt;="&amp;CY$3,Devex_Date,"&lt;="&amp;CY$4,Devex_Land,1)</f>
        <v>-0</v>
      </c>
      <c r="CZ55" s="47" t="n">
        <f aca="false">-SUMIFS(Devex_Keur,Devex_Date,"&gt;="&amp;CZ$3,Devex_Date,"&lt;="&amp;CZ$4,Devex_Land,1)</f>
        <v>-0</v>
      </c>
      <c r="DA55" s="47" t="n">
        <f aca="false">-SUMIFS(Devex_Keur,Devex_Date,"&gt;="&amp;DA$3,Devex_Date,"&lt;="&amp;DA$4,Devex_Land,1)</f>
        <v>-0</v>
      </c>
      <c r="DB55" s="47" t="n">
        <f aca="false">-SUMIFS(Devex_Keur,Devex_Date,"&gt;="&amp;DB$3,Devex_Date,"&lt;="&amp;DB$4,Devex_Land,1)</f>
        <v>-0</v>
      </c>
      <c r="DC55" s="47" t="n">
        <f aca="false">-SUMIFS(Devex_Keur,Devex_Date,"&gt;="&amp;DC$3,Devex_Date,"&lt;="&amp;DC$4,Devex_Land,1)</f>
        <v>-0</v>
      </c>
      <c r="DD55" s="47" t="n">
        <f aca="false">-SUMIFS(Devex_Keur,Devex_Date,"&gt;="&amp;DD$3,Devex_Date,"&lt;="&amp;DD$4,Devex_Land,1)</f>
        <v>-0</v>
      </c>
      <c r="DE55" s="47" t="n">
        <f aca="false">-SUMIFS(Devex_Keur,Devex_Date,"&gt;="&amp;DE$3,Devex_Date,"&lt;="&amp;DE$4,Devex_Land,1)</f>
        <v>-0</v>
      </c>
      <c r="DF55" s="47" t="n">
        <f aca="false">-SUMIFS(Devex_Keur,Devex_Date,"&gt;="&amp;DF$3,Devex_Date,"&lt;="&amp;DF$4,Devex_Land,1)</f>
        <v>-0</v>
      </c>
      <c r="DG55" s="47" t="n">
        <f aca="false">-SUMIFS(Devex_Keur,Devex_Date,"&gt;="&amp;DG$3,Devex_Date,"&lt;="&amp;DG$4,Devex_Land,1)</f>
        <v>-0</v>
      </c>
      <c r="DH55" s="47" t="n">
        <f aca="false">-SUMIFS(Devex_Keur,Devex_Date,"&gt;="&amp;DH$3,Devex_Date,"&lt;="&amp;DH$4,Devex_Land,1)</f>
        <v>-0</v>
      </c>
      <c r="DI55" s="47" t="n">
        <f aca="false">-SUMIFS(Devex_Keur,Devex_Date,"&gt;="&amp;DI$3,Devex_Date,"&lt;="&amp;DI$4,Devex_Land,1)</f>
        <v>-0</v>
      </c>
      <c r="DJ55" s="47" t="n">
        <f aca="false">-SUMIFS(Devex_Keur,Devex_Date,"&gt;="&amp;DJ$3,Devex_Date,"&lt;="&amp;DJ$4,Devex_Land,1)</f>
        <v>-0</v>
      </c>
      <c r="DK55" s="47" t="n">
        <f aca="false">-SUMIFS(Devex_Keur,Devex_Date,"&gt;="&amp;DK$3,Devex_Date,"&lt;="&amp;DK$4,Devex_Land,1)</f>
        <v>-0</v>
      </c>
      <c r="DL55" s="47" t="n">
        <f aca="false">-SUMIFS(Devex_Keur,Devex_Date,"&gt;="&amp;DL$3,Devex_Date,"&lt;="&amp;DL$4,Devex_Land,1)</f>
        <v>-0</v>
      </c>
      <c r="DM55" s="47" t="n">
        <f aca="false">-SUMIFS(Devex_Keur,Devex_Date,"&gt;="&amp;DM$3,Devex_Date,"&lt;="&amp;DM$4,Devex_Land,1)</f>
        <v>-0</v>
      </c>
      <c r="DN55" s="47" t="n">
        <f aca="false">-SUMIFS(Devex_Keur,Devex_Date,"&gt;="&amp;DN$3,Devex_Date,"&lt;="&amp;DN$4,Devex_Land,1)</f>
        <v>-0</v>
      </c>
      <c r="DO55" s="47" t="n">
        <f aca="false">-SUMIFS(Devex_Keur,Devex_Date,"&gt;="&amp;DO$3,Devex_Date,"&lt;="&amp;DO$4,Devex_Land,1)</f>
        <v>-0</v>
      </c>
      <c r="DP55" s="47" t="n">
        <f aca="false">-SUMIFS(Devex_Keur,Devex_Date,"&gt;="&amp;DP$3,Devex_Date,"&lt;="&amp;DP$4,Devex_Land,1)</f>
        <v>-0</v>
      </c>
      <c r="DQ55" s="47" t="n">
        <f aca="false">-SUMIFS(Devex_Keur,Devex_Date,"&gt;="&amp;DQ$3,Devex_Date,"&lt;="&amp;DQ$4,Devex_Land,1)</f>
        <v>-0</v>
      </c>
      <c r="DR55" s="47" t="n">
        <f aca="false">-SUMIFS(Devex_Keur,Devex_Date,"&gt;="&amp;DR$3,Devex_Date,"&lt;="&amp;DR$4,Devex_Land,1)</f>
        <v>-0</v>
      </c>
      <c r="DS55" s="47" t="n">
        <f aca="false">-SUMIFS(Devex_Keur,Devex_Date,"&gt;="&amp;DS$3,Devex_Date,"&lt;="&amp;DS$4,Devex_Land,1)</f>
        <v>-0</v>
      </c>
      <c r="DT55" s="47" t="n">
        <f aca="false">-SUMIFS(Devex_Keur,Devex_Date,"&gt;="&amp;DT$3,Devex_Date,"&lt;="&amp;DT$4,Devex_Land,1)</f>
        <v>-0</v>
      </c>
      <c r="DU55" s="47" t="n">
        <f aca="false">-SUMIFS(Devex_Keur,Devex_Date,"&gt;="&amp;DU$3,Devex_Date,"&lt;="&amp;DU$4,Devex_Land,1)</f>
        <v>-0</v>
      </c>
      <c r="DV55" s="47" t="n">
        <f aca="false">-SUMIFS(Devex_Keur,Devex_Date,"&gt;="&amp;DV$3,Devex_Date,"&lt;="&amp;DV$4,Devex_Land,1)</f>
        <v>-0</v>
      </c>
      <c r="DW55" s="47" t="n">
        <f aca="false">-SUMIFS(Devex_Keur,Devex_Date,"&gt;="&amp;DW$3,Devex_Date,"&lt;="&amp;DW$4,Devex_Land,1)</f>
        <v>-0</v>
      </c>
      <c r="DX55" s="47" t="n">
        <f aca="false">-SUMIFS(Devex_Keur,Devex_Date,"&gt;="&amp;DX$3,Devex_Date,"&lt;="&amp;DX$4,Devex_Land,1)</f>
        <v>-0</v>
      </c>
      <c r="DY55" s="47" t="n">
        <f aca="false">-SUMIFS(Devex_Keur,Devex_Date,"&gt;="&amp;DY$3,Devex_Date,"&lt;="&amp;DY$4,Devex_Land,1)</f>
        <v>-0</v>
      </c>
      <c r="DZ55" s="47" t="n">
        <f aca="false">-SUMIFS(Devex_Keur,Devex_Date,"&gt;="&amp;DZ$3,Devex_Date,"&lt;="&amp;DZ$4,Devex_Land,1)</f>
        <v>-0</v>
      </c>
      <c r="EA55" s="47" t="n">
        <f aca="false">-SUMIFS(Devex_Keur,Devex_Date,"&gt;="&amp;EA$3,Devex_Date,"&lt;="&amp;EA$4,Devex_Land,1)</f>
        <v>-0</v>
      </c>
      <c r="EB55" s="47" t="n">
        <f aca="false">-SUMIFS(Devex_Keur,Devex_Date,"&gt;="&amp;EB$3,Devex_Date,"&lt;="&amp;EB$4,Devex_Land,1)</f>
        <v>-0</v>
      </c>
      <c r="EC55" s="47" t="n">
        <f aca="false">-SUMIFS(Devex_Keur,Devex_Date,"&gt;="&amp;EC$3,Devex_Date,"&lt;="&amp;EC$4,Devex_Land,1)</f>
        <v>-0</v>
      </c>
      <c r="ED55" s="47" t="n">
        <f aca="false">-SUMIFS(Devex_Keur,Devex_Date,"&gt;="&amp;ED$3,Devex_Date,"&lt;="&amp;ED$4,Devex_Land,1)</f>
        <v>-0</v>
      </c>
      <c r="EE55" s="47" t="n">
        <f aca="false">-SUMIFS(Devex_Keur,Devex_Date,"&gt;="&amp;EE$3,Devex_Date,"&lt;="&amp;EE$4,Devex_Land,1)</f>
        <v>-0</v>
      </c>
      <c r="EF55" s="47" t="n">
        <f aca="false">-SUMIFS(Devex_Keur,Devex_Date,"&gt;="&amp;EF$3,Devex_Date,"&lt;="&amp;EF$4,Devex_Land,1)</f>
        <v>-0</v>
      </c>
      <c r="EG55" s="47" t="n">
        <f aca="false">-SUMIFS(Devex_Keur,Devex_Date,"&gt;="&amp;EG$3,Devex_Date,"&lt;="&amp;EG$4,Devex_Land,1)</f>
        <v>-0</v>
      </c>
      <c r="EH55" s="47" t="n">
        <f aca="false">-SUMIFS(Devex_Keur,Devex_Date,"&gt;="&amp;EH$3,Devex_Date,"&lt;="&amp;EH$4,Devex_Land,1)</f>
        <v>-0</v>
      </c>
      <c r="EI55" s="47" t="n">
        <f aca="false">-SUMIFS(Devex_Keur,Devex_Date,"&gt;="&amp;EI$3,Devex_Date,"&lt;="&amp;EI$4,Devex_Land,1)</f>
        <v>-0</v>
      </c>
      <c r="EJ55" s="47" t="n">
        <f aca="false">-SUMIFS(Devex_Keur,Devex_Date,"&gt;="&amp;EJ$3,Devex_Date,"&lt;="&amp;EJ$4,Devex_Land,1)</f>
        <v>-0</v>
      </c>
      <c r="EK55" s="47" t="n">
        <f aca="false">-SUMIFS(Devex_Keur,Devex_Date,"&gt;="&amp;EK$3,Devex_Date,"&lt;="&amp;EK$4,Devex_Land,1)</f>
        <v>-0</v>
      </c>
      <c r="EL55" s="47" t="n">
        <f aca="false">-SUMIFS(Devex_Keur,Devex_Date,"&gt;="&amp;EL$3,Devex_Date,"&lt;="&amp;EL$4,Devex_Land,1)</f>
        <v>-0</v>
      </c>
      <c r="EM55" s="47" t="n">
        <f aca="false">-SUMIFS(Devex_Keur,Devex_Date,"&gt;="&amp;EM$3,Devex_Date,"&lt;="&amp;EM$4,Devex_Land,1)</f>
        <v>-0</v>
      </c>
      <c r="EN55" s="47" t="n">
        <f aca="false">-SUMIFS(Devex_Keur,Devex_Date,"&gt;="&amp;EN$3,Devex_Date,"&lt;="&amp;EN$4,Devex_Land,1)</f>
        <v>-0</v>
      </c>
      <c r="EO55" s="47" t="n">
        <f aca="false">-SUMIFS(Devex_Keur,Devex_Date,"&gt;="&amp;EO$3,Devex_Date,"&lt;="&amp;EO$4,Devex_Land,1)</f>
        <v>-0</v>
      </c>
      <c r="EP55" s="47" t="n">
        <f aca="false">-SUMIFS(Devex_Keur,Devex_Date,"&gt;="&amp;EP$3,Devex_Date,"&lt;="&amp;EP$4,Devex_Land,1)</f>
        <v>-0</v>
      </c>
      <c r="EQ55" s="47" t="n">
        <f aca="false">-SUMIFS(Devex_Keur,Devex_Date,"&gt;="&amp;EQ$3,Devex_Date,"&lt;="&amp;EQ$4,Devex_Land,1)</f>
        <v>-0</v>
      </c>
      <c r="ER55" s="47" t="n">
        <f aca="false">-SUMIFS(Devex_Keur,Devex_Date,"&gt;="&amp;ER$3,Devex_Date,"&lt;="&amp;ER$4,Devex_Land,1)</f>
        <v>-0</v>
      </c>
      <c r="ES55" s="47" t="n">
        <f aca="false">-SUMIFS(Devex_Keur,Devex_Date,"&gt;="&amp;ES$3,Devex_Date,"&lt;="&amp;ES$4,Devex_Land,1)</f>
        <v>-0</v>
      </c>
      <c r="ET55" s="47" t="n">
        <f aca="false">-SUMIFS(Devex_Keur,Devex_Date,"&gt;="&amp;ET$3,Devex_Date,"&lt;="&amp;ET$4,Devex_Land,1)</f>
        <v>-0</v>
      </c>
    </row>
    <row r="56" customFormat="false" ht="15" hidden="false" customHeight="false" outlineLevel="0" collapsed="false">
      <c r="C56" s="1" t="s">
        <v>485</v>
      </c>
      <c r="D56" s="12" t="s">
        <v>222</v>
      </c>
      <c r="E56" s="47" t="n">
        <f aca="false">In_Devex_Contingency*(SUM(Devex_Keur)+$E47)</f>
        <v>284.349426368465</v>
      </c>
      <c r="F56" s="28" t="n">
        <f aca="false">In_Contingency_Date</f>
        <v>47118</v>
      </c>
      <c r="I56" s="47" t="n">
        <f aca="false">SUM(J56:ET56)</f>
        <v>-284.349426368465</v>
      </c>
      <c r="J56" s="47" t="n">
        <f aca="false">-$E56*N(AND(J$3&lt;=$F56,J$4&gt;=$F56))</f>
        <v>-0</v>
      </c>
      <c r="K56" s="47" t="n">
        <f aca="false">-$E56*N(AND(K$3&lt;=$F56,K$4&gt;=$F56))</f>
        <v>-0</v>
      </c>
      <c r="L56" s="47" t="n">
        <f aca="false">-$E56*N(AND(L$3&lt;=$F56,L$4&gt;=$F56))</f>
        <v>-0</v>
      </c>
      <c r="M56" s="47" t="n">
        <f aca="false">-$E56*N(AND(M$3&lt;=$F56,M$4&gt;=$F56))</f>
        <v>-0</v>
      </c>
      <c r="N56" s="47" t="n">
        <f aca="false">-$E56*N(AND(N$3&lt;=$F56,N$4&gt;=$F56))</f>
        <v>-0</v>
      </c>
      <c r="O56" s="47" t="n">
        <f aca="false">-$E56*N(AND(O$3&lt;=$F56,O$4&gt;=$F56))</f>
        <v>-0</v>
      </c>
      <c r="P56" s="47" t="n">
        <f aca="false">-$E56*N(AND(P$3&lt;=$F56,P$4&gt;=$F56))</f>
        <v>-0</v>
      </c>
      <c r="Q56" s="47" t="n">
        <f aca="false">-$E56*N(AND(Q$3&lt;=$F56,Q$4&gt;=$F56))</f>
        <v>-0</v>
      </c>
      <c r="R56" s="47" t="n">
        <f aca="false">-$E56*N(AND(R$3&lt;=$F56,R$4&gt;=$F56))</f>
        <v>-0</v>
      </c>
      <c r="S56" s="47" t="n">
        <f aca="false">-$E56*N(AND(S$3&lt;=$F56,S$4&gt;=$F56))</f>
        <v>-284.349426368465</v>
      </c>
      <c r="T56" s="47" t="n">
        <f aca="false">-$E56*N(AND(T$3&lt;=$F56,T$4&gt;=$F56))</f>
        <v>-0</v>
      </c>
      <c r="U56" s="47" t="n">
        <f aca="false">-$E56*N(AND(U$3&lt;=$F56,U$4&gt;=$F56))</f>
        <v>-0</v>
      </c>
      <c r="V56" s="47" t="n">
        <f aca="false">-$E56*N(AND(V$3&lt;=$F56,V$4&gt;=$F56))</f>
        <v>-0</v>
      </c>
      <c r="W56" s="47" t="n">
        <f aca="false">-$E56*N(AND(W$3&lt;=$F56,W$4&gt;=$F56))</f>
        <v>-0</v>
      </c>
      <c r="X56" s="47" t="n">
        <f aca="false">-$E56*N(AND(X$3&lt;=$F56,X$4&gt;=$F56))</f>
        <v>-0</v>
      </c>
      <c r="Y56" s="47" t="n">
        <f aca="false">-$E56*N(AND(Y$3&lt;=$F56,Y$4&gt;=$F56))</f>
        <v>-0</v>
      </c>
      <c r="Z56" s="47" t="n">
        <f aca="false">-$E56*N(AND(Z$3&lt;=$F56,Z$4&gt;=$F56))</f>
        <v>-0</v>
      </c>
      <c r="AA56" s="47" t="n">
        <f aca="false">-$E56*N(AND(AA$3&lt;=$F56,AA$4&gt;=$F56))</f>
        <v>-0</v>
      </c>
      <c r="AB56" s="47" t="n">
        <f aca="false">-$E56*N(AND(AB$3&lt;=$F56,AB$4&gt;=$F56))</f>
        <v>-0</v>
      </c>
      <c r="AC56" s="47" t="n">
        <f aca="false">-$E56*N(AND(AC$3&lt;=$F56,AC$4&gt;=$F56))</f>
        <v>-0</v>
      </c>
      <c r="AD56" s="47" t="n">
        <f aca="false">-$E56*N(AND(AD$3&lt;=$F56,AD$4&gt;=$F56))</f>
        <v>-0</v>
      </c>
      <c r="AE56" s="47" t="n">
        <f aca="false">-$E56*N(AND(AE$3&lt;=$F56,AE$4&gt;=$F56))</f>
        <v>-0</v>
      </c>
      <c r="AF56" s="47" t="n">
        <f aca="false">-$E56*N(AND(AF$3&lt;=$F56,AF$4&gt;=$F56))</f>
        <v>-0</v>
      </c>
      <c r="AG56" s="47" t="n">
        <f aca="false">-$E56*N(AND(AG$3&lt;=$F56,AG$4&gt;=$F56))</f>
        <v>-0</v>
      </c>
      <c r="AH56" s="47" t="n">
        <f aca="false">-$E56*N(AND(AH$3&lt;=$F56,AH$4&gt;=$F56))</f>
        <v>-0</v>
      </c>
      <c r="AI56" s="47" t="n">
        <f aca="false">-$E56*N(AND(AI$3&lt;=$F56,AI$4&gt;=$F56))</f>
        <v>-0</v>
      </c>
      <c r="AJ56" s="47" t="n">
        <f aca="false">-$E56*N(AND(AJ$3&lt;=$F56,AJ$4&gt;=$F56))</f>
        <v>-0</v>
      </c>
      <c r="AK56" s="47" t="n">
        <f aca="false">-$E56*N(AND(AK$3&lt;=$F56,AK$4&gt;=$F56))</f>
        <v>-0</v>
      </c>
      <c r="AL56" s="47" t="n">
        <f aca="false">-$E56*N(AND(AL$3&lt;=$F56,AL$4&gt;=$F56))</f>
        <v>-0</v>
      </c>
      <c r="AM56" s="47" t="n">
        <f aca="false">-$E56*N(AND(AM$3&lt;=$F56,AM$4&gt;=$F56))</f>
        <v>-0</v>
      </c>
      <c r="AN56" s="47" t="n">
        <f aca="false">-$E56*N(AND(AN$3&lt;=$F56,AN$4&gt;=$F56))</f>
        <v>-0</v>
      </c>
      <c r="AO56" s="47" t="n">
        <f aca="false">-$E56*N(AND(AO$3&lt;=$F56,AO$4&gt;=$F56))</f>
        <v>-0</v>
      </c>
      <c r="AP56" s="47" t="n">
        <f aca="false">-$E56*N(AND(AP$3&lt;=$F56,AP$4&gt;=$F56))</f>
        <v>-0</v>
      </c>
      <c r="AQ56" s="47" t="n">
        <f aca="false">-$E56*N(AND(AQ$3&lt;=$F56,AQ$4&gt;=$F56))</f>
        <v>-0</v>
      </c>
      <c r="AR56" s="47" t="n">
        <f aca="false">-$E56*N(AND(AR$3&lt;=$F56,AR$4&gt;=$F56))</f>
        <v>-0</v>
      </c>
      <c r="AS56" s="47" t="n">
        <f aca="false">-$E56*N(AND(AS$3&lt;=$F56,AS$4&gt;=$F56))</f>
        <v>-0</v>
      </c>
      <c r="AT56" s="47" t="n">
        <f aca="false">-$E56*N(AND(AT$3&lt;=$F56,AT$4&gt;=$F56))</f>
        <v>-0</v>
      </c>
      <c r="AU56" s="47" t="n">
        <f aca="false">-$E56*N(AND(AU$3&lt;=$F56,AU$4&gt;=$F56))</f>
        <v>-0</v>
      </c>
      <c r="AV56" s="47" t="n">
        <f aca="false">-$E56*N(AND(AV$3&lt;=$F56,AV$4&gt;=$F56))</f>
        <v>-0</v>
      </c>
      <c r="AW56" s="47" t="n">
        <f aca="false">-$E56*N(AND(AW$3&lt;=$F56,AW$4&gt;=$F56))</f>
        <v>-0</v>
      </c>
      <c r="AX56" s="47" t="n">
        <f aca="false">-$E56*N(AND(AX$3&lt;=$F56,AX$4&gt;=$F56))</f>
        <v>-0</v>
      </c>
      <c r="AY56" s="47" t="n">
        <f aca="false">-$E56*N(AND(AY$3&lt;=$F56,AY$4&gt;=$F56))</f>
        <v>-0</v>
      </c>
      <c r="AZ56" s="47" t="n">
        <f aca="false">-$E56*N(AND(AZ$3&lt;=$F56,AZ$4&gt;=$F56))</f>
        <v>-0</v>
      </c>
      <c r="BA56" s="47" t="n">
        <f aca="false">-$E56*N(AND(BA$3&lt;=$F56,BA$4&gt;=$F56))</f>
        <v>-0</v>
      </c>
      <c r="BB56" s="47" t="n">
        <f aca="false">-$E56*N(AND(BB$3&lt;=$F56,BB$4&gt;=$F56))</f>
        <v>-0</v>
      </c>
      <c r="BC56" s="47" t="n">
        <f aca="false">-$E56*N(AND(BC$3&lt;=$F56,BC$4&gt;=$F56))</f>
        <v>-0</v>
      </c>
      <c r="BD56" s="47" t="n">
        <f aca="false">-$E56*N(AND(BD$3&lt;=$F56,BD$4&gt;=$F56))</f>
        <v>-0</v>
      </c>
      <c r="BE56" s="47" t="n">
        <f aca="false">-$E56*N(AND(BE$3&lt;=$F56,BE$4&gt;=$F56))</f>
        <v>-0</v>
      </c>
      <c r="BF56" s="47" t="n">
        <f aca="false">-$E56*N(AND(BF$3&lt;=$F56,BF$4&gt;=$F56))</f>
        <v>-0</v>
      </c>
      <c r="BG56" s="47" t="n">
        <f aca="false">-$E56*N(AND(BG$3&lt;=$F56,BG$4&gt;=$F56))</f>
        <v>-0</v>
      </c>
      <c r="BH56" s="47" t="n">
        <f aca="false">-$E56*N(AND(BH$3&lt;=$F56,BH$4&gt;=$F56))</f>
        <v>-0</v>
      </c>
      <c r="BI56" s="47" t="n">
        <f aca="false">-$E56*N(AND(BI$3&lt;=$F56,BI$4&gt;=$F56))</f>
        <v>-0</v>
      </c>
      <c r="BJ56" s="47" t="n">
        <f aca="false">-$E56*N(AND(BJ$3&lt;=$F56,BJ$4&gt;=$F56))</f>
        <v>-0</v>
      </c>
      <c r="BK56" s="47" t="n">
        <f aca="false">-$E56*N(AND(BK$3&lt;=$F56,BK$4&gt;=$F56))</f>
        <v>-0</v>
      </c>
      <c r="BL56" s="47" t="n">
        <f aca="false">-$E56*N(AND(BL$3&lt;=$F56,BL$4&gt;=$F56))</f>
        <v>-0</v>
      </c>
      <c r="BM56" s="47" t="n">
        <f aca="false">-$E56*N(AND(BM$3&lt;=$F56,BM$4&gt;=$F56))</f>
        <v>-0</v>
      </c>
      <c r="BN56" s="47" t="n">
        <f aca="false">-$E56*N(AND(BN$3&lt;=$F56,BN$4&gt;=$F56))</f>
        <v>-0</v>
      </c>
      <c r="BO56" s="47" t="n">
        <f aca="false">-$E56*N(AND(BO$3&lt;=$F56,BO$4&gt;=$F56))</f>
        <v>-0</v>
      </c>
      <c r="BP56" s="47" t="n">
        <f aca="false">-$E56*N(AND(BP$3&lt;=$F56,BP$4&gt;=$F56))</f>
        <v>-0</v>
      </c>
      <c r="BQ56" s="47" t="n">
        <f aca="false">-$E56*N(AND(BQ$3&lt;=$F56,BQ$4&gt;=$F56))</f>
        <v>-0</v>
      </c>
      <c r="BR56" s="47" t="n">
        <f aca="false">-$E56*N(AND(BR$3&lt;=$F56,BR$4&gt;=$F56))</f>
        <v>-0</v>
      </c>
      <c r="BS56" s="47" t="n">
        <f aca="false">-$E56*N(AND(BS$3&lt;=$F56,BS$4&gt;=$F56))</f>
        <v>-0</v>
      </c>
      <c r="BT56" s="47" t="n">
        <f aca="false">-$E56*N(AND(BT$3&lt;=$F56,BT$4&gt;=$F56))</f>
        <v>-0</v>
      </c>
      <c r="BU56" s="47" t="n">
        <f aca="false">-$E56*N(AND(BU$3&lt;=$F56,BU$4&gt;=$F56))</f>
        <v>-0</v>
      </c>
      <c r="BV56" s="47" t="n">
        <f aca="false">-$E56*N(AND(BV$3&lt;=$F56,BV$4&gt;=$F56))</f>
        <v>-0</v>
      </c>
      <c r="BW56" s="47" t="n">
        <f aca="false">-$E56*N(AND(BW$3&lt;=$F56,BW$4&gt;=$F56))</f>
        <v>-0</v>
      </c>
      <c r="BX56" s="47" t="n">
        <f aca="false">-$E56*N(AND(BX$3&lt;=$F56,BX$4&gt;=$F56))</f>
        <v>-0</v>
      </c>
      <c r="BY56" s="47" t="n">
        <f aca="false">-$E56*N(AND(BY$3&lt;=$F56,BY$4&gt;=$F56))</f>
        <v>-0</v>
      </c>
      <c r="BZ56" s="47" t="n">
        <f aca="false">-$E56*N(AND(BZ$3&lt;=$F56,BZ$4&gt;=$F56))</f>
        <v>-0</v>
      </c>
      <c r="CA56" s="47" t="n">
        <f aca="false">-$E56*N(AND(CA$3&lt;=$F56,CA$4&gt;=$F56))</f>
        <v>-0</v>
      </c>
      <c r="CB56" s="47" t="n">
        <f aca="false">-$E56*N(AND(CB$3&lt;=$F56,CB$4&gt;=$F56))</f>
        <v>-0</v>
      </c>
      <c r="CC56" s="47" t="n">
        <f aca="false">-$E56*N(AND(CC$3&lt;=$F56,CC$4&gt;=$F56))</f>
        <v>-0</v>
      </c>
      <c r="CD56" s="47" t="n">
        <f aca="false">-$E56*N(AND(CD$3&lt;=$F56,CD$4&gt;=$F56))</f>
        <v>-0</v>
      </c>
      <c r="CE56" s="47" t="n">
        <f aca="false">-$E56*N(AND(CE$3&lt;=$F56,CE$4&gt;=$F56))</f>
        <v>-0</v>
      </c>
      <c r="CF56" s="47" t="n">
        <f aca="false">-$E56*N(AND(CF$3&lt;=$F56,CF$4&gt;=$F56))</f>
        <v>-0</v>
      </c>
      <c r="CG56" s="47" t="n">
        <f aca="false">-$E56*N(AND(CG$3&lt;=$F56,CG$4&gt;=$F56))</f>
        <v>-0</v>
      </c>
      <c r="CH56" s="47" t="n">
        <f aca="false">-$E56*N(AND(CH$3&lt;=$F56,CH$4&gt;=$F56))</f>
        <v>-0</v>
      </c>
      <c r="CI56" s="47" t="n">
        <f aca="false">-$E56*N(AND(CI$3&lt;=$F56,CI$4&gt;=$F56))</f>
        <v>-0</v>
      </c>
      <c r="CJ56" s="47" t="n">
        <f aca="false">-$E56*N(AND(CJ$3&lt;=$F56,CJ$4&gt;=$F56))</f>
        <v>-0</v>
      </c>
      <c r="CK56" s="47" t="n">
        <f aca="false">-$E56*N(AND(CK$3&lt;=$F56,CK$4&gt;=$F56))</f>
        <v>-0</v>
      </c>
      <c r="CL56" s="47" t="n">
        <f aca="false">-$E56*N(AND(CL$3&lt;=$F56,CL$4&gt;=$F56))</f>
        <v>-0</v>
      </c>
      <c r="CM56" s="47" t="n">
        <f aca="false">-$E56*N(AND(CM$3&lt;=$F56,CM$4&gt;=$F56))</f>
        <v>-0</v>
      </c>
      <c r="CN56" s="47" t="n">
        <f aca="false">-$E56*N(AND(CN$3&lt;=$F56,CN$4&gt;=$F56))</f>
        <v>-0</v>
      </c>
      <c r="CO56" s="47" t="n">
        <f aca="false">-$E56*N(AND(CO$3&lt;=$F56,CO$4&gt;=$F56))</f>
        <v>-0</v>
      </c>
      <c r="CP56" s="47" t="n">
        <f aca="false">-$E56*N(AND(CP$3&lt;=$F56,CP$4&gt;=$F56))</f>
        <v>-0</v>
      </c>
      <c r="CQ56" s="47" t="n">
        <f aca="false">-$E56*N(AND(CQ$3&lt;=$F56,CQ$4&gt;=$F56))</f>
        <v>-0</v>
      </c>
      <c r="CR56" s="47" t="n">
        <f aca="false">-$E56*N(AND(CR$3&lt;=$F56,CR$4&gt;=$F56))</f>
        <v>-0</v>
      </c>
      <c r="CS56" s="47" t="n">
        <f aca="false">-$E56*N(AND(CS$3&lt;=$F56,CS$4&gt;=$F56))</f>
        <v>-0</v>
      </c>
      <c r="CT56" s="47" t="n">
        <f aca="false">-$E56*N(AND(CT$3&lt;=$F56,CT$4&gt;=$F56))</f>
        <v>-0</v>
      </c>
      <c r="CU56" s="47" t="n">
        <f aca="false">-$E56*N(AND(CU$3&lt;=$F56,CU$4&gt;=$F56))</f>
        <v>-0</v>
      </c>
      <c r="CV56" s="47" t="n">
        <f aca="false">-$E56*N(AND(CV$3&lt;=$F56,CV$4&gt;=$F56))</f>
        <v>-0</v>
      </c>
      <c r="CW56" s="47" t="n">
        <f aca="false">-$E56*N(AND(CW$3&lt;=$F56,CW$4&gt;=$F56))</f>
        <v>-0</v>
      </c>
      <c r="CX56" s="47" t="n">
        <f aca="false">-$E56*N(AND(CX$3&lt;=$F56,CX$4&gt;=$F56))</f>
        <v>-0</v>
      </c>
      <c r="CY56" s="47" t="n">
        <f aca="false">-$E56*N(AND(CY$3&lt;=$F56,CY$4&gt;=$F56))</f>
        <v>-0</v>
      </c>
      <c r="CZ56" s="47" t="n">
        <f aca="false">-$E56*N(AND(CZ$3&lt;=$F56,CZ$4&gt;=$F56))</f>
        <v>-0</v>
      </c>
      <c r="DA56" s="47" t="n">
        <f aca="false">-$E56*N(AND(DA$3&lt;=$F56,DA$4&gt;=$F56))</f>
        <v>-0</v>
      </c>
      <c r="DB56" s="47" t="n">
        <f aca="false">-$E56*N(AND(DB$3&lt;=$F56,DB$4&gt;=$F56))</f>
        <v>-0</v>
      </c>
      <c r="DC56" s="47" t="n">
        <f aca="false">-$E56*N(AND(DC$3&lt;=$F56,DC$4&gt;=$F56))</f>
        <v>-0</v>
      </c>
      <c r="DD56" s="47" t="n">
        <f aca="false">-$E56*N(AND(DD$3&lt;=$F56,DD$4&gt;=$F56))</f>
        <v>-0</v>
      </c>
      <c r="DE56" s="47" t="n">
        <f aca="false">-$E56*N(AND(DE$3&lt;=$F56,DE$4&gt;=$F56))</f>
        <v>-0</v>
      </c>
      <c r="DF56" s="47" t="n">
        <f aca="false">-$E56*N(AND(DF$3&lt;=$F56,DF$4&gt;=$F56))</f>
        <v>-0</v>
      </c>
      <c r="DG56" s="47" t="n">
        <f aca="false">-$E56*N(AND(DG$3&lt;=$F56,DG$4&gt;=$F56))</f>
        <v>-0</v>
      </c>
      <c r="DH56" s="47" t="n">
        <f aca="false">-$E56*N(AND(DH$3&lt;=$F56,DH$4&gt;=$F56))</f>
        <v>-0</v>
      </c>
      <c r="DI56" s="47" t="n">
        <f aca="false">-$E56*N(AND(DI$3&lt;=$F56,DI$4&gt;=$F56))</f>
        <v>-0</v>
      </c>
      <c r="DJ56" s="47" t="n">
        <f aca="false">-$E56*N(AND(DJ$3&lt;=$F56,DJ$4&gt;=$F56))</f>
        <v>-0</v>
      </c>
      <c r="DK56" s="47" t="n">
        <f aca="false">-$E56*N(AND(DK$3&lt;=$F56,DK$4&gt;=$F56))</f>
        <v>-0</v>
      </c>
      <c r="DL56" s="47" t="n">
        <f aca="false">-$E56*N(AND(DL$3&lt;=$F56,DL$4&gt;=$F56))</f>
        <v>-0</v>
      </c>
      <c r="DM56" s="47" t="n">
        <f aca="false">-$E56*N(AND(DM$3&lt;=$F56,DM$4&gt;=$F56))</f>
        <v>-0</v>
      </c>
      <c r="DN56" s="47" t="n">
        <f aca="false">-$E56*N(AND(DN$3&lt;=$F56,DN$4&gt;=$F56))</f>
        <v>-0</v>
      </c>
      <c r="DO56" s="47" t="n">
        <f aca="false">-$E56*N(AND(DO$3&lt;=$F56,DO$4&gt;=$F56))</f>
        <v>-0</v>
      </c>
      <c r="DP56" s="47" t="n">
        <f aca="false">-$E56*N(AND(DP$3&lt;=$F56,DP$4&gt;=$F56))</f>
        <v>-0</v>
      </c>
      <c r="DQ56" s="47" t="n">
        <f aca="false">-$E56*N(AND(DQ$3&lt;=$F56,DQ$4&gt;=$F56))</f>
        <v>-0</v>
      </c>
      <c r="DR56" s="47" t="n">
        <f aca="false">-$E56*N(AND(DR$3&lt;=$F56,DR$4&gt;=$F56))</f>
        <v>-0</v>
      </c>
      <c r="DS56" s="47" t="n">
        <f aca="false">-$E56*N(AND(DS$3&lt;=$F56,DS$4&gt;=$F56))</f>
        <v>-0</v>
      </c>
      <c r="DT56" s="47" t="n">
        <f aca="false">-$E56*N(AND(DT$3&lt;=$F56,DT$4&gt;=$F56))</f>
        <v>-0</v>
      </c>
      <c r="DU56" s="47" t="n">
        <f aca="false">-$E56*N(AND(DU$3&lt;=$F56,DU$4&gt;=$F56))</f>
        <v>-0</v>
      </c>
      <c r="DV56" s="47" t="n">
        <f aca="false">-$E56*N(AND(DV$3&lt;=$F56,DV$4&gt;=$F56))</f>
        <v>-0</v>
      </c>
      <c r="DW56" s="47" t="n">
        <f aca="false">-$E56*N(AND(DW$3&lt;=$F56,DW$4&gt;=$F56))</f>
        <v>-0</v>
      </c>
      <c r="DX56" s="47" t="n">
        <f aca="false">-$E56*N(AND(DX$3&lt;=$F56,DX$4&gt;=$F56))</f>
        <v>-0</v>
      </c>
      <c r="DY56" s="47" t="n">
        <f aca="false">-$E56*N(AND(DY$3&lt;=$F56,DY$4&gt;=$F56))</f>
        <v>-0</v>
      </c>
      <c r="DZ56" s="47" t="n">
        <f aca="false">-$E56*N(AND(DZ$3&lt;=$F56,DZ$4&gt;=$F56))</f>
        <v>-0</v>
      </c>
      <c r="EA56" s="47" t="n">
        <f aca="false">-$E56*N(AND(EA$3&lt;=$F56,EA$4&gt;=$F56))</f>
        <v>-0</v>
      </c>
      <c r="EB56" s="47" t="n">
        <f aca="false">-$E56*N(AND(EB$3&lt;=$F56,EB$4&gt;=$F56))</f>
        <v>-0</v>
      </c>
      <c r="EC56" s="47" t="n">
        <f aca="false">-$E56*N(AND(EC$3&lt;=$F56,EC$4&gt;=$F56))</f>
        <v>-0</v>
      </c>
      <c r="ED56" s="47" t="n">
        <f aca="false">-$E56*N(AND(ED$3&lt;=$F56,ED$4&gt;=$F56))</f>
        <v>-0</v>
      </c>
      <c r="EE56" s="47" t="n">
        <f aca="false">-$E56*N(AND(EE$3&lt;=$F56,EE$4&gt;=$F56))</f>
        <v>-0</v>
      </c>
      <c r="EF56" s="47" t="n">
        <f aca="false">-$E56*N(AND(EF$3&lt;=$F56,EF$4&gt;=$F56))</f>
        <v>-0</v>
      </c>
      <c r="EG56" s="47" t="n">
        <f aca="false">-$E56*N(AND(EG$3&lt;=$F56,EG$4&gt;=$F56))</f>
        <v>-0</v>
      </c>
      <c r="EH56" s="47" t="n">
        <f aca="false">-$E56*N(AND(EH$3&lt;=$F56,EH$4&gt;=$F56))</f>
        <v>-0</v>
      </c>
      <c r="EI56" s="47" t="n">
        <f aca="false">-$E56*N(AND(EI$3&lt;=$F56,EI$4&gt;=$F56))</f>
        <v>-0</v>
      </c>
      <c r="EJ56" s="47" t="n">
        <f aca="false">-$E56*N(AND(EJ$3&lt;=$F56,EJ$4&gt;=$F56))</f>
        <v>-0</v>
      </c>
      <c r="EK56" s="47" t="n">
        <f aca="false">-$E56*N(AND(EK$3&lt;=$F56,EK$4&gt;=$F56))</f>
        <v>-0</v>
      </c>
      <c r="EL56" s="47" t="n">
        <f aca="false">-$E56*N(AND(EL$3&lt;=$F56,EL$4&gt;=$F56))</f>
        <v>-0</v>
      </c>
      <c r="EM56" s="47" t="n">
        <f aca="false">-$E56*N(AND(EM$3&lt;=$F56,EM$4&gt;=$F56))</f>
        <v>-0</v>
      </c>
      <c r="EN56" s="47" t="n">
        <f aca="false">-$E56*N(AND(EN$3&lt;=$F56,EN$4&gt;=$F56))</f>
        <v>-0</v>
      </c>
      <c r="EO56" s="47" t="n">
        <f aca="false">-$E56*N(AND(EO$3&lt;=$F56,EO$4&gt;=$F56))</f>
        <v>-0</v>
      </c>
      <c r="EP56" s="47" t="n">
        <f aca="false">-$E56*N(AND(EP$3&lt;=$F56,EP$4&gt;=$F56))</f>
        <v>-0</v>
      </c>
      <c r="EQ56" s="47" t="n">
        <f aca="false">-$E56*N(AND(EQ$3&lt;=$F56,EQ$4&gt;=$F56))</f>
        <v>-0</v>
      </c>
      <c r="ER56" s="47" t="n">
        <f aca="false">-$E56*N(AND(ER$3&lt;=$F56,ER$4&gt;=$F56))</f>
        <v>-0</v>
      </c>
      <c r="ES56" s="47" t="n">
        <f aca="false">-$E56*N(AND(ES$3&lt;=$F56,ES$4&gt;=$F56))</f>
        <v>-0</v>
      </c>
      <c r="ET56" s="47" t="n">
        <f aca="false">-$E56*N(AND(ET$3&lt;=$F56,ET$4&gt;=$F56))</f>
        <v>-0</v>
      </c>
    </row>
    <row r="57" customFormat="false" ht="15" hidden="false" customHeight="false" outlineLevel="0" collapsed="false">
      <c r="C57" s="1" t="s">
        <v>486</v>
      </c>
      <c r="D57" s="12" t="s">
        <v>222</v>
      </c>
      <c r="E57" s="47" t="n">
        <f aca="false">-SUMIF($J$4:$ET$4,"&lt;="&amp;$E12,$J57:$ET57)</f>
        <v>3119.62451197093</v>
      </c>
      <c r="F57" s="47" t="n">
        <f aca="false">-SUMIF($J$4:$ET$4,"&lt;="&amp;In_COD,$J57:$ET57)</f>
        <v>3119.62451197093</v>
      </c>
      <c r="I57" s="47" t="n">
        <f aca="false">SUM(J57:ET57)</f>
        <v>-3119.62451197093</v>
      </c>
      <c r="J57" s="47" t="n">
        <f aca="false">J54+J55+J56</f>
        <v>-0</v>
      </c>
      <c r="K57" s="47" t="n">
        <f aca="false">K54+K55+K56</f>
        <v>-178.520547945205</v>
      </c>
      <c r="L57" s="47" t="n">
        <f aca="false">L54+L55+L56</f>
        <v>-588.444520547945</v>
      </c>
      <c r="M57" s="47" t="n">
        <f aca="false">M54+M55+M56</f>
        <v>-43.8356164383562</v>
      </c>
      <c r="N57" s="47" t="n">
        <f aca="false">N54+N55+N56</f>
        <v>-43.8356164383562</v>
      </c>
      <c r="O57" s="47" t="n">
        <f aca="false">O54+O55+O56</f>
        <v>-184.361643835616</v>
      </c>
      <c r="P57" s="47" t="n">
        <f aca="false">P54+P55+P56</f>
        <v>-1290.04179480011</v>
      </c>
      <c r="Q57" s="47" t="n">
        <f aca="false">Q54+Q55+Q56</f>
        <v>-4.60958904109589</v>
      </c>
      <c r="R57" s="47" t="n">
        <f aca="false">R54+R55+R56</f>
        <v>-164.09150998043</v>
      </c>
      <c r="S57" s="47" t="n">
        <f aca="false">S54+S55+S56</f>
        <v>-317.226138697232</v>
      </c>
      <c r="T57" s="47" t="n">
        <f aca="false">T54+T55+T56</f>
        <v>-304.657534246575</v>
      </c>
      <c r="U57" s="47" t="n">
        <f aca="false">U54+U55+U56</f>
        <v>-0</v>
      </c>
      <c r="V57" s="47" t="n">
        <f aca="false">V54+V55+V56</f>
        <v>-0</v>
      </c>
      <c r="W57" s="47" t="n">
        <f aca="false">W54+W55+W56</f>
        <v>-0</v>
      </c>
      <c r="X57" s="47" t="n">
        <f aca="false">X54+X55+X56</f>
        <v>-0</v>
      </c>
      <c r="Y57" s="47" t="n">
        <f aca="false">Y54+Y55+Y56</f>
        <v>-0</v>
      </c>
      <c r="Z57" s="47" t="n">
        <f aca="false">Z54+Z55+Z56</f>
        <v>-0</v>
      </c>
      <c r="AA57" s="47" t="n">
        <f aca="false">AA54+AA55+AA56</f>
        <v>-0</v>
      </c>
      <c r="AB57" s="47" t="n">
        <f aca="false">AB54+AB55+AB56</f>
        <v>-0</v>
      </c>
      <c r="AC57" s="47" t="n">
        <f aca="false">AC54+AC55+AC56</f>
        <v>-0</v>
      </c>
      <c r="AD57" s="47" t="n">
        <f aca="false">AD54+AD55+AD56</f>
        <v>-0</v>
      </c>
      <c r="AE57" s="47" t="n">
        <f aca="false">AE54+AE55+AE56</f>
        <v>-0</v>
      </c>
      <c r="AF57" s="47" t="n">
        <f aca="false">AF54+AF55+AF56</f>
        <v>-0</v>
      </c>
      <c r="AG57" s="47" t="n">
        <f aca="false">AG54+AG55+AG56</f>
        <v>-0</v>
      </c>
      <c r="AH57" s="47" t="n">
        <f aca="false">AH54+AH55+AH56</f>
        <v>-0</v>
      </c>
      <c r="AI57" s="47" t="n">
        <f aca="false">AI54+AI55+AI56</f>
        <v>-0</v>
      </c>
      <c r="AJ57" s="47" t="n">
        <f aca="false">AJ54+AJ55+AJ56</f>
        <v>-0</v>
      </c>
      <c r="AK57" s="47" t="n">
        <f aca="false">AK54+AK55+AK56</f>
        <v>-0</v>
      </c>
      <c r="AL57" s="47" t="n">
        <f aca="false">AL54+AL55+AL56</f>
        <v>-0</v>
      </c>
      <c r="AM57" s="47" t="n">
        <f aca="false">AM54+AM55+AM56</f>
        <v>-0</v>
      </c>
      <c r="AN57" s="47" t="n">
        <f aca="false">AN54+AN55+AN56</f>
        <v>-0</v>
      </c>
      <c r="AO57" s="47" t="n">
        <f aca="false">AO54+AO55+AO56</f>
        <v>-0</v>
      </c>
      <c r="AP57" s="47" t="n">
        <f aca="false">AP54+AP55+AP56</f>
        <v>-0</v>
      </c>
      <c r="AQ57" s="47" t="n">
        <f aca="false">AQ54+AQ55+AQ56</f>
        <v>-0</v>
      </c>
      <c r="AR57" s="47" t="n">
        <f aca="false">AR54+AR55+AR56</f>
        <v>-0</v>
      </c>
      <c r="AS57" s="47" t="n">
        <f aca="false">AS54+AS55+AS56</f>
        <v>-0</v>
      </c>
      <c r="AT57" s="47" t="n">
        <f aca="false">AT54+AT55+AT56</f>
        <v>-0</v>
      </c>
      <c r="AU57" s="47" t="n">
        <f aca="false">AU54+AU55+AU56</f>
        <v>-0</v>
      </c>
      <c r="AV57" s="47" t="n">
        <f aca="false">AV54+AV55+AV56</f>
        <v>-0</v>
      </c>
      <c r="AW57" s="47" t="n">
        <f aca="false">AW54+AW55+AW56</f>
        <v>-0</v>
      </c>
      <c r="AX57" s="47" t="n">
        <f aca="false">AX54+AX55+AX56</f>
        <v>-0</v>
      </c>
      <c r="AY57" s="47" t="n">
        <f aca="false">AY54+AY55+AY56</f>
        <v>-0</v>
      </c>
      <c r="AZ57" s="47" t="n">
        <f aca="false">AZ54+AZ55+AZ56</f>
        <v>-0</v>
      </c>
      <c r="BA57" s="47" t="n">
        <f aca="false">BA54+BA55+BA56</f>
        <v>-0</v>
      </c>
      <c r="BB57" s="47" t="n">
        <f aca="false">BB54+BB55+BB56</f>
        <v>-0</v>
      </c>
      <c r="BC57" s="47" t="n">
        <f aca="false">BC54+BC55+BC56</f>
        <v>-0</v>
      </c>
      <c r="BD57" s="47" t="n">
        <f aca="false">BD54+BD55+BD56</f>
        <v>-0</v>
      </c>
      <c r="BE57" s="47" t="n">
        <f aca="false">BE54+BE55+BE56</f>
        <v>-0</v>
      </c>
      <c r="BF57" s="47" t="n">
        <f aca="false">BF54+BF55+BF56</f>
        <v>-0</v>
      </c>
      <c r="BG57" s="47" t="n">
        <f aca="false">BG54+BG55+BG56</f>
        <v>-0</v>
      </c>
      <c r="BH57" s="47" t="n">
        <f aca="false">BH54+BH55+BH56</f>
        <v>-0</v>
      </c>
      <c r="BI57" s="47" t="n">
        <f aca="false">BI54+BI55+BI56</f>
        <v>-0</v>
      </c>
      <c r="BJ57" s="47" t="n">
        <f aca="false">BJ54+BJ55+BJ56</f>
        <v>-0</v>
      </c>
      <c r="BK57" s="47" t="n">
        <f aca="false">BK54+BK55+BK56</f>
        <v>-0</v>
      </c>
      <c r="BL57" s="47" t="n">
        <f aca="false">BL54+BL55+BL56</f>
        <v>-0</v>
      </c>
      <c r="BM57" s="47" t="n">
        <f aca="false">BM54+BM55+BM56</f>
        <v>-0</v>
      </c>
      <c r="BN57" s="47" t="n">
        <f aca="false">BN54+BN55+BN56</f>
        <v>-0</v>
      </c>
      <c r="BO57" s="47" t="n">
        <f aca="false">BO54+BO55+BO56</f>
        <v>-0</v>
      </c>
      <c r="BP57" s="47" t="n">
        <f aca="false">BP54+BP55+BP56</f>
        <v>-0</v>
      </c>
      <c r="BQ57" s="47" t="n">
        <f aca="false">BQ54+BQ55+BQ56</f>
        <v>-0</v>
      </c>
      <c r="BR57" s="47" t="n">
        <f aca="false">BR54+BR55+BR56</f>
        <v>-0</v>
      </c>
      <c r="BS57" s="47" t="n">
        <f aca="false">BS54+BS55+BS56</f>
        <v>-0</v>
      </c>
      <c r="BT57" s="47" t="n">
        <f aca="false">BT54+BT55+BT56</f>
        <v>-0</v>
      </c>
      <c r="BU57" s="47" t="n">
        <f aca="false">BU54+BU55+BU56</f>
        <v>-0</v>
      </c>
      <c r="BV57" s="47" t="n">
        <f aca="false">BV54+BV55+BV56</f>
        <v>-0</v>
      </c>
      <c r="BW57" s="47" t="n">
        <f aca="false">BW54+BW55+BW56</f>
        <v>-0</v>
      </c>
      <c r="BX57" s="47" t="n">
        <f aca="false">BX54+BX55+BX56</f>
        <v>-0</v>
      </c>
      <c r="BY57" s="47" t="n">
        <f aca="false">BY54+BY55+BY56</f>
        <v>-0</v>
      </c>
      <c r="BZ57" s="47" t="n">
        <f aca="false">BZ54+BZ55+BZ56</f>
        <v>-0</v>
      </c>
      <c r="CA57" s="47" t="n">
        <f aca="false">CA54+CA55+CA56</f>
        <v>-0</v>
      </c>
      <c r="CB57" s="47" t="n">
        <f aca="false">CB54+CB55+CB56</f>
        <v>-0</v>
      </c>
      <c r="CC57" s="47" t="n">
        <f aca="false">CC54+CC55+CC56</f>
        <v>-0</v>
      </c>
      <c r="CD57" s="47" t="n">
        <f aca="false">CD54+CD55+CD56</f>
        <v>-0</v>
      </c>
      <c r="CE57" s="47" t="n">
        <f aca="false">CE54+CE55+CE56</f>
        <v>-0</v>
      </c>
      <c r="CF57" s="47" t="n">
        <f aca="false">CF54+CF55+CF56</f>
        <v>-0</v>
      </c>
      <c r="CG57" s="47" t="n">
        <f aca="false">CG54+CG55+CG56</f>
        <v>-0</v>
      </c>
      <c r="CH57" s="47" t="n">
        <f aca="false">CH54+CH55+CH56</f>
        <v>-0</v>
      </c>
      <c r="CI57" s="47" t="n">
        <f aca="false">CI54+CI55+CI56</f>
        <v>-0</v>
      </c>
      <c r="CJ57" s="47" t="n">
        <f aca="false">CJ54+CJ55+CJ56</f>
        <v>-0</v>
      </c>
      <c r="CK57" s="47" t="n">
        <f aca="false">CK54+CK55+CK56</f>
        <v>-0</v>
      </c>
      <c r="CL57" s="47" t="n">
        <f aca="false">CL54+CL55+CL56</f>
        <v>-0</v>
      </c>
      <c r="CM57" s="47" t="n">
        <f aca="false">CM54+CM55+CM56</f>
        <v>-0</v>
      </c>
      <c r="CN57" s="47" t="n">
        <f aca="false">CN54+CN55+CN56</f>
        <v>-0</v>
      </c>
      <c r="CO57" s="47" t="n">
        <f aca="false">CO54+CO55+CO56</f>
        <v>-0</v>
      </c>
      <c r="CP57" s="47" t="n">
        <f aca="false">CP54+CP55+CP56</f>
        <v>-0</v>
      </c>
      <c r="CQ57" s="47" t="n">
        <f aca="false">CQ54+CQ55+CQ56</f>
        <v>-0</v>
      </c>
      <c r="CR57" s="47" t="n">
        <f aca="false">CR54+CR55+CR56</f>
        <v>-0</v>
      </c>
      <c r="CS57" s="47" t="n">
        <f aca="false">CS54+CS55+CS56</f>
        <v>-0</v>
      </c>
      <c r="CT57" s="47" t="n">
        <f aca="false">CT54+CT55+CT56</f>
        <v>-0</v>
      </c>
      <c r="CU57" s="47" t="n">
        <f aca="false">CU54+CU55+CU56</f>
        <v>-0</v>
      </c>
      <c r="CV57" s="47" t="n">
        <f aca="false">CV54+CV55+CV56</f>
        <v>-0</v>
      </c>
      <c r="CW57" s="47" t="n">
        <f aca="false">CW54+CW55+CW56</f>
        <v>-0</v>
      </c>
      <c r="CX57" s="47" t="n">
        <f aca="false">CX54+CX55+CX56</f>
        <v>-0</v>
      </c>
      <c r="CY57" s="47" t="n">
        <f aca="false">CY54+CY55+CY56</f>
        <v>-0</v>
      </c>
      <c r="CZ57" s="47" t="n">
        <f aca="false">CZ54+CZ55+CZ56</f>
        <v>-0</v>
      </c>
      <c r="DA57" s="47" t="n">
        <f aca="false">DA54+DA55+DA56</f>
        <v>-0</v>
      </c>
      <c r="DB57" s="47" t="n">
        <f aca="false">DB54+DB55+DB56</f>
        <v>-0</v>
      </c>
      <c r="DC57" s="47" t="n">
        <f aca="false">DC54+DC55+DC56</f>
        <v>-0</v>
      </c>
      <c r="DD57" s="47" t="n">
        <f aca="false">DD54+DD55+DD56</f>
        <v>-0</v>
      </c>
      <c r="DE57" s="47" t="n">
        <f aca="false">DE54+DE55+DE56</f>
        <v>-0</v>
      </c>
      <c r="DF57" s="47" t="n">
        <f aca="false">DF54+DF55+DF56</f>
        <v>-0</v>
      </c>
      <c r="DG57" s="47" t="n">
        <f aca="false">DG54+DG55+DG56</f>
        <v>-0</v>
      </c>
      <c r="DH57" s="47" t="n">
        <f aca="false">DH54+DH55+DH56</f>
        <v>-0</v>
      </c>
      <c r="DI57" s="47" t="n">
        <f aca="false">DI54+DI55+DI56</f>
        <v>-0</v>
      </c>
      <c r="DJ57" s="47" t="n">
        <f aca="false">DJ54+DJ55+DJ56</f>
        <v>-0</v>
      </c>
      <c r="DK57" s="47" t="n">
        <f aca="false">DK54+DK55+DK56</f>
        <v>-0</v>
      </c>
      <c r="DL57" s="47" t="n">
        <f aca="false">DL54+DL55+DL56</f>
        <v>-0</v>
      </c>
      <c r="DM57" s="47" t="n">
        <f aca="false">DM54+DM55+DM56</f>
        <v>-0</v>
      </c>
      <c r="DN57" s="47" t="n">
        <f aca="false">DN54+DN55+DN56</f>
        <v>-0</v>
      </c>
      <c r="DO57" s="47" t="n">
        <f aca="false">DO54+DO55+DO56</f>
        <v>-0</v>
      </c>
      <c r="DP57" s="47" t="n">
        <f aca="false">DP54+DP55+DP56</f>
        <v>-0</v>
      </c>
      <c r="DQ57" s="47" t="n">
        <f aca="false">DQ54+DQ55+DQ56</f>
        <v>-0</v>
      </c>
      <c r="DR57" s="47" t="n">
        <f aca="false">DR54+DR55+DR56</f>
        <v>-0</v>
      </c>
      <c r="DS57" s="47" t="n">
        <f aca="false">DS54+DS55+DS56</f>
        <v>-0</v>
      </c>
      <c r="DT57" s="47" t="n">
        <f aca="false">DT54+DT55+DT56</f>
        <v>-0</v>
      </c>
      <c r="DU57" s="47" t="n">
        <f aca="false">DU54+DU55+DU56</f>
        <v>-0</v>
      </c>
      <c r="DV57" s="47" t="n">
        <f aca="false">DV54+DV55+DV56</f>
        <v>-0</v>
      </c>
      <c r="DW57" s="47" t="n">
        <f aca="false">DW54+DW55+DW56</f>
        <v>-0</v>
      </c>
      <c r="DX57" s="47" t="n">
        <f aca="false">DX54+DX55+DX56</f>
        <v>-0</v>
      </c>
      <c r="DY57" s="47" t="n">
        <f aca="false">DY54+DY55+DY56</f>
        <v>-0</v>
      </c>
      <c r="DZ57" s="47" t="n">
        <f aca="false">DZ54+DZ55+DZ56</f>
        <v>-0</v>
      </c>
      <c r="EA57" s="47" t="n">
        <f aca="false">EA54+EA55+EA56</f>
        <v>-0</v>
      </c>
      <c r="EB57" s="47" t="n">
        <f aca="false">EB54+EB55+EB56</f>
        <v>-0</v>
      </c>
      <c r="EC57" s="47" t="n">
        <f aca="false">EC54+EC55+EC56</f>
        <v>-0</v>
      </c>
      <c r="ED57" s="47" t="n">
        <f aca="false">ED54+ED55+ED56</f>
        <v>-0</v>
      </c>
      <c r="EE57" s="47" t="n">
        <f aca="false">EE54+EE55+EE56</f>
        <v>-0</v>
      </c>
      <c r="EF57" s="47" t="n">
        <f aca="false">EF54+EF55+EF56</f>
        <v>-0</v>
      </c>
      <c r="EG57" s="47" t="n">
        <f aca="false">EG54+EG55+EG56</f>
        <v>-0</v>
      </c>
      <c r="EH57" s="47" t="n">
        <f aca="false">EH54+EH55+EH56</f>
        <v>-0</v>
      </c>
      <c r="EI57" s="47" t="n">
        <f aca="false">EI54+EI55+EI56</f>
        <v>-0</v>
      </c>
      <c r="EJ57" s="47" t="n">
        <f aca="false">EJ54+EJ55+EJ56</f>
        <v>-0</v>
      </c>
      <c r="EK57" s="47" t="n">
        <f aca="false">EK54+EK55+EK56</f>
        <v>-0</v>
      </c>
      <c r="EL57" s="47" t="n">
        <f aca="false">EL54+EL55+EL56</f>
        <v>-0</v>
      </c>
      <c r="EM57" s="47" t="n">
        <f aca="false">EM54+EM55+EM56</f>
        <v>-0</v>
      </c>
      <c r="EN57" s="47" t="n">
        <f aca="false">EN54+EN55+EN56</f>
        <v>-0</v>
      </c>
      <c r="EO57" s="47" t="n">
        <f aca="false">EO54+EO55+EO56</f>
        <v>-0</v>
      </c>
      <c r="EP57" s="47" t="n">
        <f aca="false">EP54+EP55+EP56</f>
        <v>-0</v>
      </c>
      <c r="EQ57" s="47" t="n">
        <f aca="false">EQ54+EQ55+EQ56</f>
        <v>-0</v>
      </c>
      <c r="ER57" s="47" t="n">
        <f aca="false">ER54+ER55+ER56</f>
        <v>-0</v>
      </c>
      <c r="ES57" s="47" t="n">
        <f aca="false">ES54+ES55+ES56</f>
        <v>-0</v>
      </c>
      <c r="ET57" s="47" t="n">
        <f aca="false">ET54+ET55+ET56</f>
        <v>-0</v>
      </c>
    </row>
    <row r="58" customFormat="false" ht="15" hidden="false" customHeight="false" outlineLevel="0" collapsed="false">
      <c r="C58" s="1" t="s">
        <v>487</v>
      </c>
      <c r="D58" s="12" t="s">
        <v>222</v>
      </c>
      <c r="E58" s="47" t="n">
        <f aca="false">SUMIF($J$4:$ET$4,"&lt;="&amp;$E12,$J58:$ET58)</f>
        <v>-1278.15482229311</v>
      </c>
      <c r="F58" s="47" t="n">
        <f aca="false">SUMIF($J$4:$ET$4,"&lt;="&amp;In_COD,$J58:$ET58)</f>
        <v>-2011.61657496716</v>
      </c>
      <c r="I58" s="47" t="n">
        <f aca="false">SUM(J58:ET58)</f>
        <v>-2641.61193619816</v>
      </c>
      <c r="J58" s="47" t="n">
        <f aca="false">-(J48+J49)*In_Guarantee_Fee*J$5/Days_In_Year</f>
        <v>-0</v>
      </c>
      <c r="K58" s="47" t="n">
        <f aca="false">-(K48+K49)*In_Guarantee_Fee*K$5/Days_In_Year</f>
        <v>-18.1640998311128</v>
      </c>
      <c r="L58" s="47" t="n">
        <f aca="false">-(L48+L49)*In_Guarantee_Fee*L$5/Days_In_Year</f>
        <v>-103.466391443047</v>
      </c>
      <c r="M58" s="47" t="n">
        <f aca="false">-(M48+M49)*In_Guarantee_Fee*M$5/Days_In_Year</f>
        <v>-104.616018014637</v>
      </c>
      <c r="N58" s="47" t="n">
        <f aca="false">-(N48+N49)*In_Guarantee_Fee*N$5/Days_In_Year</f>
        <v>-105.765644586226</v>
      </c>
      <c r="O58" s="47" t="n">
        <f aca="false">-(O48+O49)*In_Guarantee_Fee*O$5/Days_In_Year</f>
        <v>-105.765644586226</v>
      </c>
      <c r="P58" s="47" t="n">
        <f aca="false">-(P48+P49)*In_Guarantee_Fee*P$5/Days_In_Year</f>
        <v>-104.616018014637</v>
      </c>
      <c r="Q58" s="47" t="n">
        <f aca="false">-(Q48+Q49)*In_Guarantee_Fee*Q$5/Days_In_Year</f>
        <v>-104.616018014637</v>
      </c>
      <c r="R58" s="47" t="n">
        <f aca="false">-(R48+R49)*In_Guarantee_Fee*R$5/Days_In_Year</f>
        <v>-105.765644586226</v>
      </c>
      <c r="S58" s="47" t="n">
        <f aca="false">-(S48+S49)*In_Guarantee_Fee*S$5/Days_In_Year</f>
        <v>-105.765644586226</v>
      </c>
      <c r="T58" s="47" t="n">
        <f aca="false">-(T48+T49)*In_Guarantee_Fee*T$5/Days_In_Year</f>
        <v>-103.466391443047</v>
      </c>
      <c r="U58" s="47" t="n">
        <f aca="false">-(U48+U49)*In_Guarantee_Fee*U$5/Days_In_Year</f>
        <v>-104.616018014637</v>
      </c>
      <c r="V58" s="47" t="n">
        <f aca="false">-(V48+V49)*In_Guarantee_Fee*V$5/Days_In_Year</f>
        <v>-105.765644586226</v>
      </c>
      <c r="W58" s="47" t="n">
        <f aca="false">-(W48+W49)*In_Guarantee_Fee*W$5/Days_In_Year</f>
        <v>-105.765644586226</v>
      </c>
      <c r="X58" s="47" t="n">
        <f aca="false">-(X48+X49)*In_Guarantee_Fee*X$5/Days_In_Year</f>
        <v>-103.466391443047</v>
      </c>
      <c r="Y58" s="47" t="n">
        <f aca="false">-(Y48+Y49)*In_Guarantee_Fee*Y$5/Days_In_Year</f>
        <v>-104.616018014637</v>
      </c>
      <c r="Z58" s="47" t="n">
        <f aca="false">-(Z48+Z49)*In_Guarantee_Fee*Z$5/Days_In_Year</f>
        <v>-105.765644586226</v>
      </c>
      <c r="AA58" s="47" t="n">
        <f aca="false">-(AA48+AA49)*In_Guarantee_Fee*AA$5/Days_In_Year</f>
        <v>-105.765644586226</v>
      </c>
      <c r="AB58" s="47" t="n">
        <f aca="false">-(AB48+AB49)*In_Guarantee_Fee*AB$5/Days_In_Year</f>
        <v>-103.466391443047</v>
      </c>
      <c r="AC58" s="47" t="n">
        <f aca="false">-(AC48+AC49)*In_Guarantee_Fee*AC$5/Days_In_Year</f>
        <v>-104.616018014637</v>
      </c>
      <c r="AD58" s="47" t="n">
        <f aca="false">-(AD48+AD49)*In_Guarantee_Fee*AD$5/Days_In_Year</f>
        <v>-105.765644586226</v>
      </c>
      <c r="AE58" s="47" t="n">
        <f aca="false">-(AE48+AE49)*In_Guarantee_Fee*AE$5/Days_In_Year</f>
        <v>-105.765644586226</v>
      </c>
      <c r="AF58" s="47" t="n">
        <f aca="false">-(AF48+AF49)*In_Guarantee_Fee*AF$5/Days_In_Year</f>
        <v>-104.616018014637</v>
      </c>
      <c r="AG58" s="47" t="n">
        <f aca="false">-(AG48+AG49)*In_Guarantee_Fee*AG$5/Days_In_Year</f>
        <v>-104.616018014637</v>
      </c>
      <c r="AH58" s="47" t="n">
        <f aca="false">-(AH48+AH49)*In_Guarantee_Fee*AH$5/Days_In_Year</f>
        <v>-105.765644586226</v>
      </c>
      <c r="AI58" s="47" t="n">
        <f aca="false">-(AI48+AI49)*In_Guarantee_Fee*AI$5/Days_In_Year</f>
        <v>-105.765644586226</v>
      </c>
      <c r="AJ58" s="47" t="n">
        <f aca="false">-(AJ48+AJ49)*In_Guarantee_Fee*AJ$5/Days_In_Year</f>
        <v>-103.466391443047</v>
      </c>
      <c r="AK58" s="47" t="n">
        <f aca="false">-(AK48+AK49)*In_Guarantee_Fee*AK$5/Days_In_Year</f>
        <v>-0</v>
      </c>
      <c r="AL58" s="47" t="n">
        <f aca="false">-(AL48+AL49)*In_Guarantee_Fee*AL$5/Days_In_Year</f>
        <v>-0</v>
      </c>
      <c r="AM58" s="47" t="n">
        <f aca="false">-(AM48+AM49)*In_Guarantee_Fee*AM$5/Days_In_Year</f>
        <v>-0</v>
      </c>
      <c r="AN58" s="47" t="n">
        <f aca="false">-(AN48+AN49)*In_Guarantee_Fee*AN$5/Days_In_Year</f>
        <v>-0</v>
      </c>
      <c r="AO58" s="47" t="n">
        <f aca="false">-(AO48+AO49)*In_Guarantee_Fee*AO$5/Days_In_Year</f>
        <v>-0</v>
      </c>
      <c r="AP58" s="47" t="n">
        <f aca="false">-(AP48+AP49)*In_Guarantee_Fee*AP$5/Days_In_Year</f>
        <v>-0</v>
      </c>
      <c r="AQ58" s="47" t="n">
        <f aca="false">-(AQ48+AQ49)*In_Guarantee_Fee*AQ$5/Days_In_Year</f>
        <v>-0</v>
      </c>
      <c r="AR58" s="47" t="n">
        <f aca="false">-(AR48+AR49)*In_Guarantee_Fee*AR$5/Days_In_Year</f>
        <v>-0</v>
      </c>
      <c r="AS58" s="47" t="n">
        <f aca="false">-(AS48+AS49)*In_Guarantee_Fee*AS$5/Days_In_Year</f>
        <v>-0</v>
      </c>
      <c r="AT58" s="47" t="n">
        <f aca="false">-(AT48+AT49)*In_Guarantee_Fee*AT$5/Days_In_Year</f>
        <v>-0</v>
      </c>
      <c r="AU58" s="47" t="n">
        <f aca="false">-(AU48+AU49)*In_Guarantee_Fee*AU$5/Days_In_Year</f>
        <v>-0</v>
      </c>
      <c r="AV58" s="47" t="n">
        <f aca="false">-(AV48+AV49)*In_Guarantee_Fee*AV$5/Days_In_Year</f>
        <v>-0</v>
      </c>
      <c r="AW58" s="47" t="n">
        <f aca="false">-(AW48+AW49)*In_Guarantee_Fee*AW$5/Days_In_Year</f>
        <v>-0</v>
      </c>
      <c r="AX58" s="47" t="n">
        <f aca="false">-(AX48+AX49)*In_Guarantee_Fee*AX$5/Days_In_Year</f>
        <v>-0</v>
      </c>
      <c r="AY58" s="47" t="n">
        <f aca="false">-(AY48+AY49)*In_Guarantee_Fee*AY$5/Days_In_Year</f>
        <v>-0</v>
      </c>
      <c r="AZ58" s="47" t="n">
        <f aca="false">-(AZ48+AZ49)*In_Guarantee_Fee*AZ$5/Days_In_Year</f>
        <v>-0</v>
      </c>
      <c r="BA58" s="47" t="n">
        <f aca="false">-(BA48+BA49)*In_Guarantee_Fee*BA$5/Days_In_Year</f>
        <v>-0</v>
      </c>
      <c r="BB58" s="47" t="n">
        <f aca="false">-(BB48+BB49)*In_Guarantee_Fee*BB$5/Days_In_Year</f>
        <v>-0</v>
      </c>
      <c r="BC58" s="47" t="n">
        <f aca="false">-(BC48+BC49)*In_Guarantee_Fee*BC$5/Days_In_Year</f>
        <v>-0</v>
      </c>
      <c r="BD58" s="47" t="n">
        <f aca="false">-(BD48+BD49)*In_Guarantee_Fee*BD$5/Days_In_Year</f>
        <v>-0</v>
      </c>
      <c r="BE58" s="47" t="n">
        <f aca="false">-(BE48+BE49)*In_Guarantee_Fee*BE$5/Days_In_Year</f>
        <v>-0</v>
      </c>
      <c r="BF58" s="47" t="n">
        <f aca="false">-(BF48+BF49)*In_Guarantee_Fee*BF$5/Days_In_Year</f>
        <v>-0</v>
      </c>
      <c r="BG58" s="47" t="n">
        <f aca="false">-(BG48+BG49)*In_Guarantee_Fee*BG$5/Days_In_Year</f>
        <v>-0</v>
      </c>
      <c r="BH58" s="47" t="n">
        <f aca="false">-(BH48+BH49)*In_Guarantee_Fee*BH$5/Days_In_Year</f>
        <v>-0</v>
      </c>
      <c r="BI58" s="47" t="n">
        <f aca="false">-(BI48+BI49)*In_Guarantee_Fee*BI$5/Days_In_Year</f>
        <v>-0</v>
      </c>
      <c r="BJ58" s="47" t="n">
        <f aca="false">-(BJ48+BJ49)*In_Guarantee_Fee*BJ$5/Days_In_Year</f>
        <v>-0</v>
      </c>
      <c r="BK58" s="47" t="n">
        <f aca="false">-(BK48+BK49)*In_Guarantee_Fee*BK$5/Days_In_Year</f>
        <v>-0</v>
      </c>
      <c r="BL58" s="47" t="n">
        <f aca="false">-(BL48+BL49)*In_Guarantee_Fee*BL$5/Days_In_Year</f>
        <v>-0</v>
      </c>
      <c r="BM58" s="47" t="n">
        <f aca="false">-(BM48+BM49)*In_Guarantee_Fee*BM$5/Days_In_Year</f>
        <v>-0</v>
      </c>
      <c r="BN58" s="47" t="n">
        <f aca="false">-(BN48+BN49)*In_Guarantee_Fee*BN$5/Days_In_Year</f>
        <v>-0</v>
      </c>
      <c r="BO58" s="47" t="n">
        <f aca="false">-(BO48+BO49)*In_Guarantee_Fee*BO$5/Days_In_Year</f>
        <v>-0</v>
      </c>
      <c r="BP58" s="47" t="n">
        <f aca="false">-(BP48+BP49)*In_Guarantee_Fee*BP$5/Days_In_Year</f>
        <v>-0</v>
      </c>
      <c r="BQ58" s="47" t="n">
        <f aca="false">-(BQ48+BQ49)*In_Guarantee_Fee*BQ$5/Days_In_Year</f>
        <v>-0</v>
      </c>
      <c r="BR58" s="47" t="n">
        <f aca="false">-(BR48+BR49)*In_Guarantee_Fee*BR$5/Days_In_Year</f>
        <v>-0</v>
      </c>
      <c r="BS58" s="47" t="n">
        <f aca="false">-(BS48+BS49)*In_Guarantee_Fee*BS$5/Days_In_Year</f>
        <v>-0</v>
      </c>
      <c r="BT58" s="47" t="n">
        <f aca="false">-(BT48+BT49)*In_Guarantee_Fee*BT$5/Days_In_Year</f>
        <v>-0</v>
      </c>
      <c r="BU58" s="47" t="n">
        <f aca="false">-(BU48+BU49)*In_Guarantee_Fee*BU$5/Days_In_Year</f>
        <v>-0</v>
      </c>
      <c r="BV58" s="47" t="n">
        <f aca="false">-(BV48+BV49)*In_Guarantee_Fee*BV$5/Days_In_Year</f>
        <v>-0</v>
      </c>
      <c r="BW58" s="47" t="n">
        <f aca="false">-(BW48+BW49)*In_Guarantee_Fee*BW$5/Days_In_Year</f>
        <v>-0</v>
      </c>
      <c r="BX58" s="47" t="n">
        <f aca="false">-(BX48+BX49)*In_Guarantee_Fee*BX$5/Days_In_Year</f>
        <v>-0</v>
      </c>
      <c r="BY58" s="47" t="n">
        <f aca="false">-(BY48+BY49)*In_Guarantee_Fee*BY$5/Days_In_Year</f>
        <v>-0</v>
      </c>
      <c r="BZ58" s="47" t="n">
        <f aca="false">-(BZ48+BZ49)*In_Guarantee_Fee*BZ$5/Days_In_Year</f>
        <v>-0</v>
      </c>
      <c r="CA58" s="47" t="n">
        <f aca="false">-(CA48+CA49)*In_Guarantee_Fee*CA$5/Days_In_Year</f>
        <v>-0</v>
      </c>
      <c r="CB58" s="47" t="n">
        <f aca="false">-(CB48+CB49)*In_Guarantee_Fee*CB$5/Days_In_Year</f>
        <v>-0</v>
      </c>
      <c r="CC58" s="47" t="n">
        <f aca="false">-(CC48+CC49)*In_Guarantee_Fee*CC$5/Days_In_Year</f>
        <v>-0</v>
      </c>
      <c r="CD58" s="47" t="n">
        <f aca="false">-(CD48+CD49)*In_Guarantee_Fee*CD$5/Days_In_Year</f>
        <v>-0</v>
      </c>
      <c r="CE58" s="47" t="n">
        <f aca="false">-(CE48+CE49)*In_Guarantee_Fee*CE$5/Days_In_Year</f>
        <v>-0</v>
      </c>
      <c r="CF58" s="47" t="n">
        <f aca="false">-(CF48+CF49)*In_Guarantee_Fee*CF$5/Days_In_Year</f>
        <v>-0</v>
      </c>
      <c r="CG58" s="47" t="n">
        <f aca="false">-(CG48+CG49)*In_Guarantee_Fee*CG$5/Days_In_Year</f>
        <v>-0</v>
      </c>
      <c r="CH58" s="47" t="n">
        <f aca="false">-(CH48+CH49)*In_Guarantee_Fee*CH$5/Days_In_Year</f>
        <v>-0</v>
      </c>
      <c r="CI58" s="47" t="n">
        <f aca="false">-(CI48+CI49)*In_Guarantee_Fee*CI$5/Days_In_Year</f>
        <v>-0</v>
      </c>
      <c r="CJ58" s="47" t="n">
        <f aca="false">-(CJ48+CJ49)*In_Guarantee_Fee*CJ$5/Days_In_Year</f>
        <v>-0</v>
      </c>
      <c r="CK58" s="47" t="n">
        <f aca="false">-(CK48+CK49)*In_Guarantee_Fee*CK$5/Days_In_Year</f>
        <v>-0</v>
      </c>
      <c r="CL58" s="47" t="n">
        <f aca="false">-(CL48+CL49)*In_Guarantee_Fee*CL$5/Days_In_Year</f>
        <v>-0</v>
      </c>
      <c r="CM58" s="47" t="n">
        <f aca="false">-(CM48+CM49)*In_Guarantee_Fee*CM$5/Days_In_Year</f>
        <v>-0</v>
      </c>
      <c r="CN58" s="47" t="n">
        <f aca="false">-(CN48+CN49)*In_Guarantee_Fee*CN$5/Days_In_Year</f>
        <v>-0</v>
      </c>
      <c r="CO58" s="47" t="n">
        <f aca="false">-(CO48+CO49)*In_Guarantee_Fee*CO$5/Days_In_Year</f>
        <v>-0</v>
      </c>
      <c r="CP58" s="47" t="n">
        <f aca="false">-(CP48+CP49)*In_Guarantee_Fee*CP$5/Days_In_Year</f>
        <v>-0</v>
      </c>
      <c r="CQ58" s="47" t="n">
        <f aca="false">-(CQ48+CQ49)*In_Guarantee_Fee*CQ$5/Days_In_Year</f>
        <v>-0</v>
      </c>
      <c r="CR58" s="47" t="n">
        <f aca="false">-(CR48+CR49)*In_Guarantee_Fee*CR$5/Days_In_Year</f>
        <v>-0</v>
      </c>
      <c r="CS58" s="47" t="n">
        <f aca="false">-(CS48+CS49)*In_Guarantee_Fee*CS$5/Days_In_Year</f>
        <v>-0</v>
      </c>
      <c r="CT58" s="47" t="n">
        <f aca="false">-(CT48+CT49)*In_Guarantee_Fee*CT$5/Days_In_Year</f>
        <v>-0</v>
      </c>
      <c r="CU58" s="47" t="n">
        <f aca="false">-(CU48+CU49)*In_Guarantee_Fee*CU$5/Days_In_Year</f>
        <v>-0</v>
      </c>
      <c r="CV58" s="47" t="n">
        <f aca="false">-(CV48+CV49)*In_Guarantee_Fee*CV$5/Days_In_Year</f>
        <v>-0</v>
      </c>
      <c r="CW58" s="47" t="n">
        <f aca="false">-(CW48+CW49)*In_Guarantee_Fee*CW$5/Days_In_Year</f>
        <v>-0</v>
      </c>
      <c r="CX58" s="47" t="n">
        <f aca="false">-(CX48+CX49)*In_Guarantee_Fee*CX$5/Days_In_Year</f>
        <v>-0</v>
      </c>
      <c r="CY58" s="47" t="n">
        <f aca="false">-(CY48+CY49)*In_Guarantee_Fee*CY$5/Days_In_Year</f>
        <v>-0</v>
      </c>
      <c r="CZ58" s="47" t="n">
        <f aca="false">-(CZ48+CZ49)*In_Guarantee_Fee*CZ$5/Days_In_Year</f>
        <v>-0</v>
      </c>
      <c r="DA58" s="47" t="n">
        <f aca="false">-(DA48+DA49)*In_Guarantee_Fee*DA$5/Days_In_Year</f>
        <v>-0</v>
      </c>
      <c r="DB58" s="47" t="n">
        <f aca="false">-(DB48+DB49)*In_Guarantee_Fee*DB$5/Days_In_Year</f>
        <v>-0</v>
      </c>
      <c r="DC58" s="47" t="n">
        <f aca="false">-(DC48+DC49)*In_Guarantee_Fee*DC$5/Days_In_Year</f>
        <v>-0</v>
      </c>
      <c r="DD58" s="47" t="n">
        <f aca="false">-(DD48+DD49)*In_Guarantee_Fee*DD$5/Days_In_Year</f>
        <v>-0</v>
      </c>
      <c r="DE58" s="47" t="n">
        <f aca="false">-(DE48+DE49)*In_Guarantee_Fee*DE$5/Days_In_Year</f>
        <v>-0</v>
      </c>
      <c r="DF58" s="47" t="n">
        <f aca="false">-(DF48+DF49)*In_Guarantee_Fee*DF$5/Days_In_Year</f>
        <v>-0</v>
      </c>
      <c r="DG58" s="47" t="n">
        <f aca="false">-(DG48+DG49)*In_Guarantee_Fee*DG$5/Days_In_Year</f>
        <v>-0</v>
      </c>
      <c r="DH58" s="47" t="n">
        <f aca="false">-(DH48+DH49)*In_Guarantee_Fee*DH$5/Days_In_Year</f>
        <v>-0</v>
      </c>
      <c r="DI58" s="47" t="n">
        <f aca="false">-(DI48+DI49)*In_Guarantee_Fee*DI$5/Days_In_Year</f>
        <v>-0</v>
      </c>
      <c r="DJ58" s="47" t="n">
        <f aca="false">-(DJ48+DJ49)*In_Guarantee_Fee*DJ$5/Days_In_Year</f>
        <v>-0</v>
      </c>
      <c r="DK58" s="47" t="n">
        <f aca="false">-(DK48+DK49)*In_Guarantee_Fee*DK$5/Days_In_Year</f>
        <v>-0</v>
      </c>
      <c r="DL58" s="47" t="n">
        <f aca="false">-(DL48+DL49)*In_Guarantee_Fee*DL$5/Days_In_Year</f>
        <v>-0</v>
      </c>
      <c r="DM58" s="47" t="n">
        <f aca="false">-(DM48+DM49)*In_Guarantee_Fee*DM$5/Days_In_Year</f>
        <v>-0</v>
      </c>
      <c r="DN58" s="47" t="n">
        <f aca="false">-(DN48+DN49)*In_Guarantee_Fee*DN$5/Days_In_Year</f>
        <v>-0</v>
      </c>
      <c r="DO58" s="47" t="n">
        <f aca="false">-(DO48+DO49)*In_Guarantee_Fee*DO$5/Days_In_Year</f>
        <v>-0</v>
      </c>
      <c r="DP58" s="47" t="n">
        <f aca="false">-(DP48+DP49)*In_Guarantee_Fee*DP$5/Days_In_Year</f>
        <v>-0</v>
      </c>
      <c r="DQ58" s="47" t="n">
        <f aca="false">-(DQ48+DQ49)*In_Guarantee_Fee*DQ$5/Days_In_Year</f>
        <v>-0</v>
      </c>
      <c r="DR58" s="47" t="n">
        <f aca="false">-(DR48+DR49)*In_Guarantee_Fee*DR$5/Days_In_Year</f>
        <v>-0</v>
      </c>
      <c r="DS58" s="47" t="n">
        <f aca="false">-(DS48+DS49)*In_Guarantee_Fee*DS$5/Days_In_Year</f>
        <v>-0</v>
      </c>
      <c r="DT58" s="47" t="n">
        <f aca="false">-(DT48+DT49)*In_Guarantee_Fee*DT$5/Days_In_Year</f>
        <v>-0</v>
      </c>
      <c r="DU58" s="47" t="n">
        <f aca="false">-(DU48+DU49)*In_Guarantee_Fee*DU$5/Days_In_Year</f>
        <v>-0</v>
      </c>
      <c r="DV58" s="47" t="n">
        <f aca="false">-(DV48+DV49)*In_Guarantee_Fee*DV$5/Days_In_Year</f>
        <v>-0</v>
      </c>
      <c r="DW58" s="47" t="n">
        <f aca="false">-(DW48+DW49)*In_Guarantee_Fee*DW$5/Days_In_Year</f>
        <v>-0</v>
      </c>
      <c r="DX58" s="47" t="n">
        <f aca="false">-(DX48+DX49)*In_Guarantee_Fee*DX$5/Days_In_Year</f>
        <v>-0</v>
      </c>
      <c r="DY58" s="47" t="n">
        <f aca="false">-(DY48+DY49)*In_Guarantee_Fee*DY$5/Days_In_Year</f>
        <v>-0</v>
      </c>
      <c r="DZ58" s="47" t="n">
        <f aca="false">-(DZ48+DZ49)*In_Guarantee_Fee*DZ$5/Days_In_Year</f>
        <v>-0</v>
      </c>
      <c r="EA58" s="47" t="n">
        <f aca="false">-(EA48+EA49)*In_Guarantee_Fee*EA$5/Days_In_Year</f>
        <v>-0</v>
      </c>
      <c r="EB58" s="47" t="n">
        <f aca="false">-(EB48+EB49)*In_Guarantee_Fee*EB$5/Days_In_Year</f>
        <v>-0</v>
      </c>
      <c r="EC58" s="47" t="n">
        <f aca="false">-(EC48+EC49)*In_Guarantee_Fee*EC$5/Days_In_Year</f>
        <v>-0</v>
      </c>
      <c r="ED58" s="47" t="n">
        <f aca="false">-(ED48+ED49)*In_Guarantee_Fee*ED$5/Days_In_Year</f>
        <v>-0</v>
      </c>
      <c r="EE58" s="47" t="n">
        <f aca="false">-(EE48+EE49)*In_Guarantee_Fee*EE$5/Days_In_Year</f>
        <v>-0</v>
      </c>
      <c r="EF58" s="47" t="n">
        <f aca="false">-(EF48+EF49)*In_Guarantee_Fee*EF$5/Days_In_Year</f>
        <v>-0</v>
      </c>
      <c r="EG58" s="47" t="n">
        <f aca="false">-(EG48+EG49)*In_Guarantee_Fee*EG$5/Days_In_Year</f>
        <v>-0</v>
      </c>
      <c r="EH58" s="47" t="n">
        <f aca="false">-(EH48+EH49)*In_Guarantee_Fee*EH$5/Days_In_Year</f>
        <v>-0</v>
      </c>
      <c r="EI58" s="47" t="n">
        <f aca="false">-(EI48+EI49)*In_Guarantee_Fee*EI$5/Days_In_Year</f>
        <v>-0</v>
      </c>
      <c r="EJ58" s="47" t="n">
        <f aca="false">-(EJ48+EJ49)*In_Guarantee_Fee*EJ$5/Days_In_Year</f>
        <v>-0</v>
      </c>
      <c r="EK58" s="47" t="n">
        <f aca="false">-(EK48+EK49)*In_Guarantee_Fee*EK$5/Days_In_Year</f>
        <v>-0</v>
      </c>
      <c r="EL58" s="47" t="n">
        <f aca="false">-(EL48+EL49)*In_Guarantee_Fee*EL$5/Days_In_Year</f>
        <v>-0</v>
      </c>
      <c r="EM58" s="47" t="n">
        <f aca="false">-(EM48+EM49)*In_Guarantee_Fee*EM$5/Days_In_Year</f>
        <v>-0</v>
      </c>
      <c r="EN58" s="47" t="n">
        <f aca="false">-(EN48+EN49)*In_Guarantee_Fee*EN$5/Days_In_Year</f>
        <v>-0</v>
      </c>
      <c r="EO58" s="47" t="n">
        <f aca="false">-(EO48+EO49)*In_Guarantee_Fee*EO$5/Days_In_Year</f>
        <v>-0</v>
      </c>
      <c r="EP58" s="47" t="n">
        <f aca="false">-(EP48+EP49)*In_Guarantee_Fee*EP$5/Days_In_Year</f>
        <v>-0</v>
      </c>
      <c r="EQ58" s="47" t="n">
        <f aca="false">-(EQ48+EQ49)*In_Guarantee_Fee*EQ$5/Days_In_Year</f>
        <v>-0</v>
      </c>
      <c r="ER58" s="47" t="n">
        <f aca="false">-(ER48+ER49)*In_Guarantee_Fee*ER$5/Days_In_Year</f>
        <v>-0</v>
      </c>
      <c r="ES58" s="47" t="n">
        <f aca="false">-(ES48+ES49)*In_Guarantee_Fee*ES$5/Days_In_Year</f>
        <v>-0</v>
      </c>
      <c r="ET58" s="47" t="n">
        <f aca="false">-(ET48+ET49)*In_Guarantee_Fee*ET$5/Days_In_Year</f>
        <v>-0</v>
      </c>
    </row>
    <row r="59" customFormat="false" ht="15" hidden="false" customHeight="false" outlineLevel="0" collapsed="false">
      <c r="C59" s="31" t="s">
        <v>488</v>
      </c>
      <c r="D59" s="12" t="s">
        <v>222</v>
      </c>
      <c r="I59" s="56" t="n">
        <f aca="false">SUM(J59:ET59)</f>
        <v>-7402.33233858005</v>
      </c>
      <c r="J59" s="56" t="n">
        <f aca="false">J46+J47+J50+J57+J58</f>
        <v>-400</v>
      </c>
      <c r="K59" s="56" t="n">
        <f aca="false">K46+K47+K50+K57+K58</f>
        <v>-1437.78053818728</v>
      </c>
      <c r="L59" s="56" t="n">
        <f aca="false">L46+L47+L50+L57+L58</f>
        <v>-691.910911990993</v>
      </c>
      <c r="M59" s="56" t="n">
        <f aca="false">M46+M47+M50+M57+M58</f>
        <v>-148.451634452993</v>
      </c>
      <c r="N59" s="56" t="n">
        <f aca="false">N46+N47+N50+N57+N58</f>
        <v>-149.601261024582</v>
      </c>
      <c r="O59" s="56" t="n">
        <f aca="false">O46+O47+O50+O57+O58</f>
        <v>-290.127288421843</v>
      </c>
      <c r="P59" s="56" t="n">
        <f aca="false">P46+P47+P50+P57+P58</f>
        <v>-1394.65781281475</v>
      </c>
      <c r="Q59" s="56" t="n">
        <f aca="false">Q46+Q47+Q50+Q57+Q58</f>
        <v>-109.225607055733</v>
      </c>
      <c r="R59" s="56" t="n">
        <f aca="false">R46+R47+R50+R57+R58</f>
        <v>-269.857154566657</v>
      </c>
      <c r="S59" s="56" t="n">
        <f aca="false">S46+S47+S50+S57+S58</f>
        <v>-422.991783283459</v>
      </c>
      <c r="T59" s="56" t="n">
        <f aca="false">T46+T47+T50+T57+T58</f>
        <v>-408.123925689623</v>
      </c>
      <c r="U59" s="56" t="n">
        <f aca="false">U46+U47+U50+U57+U58</f>
        <v>-104.616018014637</v>
      </c>
      <c r="V59" s="56" t="n">
        <f aca="false">V46+V47+V50+V57+V58</f>
        <v>-105.765644586226</v>
      </c>
      <c r="W59" s="56" t="n">
        <f aca="false">W46+W47+W50+W57+W58</f>
        <v>-105.765644586226</v>
      </c>
      <c r="X59" s="56" t="n">
        <f aca="false">X46+X47+X50+X57+X58</f>
        <v>-103.466391443047</v>
      </c>
      <c r="Y59" s="56" t="n">
        <f aca="false">Y46+Y47+Y50+Y57+Y58</f>
        <v>-104.616018014637</v>
      </c>
      <c r="Z59" s="56" t="n">
        <f aca="false">Z46+Z47+Z50+Z57+Z58</f>
        <v>-105.765644586226</v>
      </c>
      <c r="AA59" s="56" t="n">
        <f aca="false">AA46+AA47+AA50+AA57+AA58</f>
        <v>-105.765644586226</v>
      </c>
      <c r="AB59" s="56" t="n">
        <f aca="false">AB46+AB47+AB50+AB57+AB58</f>
        <v>-103.466391443047</v>
      </c>
      <c r="AC59" s="56" t="n">
        <f aca="false">AC46+AC47+AC50+AC57+AC58</f>
        <v>-104.616018014637</v>
      </c>
      <c r="AD59" s="56" t="n">
        <f aca="false">AD46+AD47+AD50+AD57+AD58</f>
        <v>-105.765644586226</v>
      </c>
      <c r="AE59" s="56" t="n">
        <f aca="false">AE46+AE47+AE50+AE57+AE58</f>
        <v>-105.765644586226</v>
      </c>
      <c r="AF59" s="56" t="n">
        <f aca="false">AF46+AF47+AF50+AF57+AF58</f>
        <v>-104.616018014637</v>
      </c>
      <c r="AG59" s="56" t="n">
        <f aca="false">AG46+AG47+AG50+AG57+AG58</f>
        <v>-104.616018014637</v>
      </c>
      <c r="AH59" s="56" t="n">
        <f aca="false">AH46+AH47+AH50+AH57+AH58</f>
        <v>-105.765644586226</v>
      </c>
      <c r="AI59" s="56" t="n">
        <f aca="false">AI46+AI47+AI50+AI57+AI58</f>
        <v>-105.765644586226</v>
      </c>
      <c r="AJ59" s="56" t="n">
        <f aca="false">AJ46+AJ47+AJ50+AJ57+AJ58</f>
        <v>-103.466391443047</v>
      </c>
      <c r="AK59" s="56" t="n">
        <f aca="false">AK46+AK47+AK50+AK57+AK58</f>
        <v>-0</v>
      </c>
      <c r="AL59" s="56" t="n">
        <f aca="false">AL46+AL47+AL50+AL57+AL58</f>
        <v>-0</v>
      </c>
      <c r="AM59" s="56" t="n">
        <f aca="false">AM46+AM47+AM50+AM57+AM58</f>
        <v>-0</v>
      </c>
      <c r="AN59" s="56" t="n">
        <f aca="false">AN46+AN47+AN50+AN57+AN58</f>
        <v>-0</v>
      </c>
      <c r="AO59" s="56" t="n">
        <f aca="false">AO46+AO47+AO50+AO57+AO58</f>
        <v>-0</v>
      </c>
      <c r="AP59" s="56" t="n">
        <f aca="false">AP46+AP47+AP50+AP57+AP58</f>
        <v>-0</v>
      </c>
      <c r="AQ59" s="56" t="n">
        <f aca="false">AQ46+AQ47+AQ50+AQ57+AQ58</f>
        <v>-0</v>
      </c>
      <c r="AR59" s="56" t="n">
        <f aca="false">AR46+AR47+AR50+AR57+AR58</f>
        <v>-0</v>
      </c>
      <c r="AS59" s="56" t="n">
        <f aca="false">AS46+AS47+AS50+AS57+AS58</f>
        <v>-0</v>
      </c>
      <c r="AT59" s="56" t="n">
        <f aca="false">AT46+AT47+AT50+AT57+AT58</f>
        <v>-0</v>
      </c>
      <c r="AU59" s="56" t="n">
        <f aca="false">AU46+AU47+AU50+AU57+AU58</f>
        <v>-0</v>
      </c>
      <c r="AV59" s="56" t="n">
        <f aca="false">AV46+AV47+AV50+AV57+AV58</f>
        <v>-0</v>
      </c>
      <c r="AW59" s="56" t="n">
        <f aca="false">AW46+AW47+AW50+AW57+AW58</f>
        <v>-0</v>
      </c>
      <c r="AX59" s="56" t="n">
        <f aca="false">AX46+AX47+AX50+AX57+AX58</f>
        <v>-0</v>
      </c>
      <c r="AY59" s="56" t="n">
        <f aca="false">AY46+AY47+AY50+AY57+AY58</f>
        <v>-0</v>
      </c>
      <c r="AZ59" s="56" t="n">
        <f aca="false">AZ46+AZ47+AZ50+AZ57+AZ58</f>
        <v>-0</v>
      </c>
      <c r="BA59" s="56" t="n">
        <f aca="false">BA46+BA47+BA50+BA57+BA58</f>
        <v>-0</v>
      </c>
      <c r="BB59" s="56" t="n">
        <f aca="false">BB46+BB47+BB50+BB57+BB58</f>
        <v>-0</v>
      </c>
      <c r="BC59" s="56" t="n">
        <f aca="false">BC46+BC47+BC50+BC57+BC58</f>
        <v>-0</v>
      </c>
      <c r="BD59" s="56" t="n">
        <f aca="false">BD46+BD47+BD50+BD57+BD58</f>
        <v>-0</v>
      </c>
      <c r="BE59" s="56" t="n">
        <f aca="false">BE46+BE47+BE50+BE57+BE58</f>
        <v>-0</v>
      </c>
      <c r="BF59" s="56" t="n">
        <f aca="false">BF46+BF47+BF50+BF57+BF58</f>
        <v>-0</v>
      </c>
      <c r="BG59" s="56" t="n">
        <f aca="false">BG46+BG47+BG50+BG57+BG58</f>
        <v>-0</v>
      </c>
      <c r="BH59" s="56" t="n">
        <f aca="false">BH46+BH47+BH50+BH57+BH58</f>
        <v>-0</v>
      </c>
      <c r="BI59" s="56" t="n">
        <f aca="false">BI46+BI47+BI50+BI57+BI58</f>
        <v>-0</v>
      </c>
      <c r="BJ59" s="56" t="n">
        <f aca="false">BJ46+BJ47+BJ50+BJ57+BJ58</f>
        <v>-0</v>
      </c>
      <c r="BK59" s="56" t="n">
        <f aca="false">BK46+BK47+BK50+BK57+BK58</f>
        <v>-0</v>
      </c>
      <c r="BL59" s="56" t="n">
        <f aca="false">BL46+BL47+BL50+BL57+BL58</f>
        <v>-0</v>
      </c>
      <c r="BM59" s="56" t="n">
        <f aca="false">BM46+BM47+BM50+BM57+BM58</f>
        <v>-0</v>
      </c>
      <c r="BN59" s="56" t="n">
        <f aca="false">BN46+BN47+BN50+BN57+BN58</f>
        <v>-0</v>
      </c>
      <c r="BO59" s="56" t="n">
        <f aca="false">BO46+BO47+BO50+BO57+BO58</f>
        <v>-0</v>
      </c>
      <c r="BP59" s="56" t="n">
        <f aca="false">BP46+BP47+BP50+BP57+BP58</f>
        <v>-0</v>
      </c>
      <c r="BQ59" s="56" t="n">
        <f aca="false">BQ46+BQ47+BQ50+BQ57+BQ58</f>
        <v>-0</v>
      </c>
      <c r="BR59" s="56" t="n">
        <f aca="false">BR46+BR47+BR50+BR57+BR58</f>
        <v>-0</v>
      </c>
      <c r="BS59" s="56" t="n">
        <f aca="false">BS46+BS47+BS50+BS57+BS58</f>
        <v>-0</v>
      </c>
      <c r="BT59" s="56" t="n">
        <f aca="false">BT46+BT47+BT50+BT57+BT58</f>
        <v>-0</v>
      </c>
      <c r="BU59" s="56" t="n">
        <f aca="false">BU46+BU47+BU50+BU57+BU58</f>
        <v>-0</v>
      </c>
      <c r="BV59" s="56" t="n">
        <f aca="false">BV46+BV47+BV50+BV57+BV58</f>
        <v>-0</v>
      </c>
      <c r="BW59" s="56" t="n">
        <f aca="false">BW46+BW47+BW50+BW57+BW58</f>
        <v>-0</v>
      </c>
      <c r="BX59" s="56" t="n">
        <f aca="false">BX46+BX47+BX50+BX57+BX58</f>
        <v>-0</v>
      </c>
      <c r="BY59" s="56" t="n">
        <f aca="false">BY46+BY47+BY50+BY57+BY58</f>
        <v>-0</v>
      </c>
      <c r="BZ59" s="56" t="n">
        <f aca="false">BZ46+BZ47+BZ50+BZ57+BZ58</f>
        <v>-0</v>
      </c>
      <c r="CA59" s="56" t="n">
        <f aca="false">CA46+CA47+CA50+CA57+CA58</f>
        <v>-0</v>
      </c>
      <c r="CB59" s="56" t="n">
        <f aca="false">CB46+CB47+CB50+CB57+CB58</f>
        <v>-0</v>
      </c>
      <c r="CC59" s="56" t="n">
        <f aca="false">CC46+CC47+CC50+CC57+CC58</f>
        <v>-0</v>
      </c>
      <c r="CD59" s="56" t="n">
        <f aca="false">CD46+CD47+CD50+CD57+CD58</f>
        <v>-0</v>
      </c>
      <c r="CE59" s="56" t="n">
        <f aca="false">CE46+CE47+CE50+CE57+CE58</f>
        <v>-0</v>
      </c>
      <c r="CF59" s="56" t="n">
        <f aca="false">CF46+CF47+CF50+CF57+CF58</f>
        <v>-0</v>
      </c>
      <c r="CG59" s="56" t="n">
        <f aca="false">CG46+CG47+CG50+CG57+CG58</f>
        <v>-0</v>
      </c>
      <c r="CH59" s="56" t="n">
        <f aca="false">CH46+CH47+CH50+CH57+CH58</f>
        <v>-0</v>
      </c>
      <c r="CI59" s="56" t="n">
        <f aca="false">CI46+CI47+CI50+CI57+CI58</f>
        <v>-0</v>
      </c>
      <c r="CJ59" s="56" t="n">
        <f aca="false">CJ46+CJ47+CJ50+CJ57+CJ58</f>
        <v>-0</v>
      </c>
      <c r="CK59" s="56" t="n">
        <f aca="false">CK46+CK47+CK50+CK57+CK58</f>
        <v>-0</v>
      </c>
      <c r="CL59" s="56" t="n">
        <f aca="false">CL46+CL47+CL50+CL57+CL58</f>
        <v>-0</v>
      </c>
      <c r="CM59" s="56" t="n">
        <f aca="false">CM46+CM47+CM50+CM57+CM58</f>
        <v>-0</v>
      </c>
      <c r="CN59" s="56" t="n">
        <f aca="false">CN46+CN47+CN50+CN57+CN58</f>
        <v>-0</v>
      </c>
      <c r="CO59" s="56" t="n">
        <f aca="false">CO46+CO47+CO50+CO57+CO58</f>
        <v>-0</v>
      </c>
      <c r="CP59" s="56" t="n">
        <f aca="false">CP46+CP47+CP50+CP57+CP58</f>
        <v>-0</v>
      </c>
      <c r="CQ59" s="56" t="n">
        <f aca="false">CQ46+CQ47+CQ50+CQ57+CQ58</f>
        <v>-0</v>
      </c>
      <c r="CR59" s="56" t="n">
        <f aca="false">CR46+CR47+CR50+CR57+CR58</f>
        <v>-0</v>
      </c>
      <c r="CS59" s="56" t="n">
        <f aca="false">CS46+CS47+CS50+CS57+CS58</f>
        <v>-0</v>
      </c>
      <c r="CT59" s="56" t="n">
        <f aca="false">CT46+CT47+CT50+CT57+CT58</f>
        <v>-0</v>
      </c>
      <c r="CU59" s="56" t="n">
        <f aca="false">CU46+CU47+CU50+CU57+CU58</f>
        <v>-0</v>
      </c>
      <c r="CV59" s="56" t="n">
        <f aca="false">CV46+CV47+CV50+CV57+CV58</f>
        <v>-0</v>
      </c>
      <c r="CW59" s="56" t="n">
        <f aca="false">CW46+CW47+CW50+CW57+CW58</f>
        <v>-0</v>
      </c>
      <c r="CX59" s="56" t="n">
        <f aca="false">CX46+CX47+CX50+CX57+CX58</f>
        <v>-0</v>
      </c>
      <c r="CY59" s="56" t="n">
        <f aca="false">CY46+CY47+CY50+CY57+CY58</f>
        <v>-0</v>
      </c>
      <c r="CZ59" s="56" t="n">
        <f aca="false">CZ46+CZ47+CZ50+CZ57+CZ58</f>
        <v>-0</v>
      </c>
      <c r="DA59" s="56" t="n">
        <f aca="false">DA46+DA47+DA50+DA57+DA58</f>
        <v>-0</v>
      </c>
      <c r="DB59" s="56" t="n">
        <f aca="false">DB46+DB47+DB50+DB57+DB58</f>
        <v>-0</v>
      </c>
      <c r="DC59" s="56" t="n">
        <f aca="false">DC46+DC47+DC50+DC57+DC58</f>
        <v>-0</v>
      </c>
      <c r="DD59" s="56" t="n">
        <f aca="false">DD46+DD47+DD50+DD57+DD58</f>
        <v>-0</v>
      </c>
      <c r="DE59" s="56" t="n">
        <f aca="false">DE46+DE47+DE50+DE57+DE58</f>
        <v>-0</v>
      </c>
      <c r="DF59" s="56" t="n">
        <f aca="false">DF46+DF47+DF50+DF57+DF58</f>
        <v>-0</v>
      </c>
      <c r="DG59" s="56" t="n">
        <f aca="false">DG46+DG47+DG50+DG57+DG58</f>
        <v>-0</v>
      </c>
      <c r="DH59" s="56" t="n">
        <f aca="false">DH46+DH47+DH50+DH57+DH58</f>
        <v>-0</v>
      </c>
      <c r="DI59" s="56" t="n">
        <f aca="false">DI46+DI47+DI50+DI57+DI58</f>
        <v>-0</v>
      </c>
      <c r="DJ59" s="56" t="n">
        <f aca="false">DJ46+DJ47+DJ50+DJ57+DJ58</f>
        <v>-0</v>
      </c>
      <c r="DK59" s="56" t="n">
        <f aca="false">DK46+DK47+DK50+DK57+DK58</f>
        <v>-0</v>
      </c>
      <c r="DL59" s="56" t="n">
        <f aca="false">DL46+DL47+DL50+DL57+DL58</f>
        <v>-0</v>
      </c>
      <c r="DM59" s="56" t="n">
        <f aca="false">DM46+DM47+DM50+DM57+DM58</f>
        <v>-0</v>
      </c>
      <c r="DN59" s="56" t="n">
        <f aca="false">DN46+DN47+DN50+DN57+DN58</f>
        <v>-0</v>
      </c>
      <c r="DO59" s="56" t="n">
        <f aca="false">DO46+DO47+DO50+DO57+DO58</f>
        <v>-0</v>
      </c>
      <c r="DP59" s="56" t="n">
        <f aca="false">DP46+DP47+DP50+DP57+DP58</f>
        <v>-0</v>
      </c>
      <c r="DQ59" s="56" t="n">
        <f aca="false">DQ46+DQ47+DQ50+DQ57+DQ58</f>
        <v>-0</v>
      </c>
      <c r="DR59" s="56" t="n">
        <f aca="false">DR46+DR47+DR50+DR57+DR58</f>
        <v>-0</v>
      </c>
      <c r="DS59" s="56" t="n">
        <f aca="false">DS46+DS47+DS50+DS57+DS58</f>
        <v>-0</v>
      </c>
      <c r="DT59" s="56" t="n">
        <f aca="false">DT46+DT47+DT50+DT57+DT58</f>
        <v>-0</v>
      </c>
      <c r="DU59" s="56" t="n">
        <f aca="false">DU46+DU47+DU50+DU57+DU58</f>
        <v>-0</v>
      </c>
      <c r="DV59" s="56" t="n">
        <f aca="false">DV46+DV47+DV50+DV57+DV58</f>
        <v>-0</v>
      </c>
      <c r="DW59" s="56" t="n">
        <f aca="false">DW46+DW47+DW50+DW57+DW58</f>
        <v>-0</v>
      </c>
      <c r="DX59" s="56" t="n">
        <f aca="false">DX46+DX47+DX50+DX57+DX58</f>
        <v>-0</v>
      </c>
      <c r="DY59" s="56" t="n">
        <f aca="false">DY46+DY47+DY50+DY57+DY58</f>
        <v>-0</v>
      </c>
      <c r="DZ59" s="56" t="n">
        <f aca="false">DZ46+DZ47+DZ50+DZ57+DZ58</f>
        <v>-0</v>
      </c>
      <c r="EA59" s="56" t="n">
        <f aca="false">EA46+EA47+EA50+EA57+EA58</f>
        <v>-0</v>
      </c>
      <c r="EB59" s="56" t="n">
        <f aca="false">EB46+EB47+EB50+EB57+EB58</f>
        <v>-0</v>
      </c>
      <c r="EC59" s="56" t="n">
        <f aca="false">EC46+EC47+EC50+EC57+EC58</f>
        <v>-0</v>
      </c>
      <c r="ED59" s="56" t="n">
        <f aca="false">ED46+ED47+ED50+ED57+ED58</f>
        <v>-0</v>
      </c>
      <c r="EE59" s="56" t="n">
        <f aca="false">EE46+EE47+EE50+EE57+EE58</f>
        <v>-0</v>
      </c>
      <c r="EF59" s="56" t="n">
        <f aca="false">EF46+EF47+EF50+EF57+EF58</f>
        <v>-0</v>
      </c>
      <c r="EG59" s="56" t="n">
        <f aca="false">EG46+EG47+EG50+EG57+EG58</f>
        <v>-0</v>
      </c>
      <c r="EH59" s="56" t="n">
        <f aca="false">EH46+EH47+EH50+EH57+EH58</f>
        <v>-0</v>
      </c>
      <c r="EI59" s="56" t="n">
        <f aca="false">EI46+EI47+EI50+EI57+EI58</f>
        <v>-0</v>
      </c>
      <c r="EJ59" s="56" t="n">
        <f aca="false">EJ46+EJ47+EJ50+EJ57+EJ58</f>
        <v>-0</v>
      </c>
      <c r="EK59" s="56" t="n">
        <f aca="false">EK46+EK47+EK50+EK57+EK58</f>
        <v>-0</v>
      </c>
      <c r="EL59" s="56" t="n">
        <f aca="false">EL46+EL47+EL50+EL57+EL58</f>
        <v>-0</v>
      </c>
      <c r="EM59" s="56" t="n">
        <f aca="false">EM46+EM47+EM50+EM57+EM58</f>
        <v>-0</v>
      </c>
      <c r="EN59" s="56" t="n">
        <f aca="false">EN46+EN47+EN50+EN57+EN58</f>
        <v>-0</v>
      </c>
      <c r="EO59" s="56" t="n">
        <f aca="false">EO46+EO47+EO50+EO57+EO58</f>
        <v>-0</v>
      </c>
      <c r="EP59" s="56" t="n">
        <f aca="false">EP46+EP47+EP50+EP57+EP58</f>
        <v>-0</v>
      </c>
      <c r="EQ59" s="56" t="n">
        <f aca="false">EQ46+EQ47+EQ50+EQ57+EQ58</f>
        <v>-0</v>
      </c>
      <c r="ER59" s="56" t="n">
        <f aca="false">ER46+ER47+ER50+ER57+ER58</f>
        <v>-0</v>
      </c>
      <c r="ES59" s="56" t="n">
        <f aca="false">ES46+ES47+ES50+ES57+ES58</f>
        <v>-0</v>
      </c>
      <c r="ET59" s="56" t="n">
        <f aca="false">ET46+ET47+ET50+ET57+ET58</f>
        <v>-0</v>
      </c>
    </row>
    <row r="60" customFormat="false" ht="15" hidden="false" customHeight="false" outlineLevel="0" collapsed="false">
      <c r="C60" s="1" t="s">
        <v>489</v>
      </c>
      <c r="D60" s="12" t="s">
        <v>222</v>
      </c>
      <c r="E60" s="47" t="n">
        <f aca="false">SUMIF($J$4:$ET$4,$E12,$J60:$ET60)</f>
        <v>21850.9278191781</v>
      </c>
      <c r="I60" s="57"/>
      <c r="J60" s="47" t="n">
        <f aca="false">I60-J47-J50-J53-J55</f>
        <v>0</v>
      </c>
      <c r="K60" s="47" t="n">
        <f aca="false">J60-K47-K50-K53-K55</f>
        <v>1241.09589041096</v>
      </c>
      <c r="L60" s="47" t="n">
        <f aca="false">K60-L47-L50-L53-L55</f>
        <v>1421.67739726027</v>
      </c>
      <c r="M60" s="47" t="n">
        <f aca="false">L60-M47-M50-M53-M55</f>
        <v>1421.67739726027</v>
      </c>
      <c r="N60" s="47" t="n">
        <f aca="false">M60-N47-N50-N53-N55</f>
        <v>1421.67739726027</v>
      </c>
      <c r="O60" s="47" t="n">
        <f aca="false">N60-O47-O50-O53-O55</f>
        <v>1421.67739726027</v>
      </c>
      <c r="P60" s="47" t="n">
        <f aca="false">O60-P47-P50-P53-P55</f>
        <v>1421.67739726027</v>
      </c>
      <c r="Q60" s="47" t="n">
        <f aca="false">P60-Q47-Q50-Q53-Q55</f>
        <v>1421.67739726027</v>
      </c>
      <c r="R60" s="47" t="n">
        <f aca="false">Q60-R47-R50-R53-R55</f>
        <v>1421.67739726027</v>
      </c>
      <c r="S60" s="47" t="n">
        <f aca="false">R60-S47-S50-S53-S55</f>
        <v>1421.67739726027</v>
      </c>
      <c r="T60" s="47" t="n">
        <f aca="false">S60-T47-T50-T53-T55</f>
        <v>21850.9278191781</v>
      </c>
      <c r="U60" s="47" t="n">
        <f aca="false">T60-U47-U50-U53-U55</f>
        <v>21850.9278191781</v>
      </c>
      <c r="V60" s="47" t="n">
        <f aca="false">U60-V47-V50-V53-V55</f>
        <v>21850.9278191781</v>
      </c>
      <c r="W60" s="47" t="n">
        <f aca="false">V60-W47-W50-W53-W55</f>
        <v>21850.9278191781</v>
      </c>
      <c r="X60" s="47" t="n">
        <f aca="false">W60-X47-X50-X53-X55</f>
        <v>21850.9278191781</v>
      </c>
      <c r="Y60" s="47" t="n">
        <f aca="false">X60-Y47-Y50-Y53-Y55</f>
        <v>21850.9278191781</v>
      </c>
      <c r="Z60" s="47" t="n">
        <f aca="false">Y60-Z47-Z50-Z53-Z55</f>
        <v>21850.9278191781</v>
      </c>
      <c r="AA60" s="47" t="n">
        <f aca="false">Z60-AA47-AA50-AA53-AA55</f>
        <v>21850.9278191781</v>
      </c>
      <c r="AB60" s="47" t="n">
        <f aca="false">AA60-AB47-AB50-AB53-AB55</f>
        <v>21850.9278191781</v>
      </c>
      <c r="AC60" s="47" t="n">
        <f aca="false">AB60-AC47-AC50-AC53-AC55</f>
        <v>21850.9278191781</v>
      </c>
      <c r="AD60" s="47" t="n">
        <f aca="false">AC60-AD47-AD50-AD53-AD55</f>
        <v>21850.9278191781</v>
      </c>
      <c r="AE60" s="47" t="n">
        <f aca="false">AD60-AE47-AE50-AE53-AE55</f>
        <v>21850.9278191781</v>
      </c>
      <c r="AF60" s="47" t="n">
        <f aca="false">AE60-AF47-AF50-AF53-AF55</f>
        <v>21850.9278191781</v>
      </c>
      <c r="AG60" s="47" t="n">
        <f aca="false">AF60-AG47-AG50-AG53-AG55</f>
        <v>21850.9278191781</v>
      </c>
      <c r="AH60" s="47" t="n">
        <f aca="false">AG60-AH47-AH50-AH53-AH55</f>
        <v>21850.9278191781</v>
      </c>
      <c r="AI60" s="47" t="n">
        <f aca="false">AH60-AI47-AI50-AI53-AI55</f>
        <v>21850.9278191781</v>
      </c>
      <c r="AJ60" s="47" t="n">
        <f aca="false">AI60-AJ47-AJ50-AJ53-AJ55</f>
        <v>21850.9278191781</v>
      </c>
      <c r="AK60" s="47" t="n">
        <f aca="false">AJ60-AK47-AK50-AK53-AK55</f>
        <v>21850.9278191781</v>
      </c>
      <c r="AL60" s="47" t="n">
        <f aca="false">AK60-AL47-AL50-AL53-AL55</f>
        <v>21850.9278191781</v>
      </c>
      <c r="AM60" s="47" t="n">
        <f aca="false">AL60-AM47-AM50-AM53-AM55</f>
        <v>21850.9278191781</v>
      </c>
      <c r="AN60" s="47" t="n">
        <f aca="false">AM60-AN47-AN50-AN53-AN55</f>
        <v>21850.9278191781</v>
      </c>
      <c r="AO60" s="47" t="n">
        <f aca="false">AN60-AO47-AO50-AO53-AO55</f>
        <v>21850.9278191781</v>
      </c>
      <c r="AP60" s="47" t="n">
        <f aca="false">AO60-AP47-AP50-AP53-AP55</f>
        <v>21850.9278191781</v>
      </c>
      <c r="AQ60" s="47" t="n">
        <f aca="false">AP60-AQ47-AQ50-AQ53-AQ55</f>
        <v>21850.9278191781</v>
      </c>
      <c r="AR60" s="47" t="n">
        <f aca="false">AQ60-AR47-AR50-AR53-AR55</f>
        <v>21850.9278191781</v>
      </c>
      <c r="AS60" s="47" t="n">
        <f aca="false">AR60-AS47-AS50-AS53-AS55</f>
        <v>21850.9278191781</v>
      </c>
      <c r="AT60" s="47" t="n">
        <f aca="false">AS60-AT47-AT50-AT53-AT55</f>
        <v>21850.9278191781</v>
      </c>
      <c r="AU60" s="47" t="n">
        <f aca="false">AT60-AU47-AU50-AU53-AU55</f>
        <v>21850.9278191781</v>
      </c>
      <c r="AV60" s="47" t="n">
        <f aca="false">AU60-AV47-AV50-AV53-AV55</f>
        <v>21850.9278191781</v>
      </c>
      <c r="AW60" s="47" t="n">
        <f aca="false">AV60-AW47-AW50-AW53-AW55</f>
        <v>21850.9278191781</v>
      </c>
      <c r="AX60" s="47" t="n">
        <f aca="false">AW60-AX47-AX50-AX53-AX55</f>
        <v>21850.9278191781</v>
      </c>
      <c r="AY60" s="47" t="n">
        <f aca="false">AX60-AY47-AY50-AY53-AY55</f>
        <v>21850.9278191781</v>
      </c>
      <c r="AZ60" s="47" t="n">
        <f aca="false">AY60-AZ47-AZ50-AZ53-AZ55</f>
        <v>21850.9278191781</v>
      </c>
      <c r="BA60" s="47" t="n">
        <f aca="false">AZ60-BA47-BA50-BA53-BA55</f>
        <v>21850.9278191781</v>
      </c>
      <c r="BB60" s="47" t="n">
        <f aca="false">BA60-BB47-BB50-BB53-BB55</f>
        <v>21850.9278191781</v>
      </c>
      <c r="BC60" s="47" t="n">
        <f aca="false">BB60-BC47-BC50-BC53-BC55</f>
        <v>21850.9278191781</v>
      </c>
      <c r="BD60" s="47" t="n">
        <f aca="false">BC60-BD47-BD50-BD53-BD55</f>
        <v>21850.9278191781</v>
      </c>
      <c r="BE60" s="47" t="n">
        <f aca="false">BD60-BE47-BE50-BE53-BE55</f>
        <v>21850.9278191781</v>
      </c>
      <c r="BF60" s="47" t="n">
        <f aca="false">BE60-BF47-BF50-BF53-BF55</f>
        <v>21850.9278191781</v>
      </c>
      <c r="BG60" s="47" t="n">
        <f aca="false">BF60-BG47-BG50-BG53-BG55</f>
        <v>21850.9278191781</v>
      </c>
      <c r="BH60" s="47" t="n">
        <f aca="false">BG60-BH47-BH50-BH53-BH55</f>
        <v>21850.9278191781</v>
      </c>
      <c r="BI60" s="47" t="n">
        <f aca="false">BH60-BI47-BI50-BI53-BI55</f>
        <v>21850.9278191781</v>
      </c>
      <c r="BJ60" s="47" t="n">
        <f aca="false">BI60-BJ47-BJ50-BJ53-BJ55</f>
        <v>21850.9278191781</v>
      </c>
      <c r="BK60" s="47" t="n">
        <f aca="false">BJ60-BK47-BK50-BK53-BK55</f>
        <v>21850.9278191781</v>
      </c>
      <c r="BL60" s="47" t="n">
        <f aca="false">BK60-BL47-BL50-BL53-BL55</f>
        <v>21850.9278191781</v>
      </c>
      <c r="BM60" s="47" t="n">
        <f aca="false">BL60-BM47-BM50-BM53-BM55</f>
        <v>21850.9278191781</v>
      </c>
      <c r="BN60" s="47" t="n">
        <f aca="false">BM60-BN47-BN50-BN53-BN55</f>
        <v>21850.9278191781</v>
      </c>
      <c r="BO60" s="47" t="n">
        <f aca="false">BN60-BO47-BO50-BO53-BO55</f>
        <v>21850.9278191781</v>
      </c>
      <c r="BP60" s="47" t="n">
        <f aca="false">BO60-BP47-BP50-BP53-BP55</f>
        <v>21850.9278191781</v>
      </c>
      <c r="BQ60" s="47" t="n">
        <f aca="false">BP60-BQ47-BQ50-BQ53-BQ55</f>
        <v>21850.9278191781</v>
      </c>
      <c r="BR60" s="47" t="n">
        <f aca="false">BQ60-BR47-BR50-BR53-BR55</f>
        <v>21850.9278191781</v>
      </c>
      <c r="BS60" s="47" t="n">
        <f aca="false">BR60-BS47-BS50-BS53-BS55</f>
        <v>21850.9278191781</v>
      </c>
      <c r="BT60" s="47" t="n">
        <f aca="false">BS60-BT47-BT50-BT53-BT55</f>
        <v>21850.9278191781</v>
      </c>
      <c r="BU60" s="47" t="n">
        <f aca="false">BT60-BU47-BU50-BU53-BU55</f>
        <v>21850.9278191781</v>
      </c>
      <c r="BV60" s="47" t="n">
        <f aca="false">BU60-BV47-BV50-BV53-BV55</f>
        <v>21850.9278191781</v>
      </c>
      <c r="BW60" s="47" t="n">
        <f aca="false">BV60-BW47-BW50-BW53-BW55</f>
        <v>21850.9278191781</v>
      </c>
      <c r="BX60" s="47" t="n">
        <f aca="false">BW60-BX47-BX50-BX53-BX55</f>
        <v>21850.9278191781</v>
      </c>
      <c r="BY60" s="47" t="n">
        <f aca="false">BX60-BY47-BY50-BY53-BY55</f>
        <v>21850.9278191781</v>
      </c>
      <c r="BZ60" s="47" t="n">
        <f aca="false">BY60-BZ47-BZ50-BZ53-BZ55</f>
        <v>21850.9278191781</v>
      </c>
      <c r="CA60" s="47" t="n">
        <f aca="false">BZ60-CA47-CA50-CA53-CA55</f>
        <v>21850.9278191781</v>
      </c>
      <c r="CB60" s="47" t="n">
        <f aca="false">CA60-CB47-CB50-CB53-CB55</f>
        <v>21850.9278191781</v>
      </c>
      <c r="CC60" s="47" t="n">
        <f aca="false">CB60-CC47-CC50-CC53-CC55</f>
        <v>21850.9278191781</v>
      </c>
      <c r="CD60" s="47" t="n">
        <f aca="false">CC60-CD47-CD50-CD53-CD55</f>
        <v>21850.9278191781</v>
      </c>
      <c r="CE60" s="47" t="n">
        <f aca="false">CD60-CE47-CE50-CE53-CE55</f>
        <v>21850.9278191781</v>
      </c>
      <c r="CF60" s="47" t="n">
        <f aca="false">CE60-CF47-CF50-CF53-CF55</f>
        <v>21850.9278191781</v>
      </c>
      <c r="CG60" s="47" t="n">
        <f aca="false">CF60-CG47-CG50-CG53-CG55</f>
        <v>21850.9278191781</v>
      </c>
      <c r="CH60" s="47" t="n">
        <f aca="false">CG60-CH47-CH50-CH53-CH55</f>
        <v>21850.9278191781</v>
      </c>
      <c r="CI60" s="47" t="n">
        <f aca="false">CH60-CI47-CI50-CI53-CI55</f>
        <v>21850.9278191781</v>
      </c>
      <c r="CJ60" s="47" t="n">
        <f aca="false">CI60-CJ47-CJ50-CJ53-CJ55</f>
        <v>21850.9278191781</v>
      </c>
      <c r="CK60" s="47" t="n">
        <f aca="false">CJ60-CK47-CK50-CK53-CK55</f>
        <v>21850.9278191781</v>
      </c>
      <c r="CL60" s="47" t="n">
        <f aca="false">CK60-CL47-CL50-CL53-CL55</f>
        <v>21850.9278191781</v>
      </c>
      <c r="CM60" s="47" t="n">
        <f aca="false">CL60-CM47-CM50-CM53-CM55</f>
        <v>21850.9278191781</v>
      </c>
      <c r="CN60" s="47" t="n">
        <f aca="false">CM60-CN47-CN50-CN53-CN55</f>
        <v>21850.9278191781</v>
      </c>
      <c r="CO60" s="47" t="n">
        <f aca="false">CN60-CO47-CO50-CO53-CO55</f>
        <v>21850.9278191781</v>
      </c>
      <c r="CP60" s="47" t="n">
        <f aca="false">CO60-CP47-CP50-CP53-CP55</f>
        <v>21850.9278191781</v>
      </c>
      <c r="CQ60" s="47" t="n">
        <f aca="false">CP60-CQ47-CQ50-CQ53-CQ55</f>
        <v>21850.9278191781</v>
      </c>
      <c r="CR60" s="47" t="n">
        <f aca="false">CQ60-CR47-CR50-CR53-CR55</f>
        <v>21850.9278191781</v>
      </c>
      <c r="CS60" s="47" t="n">
        <f aca="false">CR60-CS47-CS50-CS53-CS55</f>
        <v>21850.9278191781</v>
      </c>
      <c r="CT60" s="47" t="n">
        <f aca="false">CS60-CT47-CT50-CT53-CT55</f>
        <v>21850.9278191781</v>
      </c>
      <c r="CU60" s="47" t="n">
        <f aca="false">CT60-CU47-CU50-CU53-CU55</f>
        <v>21850.9278191781</v>
      </c>
      <c r="CV60" s="47" t="n">
        <f aca="false">CU60-CV47-CV50-CV53-CV55</f>
        <v>21850.9278191781</v>
      </c>
      <c r="CW60" s="47" t="n">
        <f aca="false">CV60-CW47-CW50-CW53-CW55</f>
        <v>21850.9278191781</v>
      </c>
      <c r="CX60" s="47" t="n">
        <f aca="false">CW60-CX47-CX50-CX53-CX55</f>
        <v>21850.9278191781</v>
      </c>
      <c r="CY60" s="47" t="n">
        <f aca="false">CX60-CY47-CY50-CY53-CY55</f>
        <v>21850.9278191781</v>
      </c>
      <c r="CZ60" s="47" t="n">
        <f aca="false">CY60-CZ47-CZ50-CZ53-CZ55</f>
        <v>21850.9278191781</v>
      </c>
      <c r="DA60" s="47" t="n">
        <f aca="false">CZ60-DA47-DA50-DA53-DA55</f>
        <v>21850.9278191781</v>
      </c>
      <c r="DB60" s="47" t="n">
        <f aca="false">DA60-DB47-DB50-DB53-DB55</f>
        <v>21850.9278191781</v>
      </c>
      <c r="DC60" s="47" t="n">
        <f aca="false">DB60-DC47-DC50-DC53-DC55</f>
        <v>21850.9278191781</v>
      </c>
      <c r="DD60" s="47" t="n">
        <f aca="false">DC60-DD47-DD50-DD53-DD55</f>
        <v>21850.9278191781</v>
      </c>
      <c r="DE60" s="47" t="n">
        <f aca="false">DD60-DE47-DE50-DE53-DE55</f>
        <v>21850.9278191781</v>
      </c>
      <c r="DF60" s="47" t="n">
        <f aca="false">DE60-DF47-DF50-DF53-DF55</f>
        <v>21850.9278191781</v>
      </c>
      <c r="DG60" s="47" t="n">
        <f aca="false">DF60-DG47-DG50-DG53-DG55</f>
        <v>21850.9278191781</v>
      </c>
      <c r="DH60" s="47" t="n">
        <f aca="false">DG60-DH47-DH50-DH53-DH55</f>
        <v>21850.9278191781</v>
      </c>
      <c r="DI60" s="47" t="n">
        <f aca="false">DH60-DI47-DI50-DI53-DI55</f>
        <v>21850.9278191781</v>
      </c>
      <c r="DJ60" s="47" t="n">
        <f aca="false">DI60-DJ47-DJ50-DJ53-DJ55</f>
        <v>21850.9278191781</v>
      </c>
      <c r="DK60" s="47" t="n">
        <f aca="false">DJ60-DK47-DK50-DK53-DK55</f>
        <v>21850.9278191781</v>
      </c>
      <c r="DL60" s="47" t="n">
        <f aca="false">DK60-DL47-DL50-DL53-DL55</f>
        <v>21850.9278191781</v>
      </c>
      <c r="DM60" s="47" t="n">
        <f aca="false">DL60-DM47-DM50-DM53-DM55</f>
        <v>21850.9278191781</v>
      </c>
      <c r="DN60" s="47" t="n">
        <f aca="false">DM60-DN47-DN50-DN53-DN55</f>
        <v>21850.9278191781</v>
      </c>
      <c r="DO60" s="47" t="n">
        <f aca="false">DN60-DO47-DO50-DO53-DO55</f>
        <v>21850.9278191781</v>
      </c>
      <c r="DP60" s="47" t="n">
        <f aca="false">DO60-DP47-DP50-DP53-DP55</f>
        <v>21850.9278191781</v>
      </c>
      <c r="DQ60" s="47" t="n">
        <f aca="false">DP60-DQ47-DQ50-DQ53-DQ55</f>
        <v>21850.9278191781</v>
      </c>
      <c r="DR60" s="47" t="n">
        <f aca="false">DQ60-DR47-DR50-DR53-DR55</f>
        <v>21850.9278191781</v>
      </c>
      <c r="DS60" s="47" t="n">
        <f aca="false">DR60-DS47-DS50-DS53-DS55</f>
        <v>21850.9278191781</v>
      </c>
      <c r="DT60" s="47" t="n">
        <f aca="false">DS60-DT47-DT50-DT53-DT55</f>
        <v>21850.9278191781</v>
      </c>
      <c r="DU60" s="47" t="n">
        <f aca="false">DT60-DU47-DU50-DU53-DU55</f>
        <v>21850.9278191781</v>
      </c>
      <c r="DV60" s="47" t="n">
        <f aca="false">DU60-DV47-DV50-DV53-DV55</f>
        <v>21850.9278191781</v>
      </c>
      <c r="DW60" s="47" t="n">
        <f aca="false">DV60-DW47-DW50-DW53-DW55</f>
        <v>21850.9278191781</v>
      </c>
      <c r="DX60" s="47" t="n">
        <f aca="false">DW60-DX47-DX50-DX53-DX55</f>
        <v>21850.9278191781</v>
      </c>
      <c r="DY60" s="47" t="n">
        <f aca="false">DX60-DY47-DY50-DY53-DY55</f>
        <v>21850.9278191781</v>
      </c>
      <c r="DZ60" s="47" t="n">
        <f aca="false">DY60-DZ47-DZ50-DZ53-DZ55</f>
        <v>21850.9278191781</v>
      </c>
      <c r="EA60" s="47" t="n">
        <f aca="false">DZ60-EA47-EA50-EA53-EA55</f>
        <v>21850.9278191781</v>
      </c>
      <c r="EB60" s="47" t="n">
        <f aca="false">EA60-EB47-EB50-EB53-EB55</f>
        <v>21850.9278191781</v>
      </c>
      <c r="EC60" s="47" t="n">
        <f aca="false">EB60-EC47-EC50-EC53-EC55</f>
        <v>21850.9278191781</v>
      </c>
      <c r="ED60" s="47" t="n">
        <f aca="false">EC60-ED47-ED50-ED53-ED55</f>
        <v>21850.9278191781</v>
      </c>
      <c r="EE60" s="47" t="n">
        <f aca="false">ED60-EE47-EE50-EE53-EE55</f>
        <v>21850.9278191781</v>
      </c>
      <c r="EF60" s="47" t="n">
        <f aca="false">EE60-EF47-EF50-EF53-EF55</f>
        <v>21850.9278191781</v>
      </c>
      <c r="EG60" s="47" t="n">
        <f aca="false">EF60-EG47-EG50-EG53-EG55</f>
        <v>21850.9278191781</v>
      </c>
      <c r="EH60" s="47" t="n">
        <f aca="false">EG60-EH47-EH50-EH53-EH55</f>
        <v>21850.9278191781</v>
      </c>
      <c r="EI60" s="47" t="n">
        <f aca="false">EH60-EI47-EI50-EI53-EI55</f>
        <v>21850.9278191781</v>
      </c>
      <c r="EJ60" s="47" t="n">
        <f aca="false">EI60-EJ47-EJ50-EJ53-EJ55</f>
        <v>21850.9278191781</v>
      </c>
      <c r="EK60" s="47" t="n">
        <f aca="false">EJ60-EK47-EK50-EK53-EK55</f>
        <v>21850.9278191781</v>
      </c>
      <c r="EL60" s="47" t="n">
        <f aca="false">EK60-EL47-EL50-EL53-EL55</f>
        <v>21850.9278191781</v>
      </c>
      <c r="EM60" s="47" t="n">
        <f aca="false">EL60-EM47-EM50-EM53-EM55</f>
        <v>21850.9278191781</v>
      </c>
      <c r="EN60" s="47" t="n">
        <f aca="false">EM60-EN47-EN50-EN53-EN55</f>
        <v>21850.9278191781</v>
      </c>
      <c r="EO60" s="47" t="n">
        <f aca="false">EN60-EO47-EO50-EO53-EO55</f>
        <v>21850.9278191781</v>
      </c>
      <c r="EP60" s="47" t="n">
        <f aca="false">EO60-EP47-EP50-EP53-EP55</f>
        <v>21850.9278191781</v>
      </c>
      <c r="EQ60" s="47" t="n">
        <f aca="false">EP60-EQ47-EQ50-EQ53-EQ55</f>
        <v>21850.9278191781</v>
      </c>
      <c r="ER60" s="47" t="n">
        <f aca="false">EQ60-ER47-ER50-ER53-ER55</f>
        <v>21850.9278191781</v>
      </c>
      <c r="ES60" s="47" t="n">
        <f aca="false">ER60-ES47-ES50-ES53-ES55</f>
        <v>21850.9278191781</v>
      </c>
      <c r="ET60" s="47" t="n">
        <f aca="false">ES60-ET47-ET50-ET53-ET55</f>
        <v>21850.9278191781</v>
      </c>
    </row>
    <row r="62" customFormat="false" ht="15" hidden="false" customHeight="false" outlineLevel="0" collapsed="false">
      <c r="A62" s="10" t="s">
        <v>13</v>
      </c>
      <c r="B62" s="10"/>
      <c r="C62" s="10" t="s">
        <v>490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</row>
    <row r="63" customFormat="false" ht="15" hidden="false" customHeight="false" outlineLevel="0" collapsed="false">
      <c r="A63" s="36"/>
      <c r="B63" s="36"/>
      <c r="C63" s="36" t="s">
        <v>491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</row>
    <row r="64" customFormat="false" ht="15" hidden="false" customHeight="false" outlineLevel="0" collapsed="false">
      <c r="C64" s="1" t="s">
        <v>492</v>
      </c>
      <c r="D64" s="12" t="s">
        <v>222</v>
      </c>
      <c r="E64" s="47" t="n">
        <f aca="false">SUMIF($J$4:$ET$4,"&lt;="&amp;$E12,$J64:$ET64)+$I47</f>
        <v>21412.2641205479</v>
      </c>
      <c r="I64" s="47" t="n">
        <f aca="false">SUM(J64:ET64)</f>
        <v>21420.4832986301</v>
      </c>
      <c r="J64" s="47" t="n">
        <f aca="false">-(J47+J50+J53)</f>
        <v>0</v>
      </c>
      <c r="K64" s="47" t="n">
        <f aca="false">-(K47+K50+K53)</f>
        <v>1241.09589041096</v>
      </c>
      <c r="L64" s="47" t="n">
        <f aca="false">-(L47+L50+L53)</f>
        <v>0</v>
      </c>
      <c r="M64" s="47" t="n">
        <f aca="false">-(M47+M50+M53)</f>
        <v>0</v>
      </c>
      <c r="N64" s="47" t="n">
        <f aca="false">-(N47+N50+N53)</f>
        <v>0</v>
      </c>
      <c r="O64" s="47" t="n">
        <f aca="false">-(O47+O50+O53)</f>
        <v>0</v>
      </c>
      <c r="P64" s="47" t="n">
        <f aca="false">-(P47+P50+P53)</f>
        <v>0</v>
      </c>
      <c r="Q64" s="47" t="n">
        <f aca="false">-(Q47+Q50+Q53)</f>
        <v>0</v>
      </c>
      <c r="R64" s="47" t="n">
        <f aca="false">-(R47+R50+R53)</f>
        <v>0</v>
      </c>
      <c r="S64" s="47" t="n">
        <f aca="false">-(S47+S50+S53)</f>
        <v>0</v>
      </c>
      <c r="T64" s="47" t="n">
        <f aca="false">-(T47+T50+T53)</f>
        <v>20179.3874082192</v>
      </c>
      <c r="U64" s="47" t="n">
        <f aca="false">-(U47+U50+U53)</f>
        <v>0</v>
      </c>
      <c r="V64" s="47" t="n">
        <f aca="false">-(V47+V50+V53)</f>
        <v>0</v>
      </c>
      <c r="W64" s="47" t="n">
        <f aca="false">-(W47+W50+W53)</f>
        <v>0</v>
      </c>
      <c r="X64" s="47" t="n">
        <f aca="false">-(X47+X50+X53)</f>
        <v>0</v>
      </c>
      <c r="Y64" s="47" t="n">
        <f aca="false">-(Y47+Y50+Y53)</f>
        <v>0</v>
      </c>
      <c r="Z64" s="47" t="n">
        <f aca="false">-(Z47+Z50+Z53)</f>
        <v>0</v>
      </c>
      <c r="AA64" s="47" t="n">
        <f aca="false">-(AA47+AA50+AA53)</f>
        <v>0</v>
      </c>
      <c r="AB64" s="47" t="n">
        <f aca="false">-(AB47+AB50+AB53)</f>
        <v>0</v>
      </c>
      <c r="AC64" s="47" t="n">
        <f aca="false">-(AC47+AC50+AC53)</f>
        <v>0</v>
      </c>
      <c r="AD64" s="47" t="n">
        <f aca="false">-(AD47+AD50+AD53)</f>
        <v>0</v>
      </c>
      <c r="AE64" s="47" t="n">
        <f aca="false">-(AE47+AE50+AE53)</f>
        <v>0</v>
      </c>
      <c r="AF64" s="47" t="n">
        <f aca="false">-(AF47+AF50+AF53)</f>
        <v>0</v>
      </c>
      <c r="AG64" s="47" t="n">
        <f aca="false">-(AG47+AG50+AG53)</f>
        <v>0</v>
      </c>
      <c r="AH64" s="47" t="n">
        <f aca="false">-(AH47+AH50+AH53)</f>
        <v>0</v>
      </c>
      <c r="AI64" s="47" t="n">
        <f aca="false">-(AI47+AI50+AI53)</f>
        <v>0</v>
      </c>
      <c r="AJ64" s="47" t="n">
        <f aca="false">-(AJ47+AJ50+AJ53)</f>
        <v>0</v>
      </c>
      <c r="AK64" s="47" t="n">
        <f aca="false">-(AK47+AK50+AK53)</f>
        <v>0</v>
      </c>
      <c r="AL64" s="47" t="n">
        <f aca="false">-(AL47+AL50+AL53)</f>
        <v>0</v>
      </c>
      <c r="AM64" s="47" t="n">
        <f aca="false">-(AM47+AM50+AM53)</f>
        <v>0</v>
      </c>
      <c r="AN64" s="47" t="n">
        <f aca="false">-(AN47+AN50+AN53)</f>
        <v>0</v>
      </c>
      <c r="AO64" s="47" t="n">
        <f aca="false">-(AO47+AO50+AO53)</f>
        <v>0</v>
      </c>
      <c r="AP64" s="47" t="n">
        <f aca="false">-(AP47+AP50+AP53)</f>
        <v>0</v>
      </c>
      <c r="AQ64" s="47" t="n">
        <f aca="false">-(AQ47+AQ50+AQ53)</f>
        <v>0</v>
      </c>
      <c r="AR64" s="47" t="n">
        <f aca="false">-(AR47+AR50+AR53)</f>
        <v>0</v>
      </c>
      <c r="AS64" s="47" t="n">
        <f aca="false">-(AS47+AS50+AS53)</f>
        <v>0</v>
      </c>
      <c r="AT64" s="47" t="n">
        <f aca="false">-(AT47+AT50+AT53)</f>
        <v>0</v>
      </c>
      <c r="AU64" s="47" t="n">
        <f aca="false">-(AU47+AU50+AU53)</f>
        <v>0</v>
      </c>
      <c r="AV64" s="47" t="n">
        <f aca="false">-(AV47+AV50+AV53)</f>
        <v>0</v>
      </c>
      <c r="AW64" s="47" t="n">
        <f aca="false">-(AW47+AW50+AW53)</f>
        <v>0</v>
      </c>
      <c r="AX64" s="47" t="n">
        <f aca="false">-(AX47+AX50+AX53)</f>
        <v>0</v>
      </c>
      <c r="AY64" s="47" t="n">
        <f aca="false">-(AY47+AY50+AY53)</f>
        <v>0</v>
      </c>
      <c r="AZ64" s="47" t="n">
        <f aca="false">-(AZ47+AZ50+AZ53)</f>
        <v>0</v>
      </c>
      <c r="BA64" s="47" t="n">
        <f aca="false">-(BA47+BA50+BA53)</f>
        <v>0</v>
      </c>
      <c r="BB64" s="47" t="n">
        <f aca="false">-(BB47+BB50+BB53)</f>
        <v>0</v>
      </c>
      <c r="BC64" s="47" t="n">
        <f aca="false">-(BC47+BC50+BC53)</f>
        <v>0</v>
      </c>
      <c r="BD64" s="47" t="n">
        <f aca="false">-(BD47+BD50+BD53)</f>
        <v>0</v>
      </c>
      <c r="BE64" s="47" t="n">
        <f aca="false">-(BE47+BE50+BE53)</f>
        <v>0</v>
      </c>
      <c r="BF64" s="47" t="n">
        <f aca="false">-(BF47+BF50+BF53)</f>
        <v>0</v>
      </c>
      <c r="BG64" s="47" t="n">
        <f aca="false">-(BG47+BG50+BG53)</f>
        <v>0</v>
      </c>
      <c r="BH64" s="47" t="n">
        <f aca="false">-(BH47+BH50+BH53)</f>
        <v>0</v>
      </c>
      <c r="BI64" s="47" t="n">
        <f aca="false">-(BI47+BI50+BI53)</f>
        <v>0</v>
      </c>
      <c r="BJ64" s="47" t="n">
        <f aca="false">-(BJ47+BJ50+BJ53)</f>
        <v>0</v>
      </c>
      <c r="BK64" s="47" t="n">
        <f aca="false">-(BK47+BK50+BK53)</f>
        <v>0</v>
      </c>
      <c r="BL64" s="47" t="n">
        <f aca="false">-(BL47+BL50+BL53)</f>
        <v>0</v>
      </c>
      <c r="BM64" s="47" t="n">
        <f aca="false">-(BM47+BM50+BM53)</f>
        <v>0</v>
      </c>
      <c r="BN64" s="47" t="n">
        <f aca="false">-(BN47+BN50+BN53)</f>
        <v>0</v>
      </c>
      <c r="BO64" s="47" t="n">
        <f aca="false">-(BO47+BO50+BO53)</f>
        <v>0</v>
      </c>
      <c r="BP64" s="47" t="n">
        <f aca="false">-(BP47+BP50+BP53)</f>
        <v>0</v>
      </c>
      <c r="BQ64" s="47" t="n">
        <f aca="false">-(BQ47+BQ50+BQ53)</f>
        <v>0</v>
      </c>
      <c r="BR64" s="47" t="n">
        <f aca="false">-(BR47+BR50+BR53)</f>
        <v>0</v>
      </c>
      <c r="BS64" s="47" t="n">
        <f aca="false">-(BS47+BS50+BS53)</f>
        <v>0</v>
      </c>
      <c r="BT64" s="47" t="n">
        <f aca="false">-(BT47+BT50+BT53)</f>
        <v>0</v>
      </c>
      <c r="BU64" s="47" t="n">
        <f aca="false">-(BU47+BU50+BU53)</f>
        <v>0</v>
      </c>
      <c r="BV64" s="47" t="n">
        <f aca="false">-(BV47+BV50+BV53)</f>
        <v>0</v>
      </c>
      <c r="BW64" s="47" t="n">
        <f aca="false">-(BW47+BW50+BW53)</f>
        <v>0</v>
      </c>
      <c r="BX64" s="47" t="n">
        <f aca="false">-(BX47+BX50+BX53)</f>
        <v>0</v>
      </c>
      <c r="BY64" s="47" t="n">
        <f aca="false">-(BY47+BY50+BY53)</f>
        <v>0</v>
      </c>
      <c r="BZ64" s="47" t="n">
        <f aca="false">-(BZ47+BZ50+BZ53)</f>
        <v>0</v>
      </c>
      <c r="CA64" s="47" t="n">
        <f aca="false">-(CA47+CA50+CA53)</f>
        <v>0</v>
      </c>
      <c r="CB64" s="47" t="n">
        <f aca="false">-(CB47+CB50+CB53)</f>
        <v>0</v>
      </c>
      <c r="CC64" s="47" t="n">
        <f aca="false">-(CC47+CC50+CC53)</f>
        <v>0</v>
      </c>
      <c r="CD64" s="47" t="n">
        <f aca="false">-(CD47+CD50+CD53)</f>
        <v>0</v>
      </c>
      <c r="CE64" s="47" t="n">
        <f aca="false">-(CE47+CE50+CE53)</f>
        <v>0</v>
      </c>
      <c r="CF64" s="47" t="n">
        <f aca="false">-(CF47+CF50+CF53)</f>
        <v>0</v>
      </c>
      <c r="CG64" s="47" t="n">
        <f aca="false">-(CG47+CG50+CG53)</f>
        <v>0</v>
      </c>
      <c r="CH64" s="47" t="n">
        <f aca="false">-(CH47+CH50+CH53)</f>
        <v>0</v>
      </c>
      <c r="CI64" s="47" t="n">
        <f aca="false">-(CI47+CI50+CI53)</f>
        <v>0</v>
      </c>
      <c r="CJ64" s="47" t="n">
        <f aca="false">-(CJ47+CJ50+CJ53)</f>
        <v>0</v>
      </c>
      <c r="CK64" s="47" t="n">
        <f aca="false">-(CK47+CK50+CK53)</f>
        <v>0</v>
      </c>
      <c r="CL64" s="47" t="n">
        <f aca="false">-(CL47+CL50+CL53)</f>
        <v>0</v>
      </c>
      <c r="CM64" s="47" t="n">
        <f aca="false">-(CM47+CM50+CM53)</f>
        <v>0</v>
      </c>
      <c r="CN64" s="47" t="n">
        <f aca="false">-(CN47+CN50+CN53)</f>
        <v>0</v>
      </c>
      <c r="CO64" s="47" t="n">
        <f aca="false">-(CO47+CO50+CO53)</f>
        <v>0</v>
      </c>
      <c r="CP64" s="47" t="n">
        <f aca="false">-(CP47+CP50+CP53)</f>
        <v>0</v>
      </c>
      <c r="CQ64" s="47" t="n">
        <f aca="false">-(CQ47+CQ50+CQ53)</f>
        <v>0</v>
      </c>
      <c r="CR64" s="47" t="n">
        <f aca="false">-(CR47+CR50+CR53)</f>
        <v>0</v>
      </c>
      <c r="CS64" s="47" t="n">
        <f aca="false">-(CS47+CS50+CS53)</f>
        <v>0</v>
      </c>
      <c r="CT64" s="47" t="n">
        <f aca="false">-(CT47+CT50+CT53)</f>
        <v>0</v>
      </c>
      <c r="CU64" s="47" t="n">
        <f aca="false">-(CU47+CU50+CU53)</f>
        <v>0</v>
      </c>
      <c r="CV64" s="47" t="n">
        <f aca="false">-(CV47+CV50+CV53)</f>
        <v>0</v>
      </c>
      <c r="CW64" s="47" t="n">
        <f aca="false">-(CW47+CW50+CW53)</f>
        <v>0</v>
      </c>
      <c r="CX64" s="47" t="n">
        <f aca="false">-(CX47+CX50+CX53)</f>
        <v>0</v>
      </c>
      <c r="CY64" s="47" t="n">
        <f aca="false">-(CY47+CY50+CY53)</f>
        <v>0</v>
      </c>
      <c r="CZ64" s="47" t="n">
        <f aca="false">-(CZ47+CZ50+CZ53)</f>
        <v>0</v>
      </c>
      <c r="DA64" s="47" t="n">
        <f aca="false">-(DA47+DA50+DA53)</f>
        <v>0</v>
      </c>
      <c r="DB64" s="47" t="n">
        <f aca="false">-(DB47+DB50+DB53)</f>
        <v>0</v>
      </c>
      <c r="DC64" s="47" t="n">
        <f aca="false">-(DC47+DC50+DC53)</f>
        <v>0</v>
      </c>
      <c r="DD64" s="47" t="n">
        <f aca="false">-(DD47+DD50+DD53)</f>
        <v>0</v>
      </c>
      <c r="DE64" s="47" t="n">
        <f aca="false">-(DE47+DE50+DE53)</f>
        <v>0</v>
      </c>
      <c r="DF64" s="47" t="n">
        <f aca="false">-(DF47+DF50+DF53)</f>
        <v>0</v>
      </c>
      <c r="DG64" s="47" t="n">
        <f aca="false">-(DG47+DG50+DG53)</f>
        <v>0</v>
      </c>
      <c r="DH64" s="47" t="n">
        <f aca="false">-(DH47+DH50+DH53)</f>
        <v>0</v>
      </c>
      <c r="DI64" s="47" t="n">
        <f aca="false">-(DI47+DI50+DI53)</f>
        <v>0</v>
      </c>
      <c r="DJ64" s="47" t="n">
        <f aca="false">-(DJ47+DJ50+DJ53)</f>
        <v>0</v>
      </c>
      <c r="DK64" s="47" t="n">
        <f aca="false">-(DK47+DK50+DK53)</f>
        <v>0</v>
      </c>
      <c r="DL64" s="47" t="n">
        <f aca="false">-(DL47+DL50+DL53)</f>
        <v>0</v>
      </c>
      <c r="DM64" s="47" t="n">
        <f aca="false">-(DM47+DM50+DM53)</f>
        <v>0</v>
      </c>
      <c r="DN64" s="47" t="n">
        <f aca="false">-(DN47+DN50+DN53)</f>
        <v>0</v>
      </c>
      <c r="DO64" s="47" t="n">
        <f aca="false">-(DO47+DO50+DO53)</f>
        <v>0</v>
      </c>
      <c r="DP64" s="47" t="n">
        <f aca="false">-(DP47+DP50+DP53)</f>
        <v>0</v>
      </c>
      <c r="DQ64" s="47" t="n">
        <f aca="false">-(DQ47+DQ50+DQ53)</f>
        <v>0</v>
      </c>
      <c r="DR64" s="47" t="n">
        <f aca="false">-(DR47+DR50+DR53)</f>
        <v>0</v>
      </c>
      <c r="DS64" s="47" t="n">
        <f aca="false">-(DS47+DS50+DS53)</f>
        <v>0</v>
      </c>
      <c r="DT64" s="47" t="n">
        <f aca="false">-(DT47+DT50+DT53)</f>
        <v>0</v>
      </c>
      <c r="DU64" s="47" t="n">
        <f aca="false">-(DU47+DU50+DU53)</f>
        <v>0</v>
      </c>
      <c r="DV64" s="47" t="n">
        <f aca="false">-(DV47+DV50+DV53)</f>
        <v>0</v>
      </c>
      <c r="DW64" s="47" t="n">
        <f aca="false">-(DW47+DW50+DW53)</f>
        <v>0</v>
      </c>
      <c r="DX64" s="47" t="n">
        <f aca="false">-(DX47+DX50+DX53)</f>
        <v>0</v>
      </c>
      <c r="DY64" s="47" t="n">
        <f aca="false">-(DY47+DY50+DY53)</f>
        <v>0</v>
      </c>
      <c r="DZ64" s="47" t="n">
        <f aca="false">-(DZ47+DZ50+DZ53)</f>
        <v>0</v>
      </c>
      <c r="EA64" s="47" t="n">
        <f aca="false">-(EA47+EA50+EA53)</f>
        <v>0</v>
      </c>
      <c r="EB64" s="47" t="n">
        <f aca="false">-(EB47+EB50+EB53)</f>
        <v>0</v>
      </c>
      <c r="EC64" s="47" t="n">
        <f aca="false">-(EC47+EC50+EC53)</f>
        <v>0</v>
      </c>
      <c r="ED64" s="47" t="n">
        <f aca="false">-(ED47+ED50+ED53)</f>
        <v>0</v>
      </c>
      <c r="EE64" s="47" t="n">
        <f aca="false">-(EE47+EE50+EE53)</f>
        <v>0</v>
      </c>
      <c r="EF64" s="47" t="n">
        <f aca="false">-(EF47+EF50+EF53)</f>
        <v>0</v>
      </c>
      <c r="EG64" s="47" t="n">
        <f aca="false">-(EG47+EG50+EG53)</f>
        <v>0</v>
      </c>
      <c r="EH64" s="47" t="n">
        <f aca="false">-(EH47+EH50+EH53)</f>
        <v>0</v>
      </c>
      <c r="EI64" s="47" t="n">
        <f aca="false">-(EI47+EI50+EI53)</f>
        <v>0</v>
      </c>
      <c r="EJ64" s="47" t="n">
        <f aca="false">-(EJ47+EJ50+EJ53)</f>
        <v>0</v>
      </c>
      <c r="EK64" s="47" t="n">
        <f aca="false">-(EK47+EK50+EK53)</f>
        <v>0</v>
      </c>
      <c r="EL64" s="47" t="n">
        <f aca="false">-(EL47+EL50+EL53)</f>
        <v>0</v>
      </c>
      <c r="EM64" s="47" t="n">
        <f aca="false">-(EM47+EM50+EM53)</f>
        <v>0</v>
      </c>
      <c r="EN64" s="47" t="n">
        <f aca="false">-(EN47+EN50+EN53)</f>
        <v>0</v>
      </c>
      <c r="EO64" s="47" t="n">
        <f aca="false">-(EO47+EO50+EO53)</f>
        <v>0</v>
      </c>
      <c r="EP64" s="47" t="n">
        <f aca="false">-(EP47+EP50+EP53)</f>
        <v>0</v>
      </c>
      <c r="EQ64" s="47" t="n">
        <f aca="false">-(EQ47+EQ50+EQ53)</f>
        <v>0</v>
      </c>
      <c r="ER64" s="47" t="n">
        <f aca="false">-(ER47+ER50+ER53)</f>
        <v>0</v>
      </c>
      <c r="ES64" s="47" t="n">
        <f aca="false">-(ES47+ES50+ES53)</f>
        <v>0</v>
      </c>
      <c r="ET64" s="47" t="n">
        <f aca="false">-(ET47+ET50+ET53)</f>
        <v>0</v>
      </c>
    </row>
    <row r="65" customFormat="false" ht="15" hidden="false" customHeight="false" outlineLevel="0" collapsed="false">
      <c r="C65" s="1" t="s">
        <v>493</v>
      </c>
      <c r="D65" s="12" t="s">
        <v>180</v>
      </c>
      <c r="J65" s="58" t="n">
        <f aca="false">-(J47*$F47+J50*$F50+J51*$F51+J52*$F52)</f>
        <v>0</v>
      </c>
      <c r="K65" s="58" t="n">
        <f aca="false">-(K47*$F47+K50*$F50+K51*$F51+K52*$F52)</f>
        <v>57568972.6027397</v>
      </c>
      <c r="L65" s="58" t="n">
        <f aca="false">-(L47*$F47+L50*$F50+L51*$F51+L52*$F52)</f>
        <v>0</v>
      </c>
      <c r="M65" s="58" t="n">
        <f aca="false">-(M47*$F47+M50*$F50+M51*$F51+M52*$F52)</f>
        <v>0</v>
      </c>
      <c r="N65" s="58" t="n">
        <f aca="false">-(N47*$F47+N50*$F50+N51*$F51+N52*$F52)</f>
        <v>0</v>
      </c>
      <c r="O65" s="58" t="n">
        <f aca="false">-(O47*$F47+O50*$F50+O51*$F51+O52*$F52)</f>
        <v>0</v>
      </c>
      <c r="P65" s="58" t="n">
        <f aca="false">-(P47*$F47+P50*$F50+P51*$F51+P52*$F52)</f>
        <v>0</v>
      </c>
      <c r="Q65" s="58" t="n">
        <f aca="false">-(Q47*$F47+Q50*$F50+Q51*$F51+Q52*$F52)</f>
        <v>0</v>
      </c>
      <c r="R65" s="58" t="n">
        <f aca="false">-(R47*$F47+R50*$F50+R51*$F51+R52*$F52)</f>
        <v>0</v>
      </c>
      <c r="S65" s="58" t="n">
        <f aca="false">-(S47*$F47+S50*$F50+S51*$F51+S52*$F52)</f>
        <v>0</v>
      </c>
      <c r="T65" s="58" t="n">
        <f aca="false">-(T47*$F47+T50*$F50+T51*$F51+T52*$F52)</f>
        <v>950973810.999737</v>
      </c>
      <c r="U65" s="58" t="n">
        <f aca="false">-(U47*$F47+U50*$F50+U51*$F51+U52*$F52)</f>
        <v>0</v>
      </c>
      <c r="V65" s="58" t="n">
        <f aca="false">-(V47*$F47+V50*$F50+V51*$F51+V52*$F52)</f>
        <v>0</v>
      </c>
      <c r="W65" s="58" t="n">
        <f aca="false">-(W47*$F47+W50*$F50+W51*$F51+W52*$F52)</f>
        <v>0</v>
      </c>
      <c r="X65" s="58" t="n">
        <f aca="false">-(X47*$F47+X50*$F50+X51*$F51+X52*$F52)</f>
        <v>0</v>
      </c>
      <c r="Y65" s="58" t="n">
        <f aca="false">-(Y47*$F47+Y50*$F50+Y51*$F51+Y52*$F52)</f>
        <v>0</v>
      </c>
      <c r="Z65" s="58" t="n">
        <f aca="false">-(Z47*$F47+Z50*$F50+Z51*$F51+Z52*$F52)</f>
        <v>0</v>
      </c>
      <c r="AA65" s="58" t="n">
        <f aca="false">-(AA47*$F47+AA50*$F50+AA51*$F51+AA52*$F52)</f>
        <v>0</v>
      </c>
      <c r="AB65" s="58" t="n">
        <f aca="false">-(AB47*$F47+AB50*$F50+AB51*$F51+AB52*$F52)</f>
        <v>0</v>
      </c>
      <c r="AC65" s="58" t="n">
        <f aca="false">-(AC47*$F47+AC50*$F50+AC51*$F51+AC52*$F52)</f>
        <v>0</v>
      </c>
      <c r="AD65" s="58" t="n">
        <f aca="false">-(AD47*$F47+AD50*$F50+AD51*$F51+AD52*$F52)</f>
        <v>0</v>
      </c>
      <c r="AE65" s="58" t="n">
        <f aca="false">-(AE47*$F47+AE50*$F50+AE51*$F51+AE52*$F52)</f>
        <v>0</v>
      </c>
      <c r="AF65" s="58" t="n">
        <f aca="false">-(AF47*$F47+AF50*$F50+AF51*$F51+AF52*$F52)</f>
        <v>0</v>
      </c>
      <c r="AG65" s="58" t="n">
        <f aca="false">-(AG47*$F47+AG50*$F50+AG51*$F51+AG52*$F52)</f>
        <v>0</v>
      </c>
      <c r="AH65" s="58" t="n">
        <f aca="false">-(AH47*$F47+AH50*$F50+AH51*$F51+AH52*$F52)</f>
        <v>0</v>
      </c>
      <c r="AI65" s="58" t="n">
        <f aca="false">-(AI47*$F47+AI50*$F50+AI51*$F51+AI52*$F52)</f>
        <v>0</v>
      </c>
      <c r="AJ65" s="58" t="n">
        <f aca="false">-(AJ47*$F47+AJ50*$F50+AJ51*$F51+AJ52*$F52)</f>
        <v>0</v>
      </c>
      <c r="AK65" s="58" t="n">
        <f aca="false">-(AK47*$F47+AK50*$F50+AK51*$F51+AK52*$F52)</f>
        <v>0</v>
      </c>
      <c r="AL65" s="58" t="n">
        <f aca="false">-(AL47*$F47+AL50*$F50+AL51*$F51+AL52*$F52)</f>
        <v>0</v>
      </c>
      <c r="AM65" s="58" t="n">
        <f aca="false">-(AM47*$F47+AM50*$F50+AM51*$F51+AM52*$F52)</f>
        <v>0</v>
      </c>
      <c r="AN65" s="58" t="n">
        <f aca="false">-(AN47*$F47+AN50*$F50+AN51*$F51+AN52*$F52)</f>
        <v>0</v>
      </c>
      <c r="AO65" s="58" t="n">
        <f aca="false">-(AO47*$F47+AO50*$F50+AO51*$F51+AO52*$F52)</f>
        <v>0</v>
      </c>
      <c r="AP65" s="58" t="n">
        <f aca="false">-(AP47*$F47+AP50*$F50+AP51*$F51+AP52*$F52)</f>
        <v>0</v>
      </c>
      <c r="AQ65" s="58" t="n">
        <f aca="false">-(AQ47*$F47+AQ50*$F50+AQ51*$F51+AQ52*$F52)</f>
        <v>0</v>
      </c>
      <c r="AR65" s="58" t="n">
        <f aca="false">-(AR47*$F47+AR50*$F50+AR51*$F51+AR52*$F52)</f>
        <v>0</v>
      </c>
      <c r="AS65" s="58" t="n">
        <f aca="false">-(AS47*$F47+AS50*$F50+AS51*$F51+AS52*$F52)</f>
        <v>0</v>
      </c>
      <c r="AT65" s="58" t="n">
        <f aca="false">-(AT47*$F47+AT50*$F50+AT51*$F51+AT52*$F52)</f>
        <v>0</v>
      </c>
      <c r="AU65" s="58" t="n">
        <f aca="false">-(AU47*$F47+AU50*$F50+AU51*$F51+AU52*$F52)</f>
        <v>0</v>
      </c>
      <c r="AV65" s="58" t="n">
        <f aca="false">-(AV47*$F47+AV50*$F50+AV51*$F51+AV52*$F52)</f>
        <v>0</v>
      </c>
      <c r="AW65" s="58" t="n">
        <f aca="false">-(AW47*$F47+AW50*$F50+AW51*$F51+AW52*$F52)</f>
        <v>0</v>
      </c>
      <c r="AX65" s="58" t="n">
        <f aca="false">-(AX47*$F47+AX50*$F50+AX51*$F51+AX52*$F52)</f>
        <v>0</v>
      </c>
      <c r="AY65" s="58" t="n">
        <f aca="false">-(AY47*$F47+AY50*$F50+AY51*$F51+AY52*$F52)</f>
        <v>0</v>
      </c>
      <c r="AZ65" s="58" t="n">
        <f aca="false">-(AZ47*$F47+AZ50*$F50+AZ51*$F51+AZ52*$F52)</f>
        <v>0</v>
      </c>
      <c r="BA65" s="58" t="n">
        <f aca="false">-(BA47*$F47+BA50*$F50+BA51*$F51+BA52*$F52)</f>
        <v>0</v>
      </c>
      <c r="BB65" s="58" t="n">
        <f aca="false">-(BB47*$F47+BB50*$F50+BB51*$F51+BB52*$F52)</f>
        <v>0</v>
      </c>
      <c r="BC65" s="58" t="n">
        <f aca="false">-(BC47*$F47+BC50*$F50+BC51*$F51+BC52*$F52)</f>
        <v>0</v>
      </c>
      <c r="BD65" s="58" t="n">
        <f aca="false">-(BD47*$F47+BD50*$F50+BD51*$F51+BD52*$F52)</f>
        <v>0</v>
      </c>
      <c r="BE65" s="58" t="n">
        <f aca="false">-(BE47*$F47+BE50*$F50+BE51*$F51+BE52*$F52)</f>
        <v>0</v>
      </c>
      <c r="BF65" s="58" t="n">
        <f aca="false">-(BF47*$F47+BF50*$F50+BF51*$F51+BF52*$F52)</f>
        <v>0</v>
      </c>
      <c r="BG65" s="58" t="n">
        <f aca="false">-(BG47*$F47+BG50*$F50+BG51*$F51+BG52*$F52)</f>
        <v>0</v>
      </c>
      <c r="BH65" s="58" t="n">
        <f aca="false">-(BH47*$F47+BH50*$F50+BH51*$F51+BH52*$F52)</f>
        <v>0</v>
      </c>
      <c r="BI65" s="58" t="n">
        <f aca="false">-(BI47*$F47+BI50*$F50+BI51*$F51+BI52*$F52)</f>
        <v>0</v>
      </c>
      <c r="BJ65" s="58" t="n">
        <f aca="false">-(BJ47*$F47+BJ50*$F50+BJ51*$F51+BJ52*$F52)</f>
        <v>0</v>
      </c>
      <c r="BK65" s="58" t="n">
        <f aca="false">-(BK47*$F47+BK50*$F50+BK51*$F51+BK52*$F52)</f>
        <v>0</v>
      </c>
      <c r="BL65" s="58" t="n">
        <f aca="false">-(BL47*$F47+BL50*$F50+BL51*$F51+BL52*$F52)</f>
        <v>0</v>
      </c>
      <c r="BM65" s="58" t="n">
        <f aca="false">-(BM47*$F47+BM50*$F50+BM51*$F51+BM52*$F52)</f>
        <v>0</v>
      </c>
      <c r="BN65" s="58" t="n">
        <f aca="false">-(BN47*$F47+BN50*$F50+BN51*$F51+BN52*$F52)</f>
        <v>0</v>
      </c>
      <c r="BO65" s="58" t="n">
        <f aca="false">-(BO47*$F47+BO50*$F50+BO51*$F51+BO52*$F52)</f>
        <v>0</v>
      </c>
      <c r="BP65" s="58" t="n">
        <f aca="false">-(BP47*$F47+BP50*$F50+BP51*$F51+BP52*$F52)</f>
        <v>0</v>
      </c>
      <c r="BQ65" s="58" t="n">
        <f aca="false">-(BQ47*$F47+BQ50*$F50+BQ51*$F51+BQ52*$F52)</f>
        <v>0</v>
      </c>
      <c r="BR65" s="58" t="n">
        <f aca="false">-(BR47*$F47+BR50*$F50+BR51*$F51+BR52*$F52)</f>
        <v>0</v>
      </c>
      <c r="BS65" s="58" t="n">
        <f aca="false">-(BS47*$F47+BS50*$F50+BS51*$F51+BS52*$F52)</f>
        <v>0</v>
      </c>
      <c r="BT65" s="58" t="n">
        <f aca="false">-(BT47*$F47+BT50*$F50+BT51*$F51+BT52*$F52)</f>
        <v>0</v>
      </c>
      <c r="BU65" s="58" t="n">
        <f aca="false">-(BU47*$F47+BU50*$F50+BU51*$F51+BU52*$F52)</f>
        <v>0</v>
      </c>
      <c r="BV65" s="58" t="n">
        <f aca="false">-(BV47*$F47+BV50*$F50+BV51*$F51+BV52*$F52)</f>
        <v>0</v>
      </c>
      <c r="BW65" s="58" t="n">
        <f aca="false">-(BW47*$F47+BW50*$F50+BW51*$F51+BW52*$F52)</f>
        <v>0</v>
      </c>
      <c r="BX65" s="58" t="n">
        <f aca="false">-(BX47*$F47+BX50*$F50+BX51*$F51+BX52*$F52)</f>
        <v>0</v>
      </c>
      <c r="BY65" s="58" t="n">
        <f aca="false">-(BY47*$F47+BY50*$F50+BY51*$F51+BY52*$F52)</f>
        <v>0</v>
      </c>
      <c r="BZ65" s="58" t="n">
        <f aca="false">-(BZ47*$F47+BZ50*$F50+BZ51*$F51+BZ52*$F52)</f>
        <v>0</v>
      </c>
      <c r="CA65" s="58" t="n">
        <f aca="false">-(CA47*$F47+CA50*$F50+CA51*$F51+CA52*$F52)</f>
        <v>0</v>
      </c>
      <c r="CB65" s="58" t="n">
        <f aca="false">-(CB47*$F47+CB50*$F50+CB51*$F51+CB52*$F52)</f>
        <v>0</v>
      </c>
      <c r="CC65" s="58" t="n">
        <f aca="false">-(CC47*$F47+CC50*$F50+CC51*$F51+CC52*$F52)</f>
        <v>0</v>
      </c>
      <c r="CD65" s="58" t="n">
        <f aca="false">-(CD47*$F47+CD50*$F50+CD51*$F51+CD52*$F52)</f>
        <v>0</v>
      </c>
      <c r="CE65" s="58" t="n">
        <f aca="false">-(CE47*$F47+CE50*$F50+CE51*$F51+CE52*$F52)</f>
        <v>0</v>
      </c>
      <c r="CF65" s="58" t="n">
        <f aca="false">-(CF47*$F47+CF50*$F50+CF51*$F51+CF52*$F52)</f>
        <v>0</v>
      </c>
      <c r="CG65" s="58" t="n">
        <f aca="false">-(CG47*$F47+CG50*$F50+CG51*$F51+CG52*$F52)</f>
        <v>0</v>
      </c>
      <c r="CH65" s="58" t="n">
        <f aca="false">-(CH47*$F47+CH50*$F50+CH51*$F51+CH52*$F52)</f>
        <v>0</v>
      </c>
      <c r="CI65" s="58" t="n">
        <f aca="false">-(CI47*$F47+CI50*$F50+CI51*$F51+CI52*$F52)</f>
        <v>0</v>
      </c>
      <c r="CJ65" s="58" t="n">
        <f aca="false">-(CJ47*$F47+CJ50*$F50+CJ51*$F51+CJ52*$F52)</f>
        <v>0</v>
      </c>
      <c r="CK65" s="58" t="n">
        <f aca="false">-(CK47*$F47+CK50*$F50+CK51*$F51+CK52*$F52)</f>
        <v>0</v>
      </c>
      <c r="CL65" s="58" t="n">
        <f aca="false">-(CL47*$F47+CL50*$F50+CL51*$F51+CL52*$F52)</f>
        <v>0</v>
      </c>
      <c r="CM65" s="58" t="n">
        <f aca="false">-(CM47*$F47+CM50*$F50+CM51*$F51+CM52*$F52)</f>
        <v>0</v>
      </c>
      <c r="CN65" s="58" t="n">
        <f aca="false">-(CN47*$F47+CN50*$F50+CN51*$F51+CN52*$F52)</f>
        <v>0</v>
      </c>
      <c r="CO65" s="58" t="n">
        <f aca="false">-(CO47*$F47+CO50*$F50+CO51*$F51+CO52*$F52)</f>
        <v>0</v>
      </c>
      <c r="CP65" s="58" t="n">
        <f aca="false">-(CP47*$F47+CP50*$F50+CP51*$F51+CP52*$F52)</f>
        <v>0</v>
      </c>
      <c r="CQ65" s="58" t="n">
        <f aca="false">-(CQ47*$F47+CQ50*$F50+CQ51*$F51+CQ52*$F52)</f>
        <v>0</v>
      </c>
      <c r="CR65" s="58" t="n">
        <f aca="false">-(CR47*$F47+CR50*$F50+CR51*$F51+CR52*$F52)</f>
        <v>0</v>
      </c>
      <c r="CS65" s="58" t="n">
        <f aca="false">-(CS47*$F47+CS50*$F50+CS51*$F51+CS52*$F52)</f>
        <v>0</v>
      </c>
      <c r="CT65" s="58" t="n">
        <f aca="false">-(CT47*$F47+CT50*$F50+CT51*$F51+CT52*$F52)</f>
        <v>0</v>
      </c>
      <c r="CU65" s="58" t="n">
        <f aca="false">-(CU47*$F47+CU50*$F50+CU51*$F51+CU52*$F52)</f>
        <v>0</v>
      </c>
      <c r="CV65" s="58" t="n">
        <f aca="false">-(CV47*$F47+CV50*$F50+CV51*$F51+CV52*$F52)</f>
        <v>0</v>
      </c>
      <c r="CW65" s="58" t="n">
        <f aca="false">-(CW47*$F47+CW50*$F50+CW51*$F51+CW52*$F52)</f>
        <v>0</v>
      </c>
      <c r="CX65" s="58" t="n">
        <f aca="false">-(CX47*$F47+CX50*$F50+CX51*$F51+CX52*$F52)</f>
        <v>0</v>
      </c>
      <c r="CY65" s="58" t="n">
        <f aca="false">-(CY47*$F47+CY50*$F50+CY51*$F51+CY52*$F52)</f>
        <v>0</v>
      </c>
      <c r="CZ65" s="58" t="n">
        <f aca="false">-(CZ47*$F47+CZ50*$F50+CZ51*$F51+CZ52*$F52)</f>
        <v>0</v>
      </c>
      <c r="DA65" s="58" t="n">
        <f aca="false">-(DA47*$F47+DA50*$F50+DA51*$F51+DA52*$F52)</f>
        <v>0</v>
      </c>
      <c r="DB65" s="58" t="n">
        <f aca="false">-(DB47*$F47+DB50*$F50+DB51*$F51+DB52*$F52)</f>
        <v>0</v>
      </c>
      <c r="DC65" s="58" t="n">
        <f aca="false">-(DC47*$F47+DC50*$F50+DC51*$F51+DC52*$F52)</f>
        <v>0</v>
      </c>
      <c r="DD65" s="58" t="n">
        <f aca="false">-(DD47*$F47+DD50*$F50+DD51*$F51+DD52*$F52)</f>
        <v>0</v>
      </c>
      <c r="DE65" s="58" t="n">
        <f aca="false">-(DE47*$F47+DE50*$F50+DE51*$F51+DE52*$F52)</f>
        <v>0</v>
      </c>
      <c r="DF65" s="58" t="n">
        <f aca="false">-(DF47*$F47+DF50*$F50+DF51*$F51+DF52*$F52)</f>
        <v>0</v>
      </c>
      <c r="DG65" s="58" t="n">
        <f aca="false">-(DG47*$F47+DG50*$F50+DG51*$F51+DG52*$F52)</f>
        <v>0</v>
      </c>
      <c r="DH65" s="58" t="n">
        <f aca="false">-(DH47*$F47+DH50*$F50+DH51*$F51+DH52*$F52)</f>
        <v>0</v>
      </c>
      <c r="DI65" s="58" t="n">
        <f aca="false">-(DI47*$F47+DI50*$F50+DI51*$F51+DI52*$F52)</f>
        <v>0</v>
      </c>
      <c r="DJ65" s="58" t="n">
        <f aca="false">-(DJ47*$F47+DJ50*$F50+DJ51*$F51+DJ52*$F52)</f>
        <v>0</v>
      </c>
      <c r="DK65" s="58" t="n">
        <f aca="false">-(DK47*$F47+DK50*$F50+DK51*$F51+DK52*$F52)</f>
        <v>0</v>
      </c>
      <c r="DL65" s="58" t="n">
        <f aca="false">-(DL47*$F47+DL50*$F50+DL51*$F51+DL52*$F52)</f>
        <v>0</v>
      </c>
      <c r="DM65" s="58" t="n">
        <f aca="false">-(DM47*$F47+DM50*$F50+DM51*$F51+DM52*$F52)</f>
        <v>0</v>
      </c>
      <c r="DN65" s="58" t="n">
        <f aca="false">-(DN47*$F47+DN50*$F50+DN51*$F51+DN52*$F52)</f>
        <v>0</v>
      </c>
      <c r="DO65" s="58" t="n">
        <f aca="false">-(DO47*$F47+DO50*$F50+DO51*$F51+DO52*$F52)</f>
        <v>0</v>
      </c>
      <c r="DP65" s="58" t="n">
        <f aca="false">-(DP47*$F47+DP50*$F50+DP51*$F51+DP52*$F52)</f>
        <v>0</v>
      </c>
      <c r="DQ65" s="58" t="n">
        <f aca="false">-(DQ47*$F47+DQ50*$F50+DQ51*$F51+DQ52*$F52)</f>
        <v>0</v>
      </c>
      <c r="DR65" s="58" t="n">
        <f aca="false">-(DR47*$F47+DR50*$F50+DR51*$F51+DR52*$F52)</f>
        <v>0</v>
      </c>
      <c r="DS65" s="58" t="n">
        <f aca="false">-(DS47*$F47+DS50*$F50+DS51*$F51+DS52*$F52)</f>
        <v>0</v>
      </c>
      <c r="DT65" s="58" t="n">
        <f aca="false">-(DT47*$F47+DT50*$F50+DT51*$F51+DT52*$F52)</f>
        <v>0</v>
      </c>
      <c r="DU65" s="58" t="n">
        <f aca="false">-(DU47*$F47+DU50*$F50+DU51*$F51+DU52*$F52)</f>
        <v>0</v>
      </c>
      <c r="DV65" s="58" t="n">
        <f aca="false">-(DV47*$F47+DV50*$F50+DV51*$F51+DV52*$F52)</f>
        <v>0</v>
      </c>
      <c r="DW65" s="58" t="n">
        <f aca="false">-(DW47*$F47+DW50*$F50+DW51*$F51+DW52*$F52)</f>
        <v>0</v>
      </c>
      <c r="DX65" s="58" t="n">
        <f aca="false">-(DX47*$F47+DX50*$F50+DX51*$F51+DX52*$F52)</f>
        <v>0</v>
      </c>
      <c r="DY65" s="58" t="n">
        <f aca="false">-(DY47*$F47+DY50*$F50+DY51*$F51+DY52*$F52)</f>
        <v>0</v>
      </c>
      <c r="DZ65" s="58" t="n">
        <f aca="false">-(DZ47*$F47+DZ50*$F50+DZ51*$F51+DZ52*$F52)</f>
        <v>0</v>
      </c>
      <c r="EA65" s="58" t="n">
        <f aca="false">-(EA47*$F47+EA50*$F50+EA51*$F51+EA52*$F52)</f>
        <v>0</v>
      </c>
      <c r="EB65" s="58" t="n">
        <f aca="false">-(EB47*$F47+EB50*$F50+EB51*$F51+EB52*$F52)</f>
        <v>0</v>
      </c>
      <c r="EC65" s="58" t="n">
        <f aca="false">-(EC47*$F47+EC50*$F50+EC51*$F51+EC52*$F52)</f>
        <v>0</v>
      </c>
      <c r="ED65" s="58" t="n">
        <f aca="false">-(ED47*$F47+ED50*$F50+ED51*$F51+ED52*$F52)</f>
        <v>0</v>
      </c>
      <c r="EE65" s="58" t="n">
        <f aca="false">-(EE47*$F47+EE50*$F50+EE51*$F51+EE52*$F52)</f>
        <v>0</v>
      </c>
      <c r="EF65" s="58" t="n">
        <f aca="false">-(EF47*$F47+EF50*$F50+EF51*$F51+EF52*$F52)</f>
        <v>0</v>
      </c>
      <c r="EG65" s="58" t="n">
        <f aca="false">-(EG47*$F47+EG50*$F50+EG51*$F51+EG52*$F52)</f>
        <v>0</v>
      </c>
      <c r="EH65" s="58" t="n">
        <f aca="false">-(EH47*$F47+EH50*$F50+EH51*$F51+EH52*$F52)</f>
        <v>0</v>
      </c>
      <c r="EI65" s="58" t="n">
        <f aca="false">-(EI47*$F47+EI50*$F50+EI51*$F51+EI52*$F52)</f>
        <v>0</v>
      </c>
      <c r="EJ65" s="58" t="n">
        <f aca="false">-(EJ47*$F47+EJ50*$F50+EJ51*$F51+EJ52*$F52)</f>
        <v>0</v>
      </c>
      <c r="EK65" s="58" t="n">
        <f aca="false">-(EK47*$F47+EK50*$F50+EK51*$F51+EK52*$F52)</f>
        <v>0</v>
      </c>
      <c r="EL65" s="58" t="n">
        <f aca="false">-(EL47*$F47+EL50*$F50+EL51*$F51+EL52*$F52)</f>
        <v>0</v>
      </c>
      <c r="EM65" s="58" t="n">
        <f aca="false">-(EM47*$F47+EM50*$F50+EM51*$F51+EM52*$F52)</f>
        <v>0</v>
      </c>
      <c r="EN65" s="58" t="n">
        <f aca="false">-(EN47*$F47+EN50*$F50+EN51*$F51+EN52*$F52)</f>
        <v>0</v>
      </c>
      <c r="EO65" s="58" t="n">
        <f aca="false">-(EO47*$F47+EO50*$F50+EO51*$F51+EO52*$F52)</f>
        <v>0</v>
      </c>
      <c r="EP65" s="58" t="n">
        <f aca="false">-(EP47*$F47+EP50*$F50+EP51*$F51+EP52*$F52)</f>
        <v>0</v>
      </c>
      <c r="EQ65" s="58" t="n">
        <f aca="false">-(EQ47*$F47+EQ50*$F50+EQ51*$F51+EQ52*$F52)</f>
        <v>0</v>
      </c>
      <c r="ER65" s="58" t="n">
        <f aca="false">-(ER47*$F47+ER50*$F50+ER51*$F51+ER52*$F52)</f>
        <v>0</v>
      </c>
      <c r="ES65" s="58" t="n">
        <f aca="false">-(ES47*$F47+ES50*$F50+ES51*$F51+ES52*$F52)</f>
        <v>0</v>
      </c>
      <c r="ET65" s="58" t="n">
        <f aca="false">-(ET47*$F47+ET50*$F50+ET51*$F51+ET52*$F52)</f>
        <v>0</v>
      </c>
    </row>
    <row r="66" customFormat="false" ht="15" hidden="false" customHeight="false" outlineLevel="0" collapsed="false">
      <c r="C66" s="1" t="s">
        <v>494</v>
      </c>
      <c r="D66" s="12" t="s">
        <v>222</v>
      </c>
      <c r="J66" s="23" t="n">
        <f aca="false">I69</f>
        <v>0</v>
      </c>
      <c r="K66" s="23" t="n">
        <f aca="false">J69</f>
        <v>0</v>
      </c>
      <c r="L66" s="23" t="n">
        <f aca="false">K69</f>
        <v>1242.07678738976</v>
      </c>
      <c r="M66" s="23" t="n">
        <f aca="false">L69</f>
        <v>1242.07678738976</v>
      </c>
      <c r="N66" s="23" t="n">
        <f aca="false">M69</f>
        <v>1242.07678738976</v>
      </c>
      <c r="O66" s="23" t="n">
        <f aca="false">N69</f>
        <v>1242.07678738976</v>
      </c>
      <c r="P66" s="23" t="n">
        <f aca="false">O69</f>
        <v>1391.12600187653</v>
      </c>
      <c r="Q66" s="23" t="n">
        <f aca="false">P69</f>
        <v>1391.12600187653</v>
      </c>
      <c r="R66" s="23" t="n">
        <f aca="false">Q69</f>
        <v>1391.12600187653</v>
      </c>
      <c r="S66" s="23" t="n">
        <f aca="false">R69</f>
        <v>1391.12600187653</v>
      </c>
      <c r="T66" s="23" t="n">
        <f aca="false">S69</f>
        <v>1558.51847859548</v>
      </c>
      <c r="U66" s="23" t="n">
        <f aca="false">T69</f>
        <v>21737.9058868147</v>
      </c>
      <c r="V66" s="23" t="n">
        <f aca="false">U69</f>
        <v>21737.9058868147</v>
      </c>
      <c r="W66" s="23" t="n">
        <f aca="false">V69</f>
        <v>21737.9058868147</v>
      </c>
      <c r="X66" s="23" t="n">
        <f aca="false">W69</f>
        <v>22985.0199428111</v>
      </c>
      <c r="Y66" s="23" t="n">
        <f aca="false">X69</f>
        <v>22985.0199428111</v>
      </c>
      <c r="Z66" s="23" t="n">
        <f aca="false">Y69</f>
        <v>22985.0199428111</v>
      </c>
      <c r="AA66" s="23" t="n">
        <f aca="false">Z69</f>
        <v>22985.0199428111</v>
      </c>
      <c r="AB66" s="23" t="n">
        <f aca="false">AA69</f>
        <v>25743.2223359484</v>
      </c>
      <c r="AC66" s="23" t="n">
        <f aca="false">AB69</f>
        <v>25743.2223359484</v>
      </c>
      <c r="AD66" s="23" t="n">
        <f aca="false">AC69</f>
        <v>25743.2223359484</v>
      </c>
      <c r="AE66" s="23" t="n">
        <f aca="false">AD69</f>
        <v>25743.2223359484</v>
      </c>
      <c r="AF66" s="23" t="n">
        <f aca="false">AE69</f>
        <v>28053.7647023201</v>
      </c>
      <c r="AG66" s="23" t="n">
        <f aca="false">AF69</f>
        <v>28053.7647023201</v>
      </c>
      <c r="AH66" s="23" t="n">
        <f aca="false">AG69</f>
        <v>28053.7647023201</v>
      </c>
      <c r="AI66" s="23" t="n">
        <f aca="false">AH69</f>
        <v>28053.7647023201</v>
      </c>
      <c r="AJ66" s="23" t="n">
        <f aca="false">AI69</f>
        <v>28053.7647023201</v>
      </c>
      <c r="AK66" s="23" t="n">
        <f aca="false">AJ69</f>
        <v>28053.7647023201</v>
      </c>
      <c r="AL66" s="23" t="n">
        <f aca="false">AK69</f>
        <v>28053.7647023201</v>
      </c>
      <c r="AM66" s="23" t="n">
        <f aca="false">AL69</f>
        <v>28053.7647023201</v>
      </c>
      <c r="AN66" s="23" t="n">
        <f aca="false">AM69</f>
        <v>28053.7647023201</v>
      </c>
      <c r="AO66" s="23" t="n">
        <f aca="false">AN69</f>
        <v>28053.7647023201</v>
      </c>
      <c r="AP66" s="23" t="n">
        <f aca="false">AO69</f>
        <v>28053.7647023201</v>
      </c>
      <c r="AQ66" s="23" t="n">
        <f aca="false">AP69</f>
        <v>28053.7647023201</v>
      </c>
      <c r="AR66" s="23" t="n">
        <f aca="false">AQ69</f>
        <v>28053.7647023201</v>
      </c>
      <c r="AS66" s="23" t="n">
        <f aca="false">AR69</f>
        <v>28053.7647023201</v>
      </c>
      <c r="AT66" s="23" t="n">
        <f aca="false">AS69</f>
        <v>28053.7647023201</v>
      </c>
      <c r="AU66" s="23" t="n">
        <f aca="false">AT69</f>
        <v>28053.7647023201</v>
      </c>
      <c r="AV66" s="23" t="n">
        <f aca="false">AU69</f>
        <v>28053.7647023201</v>
      </c>
      <c r="AW66" s="23" t="n">
        <f aca="false">AV69</f>
        <v>28053.7647023201</v>
      </c>
      <c r="AX66" s="23" t="n">
        <f aca="false">AW69</f>
        <v>28053.7647023201</v>
      </c>
      <c r="AY66" s="23" t="n">
        <f aca="false">AX69</f>
        <v>28053.7647023201</v>
      </c>
      <c r="AZ66" s="23" t="n">
        <f aca="false">AY69</f>
        <v>28053.7647023201</v>
      </c>
      <c r="BA66" s="23" t="n">
        <f aca="false">AZ69</f>
        <v>28053.7647023201</v>
      </c>
      <c r="BB66" s="23" t="n">
        <f aca="false">BA69</f>
        <v>28053.7647023201</v>
      </c>
      <c r="BC66" s="23" t="n">
        <f aca="false">BB69</f>
        <v>28053.7647023201</v>
      </c>
      <c r="BD66" s="23" t="n">
        <f aca="false">BC69</f>
        <v>28053.7647023201</v>
      </c>
      <c r="BE66" s="23" t="n">
        <f aca="false">BD69</f>
        <v>28053.7647023201</v>
      </c>
      <c r="BF66" s="23" t="n">
        <f aca="false">BE69</f>
        <v>28053.7647023201</v>
      </c>
      <c r="BG66" s="23" t="n">
        <f aca="false">BF69</f>
        <v>28053.7647023201</v>
      </c>
      <c r="BH66" s="23" t="n">
        <f aca="false">BG69</f>
        <v>28053.7647023201</v>
      </c>
      <c r="BI66" s="23" t="n">
        <f aca="false">BH69</f>
        <v>28053.7647023201</v>
      </c>
      <c r="BJ66" s="23" t="n">
        <f aca="false">BI69</f>
        <v>28053.7647023201</v>
      </c>
      <c r="BK66" s="23" t="n">
        <f aca="false">BJ69</f>
        <v>28053.7647023201</v>
      </c>
      <c r="BL66" s="23" t="n">
        <f aca="false">BK69</f>
        <v>28053.7647023201</v>
      </c>
      <c r="BM66" s="23" t="n">
        <f aca="false">BL69</f>
        <v>28053.7647023201</v>
      </c>
      <c r="BN66" s="23" t="n">
        <f aca="false">BM69</f>
        <v>28053.7647023201</v>
      </c>
      <c r="BO66" s="23" t="n">
        <f aca="false">BN69</f>
        <v>28053.7647023201</v>
      </c>
      <c r="BP66" s="23" t="n">
        <f aca="false">BO69</f>
        <v>28053.7647023201</v>
      </c>
      <c r="BQ66" s="23" t="n">
        <f aca="false">BP69</f>
        <v>28053.7647023201</v>
      </c>
      <c r="BR66" s="23" t="n">
        <f aca="false">BQ69</f>
        <v>28053.7647023201</v>
      </c>
      <c r="BS66" s="23" t="n">
        <f aca="false">BR69</f>
        <v>28053.7647023201</v>
      </c>
      <c r="BT66" s="23" t="n">
        <f aca="false">BS69</f>
        <v>28053.7647023201</v>
      </c>
      <c r="BU66" s="23" t="n">
        <f aca="false">BT69</f>
        <v>28053.7647023201</v>
      </c>
      <c r="BV66" s="23" t="n">
        <f aca="false">BU69</f>
        <v>28053.7647023201</v>
      </c>
      <c r="BW66" s="23" t="n">
        <f aca="false">BV69</f>
        <v>28053.7647023201</v>
      </c>
      <c r="BX66" s="23" t="n">
        <f aca="false">BW69</f>
        <v>28053.7647023201</v>
      </c>
      <c r="BY66" s="23" t="n">
        <f aca="false">BX69</f>
        <v>28053.7647023201</v>
      </c>
      <c r="BZ66" s="23" t="n">
        <f aca="false">BY69</f>
        <v>28053.7647023201</v>
      </c>
      <c r="CA66" s="23" t="n">
        <f aca="false">BZ69</f>
        <v>28053.7647023201</v>
      </c>
      <c r="CB66" s="23" t="n">
        <f aca="false">CA69</f>
        <v>28053.7647023201</v>
      </c>
      <c r="CC66" s="23" t="n">
        <f aca="false">CB69</f>
        <v>28053.7647023201</v>
      </c>
      <c r="CD66" s="23" t="n">
        <f aca="false">CC69</f>
        <v>28053.7647023201</v>
      </c>
      <c r="CE66" s="23" t="n">
        <f aca="false">CD69</f>
        <v>28053.7647023201</v>
      </c>
      <c r="CF66" s="23" t="n">
        <f aca="false">CE69</f>
        <v>28053.7647023201</v>
      </c>
      <c r="CG66" s="23" t="n">
        <f aca="false">CF69</f>
        <v>28053.7647023201</v>
      </c>
      <c r="CH66" s="23" t="n">
        <f aca="false">CG69</f>
        <v>28053.7647023201</v>
      </c>
      <c r="CI66" s="23" t="n">
        <f aca="false">CH69</f>
        <v>28053.7647023201</v>
      </c>
      <c r="CJ66" s="23" t="n">
        <f aca="false">CI69</f>
        <v>28053.7647023201</v>
      </c>
      <c r="CK66" s="23" t="n">
        <f aca="false">CJ69</f>
        <v>28053.7647023201</v>
      </c>
      <c r="CL66" s="23" t="n">
        <f aca="false">CK69</f>
        <v>28053.7647023201</v>
      </c>
      <c r="CM66" s="23" t="n">
        <f aca="false">CL69</f>
        <v>28053.7647023201</v>
      </c>
      <c r="CN66" s="23" t="n">
        <f aca="false">CM69</f>
        <v>28053.7647023201</v>
      </c>
      <c r="CO66" s="23" t="n">
        <f aca="false">CN69</f>
        <v>28053.7647023201</v>
      </c>
      <c r="CP66" s="23" t="n">
        <f aca="false">CO69</f>
        <v>28053.7647023201</v>
      </c>
      <c r="CQ66" s="23" t="n">
        <f aca="false">CP69</f>
        <v>28053.7647023201</v>
      </c>
      <c r="CR66" s="23" t="n">
        <f aca="false">CQ69</f>
        <v>28053.7647023201</v>
      </c>
      <c r="CS66" s="23" t="n">
        <f aca="false">CR69</f>
        <v>28053.7647023201</v>
      </c>
      <c r="CT66" s="23" t="n">
        <f aca="false">CS69</f>
        <v>28053.7647023201</v>
      </c>
      <c r="CU66" s="23" t="n">
        <f aca="false">CT69</f>
        <v>28053.7647023201</v>
      </c>
      <c r="CV66" s="23" t="n">
        <f aca="false">CU69</f>
        <v>28053.7647023201</v>
      </c>
      <c r="CW66" s="23" t="n">
        <f aca="false">CV69</f>
        <v>28053.7647023201</v>
      </c>
      <c r="CX66" s="23" t="n">
        <f aca="false">CW69</f>
        <v>28053.7647023201</v>
      </c>
      <c r="CY66" s="23" t="n">
        <f aca="false">CX69</f>
        <v>28053.7647023201</v>
      </c>
      <c r="CZ66" s="23" t="n">
        <f aca="false">CY69</f>
        <v>28053.7647023201</v>
      </c>
      <c r="DA66" s="23" t="n">
        <f aca="false">CZ69</f>
        <v>28053.7647023201</v>
      </c>
      <c r="DB66" s="23" t="n">
        <f aca="false">DA69</f>
        <v>28053.7647023201</v>
      </c>
      <c r="DC66" s="23" t="n">
        <f aca="false">DB69</f>
        <v>28053.7647023201</v>
      </c>
      <c r="DD66" s="23" t="n">
        <f aca="false">DC69</f>
        <v>28053.7647023201</v>
      </c>
      <c r="DE66" s="23" t="n">
        <f aca="false">DD69</f>
        <v>28053.7647023201</v>
      </c>
      <c r="DF66" s="23" t="n">
        <f aca="false">DE69</f>
        <v>28053.7647023201</v>
      </c>
      <c r="DG66" s="23" t="n">
        <f aca="false">DF69</f>
        <v>28053.7647023201</v>
      </c>
      <c r="DH66" s="23" t="n">
        <f aca="false">DG69</f>
        <v>28053.7647023201</v>
      </c>
      <c r="DI66" s="23" t="n">
        <f aca="false">DH69</f>
        <v>28053.7647023201</v>
      </c>
      <c r="DJ66" s="23" t="n">
        <f aca="false">DI69</f>
        <v>28053.7647023201</v>
      </c>
      <c r="DK66" s="23" t="n">
        <f aca="false">DJ69</f>
        <v>28053.7647023201</v>
      </c>
      <c r="DL66" s="23" t="n">
        <f aca="false">DK69</f>
        <v>28053.7647023201</v>
      </c>
      <c r="DM66" s="23" t="n">
        <f aca="false">DL69</f>
        <v>28053.7647023201</v>
      </c>
      <c r="DN66" s="23" t="n">
        <f aca="false">DM69</f>
        <v>28053.7647023201</v>
      </c>
      <c r="DO66" s="23" t="n">
        <f aca="false">DN69</f>
        <v>28053.7647023201</v>
      </c>
      <c r="DP66" s="23" t="n">
        <f aca="false">DO69</f>
        <v>28053.7647023201</v>
      </c>
      <c r="DQ66" s="23" t="n">
        <f aca="false">DP69</f>
        <v>28053.7647023201</v>
      </c>
      <c r="DR66" s="23" t="n">
        <f aca="false">DQ69</f>
        <v>28053.7647023201</v>
      </c>
      <c r="DS66" s="23" t="n">
        <f aca="false">DR69</f>
        <v>28053.7647023201</v>
      </c>
      <c r="DT66" s="23" t="n">
        <f aca="false">DS69</f>
        <v>28053.7647023201</v>
      </c>
      <c r="DU66" s="23" t="n">
        <f aca="false">DT69</f>
        <v>28053.7647023201</v>
      </c>
      <c r="DV66" s="23" t="n">
        <f aca="false">DU69</f>
        <v>28053.7647023201</v>
      </c>
      <c r="DW66" s="23" t="n">
        <f aca="false">DV69</f>
        <v>28053.7647023201</v>
      </c>
      <c r="DX66" s="23" t="n">
        <f aca="false">DW69</f>
        <v>28053.7647023201</v>
      </c>
      <c r="DY66" s="23" t="n">
        <f aca="false">DX69</f>
        <v>28053.7647023201</v>
      </c>
      <c r="DZ66" s="23" t="n">
        <f aca="false">DY69</f>
        <v>28053.7647023201</v>
      </c>
      <c r="EA66" s="23" t="n">
        <f aca="false">DZ69</f>
        <v>28053.7647023201</v>
      </c>
      <c r="EB66" s="23" t="n">
        <f aca="false">EA69</f>
        <v>28053.7647023201</v>
      </c>
      <c r="EC66" s="23" t="n">
        <f aca="false">EB69</f>
        <v>28053.7647023201</v>
      </c>
      <c r="ED66" s="23" t="n">
        <f aca="false">EC69</f>
        <v>28053.7647023201</v>
      </c>
      <c r="EE66" s="23" t="n">
        <f aca="false">ED69</f>
        <v>28053.7647023201</v>
      </c>
      <c r="EF66" s="23" t="n">
        <f aca="false">EE69</f>
        <v>28053.7647023201</v>
      </c>
      <c r="EG66" s="23" t="n">
        <f aca="false">EF69</f>
        <v>28053.7647023201</v>
      </c>
      <c r="EH66" s="23" t="n">
        <f aca="false">EG69</f>
        <v>28053.7647023201</v>
      </c>
      <c r="EI66" s="23" t="n">
        <f aca="false">EH69</f>
        <v>28053.7647023201</v>
      </c>
      <c r="EJ66" s="23" t="n">
        <f aca="false">EI69</f>
        <v>28053.7647023201</v>
      </c>
      <c r="EK66" s="23" t="n">
        <f aca="false">EJ69</f>
        <v>28053.7647023201</v>
      </c>
      <c r="EL66" s="23" t="n">
        <f aca="false">EK69</f>
        <v>28053.7647023201</v>
      </c>
      <c r="EM66" s="23" t="n">
        <f aca="false">EL69</f>
        <v>28053.7647023201</v>
      </c>
      <c r="EN66" s="23" t="n">
        <f aca="false">EM69</f>
        <v>28053.7647023201</v>
      </c>
      <c r="EO66" s="23" t="n">
        <f aca="false">EN69</f>
        <v>28053.7647023201</v>
      </c>
      <c r="EP66" s="23" t="n">
        <f aca="false">EO69</f>
        <v>28053.7647023201</v>
      </c>
      <c r="EQ66" s="23" t="n">
        <f aca="false">EP69</f>
        <v>28053.7647023201</v>
      </c>
      <c r="ER66" s="23" t="n">
        <f aca="false">EQ69</f>
        <v>28053.7647023201</v>
      </c>
      <c r="ES66" s="23" t="n">
        <f aca="false">ER69</f>
        <v>28053.7647023201</v>
      </c>
      <c r="ET66" s="23" t="n">
        <f aca="false">ES69</f>
        <v>28053.7647023201</v>
      </c>
    </row>
    <row r="67" customFormat="false" ht="15" hidden="false" customHeight="false" outlineLevel="0" collapsed="false">
      <c r="C67" s="1" t="s">
        <v>495</v>
      </c>
      <c r="D67" s="12" t="s">
        <v>222</v>
      </c>
      <c r="E67" s="47" t="n">
        <f aca="false">SUMIF($J$4:$ET$4,"&lt;="&amp;$E12,$J67:$ET67)</f>
        <v>1564.53664418093</v>
      </c>
      <c r="F67" s="47" t="n">
        <f aca="false">SUMIF($J$4:$ET$4,"&lt;="&amp;In_COD,$J67:$ET67)</f>
        <v>6633.28140368995</v>
      </c>
      <c r="I67" s="47" t="n">
        <f aca="false">SUM(J67:ET67)</f>
        <v>6633.28140368995</v>
      </c>
      <c r="J67" s="47" t="n">
        <f aca="false">In_Cash_Rate/Days_In_Year*(1-J19)*(J66*J$5+(J$4+1)*J64-J65)*(J$4&lt;=In_COD)</f>
        <v>0</v>
      </c>
      <c r="K67" s="47" t="n">
        <f aca="false">In_Cash_Rate/Days_In_Year*(1-K19)*(K66*K$5+(K$4+1)*K64-K65)*(K$4&lt;=In_COD)</f>
        <v>0.980896978796345</v>
      </c>
      <c r="L67" s="47" t="n">
        <f aca="false">In_Cash_Rate/Days_In_Year*(1-L19)*(L66*L$5+(L$4+1)*L64-L65)*(L$4&lt;=In_COD)</f>
        <v>36.751861106327</v>
      </c>
      <c r="M67" s="47" t="n">
        <f aca="false">In_Cash_Rate/Days_In_Year*(1-M19)*(M66*M$5+(M$4+1)*M64-M65)*(M$4&lt;=In_COD)</f>
        <v>37.1602151186195</v>
      </c>
      <c r="N67" s="47" t="n">
        <f aca="false">In_Cash_Rate/Days_In_Year*(1-N19)*(N66*N$5+(N$4+1)*N64-N65)*(N$4&lt;=In_COD)</f>
        <v>37.5685691309121</v>
      </c>
      <c r="O67" s="47" t="n">
        <f aca="false">In_Cash_Rate/Days_In_Year*(1-O19)*(O66*O$5+(O$4+1)*O64-O65)*(O$4&lt;=In_COD)</f>
        <v>37.5685691309121</v>
      </c>
      <c r="P67" s="47" t="n">
        <f aca="false">In_Cash_Rate/Days_In_Year*(1-P19)*(P66*P$5+(P$4+1)*P64-P65)*(P$4&lt;=In_COD)</f>
        <v>41.6194409328539</v>
      </c>
      <c r="Q67" s="47" t="n">
        <f aca="false">In_Cash_Rate/Days_In_Year*(1-Q19)*(Q66*Q$5+(Q$4+1)*Q64-Q65)*(Q$4&lt;=In_COD)</f>
        <v>41.6194409328539</v>
      </c>
      <c r="R67" s="47" t="n">
        <f aca="false">In_Cash_Rate/Days_In_Year*(1-R19)*(R66*R$5+(R$4+1)*R64-R65)*(R$4&lt;=In_COD)</f>
        <v>42.0767974266215</v>
      </c>
      <c r="S67" s="47" t="n">
        <f aca="false">In_Cash_Rate/Days_In_Year*(1-S19)*(S66*S$5+(S$4+1)*S64-S65)*(S$4&lt;=In_COD)</f>
        <v>42.0767974266215</v>
      </c>
      <c r="T67" s="47" t="n">
        <f aca="false">In_Cash_Rate/Days_In_Year*(1-T19)*(T66*T$5+(T$4+1)*T64-T65)*(T$4&lt;=In_COD)</f>
        <v>596.763556588147</v>
      </c>
      <c r="U67" s="47" t="n">
        <f aca="false">In_Cash_Rate/Days_In_Year*(1-U19)*(U66*U$5+(U$4+1)*U64-U65)*(U$4&lt;=In_COD)</f>
        <v>650.350499408263</v>
      </c>
      <c r="V67" s="47" t="n">
        <f aca="false">In_Cash_Rate/Days_In_Year*(1-V19)*(V66*V$5+(V$4+1)*V64-V65)*(V$4&lt;=In_COD)</f>
        <v>0</v>
      </c>
      <c r="W67" s="47" t="n">
        <f aca="false">In_Cash_Rate/Days_In_Year*(1-W19)*(W66*W$5+(W$4+1)*W64-W65)*(W$4&lt;=In_COD)</f>
        <v>0</v>
      </c>
      <c r="X67" s="47" t="n">
        <f aca="false">In_Cash_Rate/Days_In_Year*(1-X19)*(X66*X$5+(X$4+1)*X64-X65)*(X$4&lt;=In_COD)</f>
        <v>680.104699677698</v>
      </c>
      <c r="Y67" s="47" t="n">
        <f aca="false">In_Cash_Rate/Days_In_Year*(1-Y19)*(Y66*Y$5+(Y$4+1)*Y64-Y65)*(Y$4&lt;=In_COD)</f>
        <v>687.661418563005</v>
      </c>
      <c r="Z67" s="47" t="n">
        <f aca="false">In_Cash_Rate/Days_In_Year*(1-Z19)*(Z66*Z$5+(Z$4+1)*Z64-Z65)*(Z$4&lt;=In_COD)</f>
        <v>695.218137448313</v>
      </c>
      <c r="AA67" s="47" t="n">
        <f aca="false">In_Cash_Rate/Days_In_Year*(1-AA19)*(AA66*AA$5+(AA$4+1)*AA64-AA65)*(AA$4&lt;=In_COD)</f>
        <v>695.218137448313</v>
      </c>
      <c r="AB67" s="47" t="n">
        <f aca="false">In_Cash_Rate/Days_In_Year*(1-AB19)*(AB66*AB$5+(AB$4+1)*AB64-AB65)*(AB$4&lt;=In_COD)</f>
        <v>761.717263639021</v>
      </c>
      <c r="AC67" s="47" t="n">
        <f aca="false">In_Cash_Rate/Days_In_Year*(1-AC19)*(AC66*AC$5+(AC$4+1)*AC64-AC65)*(AC$4&lt;=In_COD)</f>
        <v>770.180788790566</v>
      </c>
      <c r="AD67" s="47" t="n">
        <f aca="false">In_Cash_Rate/Days_In_Year*(1-AD19)*(AD66*AD$5+(AD$4+1)*AD64-AD65)*(AD$4&lt;=In_COD)</f>
        <v>778.64431394211</v>
      </c>
      <c r="AE67" s="47" t="n">
        <f aca="false">In_Cash_Rate/Days_In_Year*(1-AE19)*(AE66*AE$5+(AE$4+1)*AE64-AE65)*(AE$4&lt;=In_COD)</f>
        <v>0</v>
      </c>
      <c r="AF67" s="47" t="n">
        <f aca="false">In_Cash_Rate/Days_In_Year*(1-AF19)*(AF66*AF$5+(AF$4+1)*AF64-AF65)*(AF$4&lt;=In_COD)</f>
        <v>0</v>
      </c>
      <c r="AG67" s="47" t="n">
        <f aca="false">In_Cash_Rate/Days_In_Year*(1-AG19)*(AG66*AG$5+(AG$4+1)*AG64-AG65)*(AG$4&lt;=In_COD)</f>
        <v>0</v>
      </c>
      <c r="AH67" s="47" t="n">
        <f aca="false">In_Cash_Rate/Days_In_Year*(1-AH19)*(AH66*AH$5+(AH$4+1)*AH64-AH65)*(AH$4&lt;=In_COD)</f>
        <v>0</v>
      </c>
      <c r="AI67" s="47" t="n">
        <f aca="false">In_Cash_Rate/Days_In_Year*(1-AI19)*(AI66*AI$5+(AI$4+1)*AI64-AI65)*(AI$4&lt;=In_COD)</f>
        <v>0</v>
      </c>
      <c r="AJ67" s="47" t="n">
        <f aca="false">In_Cash_Rate/Days_In_Year*(1-AJ19)*(AJ66*AJ$5+(AJ$4+1)*AJ64-AJ65)*(AJ$4&lt;=In_COD)</f>
        <v>0</v>
      </c>
      <c r="AK67" s="47" t="n">
        <f aca="false">In_Cash_Rate/Days_In_Year*(1-AK19)*(AK66*AK$5+(AK$4+1)*AK64-AK65)*(AK$4&lt;=In_COD)</f>
        <v>0</v>
      </c>
      <c r="AL67" s="47" t="n">
        <f aca="false">In_Cash_Rate/Days_In_Year*(1-AL19)*(AL66*AL$5+(AL$4+1)*AL64-AL65)*(AL$4&lt;=In_COD)</f>
        <v>0</v>
      </c>
      <c r="AM67" s="47" t="n">
        <f aca="false">In_Cash_Rate/Days_In_Year*(1-AM19)*(AM66*AM$5+(AM$4+1)*AM64-AM65)*(AM$4&lt;=In_COD)</f>
        <v>0</v>
      </c>
      <c r="AN67" s="47" t="n">
        <f aca="false">In_Cash_Rate/Days_In_Year*(1-AN19)*(AN66*AN$5+(AN$4+1)*AN64-AN65)*(AN$4&lt;=In_COD)</f>
        <v>0</v>
      </c>
      <c r="AO67" s="47" t="n">
        <f aca="false">In_Cash_Rate/Days_In_Year*(1-AO19)*(AO66*AO$5+(AO$4+1)*AO64-AO65)*(AO$4&lt;=In_COD)</f>
        <v>0</v>
      </c>
      <c r="AP67" s="47" t="n">
        <f aca="false">In_Cash_Rate/Days_In_Year*(1-AP19)*(AP66*AP$5+(AP$4+1)*AP64-AP65)*(AP$4&lt;=In_COD)</f>
        <v>0</v>
      </c>
      <c r="AQ67" s="47" t="n">
        <f aca="false">In_Cash_Rate/Days_In_Year*(1-AQ19)*(AQ66*AQ$5+(AQ$4+1)*AQ64-AQ65)*(AQ$4&lt;=In_COD)</f>
        <v>0</v>
      </c>
      <c r="AR67" s="47" t="n">
        <f aca="false">In_Cash_Rate/Days_In_Year*(1-AR19)*(AR66*AR$5+(AR$4+1)*AR64-AR65)*(AR$4&lt;=In_COD)</f>
        <v>0</v>
      </c>
      <c r="AS67" s="47" t="n">
        <f aca="false">In_Cash_Rate/Days_In_Year*(1-AS19)*(AS66*AS$5+(AS$4+1)*AS64-AS65)*(AS$4&lt;=In_COD)</f>
        <v>0</v>
      </c>
      <c r="AT67" s="47" t="n">
        <f aca="false">In_Cash_Rate/Days_In_Year*(1-AT19)*(AT66*AT$5+(AT$4+1)*AT64-AT65)*(AT$4&lt;=In_COD)</f>
        <v>0</v>
      </c>
      <c r="AU67" s="47" t="n">
        <f aca="false">In_Cash_Rate/Days_In_Year*(1-AU19)*(AU66*AU$5+(AU$4+1)*AU64-AU65)*(AU$4&lt;=In_COD)</f>
        <v>0</v>
      </c>
      <c r="AV67" s="47" t="n">
        <f aca="false">In_Cash_Rate/Days_In_Year*(1-AV19)*(AV66*AV$5+(AV$4+1)*AV64-AV65)*(AV$4&lt;=In_COD)</f>
        <v>0</v>
      </c>
      <c r="AW67" s="47" t="n">
        <f aca="false">In_Cash_Rate/Days_In_Year*(1-AW19)*(AW66*AW$5+(AW$4+1)*AW64-AW65)*(AW$4&lt;=In_COD)</f>
        <v>0</v>
      </c>
      <c r="AX67" s="47" t="n">
        <f aca="false">In_Cash_Rate/Days_In_Year*(1-AX19)*(AX66*AX$5+(AX$4+1)*AX64-AX65)*(AX$4&lt;=In_COD)</f>
        <v>0</v>
      </c>
      <c r="AY67" s="47" t="n">
        <f aca="false">In_Cash_Rate/Days_In_Year*(1-AY19)*(AY66*AY$5+(AY$4+1)*AY64-AY65)*(AY$4&lt;=In_COD)</f>
        <v>0</v>
      </c>
      <c r="AZ67" s="47" t="n">
        <f aca="false">In_Cash_Rate/Days_In_Year*(1-AZ19)*(AZ66*AZ$5+(AZ$4+1)*AZ64-AZ65)*(AZ$4&lt;=In_COD)</f>
        <v>0</v>
      </c>
      <c r="BA67" s="47" t="n">
        <f aca="false">In_Cash_Rate/Days_In_Year*(1-BA19)*(BA66*BA$5+(BA$4+1)*BA64-BA65)*(BA$4&lt;=In_COD)</f>
        <v>0</v>
      </c>
      <c r="BB67" s="47" t="n">
        <f aca="false">In_Cash_Rate/Days_In_Year*(1-BB19)*(BB66*BB$5+(BB$4+1)*BB64-BB65)*(BB$4&lt;=In_COD)</f>
        <v>0</v>
      </c>
      <c r="BC67" s="47" t="n">
        <f aca="false">In_Cash_Rate/Days_In_Year*(1-BC19)*(BC66*BC$5+(BC$4+1)*BC64-BC65)*(BC$4&lt;=In_COD)</f>
        <v>0</v>
      </c>
      <c r="BD67" s="47" t="n">
        <f aca="false">In_Cash_Rate/Days_In_Year*(1-BD19)*(BD66*BD$5+(BD$4+1)*BD64-BD65)*(BD$4&lt;=In_COD)</f>
        <v>0</v>
      </c>
      <c r="BE67" s="47" t="n">
        <f aca="false">In_Cash_Rate/Days_In_Year*(1-BE19)*(BE66*BE$5+(BE$4+1)*BE64-BE65)*(BE$4&lt;=In_COD)</f>
        <v>0</v>
      </c>
      <c r="BF67" s="47" t="n">
        <f aca="false">In_Cash_Rate/Days_In_Year*(1-BF19)*(BF66*BF$5+(BF$4+1)*BF64-BF65)*(BF$4&lt;=In_COD)</f>
        <v>0</v>
      </c>
      <c r="BG67" s="47" t="n">
        <f aca="false">In_Cash_Rate/Days_In_Year*(1-BG19)*(BG66*BG$5+(BG$4+1)*BG64-BG65)*(BG$4&lt;=In_COD)</f>
        <v>0</v>
      </c>
      <c r="BH67" s="47" t="n">
        <f aca="false">In_Cash_Rate/Days_In_Year*(1-BH19)*(BH66*BH$5+(BH$4+1)*BH64-BH65)*(BH$4&lt;=In_COD)</f>
        <v>0</v>
      </c>
      <c r="BI67" s="47" t="n">
        <f aca="false">In_Cash_Rate/Days_In_Year*(1-BI19)*(BI66*BI$5+(BI$4+1)*BI64-BI65)*(BI$4&lt;=In_COD)</f>
        <v>0</v>
      </c>
      <c r="BJ67" s="47" t="n">
        <f aca="false">In_Cash_Rate/Days_In_Year*(1-BJ19)*(BJ66*BJ$5+(BJ$4+1)*BJ64-BJ65)*(BJ$4&lt;=In_COD)</f>
        <v>0</v>
      </c>
      <c r="BK67" s="47" t="n">
        <f aca="false">In_Cash_Rate/Days_In_Year*(1-BK19)*(BK66*BK$5+(BK$4+1)*BK64-BK65)*(BK$4&lt;=In_COD)</f>
        <v>0</v>
      </c>
      <c r="BL67" s="47" t="n">
        <f aca="false">In_Cash_Rate/Days_In_Year*(1-BL19)*(BL66*BL$5+(BL$4+1)*BL64-BL65)*(BL$4&lt;=In_COD)</f>
        <v>0</v>
      </c>
      <c r="BM67" s="47" t="n">
        <f aca="false">In_Cash_Rate/Days_In_Year*(1-BM19)*(BM66*BM$5+(BM$4+1)*BM64-BM65)*(BM$4&lt;=In_COD)</f>
        <v>0</v>
      </c>
      <c r="BN67" s="47" t="n">
        <f aca="false">In_Cash_Rate/Days_In_Year*(1-BN19)*(BN66*BN$5+(BN$4+1)*BN64-BN65)*(BN$4&lt;=In_COD)</f>
        <v>0</v>
      </c>
      <c r="BO67" s="47" t="n">
        <f aca="false">In_Cash_Rate/Days_In_Year*(1-BO19)*(BO66*BO$5+(BO$4+1)*BO64-BO65)*(BO$4&lt;=In_COD)</f>
        <v>0</v>
      </c>
      <c r="BP67" s="47" t="n">
        <f aca="false">In_Cash_Rate/Days_In_Year*(1-BP19)*(BP66*BP$5+(BP$4+1)*BP64-BP65)*(BP$4&lt;=In_COD)</f>
        <v>0</v>
      </c>
      <c r="BQ67" s="47" t="n">
        <f aca="false">In_Cash_Rate/Days_In_Year*(1-BQ19)*(BQ66*BQ$5+(BQ$4+1)*BQ64-BQ65)*(BQ$4&lt;=In_COD)</f>
        <v>0</v>
      </c>
      <c r="BR67" s="47" t="n">
        <f aca="false">In_Cash_Rate/Days_In_Year*(1-BR19)*(BR66*BR$5+(BR$4+1)*BR64-BR65)*(BR$4&lt;=In_COD)</f>
        <v>0</v>
      </c>
      <c r="BS67" s="47" t="n">
        <f aca="false">In_Cash_Rate/Days_In_Year*(1-BS19)*(BS66*BS$5+(BS$4+1)*BS64-BS65)*(BS$4&lt;=In_COD)</f>
        <v>0</v>
      </c>
      <c r="BT67" s="47" t="n">
        <f aca="false">In_Cash_Rate/Days_In_Year*(1-BT19)*(BT66*BT$5+(BT$4+1)*BT64-BT65)*(BT$4&lt;=In_COD)</f>
        <v>0</v>
      </c>
      <c r="BU67" s="47" t="n">
        <f aca="false">In_Cash_Rate/Days_In_Year*(1-BU19)*(BU66*BU$5+(BU$4+1)*BU64-BU65)*(BU$4&lt;=In_COD)</f>
        <v>0</v>
      </c>
      <c r="BV67" s="47" t="n">
        <f aca="false">In_Cash_Rate/Days_In_Year*(1-BV19)*(BV66*BV$5+(BV$4+1)*BV64-BV65)*(BV$4&lt;=In_COD)</f>
        <v>0</v>
      </c>
      <c r="BW67" s="47" t="n">
        <f aca="false">In_Cash_Rate/Days_In_Year*(1-BW19)*(BW66*BW$5+(BW$4+1)*BW64-BW65)*(BW$4&lt;=In_COD)</f>
        <v>0</v>
      </c>
      <c r="BX67" s="47" t="n">
        <f aca="false">In_Cash_Rate/Days_In_Year*(1-BX19)*(BX66*BX$5+(BX$4+1)*BX64-BX65)*(BX$4&lt;=In_COD)</f>
        <v>0</v>
      </c>
      <c r="BY67" s="47" t="n">
        <f aca="false">In_Cash_Rate/Days_In_Year*(1-BY19)*(BY66*BY$5+(BY$4+1)*BY64-BY65)*(BY$4&lt;=In_COD)</f>
        <v>0</v>
      </c>
      <c r="BZ67" s="47" t="n">
        <f aca="false">In_Cash_Rate/Days_In_Year*(1-BZ19)*(BZ66*BZ$5+(BZ$4+1)*BZ64-BZ65)*(BZ$4&lt;=In_COD)</f>
        <v>0</v>
      </c>
      <c r="CA67" s="47" t="n">
        <f aca="false">In_Cash_Rate/Days_In_Year*(1-CA19)*(CA66*CA$5+(CA$4+1)*CA64-CA65)*(CA$4&lt;=In_COD)</f>
        <v>0</v>
      </c>
      <c r="CB67" s="47" t="n">
        <f aca="false">In_Cash_Rate/Days_In_Year*(1-CB19)*(CB66*CB$5+(CB$4+1)*CB64-CB65)*(CB$4&lt;=In_COD)</f>
        <v>0</v>
      </c>
      <c r="CC67" s="47" t="n">
        <f aca="false">In_Cash_Rate/Days_In_Year*(1-CC19)*(CC66*CC$5+(CC$4+1)*CC64-CC65)*(CC$4&lt;=In_COD)</f>
        <v>0</v>
      </c>
      <c r="CD67" s="47" t="n">
        <f aca="false">In_Cash_Rate/Days_In_Year*(1-CD19)*(CD66*CD$5+(CD$4+1)*CD64-CD65)*(CD$4&lt;=In_COD)</f>
        <v>0</v>
      </c>
      <c r="CE67" s="47" t="n">
        <f aca="false">In_Cash_Rate/Days_In_Year*(1-CE19)*(CE66*CE$5+(CE$4+1)*CE64-CE65)*(CE$4&lt;=In_COD)</f>
        <v>0</v>
      </c>
      <c r="CF67" s="47" t="n">
        <f aca="false">In_Cash_Rate/Days_In_Year*(1-CF19)*(CF66*CF$5+(CF$4+1)*CF64-CF65)*(CF$4&lt;=In_COD)</f>
        <v>0</v>
      </c>
      <c r="CG67" s="47" t="n">
        <f aca="false">In_Cash_Rate/Days_In_Year*(1-CG19)*(CG66*CG$5+(CG$4+1)*CG64-CG65)*(CG$4&lt;=In_COD)</f>
        <v>0</v>
      </c>
      <c r="CH67" s="47" t="n">
        <f aca="false">In_Cash_Rate/Days_In_Year*(1-CH19)*(CH66*CH$5+(CH$4+1)*CH64-CH65)*(CH$4&lt;=In_COD)</f>
        <v>0</v>
      </c>
      <c r="CI67" s="47" t="n">
        <f aca="false">In_Cash_Rate/Days_In_Year*(1-CI19)*(CI66*CI$5+(CI$4+1)*CI64-CI65)*(CI$4&lt;=In_COD)</f>
        <v>0</v>
      </c>
      <c r="CJ67" s="47" t="n">
        <f aca="false">In_Cash_Rate/Days_In_Year*(1-CJ19)*(CJ66*CJ$5+(CJ$4+1)*CJ64-CJ65)*(CJ$4&lt;=In_COD)</f>
        <v>0</v>
      </c>
      <c r="CK67" s="47" t="n">
        <f aca="false">In_Cash_Rate/Days_In_Year*(1-CK19)*(CK66*CK$5+(CK$4+1)*CK64-CK65)*(CK$4&lt;=In_COD)</f>
        <v>0</v>
      </c>
      <c r="CL67" s="47" t="n">
        <f aca="false">In_Cash_Rate/Days_In_Year*(1-CL19)*(CL66*CL$5+(CL$4+1)*CL64-CL65)*(CL$4&lt;=In_COD)</f>
        <v>0</v>
      </c>
      <c r="CM67" s="47" t="n">
        <f aca="false">In_Cash_Rate/Days_In_Year*(1-CM19)*(CM66*CM$5+(CM$4+1)*CM64-CM65)*(CM$4&lt;=In_COD)</f>
        <v>0</v>
      </c>
      <c r="CN67" s="47" t="n">
        <f aca="false">In_Cash_Rate/Days_In_Year*(1-CN19)*(CN66*CN$5+(CN$4+1)*CN64-CN65)*(CN$4&lt;=In_COD)</f>
        <v>0</v>
      </c>
      <c r="CO67" s="47" t="n">
        <f aca="false">In_Cash_Rate/Days_In_Year*(1-CO19)*(CO66*CO$5+(CO$4+1)*CO64-CO65)*(CO$4&lt;=In_COD)</f>
        <v>0</v>
      </c>
      <c r="CP67" s="47" t="n">
        <f aca="false">In_Cash_Rate/Days_In_Year*(1-CP19)*(CP66*CP$5+(CP$4+1)*CP64-CP65)*(CP$4&lt;=In_COD)</f>
        <v>0</v>
      </c>
      <c r="CQ67" s="47" t="n">
        <f aca="false">In_Cash_Rate/Days_In_Year*(1-CQ19)*(CQ66*CQ$5+(CQ$4+1)*CQ64-CQ65)*(CQ$4&lt;=In_COD)</f>
        <v>0</v>
      </c>
      <c r="CR67" s="47" t="n">
        <f aca="false">In_Cash_Rate/Days_In_Year*(1-CR19)*(CR66*CR$5+(CR$4+1)*CR64-CR65)*(CR$4&lt;=In_COD)</f>
        <v>0</v>
      </c>
      <c r="CS67" s="47" t="n">
        <f aca="false">In_Cash_Rate/Days_In_Year*(1-CS19)*(CS66*CS$5+(CS$4+1)*CS64-CS65)*(CS$4&lt;=In_COD)</f>
        <v>0</v>
      </c>
      <c r="CT67" s="47" t="n">
        <f aca="false">In_Cash_Rate/Days_In_Year*(1-CT19)*(CT66*CT$5+(CT$4+1)*CT64-CT65)*(CT$4&lt;=In_COD)</f>
        <v>0</v>
      </c>
      <c r="CU67" s="47" t="n">
        <f aca="false">In_Cash_Rate/Days_In_Year*(1-CU19)*(CU66*CU$5+(CU$4+1)*CU64-CU65)*(CU$4&lt;=In_COD)</f>
        <v>0</v>
      </c>
      <c r="CV67" s="47" t="n">
        <f aca="false">In_Cash_Rate/Days_In_Year*(1-CV19)*(CV66*CV$5+(CV$4+1)*CV64-CV65)*(CV$4&lt;=In_COD)</f>
        <v>0</v>
      </c>
      <c r="CW67" s="47" t="n">
        <f aca="false">In_Cash_Rate/Days_In_Year*(1-CW19)*(CW66*CW$5+(CW$4+1)*CW64-CW65)*(CW$4&lt;=In_COD)</f>
        <v>0</v>
      </c>
      <c r="CX67" s="47" t="n">
        <f aca="false">In_Cash_Rate/Days_In_Year*(1-CX19)*(CX66*CX$5+(CX$4+1)*CX64-CX65)*(CX$4&lt;=In_COD)</f>
        <v>0</v>
      </c>
      <c r="CY67" s="47" t="n">
        <f aca="false">In_Cash_Rate/Days_In_Year*(1-CY19)*(CY66*CY$5+(CY$4+1)*CY64-CY65)*(CY$4&lt;=In_COD)</f>
        <v>0</v>
      </c>
      <c r="CZ67" s="47" t="n">
        <f aca="false">In_Cash_Rate/Days_In_Year*(1-CZ19)*(CZ66*CZ$5+(CZ$4+1)*CZ64-CZ65)*(CZ$4&lt;=In_COD)</f>
        <v>0</v>
      </c>
      <c r="DA67" s="47" t="n">
        <f aca="false">In_Cash_Rate/Days_In_Year*(1-DA19)*(DA66*DA$5+(DA$4+1)*DA64-DA65)*(DA$4&lt;=In_COD)</f>
        <v>0</v>
      </c>
      <c r="DB67" s="47" t="n">
        <f aca="false">In_Cash_Rate/Days_In_Year*(1-DB19)*(DB66*DB$5+(DB$4+1)*DB64-DB65)*(DB$4&lt;=In_COD)</f>
        <v>0</v>
      </c>
      <c r="DC67" s="47" t="n">
        <f aca="false">In_Cash_Rate/Days_In_Year*(1-DC19)*(DC66*DC$5+(DC$4+1)*DC64-DC65)*(DC$4&lt;=In_COD)</f>
        <v>0</v>
      </c>
      <c r="DD67" s="47" t="n">
        <f aca="false">In_Cash_Rate/Days_In_Year*(1-DD19)*(DD66*DD$5+(DD$4+1)*DD64-DD65)*(DD$4&lt;=In_COD)</f>
        <v>0</v>
      </c>
      <c r="DE67" s="47" t="n">
        <f aca="false">In_Cash_Rate/Days_In_Year*(1-DE19)*(DE66*DE$5+(DE$4+1)*DE64-DE65)*(DE$4&lt;=In_COD)</f>
        <v>0</v>
      </c>
      <c r="DF67" s="47" t="n">
        <f aca="false">In_Cash_Rate/Days_In_Year*(1-DF19)*(DF66*DF$5+(DF$4+1)*DF64-DF65)*(DF$4&lt;=In_COD)</f>
        <v>0</v>
      </c>
      <c r="DG67" s="47" t="n">
        <f aca="false">In_Cash_Rate/Days_In_Year*(1-DG19)*(DG66*DG$5+(DG$4+1)*DG64-DG65)*(DG$4&lt;=In_COD)</f>
        <v>0</v>
      </c>
      <c r="DH67" s="47" t="n">
        <f aca="false">In_Cash_Rate/Days_In_Year*(1-DH19)*(DH66*DH$5+(DH$4+1)*DH64-DH65)*(DH$4&lt;=In_COD)</f>
        <v>0</v>
      </c>
      <c r="DI67" s="47" t="n">
        <f aca="false">In_Cash_Rate/Days_In_Year*(1-DI19)*(DI66*DI$5+(DI$4+1)*DI64-DI65)*(DI$4&lt;=In_COD)</f>
        <v>0</v>
      </c>
      <c r="DJ67" s="47" t="n">
        <f aca="false">In_Cash_Rate/Days_In_Year*(1-DJ19)*(DJ66*DJ$5+(DJ$4+1)*DJ64-DJ65)*(DJ$4&lt;=In_COD)</f>
        <v>0</v>
      </c>
      <c r="DK67" s="47" t="n">
        <f aca="false">In_Cash_Rate/Days_In_Year*(1-DK19)*(DK66*DK$5+(DK$4+1)*DK64-DK65)*(DK$4&lt;=In_COD)</f>
        <v>0</v>
      </c>
      <c r="DL67" s="47" t="n">
        <f aca="false">In_Cash_Rate/Days_In_Year*(1-DL19)*(DL66*DL$5+(DL$4+1)*DL64-DL65)*(DL$4&lt;=In_COD)</f>
        <v>0</v>
      </c>
      <c r="DM67" s="47" t="n">
        <f aca="false">In_Cash_Rate/Days_In_Year*(1-DM19)*(DM66*DM$5+(DM$4+1)*DM64-DM65)*(DM$4&lt;=In_COD)</f>
        <v>0</v>
      </c>
      <c r="DN67" s="47" t="n">
        <f aca="false">In_Cash_Rate/Days_In_Year*(1-DN19)*(DN66*DN$5+(DN$4+1)*DN64-DN65)*(DN$4&lt;=In_COD)</f>
        <v>0</v>
      </c>
      <c r="DO67" s="47" t="n">
        <f aca="false">In_Cash_Rate/Days_In_Year*(1-DO19)*(DO66*DO$5+(DO$4+1)*DO64-DO65)*(DO$4&lt;=In_COD)</f>
        <v>0</v>
      </c>
      <c r="DP67" s="47" t="n">
        <f aca="false">In_Cash_Rate/Days_In_Year*(1-DP19)*(DP66*DP$5+(DP$4+1)*DP64-DP65)*(DP$4&lt;=In_COD)</f>
        <v>0</v>
      </c>
      <c r="DQ67" s="47" t="n">
        <f aca="false">In_Cash_Rate/Days_In_Year*(1-DQ19)*(DQ66*DQ$5+(DQ$4+1)*DQ64-DQ65)*(DQ$4&lt;=In_COD)</f>
        <v>0</v>
      </c>
      <c r="DR67" s="47" t="n">
        <f aca="false">In_Cash_Rate/Days_In_Year*(1-DR19)*(DR66*DR$5+(DR$4+1)*DR64-DR65)*(DR$4&lt;=In_COD)</f>
        <v>0</v>
      </c>
      <c r="DS67" s="47" t="n">
        <f aca="false">In_Cash_Rate/Days_In_Year*(1-DS19)*(DS66*DS$5+(DS$4+1)*DS64-DS65)*(DS$4&lt;=In_COD)</f>
        <v>0</v>
      </c>
      <c r="DT67" s="47" t="n">
        <f aca="false">In_Cash_Rate/Days_In_Year*(1-DT19)*(DT66*DT$5+(DT$4+1)*DT64-DT65)*(DT$4&lt;=In_COD)</f>
        <v>0</v>
      </c>
      <c r="DU67" s="47" t="n">
        <f aca="false">In_Cash_Rate/Days_In_Year*(1-DU19)*(DU66*DU$5+(DU$4+1)*DU64-DU65)*(DU$4&lt;=In_COD)</f>
        <v>0</v>
      </c>
      <c r="DV67" s="47" t="n">
        <f aca="false">In_Cash_Rate/Days_In_Year*(1-DV19)*(DV66*DV$5+(DV$4+1)*DV64-DV65)*(DV$4&lt;=In_COD)</f>
        <v>0</v>
      </c>
      <c r="DW67" s="47" t="n">
        <f aca="false">In_Cash_Rate/Days_In_Year*(1-DW19)*(DW66*DW$5+(DW$4+1)*DW64-DW65)*(DW$4&lt;=In_COD)</f>
        <v>0</v>
      </c>
      <c r="DX67" s="47" t="n">
        <f aca="false">In_Cash_Rate/Days_In_Year*(1-DX19)*(DX66*DX$5+(DX$4+1)*DX64-DX65)*(DX$4&lt;=In_COD)</f>
        <v>0</v>
      </c>
      <c r="DY67" s="47" t="n">
        <f aca="false">In_Cash_Rate/Days_In_Year*(1-DY19)*(DY66*DY$5+(DY$4+1)*DY64-DY65)*(DY$4&lt;=In_COD)</f>
        <v>0</v>
      </c>
      <c r="DZ67" s="47" t="n">
        <f aca="false">In_Cash_Rate/Days_In_Year*(1-DZ19)*(DZ66*DZ$5+(DZ$4+1)*DZ64-DZ65)*(DZ$4&lt;=In_COD)</f>
        <v>0</v>
      </c>
      <c r="EA67" s="47" t="n">
        <f aca="false">In_Cash_Rate/Days_In_Year*(1-EA19)*(EA66*EA$5+(EA$4+1)*EA64-EA65)*(EA$4&lt;=In_COD)</f>
        <v>0</v>
      </c>
      <c r="EB67" s="47" t="n">
        <f aca="false">In_Cash_Rate/Days_In_Year*(1-EB19)*(EB66*EB$5+(EB$4+1)*EB64-EB65)*(EB$4&lt;=In_COD)</f>
        <v>0</v>
      </c>
      <c r="EC67" s="47" t="n">
        <f aca="false">In_Cash_Rate/Days_In_Year*(1-EC19)*(EC66*EC$5+(EC$4+1)*EC64-EC65)*(EC$4&lt;=In_COD)</f>
        <v>0</v>
      </c>
      <c r="ED67" s="47" t="n">
        <f aca="false">In_Cash_Rate/Days_In_Year*(1-ED19)*(ED66*ED$5+(ED$4+1)*ED64-ED65)*(ED$4&lt;=In_COD)</f>
        <v>0</v>
      </c>
      <c r="EE67" s="47" t="n">
        <f aca="false">In_Cash_Rate/Days_In_Year*(1-EE19)*(EE66*EE$5+(EE$4+1)*EE64-EE65)*(EE$4&lt;=In_COD)</f>
        <v>0</v>
      </c>
      <c r="EF67" s="47" t="n">
        <f aca="false">In_Cash_Rate/Days_In_Year*(1-EF19)*(EF66*EF$5+(EF$4+1)*EF64-EF65)*(EF$4&lt;=In_COD)</f>
        <v>0</v>
      </c>
      <c r="EG67" s="47" t="n">
        <f aca="false">In_Cash_Rate/Days_In_Year*(1-EG19)*(EG66*EG$5+(EG$4+1)*EG64-EG65)*(EG$4&lt;=In_COD)</f>
        <v>0</v>
      </c>
      <c r="EH67" s="47" t="n">
        <f aca="false">In_Cash_Rate/Days_In_Year*(1-EH19)*(EH66*EH$5+(EH$4+1)*EH64-EH65)*(EH$4&lt;=In_COD)</f>
        <v>0</v>
      </c>
      <c r="EI67" s="47" t="n">
        <f aca="false">In_Cash_Rate/Days_In_Year*(1-EI19)*(EI66*EI$5+(EI$4+1)*EI64-EI65)*(EI$4&lt;=In_COD)</f>
        <v>0</v>
      </c>
      <c r="EJ67" s="47" t="n">
        <f aca="false">In_Cash_Rate/Days_In_Year*(1-EJ19)*(EJ66*EJ$5+(EJ$4+1)*EJ64-EJ65)*(EJ$4&lt;=In_COD)</f>
        <v>0</v>
      </c>
      <c r="EK67" s="47" t="n">
        <f aca="false">In_Cash_Rate/Days_In_Year*(1-EK19)*(EK66*EK$5+(EK$4+1)*EK64-EK65)*(EK$4&lt;=In_COD)</f>
        <v>0</v>
      </c>
      <c r="EL67" s="47" t="n">
        <f aca="false">In_Cash_Rate/Days_In_Year*(1-EL19)*(EL66*EL$5+(EL$4+1)*EL64-EL65)*(EL$4&lt;=In_COD)</f>
        <v>0</v>
      </c>
      <c r="EM67" s="47" t="n">
        <f aca="false">In_Cash_Rate/Days_In_Year*(1-EM19)*(EM66*EM$5+(EM$4+1)*EM64-EM65)*(EM$4&lt;=In_COD)</f>
        <v>0</v>
      </c>
      <c r="EN67" s="47" t="n">
        <f aca="false">In_Cash_Rate/Days_In_Year*(1-EN19)*(EN66*EN$5+(EN$4+1)*EN64-EN65)*(EN$4&lt;=In_COD)</f>
        <v>0</v>
      </c>
      <c r="EO67" s="47" t="n">
        <f aca="false">In_Cash_Rate/Days_In_Year*(1-EO19)*(EO66*EO$5+(EO$4+1)*EO64-EO65)*(EO$4&lt;=In_COD)</f>
        <v>0</v>
      </c>
      <c r="EP67" s="47" t="n">
        <f aca="false">In_Cash_Rate/Days_In_Year*(1-EP19)*(EP66*EP$5+(EP$4+1)*EP64-EP65)*(EP$4&lt;=In_COD)</f>
        <v>0</v>
      </c>
      <c r="EQ67" s="47" t="n">
        <f aca="false">In_Cash_Rate/Days_In_Year*(1-EQ19)*(EQ66*EQ$5+(EQ$4+1)*EQ64-EQ65)*(EQ$4&lt;=In_COD)</f>
        <v>0</v>
      </c>
      <c r="ER67" s="47" t="n">
        <f aca="false">In_Cash_Rate/Days_In_Year*(1-ER19)*(ER66*ER$5+(ER$4+1)*ER64-ER65)*(ER$4&lt;=In_COD)</f>
        <v>0</v>
      </c>
      <c r="ES67" s="47" t="n">
        <f aca="false">In_Cash_Rate/Days_In_Year*(1-ES19)*(ES66*ES$5+(ES$4+1)*ES64-ES65)*(ES$4&lt;=In_COD)</f>
        <v>0</v>
      </c>
      <c r="ET67" s="47" t="n">
        <f aca="false">In_Cash_Rate/Days_In_Year*(1-ET19)*(ET66*ET$5+(ET$4+1)*ET64-ET65)*(ET$4&lt;=In_COD)</f>
        <v>0</v>
      </c>
    </row>
    <row r="68" customFormat="false" ht="15" hidden="false" customHeight="false" outlineLevel="0" collapsed="false">
      <c r="C68" s="1" t="s">
        <v>496</v>
      </c>
      <c r="D68" s="12" t="s">
        <v>222</v>
      </c>
      <c r="I68" s="47" t="n">
        <f aca="false">SUM(J68:ET68)</f>
        <v>6633.28140368995</v>
      </c>
      <c r="J68" s="47" t="n">
        <f aca="false">J20*SUMIF($J$7:J$7,J$7,$J67:J67)</f>
        <v>0</v>
      </c>
      <c r="K68" s="47" t="n">
        <f aca="false">K20*SUMIF($J$7:K$7,K$7,$J67:K67)</f>
        <v>0.980896978796345</v>
      </c>
      <c r="L68" s="47" t="n">
        <f aca="false">L20*SUMIF($J$7:L$7,L$7,$J67:L67)</f>
        <v>0</v>
      </c>
      <c r="M68" s="47" t="n">
        <f aca="false">M20*SUMIF($J$7:M$7,M$7,$J67:M67)</f>
        <v>0</v>
      </c>
      <c r="N68" s="47" t="n">
        <f aca="false">N20*SUMIF($J$7:N$7,N$7,$J67:N67)</f>
        <v>0</v>
      </c>
      <c r="O68" s="47" t="n">
        <f aca="false">O20*SUMIF($J$7:O$7,O$7,$J67:O67)</f>
        <v>149.049214486771</v>
      </c>
      <c r="P68" s="47" t="n">
        <f aca="false">P20*SUMIF($J$7:P$7,P$7,$J67:P67)</f>
        <v>0</v>
      </c>
      <c r="Q68" s="47" t="n">
        <f aca="false">Q20*SUMIF($J$7:Q$7,Q$7,$J67:Q67)</f>
        <v>0</v>
      </c>
      <c r="R68" s="47" t="n">
        <f aca="false">R20*SUMIF($J$7:R$7,R$7,$J67:R67)</f>
        <v>0</v>
      </c>
      <c r="S68" s="47" t="n">
        <f aca="false">S20*SUMIF($J$7:S$7,S$7,$J67:S67)</f>
        <v>167.392476718951</v>
      </c>
      <c r="T68" s="47" t="n">
        <f aca="false">T20*SUMIF($J$7:T$7,T$7,$J67:T67)</f>
        <v>0</v>
      </c>
      <c r="U68" s="47" t="n">
        <f aca="false">U20*SUMIF($J$7:U$7,U$7,$J67:U67)</f>
        <v>0</v>
      </c>
      <c r="V68" s="47" t="n">
        <f aca="false">V20*SUMIF($J$7:V$7,V$7,$J67:V67)</f>
        <v>0</v>
      </c>
      <c r="W68" s="47" t="n">
        <f aca="false">W20*SUMIF($J$7:W$7,W$7,$J67:W67)</f>
        <v>1247.11405599641</v>
      </c>
      <c r="X68" s="47" t="n">
        <f aca="false">X20*SUMIF($J$7:X$7,X$7,$J67:X67)</f>
        <v>0</v>
      </c>
      <c r="Y68" s="47" t="n">
        <f aca="false">Y20*SUMIF($J$7:Y$7,Y$7,$J67:Y67)</f>
        <v>0</v>
      </c>
      <c r="Z68" s="47" t="n">
        <f aca="false">Z20*SUMIF($J$7:Z$7,Z$7,$J67:Z67)</f>
        <v>0</v>
      </c>
      <c r="AA68" s="47" t="n">
        <f aca="false">AA20*SUMIF($J$7:AA$7,AA$7,$J67:AA67)</f>
        <v>2758.20239313733</v>
      </c>
      <c r="AB68" s="47" t="n">
        <f aca="false">AB20*SUMIF($J$7:AB$7,AB$7,$J67:AB67)</f>
        <v>0</v>
      </c>
      <c r="AC68" s="47" t="n">
        <f aca="false">AC20*SUMIF($J$7:AC$7,AC$7,$J67:AC67)</f>
        <v>0</v>
      </c>
      <c r="AD68" s="47" t="n">
        <f aca="false">AD20*SUMIF($J$7:AD$7,AD$7,$J67:AD67)</f>
        <v>0</v>
      </c>
      <c r="AE68" s="47" t="n">
        <f aca="false">AE20*SUMIF($J$7:AE$7,AE$7,$J67:AE67)</f>
        <v>2310.5423663717</v>
      </c>
      <c r="AF68" s="47" t="n">
        <f aca="false">AF20*SUMIF($J$7:AF$7,AF$7,$J67:AF67)</f>
        <v>0</v>
      </c>
      <c r="AG68" s="47" t="n">
        <f aca="false">AG20*SUMIF($J$7:AG$7,AG$7,$J67:AG67)</f>
        <v>0</v>
      </c>
      <c r="AH68" s="47" t="n">
        <f aca="false">AH20*SUMIF($J$7:AH$7,AH$7,$J67:AH67)</f>
        <v>0</v>
      </c>
      <c r="AI68" s="47" t="n">
        <f aca="false">AI20*SUMIF($J$7:AI$7,AI$7,$J67:AI67)</f>
        <v>0</v>
      </c>
      <c r="AJ68" s="47" t="n">
        <f aca="false">AJ20*SUMIF($J$7:AJ$7,AJ$7,$J67:AJ67)</f>
        <v>0</v>
      </c>
      <c r="AK68" s="47" t="n">
        <f aca="false">AK20*SUMIF($J$7:AK$7,AK$7,$J67:AK67)</f>
        <v>0</v>
      </c>
      <c r="AL68" s="47" t="n">
        <f aca="false">AL20*SUMIF($J$7:AL$7,AL$7,$J67:AL67)</f>
        <v>0</v>
      </c>
      <c r="AM68" s="47" t="n">
        <f aca="false">AM20*SUMIF($J$7:AM$7,AM$7,$J67:AM67)</f>
        <v>0</v>
      </c>
      <c r="AN68" s="47" t="n">
        <f aca="false">AN20*SUMIF($J$7:AN$7,AN$7,$J67:AN67)</f>
        <v>0</v>
      </c>
      <c r="AO68" s="47" t="n">
        <f aca="false">AO20*SUMIF($J$7:AO$7,AO$7,$J67:AO67)</f>
        <v>0</v>
      </c>
      <c r="AP68" s="47" t="n">
        <f aca="false">AP20*SUMIF($J$7:AP$7,AP$7,$J67:AP67)</f>
        <v>0</v>
      </c>
      <c r="AQ68" s="47" t="n">
        <f aca="false">AQ20*SUMIF($J$7:AQ$7,AQ$7,$J67:AQ67)</f>
        <v>0</v>
      </c>
      <c r="AR68" s="47" t="n">
        <f aca="false">AR20*SUMIF($J$7:AR$7,AR$7,$J67:AR67)</f>
        <v>0</v>
      </c>
      <c r="AS68" s="47" t="n">
        <f aca="false">AS20*SUMIF($J$7:AS$7,AS$7,$J67:AS67)</f>
        <v>0</v>
      </c>
      <c r="AT68" s="47" t="n">
        <f aca="false">AT20*SUMIF($J$7:AT$7,AT$7,$J67:AT67)</f>
        <v>0</v>
      </c>
      <c r="AU68" s="47" t="n">
        <f aca="false">AU20*SUMIF($J$7:AU$7,AU$7,$J67:AU67)</f>
        <v>0</v>
      </c>
      <c r="AV68" s="47" t="n">
        <f aca="false">AV20*SUMIF($J$7:AV$7,AV$7,$J67:AV67)</f>
        <v>0</v>
      </c>
      <c r="AW68" s="47" t="n">
        <f aca="false">AW20*SUMIF($J$7:AW$7,AW$7,$J67:AW67)</f>
        <v>0</v>
      </c>
      <c r="AX68" s="47" t="n">
        <f aca="false">AX20*SUMIF($J$7:AX$7,AX$7,$J67:AX67)</f>
        <v>0</v>
      </c>
      <c r="AY68" s="47" t="n">
        <f aca="false">AY20*SUMIF($J$7:AY$7,AY$7,$J67:AY67)</f>
        <v>0</v>
      </c>
      <c r="AZ68" s="47" t="n">
        <f aca="false">AZ20*SUMIF($J$7:AZ$7,AZ$7,$J67:AZ67)</f>
        <v>0</v>
      </c>
      <c r="BA68" s="47" t="n">
        <f aca="false">BA20*SUMIF($J$7:BA$7,BA$7,$J67:BA67)</f>
        <v>0</v>
      </c>
      <c r="BB68" s="47" t="n">
        <f aca="false">BB20*SUMIF($J$7:BB$7,BB$7,$J67:BB67)</f>
        <v>0</v>
      </c>
      <c r="BC68" s="47" t="n">
        <f aca="false">BC20*SUMIF($J$7:BC$7,BC$7,$J67:BC67)</f>
        <v>0</v>
      </c>
      <c r="BD68" s="47" t="n">
        <f aca="false">BD20*SUMIF($J$7:BD$7,BD$7,$J67:BD67)</f>
        <v>0</v>
      </c>
      <c r="BE68" s="47" t="n">
        <f aca="false">BE20*SUMIF($J$7:BE$7,BE$7,$J67:BE67)</f>
        <v>0</v>
      </c>
      <c r="BF68" s="47" t="n">
        <f aca="false">BF20*SUMIF($J$7:BF$7,BF$7,$J67:BF67)</f>
        <v>0</v>
      </c>
      <c r="BG68" s="47" t="n">
        <f aca="false">BG20*SUMIF($J$7:BG$7,BG$7,$J67:BG67)</f>
        <v>0</v>
      </c>
      <c r="BH68" s="47" t="n">
        <f aca="false">BH20*SUMIF($J$7:BH$7,BH$7,$J67:BH67)</f>
        <v>0</v>
      </c>
      <c r="BI68" s="47" t="n">
        <f aca="false">BI20*SUMIF($J$7:BI$7,BI$7,$J67:BI67)</f>
        <v>0</v>
      </c>
      <c r="BJ68" s="47" t="n">
        <f aca="false">BJ20*SUMIF($J$7:BJ$7,BJ$7,$J67:BJ67)</f>
        <v>0</v>
      </c>
      <c r="BK68" s="47" t="n">
        <f aca="false">BK20*SUMIF($J$7:BK$7,BK$7,$J67:BK67)</f>
        <v>0</v>
      </c>
      <c r="BL68" s="47" t="n">
        <f aca="false">BL20*SUMIF($J$7:BL$7,BL$7,$J67:BL67)</f>
        <v>0</v>
      </c>
      <c r="BM68" s="47" t="n">
        <f aca="false">BM20*SUMIF($J$7:BM$7,BM$7,$J67:BM67)</f>
        <v>0</v>
      </c>
      <c r="BN68" s="47" t="n">
        <f aca="false">BN20*SUMIF($J$7:BN$7,BN$7,$J67:BN67)</f>
        <v>0</v>
      </c>
      <c r="BO68" s="47" t="n">
        <f aca="false">BO20*SUMIF($J$7:BO$7,BO$7,$J67:BO67)</f>
        <v>0</v>
      </c>
      <c r="BP68" s="47" t="n">
        <f aca="false">BP20*SUMIF($J$7:BP$7,BP$7,$J67:BP67)</f>
        <v>0</v>
      </c>
      <c r="BQ68" s="47" t="n">
        <f aca="false">BQ20*SUMIF($J$7:BQ$7,BQ$7,$J67:BQ67)</f>
        <v>0</v>
      </c>
      <c r="BR68" s="47" t="n">
        <f aca="false">BR20*SUMIF($J$7:BR$7,BR$7,$J67:BR67)</f>
        <v>0</v>
      </c>
      <c r="BS68" s="47" t="n">
        <f aca="false">BS20*SUMIF($J$7:BS$7,BS$7,$J67:BS67)</f>
        <v>0</v>
      </c>
      <c r="BT68" s="47" t="n">
        <f aca="false">BT20*SUMIF($J$7:BT$7,BT$7,$J67:BT67)</f>
        <v>0</v>
      </c>
      <c r="BU68" s="47" t="n">
        <f aca="false">BU20*SUMIF($J$7:BU$7,BU$7,$J67:BU67)</f>
        <v>0</v>
      </c>
      <c r="BV68" s="47" t="n">
        <f aca="false">BV20*SUMIF($J$7:BV$7,BV$7,$J67:BV67)</f>
        <v>0</v>
      </c>
      <c r="BW68" s="47" t="n">
        <f aca="false">BW20*SUMIF($J$7:BW$7,BW$7,$J67:BW67)</f>
        <v>0</v>
      </c>
      <c r="BX68" s="47" t="n">
        <f aca="false">BX20*SUMIF($J$7:BX$7,BX$7,$J67:BX67)</f>
        <v>0</v>
      </c>
      <c r="BY68" s="47" t="n">
        <f aca="false">BY20*SUMIF($J$7:BY$7,BY$7,$J67:BY67)</f>
        <v>0</v>
      </c>
      <c r="BZ68" s="47" t="n">
        <f aca="false">BZ20*SUMIF($J$7:BZ$7,BZ$7,$J67:BZ67)</f>
        <v>0</v>
      </c>
      <c r="CA68" s="47" t="n">
        <f aca="false">CA20*SUMIF($J$7:CA$7,CA$7,$J67:CA67)</f>
        <v>0</v>
      </c>
      <c r="CB68" s="47" t="n">
        <f aca="false">CB20*SUMIF($J$7:CB$7,CB$7,$J67:CB67)</f>
        <v>0</v>
      </c>
      <c r="CC68" s="47" t="n">
        <f aca="false">CC20*SUMIF($J$7:CC$7,CC$7,$J67:CC67)</f>
        <v>0</v>
      </c>
      <c r="CD68" s="47" t="n">
        <f aca="false">CD20*SUMIF($J$7:CD$7,CD$7,$J67:CD67)</f>
        <v>0</v>
      </c>
      <c r="CE68" s="47" t="n">
        <f aca="false">CE20*SUMIF($J$7:CE$7,CE$7,$J67:CE67)</f>
        <v>0</v>
      </c>
      <c r="CF68" s="47" t="n">
        <f aca="false">CF20*SUMIF($J$7:CF$7,CF$7,$J67:CF67)</f>
        <v>0</v>
      </c>
      <c r="CG68" s="47" t="n">
        <f aca="false">CG20*SUMIF($J$7:CG$7,CG$7,$J67:CG67)</f>
        <v>0</v>
      </c>
      <c r="CH68" s="47" t="n">
        <f aca="false">CH20*SUMIF($J$7:CH$7,CH$7,$J67:CH67)</f>
        <v>0</v>
      </c>
      <c r="CI68" s="47" t="n">
        <f aca="false">CI20*SUMIF($J$7:CI$7,CI$7,$J67:CI67)</f>
        <v>0</v>
      </c>
      <c r="CJ68" s="47" t="n">
        <f aca="false">CJ20*SUMIF($J$7:CJ$7,CJ$7,$J67:CJ67)</f>
        <v>0</v>
      </c>
      <c r="CK68" s="47" t="n">
        <f aca="false">CK20*SUMIF($J$7:CK$7,CK$7,$J67:CK67)</f>
        <v>0</v>
      </c>
      <c r="CL68" s="47" t="n">
        <f aca="false">CL20*SUMIF($J$7:CL$7,CL$7,$J67:CL67)</f>
        <v>0</v>
      </c>
      <c r="CM68" s="47" t="n">
        <f aca="false">CM20*SUMIF($J$7:CM$7,CM$7,$J67:CM67)</f>
        <v>0</v>
      </c>
      <c r="CN68" s="47" t="n">
        <f aca="false">CN20*SUMIF($J$7:CN$7,CN$7,$J67:CN67)</f>
        <v>0</v>
      </c>
      <c r="CO68" s="47" t="n">
        <f aca="false">CO20*SUMIF($J$7:CO$7,CO$7,$J67:CO67)</f>
        <v>0</v>
      </c>
      <c r="CP68" s="47" t="n">
        <f aca="false">CP20*SUMIF($J$7:CP$7,CP$7,$J67:CP67)</f>
        <v>0</v>
      </c>
      <c r="CQ68" s="47" t="n">
        <f aca="false">CQ20*SUMIF($J$7:CQ$7,CQ$7,$J67:CQ67)</f>
        <v>0</v>
      </c>
      <c r="CR68" s="47" t="n">
        <f aca="false">CR20*SUMIF($J$7:CR$7,CR$7,$J67:CR67)</f>
        <v>0</v>
      </c>
      <c r="CS68" s="47" t="n">
        <f aca="false">CS20*SUMIF($J$7:CS$7,CS$7,$J67:CS67)</f>
        <v>0</v>
      </c>
      <c r="CT68" s="47" t="n">
        <f aca="false">CT20*SUMIF($J$7:CT$7,CT$7,$J67:CT67)</f>
        <v>0</v>
      </c>
      <c r="CU68" s="47" t="n">
        <f aca="false">CU20*SUMIF($J$7:CU$7,CU$7,$J67:CU67)</f>
        <v>0</v>
      </c>
      <c r="CV68" s="47" t="n">
        <f aca="false">CV20*SUMIF($J$7:CV$7,CV$7,$J67:CV67)</f>
        <v>0</v>
      </c>
      <c r="CW68" s="47" t="n">
        <f aca="false">CW20*SUMIF($J$7:CW$7,CW$7,$J67:CW67)</f>
        <v>0</v>
      </c>
      <c r="CX68" s="47" t="n">
        <f aca="false">CX20*SUMIF($J$7:CX$7,CX$7,$J67:CX67)</f>
        <v>0</v>
      </c>
      <c r="CY68" s="47" t="n">
        <f aca="false">CY20*SUMIF($J$7:CY$7,CY$7,$J67:CY67)</f>
        <v>0</v>
      </c>
      <c r="CZ68" s="47" t="n">
        <f aca="false">CZ20*SUMIF($J$7:CZ$7,CZ$7,$J67:CZ67)</f>
        <v>0</v>
      </c>
      <c r="DA68" s="47" t="n">
        <f aca="false">DA20*SUMIF($J$7:DA$7,DA$7,$J67:DA67)</f>
        <v>0</v>
      </c>
      <c r="DB68" s="47" t="n">
        <f aca="false">DB20*SUMIF($J$7:DB$7,DB$7,$J67:DB67)</f>
        <v>0</v>
      </c>
      <c r="DC68" s="47" t="n">
        <f aca="false">DC20*SUMIF($J$7:DC$7,DC$7,$J67:DC67)</f>
        <v>0</v>
      </c>
      <c r="DD68" s="47" t="n">
        <f aca="false">DD20*SUMIF($J$7:DD$7,DD$7,$J67:DD67)</f>
        <v>0</v>
      </c>
      <c r="DE68" s="47" t="n">
        <f aca="false">DE20*SUMIF($J$7:DE$7,DE$7,$J67:DE67)</f>
        <v>0</v>
      </c>
      <c r="DF68" s="47" t="n">
        <f aca="false">DF20*SUMIF($J$7:DF$7,DF$7,$J67:DF67)</f>
        <v>0</v>
      </c>
      <c r="DG68" s="47" t="n">
        <f aca="false">DG20*SUMIF($J$7:DG$7,DG$7,$J67:DG67)</f>
        <v>0</v>
      </c>
      <c r="DH68" s="47" t="n">
        <f aca="false">DH20*SUMIF($J$7:DH$7,DH$7,$J67:DH67)</f>
        <v>0</v>
      </c>
      <c r="DI68" s="47" t="n">
        <f aca="false">DI20*SUMIF($J$7:DI$7,DI$7,$J67:DI67)</f>
        <v>0</v>
      </c>
      <c r="DJ68" s="47" t="n">
        <f aca="false">DJ20*SUMIF($J$7:DJ$7,DJ$7,$J67:DJ67)</f>
        <v>0</v>
      </c>
      <c r="DK68" s="47" t="n">
        <f aca="false">DK20*SUMIF($J$7:DK$7,DK$7,$J67:DK67)</f>
        <v>0</v>
      </c>
      <c r="DL68" s="47" t="n">
        <f aca="false">DL20*SUMIF($J$7:DL$7,DL$7,$J67:DL67)</f>
        <v>0</v>
      </c>
      <c r="DM68" s="47" t="n">
        <f aca="false">DM20*SUMIF($J$7:DM$7,DM$7,$J67:DM67)</f>
        <v>0</v>
      </c>
      <c r="DN68" s="47" t="n">
        <f aca="false">DN20*SUMIF($J$7:DN$7,DN$7,$J67:DN67)</f>
        <v>0</v>
      </c>
      <c r="DO68" s="47" t="n">
        <f aca="false">DO20*SUMIF($J$7:DO$7,DO$7,$J67:DO67)</f>
        <v>0</v>
      </c>
      <c r="DP68" s="47" t="n">
        <f aca="false">DP20*SUMIF($J$7:DP$7,DP$7,$J67:DP67)</f>
        <v>0</v>
      </c>
      <c r="DQ68" s="47" t="n">
        <f aca="false">DQ20*SUMIF($J$7:DQ$7,DQ$7,$J67:DQ67)</f>
        <v>0</v>
      </c>
      <c r="DR68" s="47" t="n">
        <f aca="false">DR20*SUMIF($J$7:DR$7,DR$7,$J67:DR67)</f>
        <v>0</v>
      </c>
      <c r="DS68" s="47" t="n">
        <f aca="false">DS20*SUMIF($J$7:DS$7,DS$7,$J67:DS67)</f>
        <v>0</v>
      </c>
      <c r="DT68" s="47" t="n">
        <f aca="false">DT20*SUMIF($J$7:DT$7,DT$7,$J67:DT67)</f>
        <v>0</v>
      </c>
      <c r="DU68" s="47" t="n">
        <f aca="false">DU20*SUMIF($J$7:DU$7,DU$7,$J67:DU67)</f>
        <v>0</v>
      </c>
      <c r="DV68" s="47" t="n">
        <f aca="false">DV20*SUMIF($J$7:DV$7,DV$7,$J67:DV67)</f>
        <v>0</v>
      </c>
      <c r="DW68" s="47" t="n">
        <f aca="false">DW20*SUMIF($J$7:DW$7,DW$7,$J67:DW67)</f>
        <v>0</v>
      </c>
      <c r="DX68" s="47" t="n">
        <f aca="false">DX20*SUMIF($J$7:DX$7,DX$7,$J67:DX67)</f>
        <v>0</v>
      </c>
      <c r="DY68" s="47" t="n">
        <f aca="false">DY20*SUMIF($J$7:DY$7,DY$7,$J67:DY67)</f>
        <v>0</v>
      </c>
      <c r="DZ68" s="47" t="n">
        <f aca="false">DZ20*SUMIF($J$7:DZ$7,DZ$7,$J67:DZ67)</f>
        <v>0</v>
      </c>
      <c r="EA68" s="47" t="n">
        <f aca="false">EA20*SUMIF($J$7:EA$7,EA$7,$J67:EA67)</f>
        <v>0</v>
      </c>
      <c r="EB68" s="47" t="n">
        <f aca="false">EB20*SUMIF($J$7:EB$7,EB$7,$J67:EB67)</f>
        <v>0</v>
      </c>
      <c r="EC68" s="47" t="n">
        <f aca="false">EC20*SUMIF($J$7:EC$7,EC$7,$J67:EC67)</f>
        <v>0</v>
      </c>
      <c r="ED68" s="47" t="n">
        <f aca="false">ED20*SUMIF($J$7:ED$7,ED$7,$J67:ED67)</f>
        <v>0</v>
      </c>
      <c r="EE68" s="47" t="n">
        <f aca="false">EE20*SUMIF($J$7:EE$7,EE$7,$J67:EE67)</f>
        <v>0</v>
      </c>
      <c r="EF68" s="47" t="n">
        <f aca="false">EF20*SUMIF($J$7:EF$7,EF$7,$J67:EF67)</f>
        <v>0</v>
      </c>
      <c r="EG68" s="47" t="n">
        <f aca="false">EG20*SUMIF($J$7:EG$7,EG$7,$J67:EG67)</f>
        <v>0</v>
      </c>
      <c r="EH68" s="47" t="n">
        <f aca="false">EH20*SUMIF($J$7:EH$7,EH$7,$J67:EH67)</f>
        <v>0</v>
      </c>
      <c r="EI68" s="47" t="n">
        <f aca="false">EI20*SUMIF($J$7:EI$7,EI$7,$J67:EI67)</f>
        <v>0</v>
      </c>
      <c r="EJ68" s="47" t="n">
        <f aca="false">EJ20*SUMIF($J$7:EJ$7,EJ$7,$J67:EJ67)</f>
        <v>0</v>
      </c>
      <c r="EK68" s="47" t="n">
        <f aca="false">EK20*SUMIF($J$7:EK$7,EK$7,$J67:EK67)</f>
        <v>0</v>
      </c>
      <c r="EL68" s="47" t="n">
        <f aca="false">EL20*SUMIF($J$7:EL$7,EL$7,$J67:EL67)</f>
        <v>0</v>
      </c>
      <c r="EM68" s="47" t="n">
        <f aca="false">EM20*SUMIF($J$7:EM$7,EM$7,$J67:EM67)</f>
        <v>0</v>
      </c>
      <c r="EN68" s="47" t="n">
        <f aca="false">EN20*SUMIF($J$7:EN$7,EN$7,$J67:EN67)</f>
        <v>0</v>
      </c>
      <c r="EO68" s="47" t="n">
        <f aca="false">EO20*SUMIF($J$7:EO$7,EO$7,$J67:EO67)</f>
        <v>0</v>
      </c>
      <c r="EP68" s="47" t="n">
        <f aca="false">EP20*SUMIF($J$7:EP$7,EP$7,$J67:EP67)</f>
        <v>0</v>
      </c>
      <c r="EQ68" s="47" t="n">
        <f aca="false">EQ20*SUMIF($J$7:EQ$7,EQ$7,$J67:EQ67)</f>
        <v>0</v>
      </c>
      <c r="ER68" s="47" t="n">
        <f aca="false">ER20*SUMIF($J$7:ER$7,ER$7,$J67:ER67)</f>
        <v>0</v>
      </c>
      <c r="ES68" s="47" t="n">
        <f aca="false">ES20*SUMIF($J$7:ES$7,ES$7,$J67:ES67)</f>
        <v>0</v>
      </c>
      <c r="ET68" s="47" t="n">
        <f aca="false">ET20*SUMIF($J$7:ET$7,ET$7,$J67:ET67)</f>
        <v>0</v>
      </c>
    </row>
    <row r="69" customFormat="false" ht="15" hidden="false" customHeight="false" outlineLevel="0" collapsed="false">
      <c r="C69" s="1" t="s">
        <v>497</v>
      </c>
      <c r="D69" s="12" t="s">
        <v>222</v>
      </c>
      <c r="I69" s="57"/>
      <c r="J69" s="47" t="n">
        <f aca="false">J66+J64+J68</f>
        <v>0</v>
      </c>
      <c r="K69" s="47" t="n">
        <f aca="false">K66+K64+K68</f>
        <v>1242.07678738976</v>
      </c>
      <c r="L69" s="47" t="n">
        <f aca="false">L66+L64+L68</f>
        <v>1242.07678738976</v>
      </c>
      <c r="M69" s="47" t="n">
        <f aca="false">M66+M64+M68</f>
        <v>1242.07678738976</v>
      </c>
      <c r="N69" s="47" t="n">
        <f aca="false">N66+N64+N68</f>
        <v>1242.07678738976</v>
      </c>
      <c r="O69" s="47" t="n">
        <f aca="false">O66+O64+O68</f>
        <v>1391.12600187653</v>
      </c>
      <c r="P69" s="47" t="n">
        <f aca="false">P66+P64+P68</f>
        <v>1391.12600187653</v>
      </c>
      <c r="Q69" s="47" t="n">
        <f aca="false">Q66+Q64+Q68</f>
        <v>1391.12600187653</v>
      </c>
      <c r="R69" s="47" t="n">
        <f aca="false">R66+R64+R68</f>
        <v>1391.12600187653</v>
      </c>
      <c r="S69" s="47" t="n">
        <f aca="false">S66+S64+S68</f>
        <v>1558.51847859548</v>
      </c>
      <c r="T69" s="47" t="n">
        <f aca="false">T66+T64+T68</f>
        <v>21737.9058868147</v>
      </c>
      <c r="U69" s="47" t="n">
        <f aca="false">U66+U64+U68</f>
        <v>21737.9058868147</v>
      </c>
      <c r="V69" s="47" t="n">
        <f aca="false">V66+V64+V68</f>
        <v>21737.9058868147</v>
      </c>
      <c r="W69" s="47" t="n">
        <f aca="false">W66+W64+W68</f>
        <v>22985.0199428111</v>
      </c>
      <c r="X69" s="47" t="n">
        <f aca="false">X66+X64+X68</f>
        <v>22985.0199428111</v>
      </c>
      <c r="Y69" s="47" t="n">
        <f aca="false">Y66+Y64+Y68</f>
        <v>22985.0199428111</v>
      </c>
      <c r="Z69" s="47" t="n">
        <f aca="false">Z66+Z64+Z68</f>
        <v>22985.0199428111</v>
      </c>
      <c r="AA69" s="47" t="n">
        <f aca="false">AA66+AA64+AA68</f>
        <v>25743.2223359484</v>
      </c>
      <c r="AB69" s="47" t="n">
        <f aca="false">AB66+AB64+AB68</f>
        <v>25743.2223359484</v>
      </c>
      <c r="AC69" s="47" t="n">
        <f aca="false">AC66+AC64+AC68</f>
        <v>25743.2223359484</v>
      </c>
      <c r="AD69" s="47" t="n">
        <f aca="false">AD66+AD64+AD68</f>
        <v>25743.2223359484</v>
      </c>
      <c r="AE69" s="47" t="n">
        <f aca="false">AE66+AE64+AE68</f>
        <v>28053.7647023201</v>
      </c>
      <c r="AF69" s="47" t="n">
        <f aca="false">AF66+AF64+AF68</f>
        <v>28053.7647023201</v>
      </c>
      <c r="AG69" s="47" t="n">
        <f aca="false">AG66+AG64+AG68</f>
        <v>28053.7647023201</v>
      </c>
      <c r="AH69" s="47" t="n">
        <f aca="false">AH66+AH64+AH68</f>
        <v>28053.7647023201</v>
      </c>
      <c r="AI69" s="47" t="n">
        <f aca="false">AI66+AI64+AI68</f>
        <v>28053.7647023201</v>
      </c>
      <c r="AJ69" s="47" t="n">
        <f aca="false">AJ66+AJ64+AJ68</f>
        <v>28053.7647023201</v>
      </c>
      <c r="AK69" s="47" t="n">
        <f aca="false">AK66+AK64+AK68</f>
        <v>28053.7647023201</v>
      </c>
      <c r="AL69" s="47" t="n">
        <f aca="false">AL66+AL64+AL68</f>
        <v>28053.7647023201</v>
      </c>
      <c r="AM69" s="47" t="n">
        <f aca="false">AM66+AM64+AM68</f>
        <v>28053.7647023201</v>
      </c>
      <c r="AN69" s="47" t="n">
        <f aca="false">AN66+AN64+AN68</f>
        <v>28053.7647023201</v>
      </c>
      <c r="AO69" s="47" t="n">
        <f aca="false">AO66+AO64+AO68</f>
        <v>28053.7647023201</v>
      </c>
      <c r="AP69" s="47" t="n">
        <f aca="false">AP66+AP64+AP68</f>
        <v>28053.7647023201</v>
      </c>
      <c r="AQ69" s="47" t="n">
        <f aca="false">AQ66+AQ64+AQ68</f>
        <v>28053.7647023201</v>
      </c>
      <c r="AR69" s="47" t="n">
        <f aca="false">AR66+AR64+AR68</f>
        <v>28053.7647023201</v>
      </c>
      <c r="AS69" s="47" t="n">
        <f aca="false">AS66+AS64+AS68</f>
        <v>28053.7647023201</v>
      </c>
      <c r="AT69" s="47" t="n">
        <f aca="false">AT66+AT64+AT68</f>
        <v>28053.7647023201</v>
      </c>
      <c r="AU69" s="47" t="n">
        <f aca="false">AU66+AU64+AU68</f>
        <v>28053.7647023201</v>
      </c>
      <c r="AV69" s="47" t="n">
        <f aca="false">AV66+AV64+AV68</f>
        <v>28053.7647023201</v>
      </c>
      <c r="AW69" s="47" t="n">
        <f aca="false">AW66+AW64+AW68</f>
        <v>28053.7647023201</v>
      </c>
      <c r="AX69" s="47" t="n">
        <f aca="false">AX66+AX64+AX68</f>
        <v>28053.7647023201</v>
      </c>
      <c r="AY69" s="47" t="n">
        <f aca="false">AY66+AY64+AY68</f>
        <v>28053.7647023201</v>
      </c>
      <c r="AZ69" s="47" t="n">
        <f aca="false">AZ66+AZ64+AZ68</f>
        <v>28053.7647023201</v>
      </c>
      <c r="BA69" s="47" t="n">
        <f aca="false">BA66+BA64+BA68</f>
        <v>28053.7647023201</v>
      </c>
      <c r="BB69" s="47" t="n">
        <f aca="false">BB66+BB64+BB68</f>
        <v>28053.7647023201</v>
      </c>
      <c r="BC69" s="47" t="n">
        <f aca="false">BC66+BC64+BC68</f>
        <v>28053.7647023201</v>
      </c>
      <c r="BD69" s="47" t="n">
        <f aca="false">BD66+BD64+BD68</f>
        <v>28053.7647023201</v>
      </c>
      <c r="BE69" s="47" t="n">
        <f aca="false">BE66+BE64+BE68</f>
        <v>28053.7647023201</v>
      </c>
      <c r="BF69" s="47" t="n">
        <f aca="false">BF66+BF64+BF68</f>
        <v>28053.7647023201</v>
      </c>
      <c r="BG69" s="47" t="n">
        <f aca="false">BG66+BG64+BG68</f>
        <v>28053.7647023201</v>
      </c>
      <c r="BH69" s="47" t="n">
        <f aca="false">BH66+BH64+BH68</f>
        <v>28053.7647023201</v>
      </c>
      <c r="BI69" s="47" t="n">
        <f aca="false">BI66+BI64+BI68</f>
        <v>28053.7647023201</v>
      </c>
      <c r="BJ69" s="47" t="n">
        <f aca="false">BJ66+BJ64+BJ68</f>
        <v>28053.7647023201</v>
      </c>
      <c r="BK69" s="47" t="n">
        <f aca="false">BK66+BK64+BK68</f>
        <v>28053.7647023201</v>
      </c>
      <c r="BL69" s="47" t="n">
        <f aca="false">BL66+BL64+BL68</f>
        <v>28053.7647023201</v>
      </c>
      <c r="BM69" s="47" t="n">
        <f aca="false">BM66+BM64+BM68</f>
        <v>28053.7647023201</v>
      </c>
      <c r="BN69" s="47" t="n">
        <f aca="false">BN66+BN64+BN68</f>
        <v>28053.7647023201</v>
      </c>
      <c r="BO69" s="47" t="n">
        <f aca="false">BO66+BO64+BO68</f>
        <v>28053.7647023201</v>
      </c>
      <c r="BP69" s="47" t="n">
        <f aca="false">BP66+BP64+BP68</f>
        <v>28053.7647023201</v>
      </c>
      <c r="BQ69" s="47" t="n">
        <f aca="false">BQ66+BQ64+BQ68</f>
        <v>28053.7647023201</v>
      </c>
      <c r="BR69" s="47" t="n">
        <f aca="false">BR66+BR64+BR68</f>
        <v>28053.7647023201</v>
      </c>
      <c r="BS69" s="47" t="n">
        <f aca="false">BS66+BS64+BS68</f>
        <v>28053.7647023201</v>
      </c>
      <c r="BT69" s="47" t="n">
        <f aca="false">BT66+BT64+BT68</f>
        <v>28053.7647023201</v>
      </c>
      <c r="BU69" s="47" t="n">
        <f aca="false">BU66+BU64+BU68</f>
        <v>28053.7647023201</v>
      </c>
      <c r="BV69" s="47" t="n">
        <f aca="false">BV66+BV64+BV68</f>
        <v>28053.7647023201</v>
      </c>
      <c r="BW69" s="47" t="n">
        <f aca="false">BW66+BW64+BW68</f>
        <v>28053.7647023201</v>
      </c>
      <c r="BX69" s="47" t="n">
        <f aca="false">BX66+BX64+BX68</f>
        <v>28053.7647023201</v>
      </c>
      <c r="BY69" s="47" t="n">
        <f aca="false">BY66+BY64+BY68</f>
        <v>28053.7647023201</v>
      </c>
      <c r="BZ69" s="47" t="n">
        <f aca="false">BZ66+BZ64+BZ68</f>
        <v>28053.7647023201</v>
      </c>
      <c r="CA69" s="47" t="n">
        <f aca="false">CA66+CA64+CA68</f>
        <v>28053.7647023201</v>
      </c>
      <c r="CB69" s="47" t="n">
        <f aca="false">CB66+CB64+CB68</f>
        <v>28053.7647023201</v>
      </c>
      <c r="CC69" s="47" t="n">
        <f aca="false">CC66+CC64+CC68</f>
        <v>28053.7647023201</v>
      </c>
      <c r="CD69" s="47" t="n">
        <f aca="false">CD66+CD64+CD68</f>
        <v>28053.7647023201</v>
      </c>
      <c r="CE69" s="47" t="n">
        <f aca="false">CE66+CE64+CE68</f>
        <v>28053.7647023201</v>
      </c>
      <c r="CF69" s="47" t="n">
        <f aca="false">CF66+CF64+CF68</f>
        <v>28053.7647023201</v>
      </c>
      <c r="CG69" s="47" t="n">
        <f aca="false">CG66+CG64+CG68</f>
        <v>28053.7647023201</v>
      </c>
      <c r="CH69" s="47" t="n">
        <f aca="false">CH66+CH64+CH68</f>
        <v>28053.7647023201</v>
      </c>
      <c r="CI69" s="47" t="n">
        <f aca="false">CI66+CI64+CI68</f>
        <v>28053.7647023201</v>
      </c>
      <c r="CJ69" s="47" t="n">
        <f aca="false">CJ66+CJ64+CJ68</f>
        <v>28053.7647023201</v>
      </c>
      <c r="CK69" s="47" t="n">
        <f aca="false">CK66+CK64+CK68</f>
        <v>28053.7647023201</v>
      </c>
      <c r="CL69" s="47" t="n">
        <f aca="false">CL66+CL64+CL68</f>
        <v>28053.7647023201</v>
      </c>
      <c r="CM69" s="47" t="n">
        <f aca="false">CM66+CM64+CM68</f>
        <v>28053.7647023201</v>
      </c>
      <c r="CN69" s="47" t="n">
        <f aca="false">CN66+CN64+CN68</f>
        <v>28053.7647023201</v>
      </c>
      <c r="CO69" s="47" t="n">
        <f aca="false">CO66+CO64+CO68</f>
        <v>28053.7647023201</v>
      </c>
      <c r="CP69" s="47" t="n">
        <f aca="false">CP66+CP64+CP68</f>
        <v>28053.7647023201</v>
      </c>
      <c r="CQ69" s="47" t="n">
        <f aca="false">CQ66+CQ64+CQ68</f>
        <v>28053.7647023201</v>
      </c>
      <c r="CR69" s="47" t="n">
        <f aca="false">CR66+CR64+CR68</f>
        <v>28053.7647023201</v>
      </c>
      <c r="CS69" s="47" t="n">
        <f aca="false">CS66+CS64+CS68</f>
        <v>28053.7647023201</v>
      </c>
      <c r="CT69" s="47" t="n">
        <f aca="false">CT66+CT64+CT68</f>
        <v>28053.7647023201</v>
      </c>
      <c r="CU69" s="47" t="n">
        <f aca="false">CU66+CU64+CU68</f>
        <v>28053.7647023201</v>
      </c>
      <c r="CV69" s="47" t="n">
        <f aca="false">CV66+CV64+CV68</f>
        <v>28053.7647023201</v>
      </c>
      <c r="CW69" s="47" t="n">
        <f aca="false">CW66+CW64+CW68</f>
        <v>28053.7647023201</v>
      </c>
      <c r="CX69" s="47" t="n">
        <f aca="false">CX66+CX64+CX68</f>
        <v>28053.7647023201</v>
      </c>
      <c r="CY69" s="47" t="n">
        <f aca="false">CY66+CY64+CY68</f>
        <v>28053.7647023201</v>
      </c>
      <c r="CZ69" s="47" t="n">
        <f aca="false">CZ66+CZ64+CZ68</f>
        <v>28053.7647023201</v>
      </c>
      <c r="DA69" s="47" t="n">
        <f aca="false">DA66+DA64+DA68</f>
        <v>28053.7647023201</v>
      </c>
      <c r="DB69" s="47" t="n">
        <f aca="false">DB66+DB64+DB68</f>
        <v>28053.7647023201</v>
      </c>
      <c r="DC69" s="47" t="n">
        <f aca="false">DC66+DC64+DC68</f>
        <v>28053.7647023201</v>
      </c>
      <c r="DD69" s="47" t="n">
        <f aca="false">DD66+DD64+DD68</f>
        <v>28053.7647023201</v>
      </c>
      <c r="DE69" s="47" t="n">
        <f aca="false">DE66+DE64+DE68</f>
        <v>28053.7647023201</v>
      </c>
      <c r="DF69" s="47" t="n">
        <f aca="false">DF66+DF64+DF68</f>
        <v>28053.7647023201</v>
      </c>
      <c r="DG69" s="47" t="n">
        <f aca="false">DG66+DG64+DG68</f>
        <v>28053.7647023201</v>
      </c>
      <c r="DH69" s="47" t="n">
        <f aca="false">DH66+DH64+DH68</f>
        <v>28053.7647023201</v>
      </c>
      <c r="DI69" s="47" t="n">
        <f aca="false">DI66+DI64+DI68</f>
        <v>28053.7647023201</v>
      </c>
      <c r="DJ69" s="47" t="n">
        <f aca="false">DJ66+DJ64+DJ68</f>
        <v>28053.7647023201</v>
      </c>
      <c r="DK69" s="47" t="n">
        <f aca="false">DK66+DK64+DK68</f>
        <v>28053.7647023201</v>
      </c>
      <c r="DL69" s="47" t="n">
        <f aca="false">DL66+DL64+DL68</f>
        <v>28053.7647023201</v>
      </c>
      <c r="DM69" s="47" t="n">
        <f aca="false">DM66+DM64+DM68</f>
        <v>28053.7647023201</v>
      </c>
      <c r="DN69" s="47" t="n">
        <f aca="false">DN66+DN64+DN68</f>
        <v>28053.7647023201</v>
      </c>
      <c r="DO69" s="47" t="n">
        <f aca="false">DO66+DO64+DO68</f>
        <v>28053.7647023201</v>
      </c>
      <c r="DP69" s="47" t="n">
        <f aca="false">DP66+DP64+DP68</f>
        <v>28053.7647023201</v>
      </c>
      <c r="DQ69" s="47" t="n">
        <f aca="false">DQ66+DQ64+DQ68</f>
        <v>28053.7647023201</v>
      </c>
      <c r="DR69" s="47" t="n">
        <f aca="false">DR66+DR64+DR68</f>
        <v>28053.7647023201</v>
      </c>
      <c r="DS69" s="47" t="n">
        <f aca="false">DS66+DS64+DS68</f>
        <v>28053.7647023201</v>
      </c>
      <c r="DT69" s="47" t="n">
        <f aca="false">DT66+DT64+DT68</f>
        <v>28053.7647023201</v>
      </c>
      <c r="DU69" s="47" t="n">
        <f aca="false">DU66+DU64+DU68</f>
        <v>28053.7647023201</v>
      </c>
      <c r="DV69" s="47" t="n">
        <f aca="false">DV66+DV64+DV68</f>
        <v>28053.7647023201</v>
      </c>
      <c r="DW69" s="47" t="n">
        <f aca="false">DW66+DW64+DW68</f>
        <v>28053.7647023201</v>
      </c>
      <c r="DX69" s="47" t="n">
        <f aca="false">DX66+DX64+DX68</f>
        <v>28053.7647023201</v>
      </c>
      <c r="DY69" s="47" t="n">
        <f aca="false">DY66+DY64+DY68</f>
        <v>28053.7647023201</v>
      </c>
      <c r="DZ69" s="47" t="n">
        <f aca="false">DZ66+DZ64+DZ68</f>
        <v>28053.7647023201</v>
      </c>
      <c r="EA69" s="47" t="n">
        <f aca="false">EA66+EA64+EA68</f>
        <v>28053.7647023201</v>
      </c>
      <c r="EB69" s="47" t="n">
        <f aca="false">EB66+EB64+EB68</f>
        <v>28053.7647023201</v>
      </c>
      <c r="EC69" s="47" t="n">
        <f aca="false">EC66+EC64+EC68</f>
        <v>28053.7647023201</v>
      </c>
      <c r="ED69" s="47" t="n">
        <f aca="false">ED66+ED64+ED68</f>
        <v>28053.7647023201</v>
      </c>
      <c r="EE69" s="47" t="n">
        <f aca="false">EE66+EE64+EE68</f>
        <v>28053.7647023201</v>
      </c>
      <c r="EF69" s="47" t="n">
        <f aca="false">EF66+EF64+EF68</f>
        <v>28053.7647023201</v>
      </c>
      <c r="EG69" s="47" t="n">
        <f aca="false">EG66+EG64+EG68</f>
        <v>28053.7647023201</v>
      </c>
      <c r="EH69" s="47" t="n">
        <f aca="false">EH66+EH64+EH68</f>
        <v>28053.7647023201</v>
      </c>
      <c r="EI69" s="47" t="n">
        <f aca="false">EI66+EI64+EI68</f>
        <v>28053.7647023201</v>
      </c>
      <c r="EJ69" s="47" t="n">
        <f aca="false">EJ66+EJ64+EJ68</f>
        <v>28053.7647023201</v>
      </c>
      <c r="EK69" s="47" t="n">
        <f aca="false">EK66+EK64+EK68</f>
        <v>28053.7647023201</v>
      </c>
      <c r="EL69" s="47" t="n">
        <f aca="false">EL66+EL64+EL68</f>
        <v>28053.7647023201</v>
      </c>
      <c r="EM69" s="47" t="n">
        <f aca="false">EM66+EM64+EM68</f>
        <v>28053.7647023201</v>
      </c>
      <c r="EN69" s="47" t="n">
        <f aca="false">EN66+EN64+EN68</f>
        <v>28053.7647023201</v>
      </c>
      <c r="EO69" s="47" t="n">
        <f aca="false">EO66+EO64+EO68</f>
        <v>28053.7647023201</v>
      </c>
      <c r="EP69" s="47" t="n">
        <f aca="false">EP66+EP64+EP68</f>
        <v>28053.7647023201</v>
      </c>
      <c r="EQ69" s="47" t="n">
        <f aca="false">EQ66+EQ64+EQ68</f>
        <v>28053.7647023201</v>
      </c>
      <c r="ER69" s="47" t="n">
        <f aca="false">ER66+ER64+ER68</f>
        <v>28053.7647023201</v>
      </c>
      <c r="ES69" s="47" t="n">
        <f aca="false">ES66+ES64+ES68</f>
        <v>28053.7647023201</v>
      </c>
      <c r="ET69" s="47" t="n">
        <f aca="false">ET66+ET64+ET68</f>
        <v>28053.7647023201</v>
      </c>
    </row>
    <row r="70" customFormat="false" ht="15" hidden="false" customHeight="false" outlineLevel="0" collapsed="false">
      <c r="A70" s="36"/>
      <c r="B70" s="36"/>
      <c r="C70" s="36" t="s">
        <v>498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</row>
    <row r="71" customFormat="false" ht="15" hidden="false" customHeight="false" outlineLevel="0" collapsed="false">
      <c r="C71" s="1" t="s">
        <v>499</v>
      </c>
      <c r="D71" s="12" t="s">
        <v>222</v>
      </c>
      <c r="J71" s="23" t="n">
        <f aca="false">I74</f>
        <v>0</v>
      </c>
      <c r="K71" s="23" t="n">
        <f aca="false">J74</f>
        <v>0</v>
      </c>
      <c r="L71" s="23" t="n">
        <f aca="false">K74</f>
        <v>18.1640998311128</v>
      </c>
      <c r="M71" s="23" t="n">
        <f aca="false">L74</f>
        <v>18.1640998311128</v>
      </c>
      <c r="N71" s="23" t="n">
        <f aca="false">M74</f>
        <v>18.1640998311128</v>
      </c>
      <c r="O71" s="23" t="n">
        <f aca="false">N74</f>
        <v>18.1640998311128</v>
      </c>
      <c r="P71" s="23" t="n">
        <f aca="false">O74</f>
        <v>438.867644451117</v>
      </c>
      <c r="Q71" s="23" t="n">
        <f aca="false">P74</f>
        <v>438.867644451117</v>
      </c>
      <c r="R71" s="23" t="n">
        <f aca="false">Q74</f>
        <v>438.867644451117</v>
      </c>
      <c r="S71" s="23" t="n">
        <f aca="false">R74</f>
        <v>438.867644451117</v>
      </c>
      <c r="T71" s="23" t="n">
        <f aca="false">S74</f>
        <v>886.035170946395</v>
      </c>
      <c r="U71" s="23" t="n">
        <f aca="false">T74</f>
        <v>886.035170946395</v>
      </c>
      <c r="V71" s="23" t="n">
        <f aca="false">U74</f>
        <v>886.035170946395</v>
      </c>
      <c r="W71" s="23" t="n">
        <f aca="false">V74</f>
        <v>886.035170946395</v>
      </c>
      <c r="X71" s="23" t="n">
        <f aca="false">W74</f>
        <v>1120.48016110676</v>
      </c>
      <c r="Y71" s="23" t="n">
        <f aca="false">X74</f>
        <v>1120.48016110676</v>
      </c>
      <c r="Z71" s="23" t="n">
        <f aca="false">Y74</f>
        <v>1120.48016110676</v>
      </c>
      <c r="AA71" s="23" t="n">
        <f aca="false">Z74</f>
        <v>1120.48016110676</v>
      </c>
      <c r="AB71" s="23" t="n">
        <f aca="false">AA74</f>
        <v>1607.3226694033</v>
      </c>
      <c r="AC71" s="23" t="n">
        <f aca="false">AB74</f>
        <v>1607.3226694033</v>
      </c>
      <c r="AD71" s="23" t="n">
        <f aca="false">AC74</f>
        <v>1607.3226694033</v>
      </c>
      <c r="AE71" s="23" t="n">
        <f aca="false">AD74</f>
        <v>1607.3226694033</v>
      </c>
      <c r="AF71" s="23" t="n">
        <f aca="false">AE74</f>
        <v>1993.30208050153</v>
      </c>
      <c r="AG71" s="23" t="n">
        <f aca="false">AF74</f>
        <v>1993.30208050153</v>
      </c>
      <c r="AH71" s="23" t="n">
        <f aca="false">AG74</f>
        <v>1993.30208050153</v>
      </c>
      <c r="AI71" s="23" t="n">
        <f aca="false">AH74</f>
        <v>1993.30208050153</v>
      </c>
      <c r="AJ71" s="23" t="n">
        <f aca="false">AI74</f>
        <v>1993.30208050153</v>
      </c>
      <c r="AK71" s="23" t="n">
        <f aca="false">AJ74</f>
        <v>1993.30208050153</v>
      </c>
      <c r="AL71" s="23" t="n">
        <f aca="false">AK74</f>
        <v>1993.30208050153</v>
      </c>
      <c r="AM71" s="23" t="n">
        <f aca="false">AL74</f>
        <v>1993.30208050153</v>
      </c>
      <c r="AN71" s="23" t="n">
        <f aca="false">AM74</f>
        <v>1993.30208050153</v>
      </c>
      <c r="AO71" s="23" t="n">
        <f aca="false">AN74</f>
        <v>1993.30208050153</v>
      </c>
      <c r="AP71" s="23" t="n">
        <f aca="false">AO74</f>
        <v>1993.30208050153</v>
      </c>
      <c r="AQ71" s="23" t="n">
        <f aca="false">AP74</f>
        <v>1993.30208050153</v>
      </c>
      <c r="AR71" s="23" t="n">
        <f aca="false">AQ74</f>
        <v>1993.30208050153</v>
      </c>
      <c r="AS71" s="23" t="n">
        <f aca="false">AR74</f>
        <v>1993.30208050153</v>
      </c>
      <c r="AT71" s="23" t="n">
        <f aca="false">AS74</f>
        <v>1993.30208050153</v>
      </c>
      <c r="AU71" s="23" t="n">
        <f aca="false">AT74</f>
        <v>1993.30208050153</v>
      </c>
      <c r="AV71" s="23" t="n">
        <f aca="false">AU74</f>
        <v>1993.30208050153</v>
      </c>
      <c r="AW71" s="23" t="n">
        <f aca="false">AV74</f>
        <v>1993.30208050153</v>
      </c>
      <c r="AX71" s="23" t="n">
        <f aca="false">AW74</f>
        <v>1993.30208050153</v>
      </c>
      <c r="AY71" s="23" t="n">
        <f aca="false">AX74</f>
        <v>1993.30208050153</v>
      </c>
      <c r="AZ71" s="23" t="n">
        <f aca="false">AY74</f>
        <v>1993.30208050153</v>
      </c>
      <c r="BA71" s="23" t="n">
        <f aca="false">AZ74</f>
        <v>1993.30208050153</v>
      </c>
      <c r="BB71" s="23" t="n">
        <f aca="false">BA74</f>
        <v>1993.30208050153</v>
      </c>
      <c r="BC71" s="23" t="n">
        <f aca="false">BB74</f>
        <v>1993.30208050153</v>
      </c>
      <c r="BD71" s="23" t="n">
        <f aca="false">BC74</f>
        <v>1993.30208050153</v>
      </c>
      <c r="BE71" s="23" t="n">
        <f aca="false">BD74</f>
        <v>1993.30208050153</v>
      </c>
      <c r="BF71" s="23" t="n">
        <f aca="false">BE74</f>
        <v>1993.30208050153</v>
      </c>
      <c r="BG71" s="23" t="n">
        <f aca="false">BF74</f>
        <v>1993.30208050153</v>
      </c>
      <c r="BH71" s="23" t="n">
        <f aca="false">BG74</f>
        <v>1993.30208050153</v>
      </c>
      <c r="BI71" s="23" t="n">
        <f aca="false">BH74</f>
        <v>1993.30208050153</v>
      </c>
      <c r="BJ71" s="23" t="n">
        <f aca="false">BI74</f>
        <v>1993.30208050153</v>
      </c>
      <c r="BK71" s="23" t="n">
        <f aca="false">BJ74</f>
        <v>1993.30208050153</v>
      </c>
      <c r="BL71" s="23" t="n">
        <f aca="false">BK74</f>
        <v>1993.30208050153</v>
      </c>
      <c r="BM71" s="23" t="n">
        <f aca="false">BL74</f>
        <v>1993.30208050153</v>
      </c>
      <c r="BN71" s="23" t="n">
        <f aca="false">BM74</f>
        <v>1993.30208050153</v>
      </c>
      <c r="BO71" s="23" t="n">
        <f aca="false">BN74</f>
        <v>1993.30208050153</v>
      </c>
      <c r="BP71" s="23" t="n">
        <f aca="false">BO74</f>
        <v>1993.30208050153</v>
      </c>
      <c r="BQ71" s="23" t="n">
        <f aca="false">BP74</f>
        <v>1993.30208050153</v>
      </c>
      <c r="BR71" s="23" t="n">
        <f aca="false">BQ74</f>
        <v>1993.30208050153</v>
      </c>
      <c r="BS71" s="23" t="n">
        <f aca="false">BR74</f>
        <v>1993.30208050153</v>
      </c>
      <c r="BT71" s="23" t="n">
        <f aca="false">BS74</f>
        <v>1993.30208050153</v>
      </c>
      <c r="BU71" s="23" t="n">
        <f aca="false">BT74</f>
        <v>1993.30208050153</v>
      </c>
      <c r="BV71" s="23" t="n">
        <f aca="false">BU74</f>
        <v>1993.30208050153</v>
      </c>
      <c r="BW71" s="23" t="n">
        <f aca="false">BV74</f>
        <v>1993.30208050153</v>
      </c>
      <c r="BX71" s="23" t="n">
        <f aca="false">BW74</f>
        <v>1993.30208050153</v>
      </c>
      <c r="BY71" s="23" t="n">
        <f aca="false">BX74</f>
        <v>1993.30208050153</v>
      </c>
      <c r="BZ71" s="23" t="n">
        <f aca="false">BY74</f>
        <v>1993.30208050153</v>
      </c>
      <c r="CA71" s="23" t="n">
        <f aca="false">BZ74</f>
        <v>1993.30208050153</v>
      </c>
      <c r="CB71" s="23" t="n">
        <f aca="false">CA74</f>
        <v>1993.30208050153</v>
      </c>
      <c r="CC71" s="23" t="n">
        <f aca="false">CB74</f>
        <v>1993.30208050153</v>
      </c>
      <c r="CD71" s="23" t="n">
        <f aca="false">CC74</f>
        <v>1993.30208050153</v>
      </c>
      <c r="CE71" s="23" t="n">
        <f aca="false">CD74</f>
        <v>1993.30208050153</v>
      </c>
      <c r="CF71" s="23" t="n">
        <f aca="false">CE74</f>
        <v>1993.30208050153</v>
      </c>
      <c r="CG71" s="23" t="n">
        <f aca="false">CF74</f>
        <v>1993.30208050153</v>
      </c>
      <c r="CH71" s="23" t="n">
        <f aca="false">CG74</f>
        <v>1993.30208050153</v>
      </c>
      <c r="CI71" s="23" t="n">
        <f aca="false">CH74</f>
        <v>1993.30208050153</v>
      </c>
      <c r="CJ71" s="23" t="n">
        <f aca="false">CI74</f>
        <v>1993.30208050153</v>
      </c>
      <c r="CK71" s="23" t="n">
        <f aca="false">CJ74</f>
        <v>1993.30208050153</v>
      </c>
      <c r="CL71" s="23" t="n">
        <f aca="false">CK74</f>
        <v>1993.30208050153</v>
      </c>
      <c r="CM71" s="23" t="n">
        <f aca="false">CL74</f>
        <v>1993.30208050153</v>
      </c>
      <c r="CN71" s="23" t="n">
        <f aca="false">CM74</f>
        <v>1993.30208050153</v>
      </c>
      <c r="CO71" s="23" t="n">
        <f aca="false">CN74</f>
        <v>1993.30208050153</v>
      </c>
      <c r="CP71" s="23" t="n">
        <f aca="false">CO74</f>
        <v>1993.30208050153</v>
      </c>
      <c r="CQ71" s="23" t="n">
        <f aca="false">CP74</f>
        <v>1993.30208050153</v>
      </c>
      <c r="CR71" s="23" t="n">
        <f aca="false">CQ74</f>
        <v>1993.30208050153</v>
      </c>
      <c r="CS71" s="23" t="n">
        <f aca="false">CR74</f>
        <v>1993.30208050153</v>
      </c>
      <c r="CT71" s="23" t="n">
        <f aca="false">CS74</f>
        <v>1993.30208050153</v>
      </c>
      <c r="CU71" s="23" t="n">
        <f aca="false">CT74</f>
        <v>1993.30208050153</v>
      </c>
      <c r="CV71" s="23" t="n">
        <f aca="false">CU74</f>
        <v>1993.30208050153</v>
      </c>
      <c r="CW71" s="23" t="n">
        <f aca="false">CV74</f>
        <v>1993.30208050153</v>
      </c>
      <c r="CX71" s="23" t="n">
        <f aca="false">CW74</f>
        <v>1993.30208050153</v>
      </c>
      <c r="CY71" s="23" t="n">
        <f aca="false">CX74</f>
        <v>1993.30208050153</v>
      </c>
      <c r="CZ71" s="23" t="n">
        <f aca="false">CY74</f>
        <v>1993.30208050153</v>
      </c>
      <c r="DA71" s="23" t="n">
        <f aca="false">CZ74</f>
        <v>1993.30208050153</v>
      </c>
      <c r="DB71" s="23" t="n">
        <f aca="false">DA74</f>
        <v>1993.30208050153</v>
      </c>
      <c r="DC71" s="23" t="n">
        <f aca="false">DB74</f>
        <v>1993.30208050153</v>
      </c>
      <c r="DD71" s="23" t="n">
        <f aca="false">DC74</f>
        <v>1993.30208050153</v>
      </c>
      <c r="DE71" s="23" t="n">
        <f aca="false">DD74</f>
        <v>1993.30208050153</v>
      </c>
      <c r="DF71" s="23" t="n">
        <f aca="false">DE74</f>
        <v>1993.30208050153</v>
      </c>
      <c r="DG71" s="23" t="n">
        <f aca="false">DF74</f>
        <v>1993.30208050153</v>
      </c>
      <c r="DH71" s="23" t="n">
        <f aca="false">DG74</f>
        <v>1993.30208050153</v>
      </c>
      <c r="DI71" s="23" t="n">
        <f aca="false">DH74</f>
        <v>1993.30208050153</v>
      </c>
      <c r="DJ71" s="23" t="n">
        <f aca="false">DI74</f>
        <v>1993.30208050153</v>
      </c>
      <c r="DK71" s="23" t="n">
        <f aca="false">DJ74</f>
        <v>1993.30208050153</v>
      </c>
      <c r="DL71" s="23" t="n">
        <f aca="false">DK74</f>
        <v>1993.30208050153</v>
      </c>
      <c r="DM71" s="23" t="n">
        <f aca="false">DL74</f>
        <v>1993.30208050153</v>
      </c>
      <c r="DN71" s="23" t="n">
        <f aca="false">DM74</f>
        <v>1993.30208050153</v>
      </c>
      <c r="DO71" s="23" t="n">
        <f aca="false">DN74</f>
        <v>1993.30208050153</v>
      </c>
      <c r="DP71" s="23" t="n">
        <f aca="false">DO74</f>
        <v>1993.30208050153</v>
      </c>
      <c r="DQ71" s="23" t="n">
        <f aca="false">DP74</f>
        <v>1993.30208050153</v>
      </c>
      <c r="DR71" s="23" t="n">
        <f aca="false">DQ74</f>
        <v>1993.30208050153</v>
      </c>
      <c r="DS71" s="23" t="n">
        <f aca="false">DR74</f>
        <v>1993.30208050153</v>
      </c>
      <c r="DT71" s="23" t="n">
        <f aca="false">DS74</f>
        <v>1993.30208050153</v>
      </c>
      <c r="DU71" s="23" t="n">
        <f aca="false">DT74</f>
        <v>1993.30208050153</v>
      </c>
      <c r="DV71" s="23" t="n">
        <f aca="false">DU74</f>
        <v>1993.30208050153</v>
      </c>
      <c r="DW71" s="23" t="n">
        <f aca="false">DV74</f>
        <v>1993.30208050153</v>
      </c>
      <c r="DX71" s="23" t="n">
        <f aca="false">DW74</f>
        <v>1993.30208050153</v>
      </c>
      <c r="DY71" s="23" t="n">
        <f aca="false">DX74</f>
        <v>1993.30208050153</v>
      </c>
      <c r="DZ71" s="23" t="n">
        <f aca="false">DY74</f>
        <v>1993.30208050153</v>
      </c>
      <c r="EA71" s="23" t="n">
        <f aca="false">DZ74</f>
        <v>1993.30208050153</v>
      </c>
      <c r="EB71" s="23" t="n">
        <f aca="false">EA74</f>
        <v>1993.30208050153</v>
      </c>
      <c r="EC71" s="23" t="n">
        <f aca="false">EB74</f>
        <v>1993.30208050153</v>
      </c>
      <c r="ED71" s="23" t="n">
        <f aca="false">EC74</f>
        <v>1993.30208050153</v>
      </c>
      <c r="EE71" s="23" t="n">
        <f aca="false">ED74</f>
        <v>1993.30208050153</v>
      </c>
      <c r="EF71" s="23" t="n">
        <f aca="false">EE74</f>
        <v>1993.30208050153</v>
      </c>
      <c r="EG71" s="23" t="n">
        <f aca="false">EF74</f>
        <v>1993.30208050153</v>
      </c>
      <c r="EH71" s="23" t="n">
        <f aca="false">EG74</f>
        <v>1993.30208050153</v>
      </c>
      <c r="EI71" s="23" t="n">
        <f aca="false">EH74</f>
        <v>1993.30208050153</v>
      </c>
      <c r="EJ71" s="23" t="n">
        <f aca="false">EI74</f>
        <v>1993.30208050153</v>
      </c>
      <c r="EK71" s="23" t="n">
        <f aca="false">EJ74</f>
        <v>1993.30208050153</v>
      </c>
      <c r="EL71" s="23" t="n">
        <f aca="false">EK74</f>
        <v>1993.30208050153</v>
      </c>
      <c r="EM71" s="23" t="n">
        <f aca="false">EL74</f>
        <v>1993.30208050153</v>
      </c>
      <c r="EN71" s="23" t="n">
        <f aca="false">EM74</f>
        <v>1993.30208050153</v>
      </c>
      <c r="EO71" s="23" t="n">
        <f aca="false">EN74</f>
        <v>1993.30208050153</v>
      </c>
      <c r="EP71" s="23" t="n">
        <f aca="false">EO74</f>
        <v>1993.30208050153</v>
      </c>
      <c r="EQ71" s="23" t="n">
        <f aca="false">EP74</f>
        <v>1993.30208050153</v>
      </c>
      <c r="ER71" s="23" t="n">
        <f aca="false">EQ74</f>
        <v>1993.30208050153</v>
      </c>
      <c r="ES71" s="23" t="n">
        <f aca="false">ER74</f>
        <v>1993.30208050153</v>
      </c>
      <c r="ET71" s="23" t="n">
        <f aca="false">ES74</f>
        <v>1993.30208050153</v>
      </c>
    </row>
    <row r="72" customFormat="false" ht="15" hidden="false" customHeight="false" outlineLevel="0" collapsed="false">
      <c r="C72" s="1" t="s">
        <v>495</v>
      </c>
      <c r="D72" s="12" t="s">
        <v>222</v>
      </c>
      <c r="E72" s="47" t="n">
        <f aca="false">SUMIF($J$4:$ET$4,"&lt;="&amp;$E12,$J72:$ET72)</f>
        <v>1120.48016110676</v>
      </c>
      <c r="F72" s="47" t="n">
        <f aca="false">SUMIF($J$4:$ET$4,"&lt;="&amp;In_COD,$J72:$ET72)</f>
        <v>1993.30208050153</v>
      </c>
      <c r="I72" s="47" t="n">
        <f aca="false">SUM(J72:ET72)</f>
        <v>1993.30208050153</v>
      </c>
      <c r="J72" s="47" t="n">
        <f aca="false">In_Guar_Credit*(1-J19)*(J71+J48+J49)*J$5/Days_In_Year*(J$4&lt;=In_COD)</f>
        <v>0</v>
      </c>
      <c r="K72" s="47" t="n">
        <f aca="false">In_Guar_Credit*(1-K19)*(K71+K48+K49)*K$5/Days_In_Year*(K$4&lt;=In_COD)</f>
        <v>18.1640998311128</v>
      </c>
      <c r="L72" s="47" t="n">
        <f aca="false">In_Guar_Credit*(1-L19)*(L71+L48+L49)*L$5/Days_In_Year*(L$4&lt;=In_COD)</f>
        <v>103.735120591234</v>
      </c>
      <c r="M72" s="47" t="n">
        <f aca="false">In_Guar_Credit*(1-M19)*(M71+M48+M49)*M$5/Days_In_Year*(M$4&lt;=In_COD)</f>
        <v>104.887733042248</v>
      </c>
      <c r="N72" s="47" t="n">
        <f aca="false">In_Guar_Credit*(1-N19)*(N71+N48+N49)*N$5/Days_In_Year*(N$4&lt;=In_COD)</f>
        <v>106.040345493261</v>
      </c>
      <c r="O72" s="47" t="n">
        <f aca="false">In_Guar_Credit*(1-O19)*(O71+O48+O49)*O$5/Days_In_Year*(O$4&lt;=In_COD)</f>
        <v>106.040345493261</v>
      </c>
      <c r="P72" s="47" t="n">
        <f aca="false">In_Guar_Credit*(1-P19)*(P71+P48+P49)*P$5/Days_In_Year*(P$4&lt;=In_COD)</f>
        <v>111.180997024782</v>
      </c>
      <c r="Q72" s="47" t="n">
        <f aca="false">In_Guar_Credit*(1-Q19)*(Q71+Q48+Q49)*Q$5/Days_In_Year*(Q$4&lt;=In_COD)</f>
        <v>111.180997024782</v>
      </c>
      <c r="R72" s="47" t="n">
        <f aca="false">In_Guar_Credit*(1-R19)*(R71+R48+R49)*R$5/Days_In_Year*(R$4&lt;=In_COD)</f>
        <v>112.402766222857</v>
      </c>
      <c r="S72" s="47" t="n">
        <f aca="false">In_Guar_Credit*(1-S19)*(S71+S48+S49)*S$5/Days_In_Year*(S$4&lt;=In_COD)</f>
        <v>112.402766222857</v>
      </c>
      <c r="T72" s="47" t="n">
        <f aca="false">In_Guar_Credit*(1-T19)*(T71+T48+T49)*T$5/Days_In_Year*(T$4&lt;=In_COD)</f>
        <v>116.574856985816</v>
      </c>
      <c r="U72" s="47" t="n">
        <f aca="false">In_Guar_Credit*(1-U19)*(U71+U48+U49)*U$5/Days_In_Year*(U$4&lt;=In_COD)</f>
        <v>117.870133174547</v>
      </c>
      <c r="V72" s="47" t="n">
        <f aca="false">In_Guar_Credit*(1-V19)*(V71+V48+V49)*V$5/Days_In_Year*(V$4&lt;=In_COD)</f>
        <v>0</v>
      </c>
      <c r="W72" s="47" t="n">
        <f aca="false">In_Guar_Credit*(1-W19)*(W71+W48+W49)*W$5/Days_In_Year*(W$4&lt;=In_COD)</f>
        <v>0</v>
      </c>
      <c r="X72" s="47" t="n">
        <f aca="false">In_Guar_Credit*(1-X19)*(X71+X48+X49)*X$5/Days_In_Year*(X$4&lt;=In_COD)</f>
        <v>120.043358210106</v>
      </c>
      <c r="Y72" s="47" t="n">
        <f aca="false">In_Guar_Credit*(1-Y19)*(Y71+Y48+Y49)*Y$5/Days_In_Year*(Y$4&lt;=In_COD)</f>
        <v>121.37717330133</v>
      </c>
      <c r="Z72" s="47" t="n">
        <f aca="false">In_Guar_Credit*(1-Z19)*(Z71+Z48+Z49)*Z$5/Days_In_Year*(Z$4&lt;=In_COD)</f>
        <v>122.710988392553</v>
      </c>
      <c r="AA72" s="47" t="n">
        <f aca="false">In_Guar_Credit*(1-AA19)*(AA71+AA48+AA49)*AA$5/Days_In_Year*(AA$4&lt;=In_COD)</f>
        <v>122.710988392553</v>
      </c>
      <c r="AB72" s="47" t="n">
        <f aca="false">In_Guar_Credit*(1-AB19)*(AB71+AB48+AB49)*AB$5/Days_In_Year*(AB$4&lt;=In_COD)</f>
        <v>127.245959702713</v>
      </c>
      <c r="AC72" s="47" t="n">
        <f aca="false">In_Guar_Credit*(1-AC19)*(AC71+AC48+AC49)*AC$5/Days_In_Year*(AC$4&lt;=In_COD)</f>
        <v>128.65980369941</v>
      </c>
      <c r="AD72" s="47" t="n">
        <f aca="false">In_Guar_Credit*(1-AD19)*(AD71+AD48+AD49)*AD$5/Days_In_Year*(AD$4&lt;=In_COD)</f>
        <v>130.073647696106</v>
      </c>
      <c r="AE72" s="47" t="n">
        <f aca="false">In_Guar_Credit*(1-AE19)*(AE71+AE48+AE49)*AE$5/Days_In_Year*(AE$4&lt;=In_COD)</f>
        <v>0</v>
      </c>
      <c r="AF72" s="47" t="n">
        <f aca="false">In_Guar_Credit*(1-AF19)*(AF71+AF48+AF49)*AF$5/Days_In_Year*(AF$4&lt;=In_COD)</f>
        <v>0</v>
      </c>
      <c r="AG72" s="47" t="n">
        <f aca="false">In_Guar_Credit*(1-AG19)*(AG71+AG48+AG49)*AG$5/Days_In_Year*(AG$4&lt;=In_COD)</f>
        <v>0</v>
      </c>
      <c r="AH72" s="47" t="n">
        <f aca="false">In_Guar_Credit*(1-AH19)*(AH71+AH48+AH49)*AH$5/Days_In_Year*(AH$4&lt;=In_COD)</f>
        <v>0</v>
      </c>
      <c r="AI72" s="47" t="n">
        <f aca="false">In_Guar_Credit*(1-AI19)*(AI71+AI48+AI49)*AI$5/Days_In_Year*(AI$4&lt;=In_COD)</f>
        <v>0</v>
      </c>
      <c r="AJ72" s="47" t="n">
        <f aca="false">In_Guar_Credit*(1-AJ19)*(AJ71+AJ48+AJ49)*AJ$5/Days_In_Year*(AJ$4&lt;=In_COD)</f>
        <v>0</v>
      </c>
      <c r="AK72" s="47" t="n">
        <f aca="false">In_Guar_Credit*(1-AK19)*(AK71+AK48+AK49)*AK$5/Days_In_Year*(AK$4&lt;=In_COD)</f>
        <v>0</v>
      </c>
      <c r="AL72" s="47" t="n">
        <f aca="false">In_Guar_Credit*(1-AL19)*(AL71+AL48+AL49)*AL$5/Days_In_Year*(AL$4&lt;=In_COD)</f>
        <v>0</v>
      </c>
      <c r="AM72" s="47" t="n">
        <f aca="false">In_Guar_Credit*(1-AM19)*(AM71+AM48+AM49)*AM$5/Days_In_Year*(AM$4&lt;=In_COD)</f>
        <v>0</v>
      </c>
      <c r="AN72" s="47" t="n">
        <f aca="false">In_Guar_Credit*(1-AN19)*(AN71+AN48+AN49)*AN$5/Days_In_Year*(AN$4&lt;=In_COD)</f>
        <v>0</v>
      </c>
      <c r="AO72" s="47" t="n">
        <f aca="false">In_Guar_Credit*(1-AO19)*(AO71+AO48+AO49)*AO$5/Days_In_Year*(AO$4&lt;=In_COD)</f>
        <v>0</v>
      </c>
      <c r="AP72" s="47" t="n">
        <f aca="false">In_Guar_Credit*(1-AP19)*(AP71+AP48+AP49)*AP$5/Days_In_Year*(AP$4&lt;=In_COD)</f>
        <v>0</v>
      </c>
      <c r="AQ72" s="47" t="n">
        <f aca="false">In_Guar_Credit*(1-AQ19)*(AQ71+AQ48+AQ49)*AQ$5/Days_In_Year*(AQ$4&lt;=In_COD)</f>
        <v>0</v>
      </c>
      <c r="AR72" s="47" t="n">
        <f aca="false">In_Guar_Credit*(1-AR19)*(AR71+AR48+AR49)*AR$5/Days_In_Year*(AR$4&lt;=In_COD)</f>
        <v>0</v>
      </c>
      <c r="AS72" s="47" t="n">
        <f aca="false">In_Guar_Credit*(1-AS19)*(AS71+AS48+AS49)*AS$5/Days_In_Year*(AS$4&lt;=In_COD)</f>
        <v>0</v>
      </c>
      <c r="AT72" s="47" t="n">
        <f aca="false">In_Guar_Credit*(1-AT19)*(AT71+AT48+AT49)*AT$5/Days_In_Year*(AT$4&lt;=In_COD)</f>
        <v>0</v>
      </c>
      <c r="AU72" s="47" t="n">
        <f aca="false">In_Guar_Credit*(1-AU19)*(AU71+AU48+AU49)*AU$5/Days_In_Year*(AU$4&lt;=In_COD)</f>
        <v>0</v>
      </c>
      <c r="AV72" s="47" t="n">
        <f aca="false">In_Guar_Credit*(1-AV19)*(AV71+AV48+AV49)*AV$5/Days_In_Year*(AV$4&lt;=In_COD)</f>
        <v>0</v>
      </c>
      <c r="AW72" s="47" t="n">
        <f aca="false">In_Guar_Credit*(1-AW19)*(AW71+AW48+AW49)*AW$5/Days_In_Year*(AW$4&lt;=In_COD)</f>
        <v>0</v>
      </c>
      <c r="AX72" s="47" t="n">
        <f aca="false">In_Guar_Credit*(1-AX19)*(AX71+AX48+AX49)*AX$5/Days_In_Year*(AX$4&lt;=In_COD)</f>
        <v>0</v>
      </c>
      <c r="AY72" s="47" t="n">
        <f aca="false">In_Guar_Credit*(1-AY19)*(AY71+AY48+AY49)*AY$5/Days_In_Year*(AY$4&lt;=In_COD)</f>
        <v>0</v>
      </c>
      <c r="AZ72" s="47" t="n">
        <f aca="false">In_Guar_Credit*(1-AZ19)*(AZ71+AZ48+AZ49)*AZ$5/Days_In_Year*(AZ$4&lt;=In_COD)</f>
        <v>0</v>
      </c>
      <c r="BA72" s="47" t="n">
        <f aca="false">In_Guar_Credit*(1-BA19)*(BA71+BA48+BA49)*BA$5/Days_In_Year*(BA$4&lt;=In_COD)</f>
        <v>0</v>
      </c>
      <c r="BB72" s="47" t="n">
        <f aca="false">In_Guar_Credit*(1-BB19)*(BB71+BB48+BB49)*BB$5/Days_In_Year*(BB$4&lt;=In_COD)</f>
        <v>0</v>
      </c>
      <c r="BC72" s="47" t="n">
        <f aca="false">In_Guar_Credit*(1-BC19)*(BC71+BC48+BC49)*BC$5/Days_In_Year*(BC$4&lt;=In_COD)</f>
        <v>0</v>
      </c>
      <c r="BD72" s="47" t="n">
        <f aca="false">In_Guar_Credit*(1-BD19)*(BD71+BD48+BD49)*BD$5/Days_In_Year*(BD$4&lt;=In_COD)</f>
        <v>0</v>
      </c>
      <c r="BE72" s="47" t="n">
        <f aca="false">In_Guar_Credit*(1-BE19)*(BE71+BE48+BE49)*BE$5/Days_In_Year*(BE$4&lt;=In_COD)</f>
        <v>0</v>
      </c>
      <c r="BF72" s="47" t="n">
        <f aca="false">In_Guar_Credit*(1-BF19)*(BF71+BF48+BF49)*BF$5/Days_In_Year*(BF$4&lt;=In_COD)</f>
        <v>0</v>
      </c>
      <c r="BG72" s="47" t="n">
        <f aca="false">In_Guar_Credit*(1-BG19)*(BG71+BG48+BG49)*BG$5/Days_In_Year*(BG$4&lt;=In_COD)</f>
        <v>0</v>
      </c>
      <c r="BH72" s="47" t="n">
        <f aca="false">In_Guar_Credit*(1-BH19)*(BH71+BH48+BH49)*BH$5/Days_In_Year*(BH$4&lt;=In_COD)</f>
        <v>0</v>
      </c>
      <c r="BI72" s="47" t="n">
        <f aca="false">In_Guar_Credit*(1-BI19)*(BI71+BI48+BI49)*BI$5/Days_In_Year*(BI$4&lt;=In_COD)</f>
        <v>0</v>
      </c>
      <c r="BJ72" s="47" t="n">
        <f aca="false">In_Guar_Credit*(1-BJ19)*(BJ71+BJ48+BJ49)*BJ$5/Days_In_Year*(BJ$4&lt;=In_COD)</f>
        <v>0</v>
      </c>
      <c r="BK72" s="47" t="n">
        <f aca="false">In_Guar_Credit*(1-BK19)*(BK71+BK48+BK49)*BK$5/Days_In_Year*(BK$4&lt;=In_COD)</f>
        <v>0</v>
      </c>
      <c r="BL72" s="47" t="n">
        <f aca="false">In_Guar_Credit*(1-BL19)*(BL71+BL48+BL49)*BL$5/Days_In_Year*(BL$4&lt;=In_COD)</f>
        <v>0</v>
      </c>
      <c r="BM72" s="47" t="n">
        <f aca="false">In_Guar_Credit*(1-BM19)*(BM71+BM48+BM49)*BM$5/Days_In_Year*(BM$4&lt;=In_COD)</f>
        <v>0</v>
      </c>
      <c r="BN72" s="47" t="n">
        <f aca="false">In_Guar_Credit*(1-BN19)*(BN71+BN48+BN49)*BN$5/Days_In_Year*(BN$4&lt;=In_COD)</f>
        <v>0</v>
      </c>
      <c r="BO72" s="47" t="n">
        <f aca="false">In_Guar_Credit*(1-BO19)*(BO71+BO48+BO49)*BO$5/Days_In_Year*(BO$4&lt;=In_COD)</f>
        <v>0</v>
      </c>
      <c r="BP72" s="47" t="n">
        <f aca="false">In_Guar_Credit*(1-BP19)*(BP71+BP48+BP49)*BP$5/Days_In_Year*(BP$4&lt;=In_COD)</f>
        <v>0</v>
      </c>
      <c r="BQ72" s="47" t="n">
        <f aca="false">In_Guar_Credit*(1-BQ19)*(BQ71+BQ48+BQ49)*BQ$5/Days_In_Year*(BQ$4&lt;=In_COD)</f>
        <v>0</v>
      </c>
      <c r="BR72" s="47" t="n">
        <f aca="false">In_Guar_Credit*(1-BR19)*(BR71+BR48+BR49)*BR$5/Days_In_Year*(BR$4&lt;=In_COD)</f>
        <v>0</v>
      </c>
      <c r="BS72" s="47" t="n">
        <f aca="false">In_Guar_Credit*(1-BS19)*(BS71+BS48+BS49)*BS$5/Days_In_Year*(BS$4&lt;=In_COD)</f>
        <v>0</v>
      </c>
      <c r="BT72" s="47" t="n">
        <f aca="false">In_Guar_Credit*(1-BT19)*(BT71+BT48+BT49)*BT$5/Days_In_Year*(BT$4&lt;=In_COD)</f>
        <v>0</v>
      </c>
      <c r="BU72" s="47" t="n">
        <f aca="false">In_Guar_Credit*(1-BU19)*(BU71+BU48+BU49)*BU$5/Days_In_Year*(BU$4&lt;=In_COD)</f>
        <v>0</v>
      </c>
      <c r="BV72" s="47" t="n">
        <f aca="false">In_Guar_Credit*(1-BV19)*(BV71+BV48+BV49)*BV$5/Days_In_Year*(BV$4&lt;=In_COD)</f>
        <v>0</v>
      </c>
      <c r="BW72" s="47" t="n">
        <f aca="false">In_Guar_Credit*(1-BW19)*(BW71+BW48+BW49)*BW$5/Days_In_Year*(BW$4&lt;=In_COD)</f>
        <v>0</v>
      </c>
      <c r="BX72" s="47" t="n">
        <f aca="false">In_Guar_Credit*(1-BX19)*(BX71+BX48+BX49)*BX$5/Days_In_Year*(BX$4&lt;=In_COD)</f>
        <v>0</v>
      </c>
      <c r="BY72" s="47" t="n">
        <f aca="false">In_Guar_Credit*(1-BY19)*(BY71+BY48+BY49)*BY$5/Days_In_Year*(BY$4&lt;=In_COD)</f>
        <v>0</v>
      </c>
      <c r="BZ72" s="47" t="n">
        <f aca="false">In_Guar_Credit*(1-BZ19)*(BZ71+BZ48+BZ49)*BZ$5/Days_In_Year*(BZ$4&lt;=In_COD)</f>
        <v>0</v>
      </c>
      <c r="CA72" s="47" t="n">
        <f aca="false">In_Guar_Credit*(1-CA19)*(CA71+CA48+CA49)*CA$5/Days_In_Year*(CA$4&lt;=In_COD)</f>
        <v>0</v>
      </c>
      <c r="CB72" s="47" t="n">
        <f aca="false">In_Guar_Credit*(1-CB19)*(CB71+CB48+CB49)*CB$5/Days_In_Year*(CB$4&lt;=In_COD)</f>
        <v>0</v>
      </c>
      <c r="CC72" s="47" t="n">
        <f aca="false">In_Guar_Credit*(1-CC19)*(CC71+CC48+CC49)*CC$5/Days_In_Year*(CC$4&lt;=In_COD)</f>
        <v>0</v>
      </c>
      <c r="CD72" s="47" t="n">
        <f aca="false">In_Guar_Credit*(1-CD19)*(CD71+CD48+CD49)*CD$5/Days_In_Year*(CD$4&lt;=In_COD)</f>
        <v>0</v>
      </c>
      <c r="CE72" s="47" t="n">
        <f aca="false">In_Guar_Credit*(1-CE19)*(CE71+CE48+CE49)*CE$5/Days_In_Year*(CE$4&lt;=In_COD)</f>
        <v>0</v>
      </c>
      <c r="CF72" s="47" t="n">
        <f aca="false">In_Guar_Credit*(1-CF19)*(CF71+CF48+CF49)*CF$5/Days_In_Year*(CF$4&lt;=In_COD)</f>
        <v>0</v>
      </c>
      <c r="CG72" s="47" t="n">
        <f aca="false">In_Guar_Credit*(1-CG19)*(CG71+CG48+CG49)*CG$5/Days_In_Year*(CG$4&lt;=In_COD)</f>
        <v>0</v>
      </c>
      <c r="CH72" s="47" t="n">
        <f aca="false">In_Guar_Credit*(1-CH19)*(CH71+CH48+CH49)*CH$5/Days_In_Year*(CH$4&lt;=In_COD)</f>
        <v>0</v>
      </c>
      <c r="CI72" s="47" t="n">
        <f aca="false">In_Guar_Credit*(1-CI19)*(CI71+CI48+CI49)*CI$5/Days_In_Year*(CI$4&lt;=In_COD)</f>
        <v>0</v>
      </c>
      <c r="CJ72" s="47" t="n">
        <f aca="false">In_Guar_Credit*(1-CJ19)*(CJ71+CJ48+CJ49)*CJ$5/Days_In_Year*(CJ$4&lt;=In_COD)</f>
        <v>0</v>
      </c>
      <c r="CK72" s="47" t="n">
        <f aca="false">In_Guar_Credit*(1-CK19)*(CK71+CK48+CK49)*CK$5/Days_In_Year*(CK$4&lt;=In_COD)</f>
        <v>0</v>
      </c>
      <c r="CL72" s="47" t="n">
        <f aca="false">In_Guar_Credit*(1-CL19)*(CL71+CL48+CL49)*CL$5/Days_In_Year*(CL$4&lt;=In_COD)</f>
        <v>0</v>
      </c>
      <c r="CM72" s="47" t="n">
        <f aca="false">In_Guar_Credit*(1-CM19)*(CM71+CM48+CM49)*CM$5/Days_In_Year*(CM$4&lt;=In_COD)</f>
        <v>0</v>
      </c>
      <c r="CN72" s="47" t="n">
        <f aca="false">In_Guar_Credit*(1-CN19)*(CN71+CN48+CN49)*CN$5/Days_In_Year*(CN$4&lt;=In_COD)</f>
        <v>0</v>
      </c>
      <c r="CO72" s="47" t="n">
        <f aca="false">In_Guar_Credit*(1-CO19)*(CO71+CO48+CO49)*CO$5/Days_In_Year*(CO$4&lt;=In_COD)</f>
        <v>0</v>
      </c>
      <c r="CP72" s="47" t="n">
        <f aca="false">In_Guar_Credit*(1-CP19)*(CP71+CP48+CP49)*CP$5/Days_In_Year*(CP$4&lt;=In_COD)</f>
        <v>0</v>
      </c>
      <c r="CQ72" s="47" t="n">
        <f aca="false">In_Guar_Credit*(1-CQ19)*(CQ71+CQ48+CQ49)*CQ$5/Days_In_Year*(CQ$4&lt;=In_COD)</f>
        <v>0</v>
      </c>
      <c r="CR72" s="47" t="n">
        <f aca="false">In_Guar_Credit*(1-CR19)*(CR71+CR48+CR49)*CR$5/Days_In_Year*(CR$4&lt;=In_COD)</f>
        <v>0</v>
      </c>
      <c r="CS72" s="47" t="n">
        <f aca="false">In_Guar_Credit*(1-CS19)*(CS71+CS48+CS49)*CS$5/Days_In_Year*(CS$4&lt;=In_COD)</f>
        <v>0</v>
      </c>
      <c r="CT72" s="47" t="n">
        <f aca="false">In_Guar_Credit*(1-CT19)*(CT71+CT48+CT49)*CT$5/Days_In_Year*(CT$4&lt;=In_COD)</f>
        <v>0</v>
      </c>
      <c r="CU72" s="47" t="n">
        <f aca="false">In_Guar_Credit*(1-CU19)*(CU71+CU48+CU49)*CU$5/Days_In_Year*(CU$4&lt;=In_COD)</f>
        <v>0</v>
      </c>
      <c r="CV72" s="47" t="n">
        <f aca="false">In_Guar_Credit*(1-CV19)*(CV71+CV48+CV49)*CV$5/Days_In_Year*(CV$4&lt;=In_COD)</f>
        <v>0</v>
      </c>
      <c r="CW72" s="47" t="n">
        <f aca="false">In_Guar_Credit*(1-CW19)*(CW71+CW48+CW49)*CW$5/Days_In_Year*(CW$4&lt;=In_COD)</f>
        <v>0</v>
      </c>
      <c r="CX72" s="47" t="n">
        <f aca="false">In_Guar_Credit*(1-CX19)*(CX71+CX48+CX49)*CX$5/Days_In_Year*(CX$4&lt;=In_COD)</f>
        <v>0</v>
      </c>
      <c r="CY72" s="47" t="n">
        <f aca="false">In_Guar_Credit*(1-CY19)*(CY71+CY48+CY49)*CY$5/Days_In_Year*(CY$4&lt;=In_COD)</f>
        <v>0</v>
      </c>
      <c r="CZ72" s="47" t="n">
        <f aca="false">In_Guar_Credit*(1-CZ19)*(CZ71+CZ48+CZ49)*CZ$5/Days_In_Year*(CZ$4&lt;=In_COD)</f>
        <v>0</v>
      </c>
      <c r="DA72" s="47" t="n">
        <f aca="false">In_Guar_Credit*(1-DA19)*(DA71+DA48+DA49)*DA$5/Days_In_Year*(DA$4&lt;=In_COD)</f>
        <v>0</v>
      </c>
      <c r="DB72" s="47" t="n">
        <f aca="false">In_Guar_Credit*(1-DB19)*(DB71+DB48+DB49)*DB$5/Days_In_Year*(DB$4&lt;=In_COD)</f>
        <v>0</v>
      </c>
      <c r="DC72" s="47" t="n">
        <f aca="false">In_Guar_Credit*(1-DC19)*(DC71+DC48+DC49)*DC$5/Days_In_Year*(DC$4&lt;=In_COD)</f>
        <v>0</v>
      </c>
      <c r="DD72" s="47" t="n">
        <f aca="false">In_Guar_Credit*(1-DD19)*(DD71+DD48+DD49)*DD$5/Days_In_Year*(DD$4&lt;=In_COD)</f>
        <v>0</v>
      </c>
      <c r="DE72" s="47" t="n">
        <f aca="false">In_Guar_Credit*(1-DE19)*(DE71+DE48+DE49)*DE$5/Days_In_Year*(DE$4&lt;=In_COD)</f>
        <v>0</v>
      </c>
      <c r="DF72" s="47" t="n">
        <f aca="false">In_Guar_Credit*(1-DF19)*(DF71+DF48+DF49)*DF$5/Days_In_Year*(DF$4&lt;=In_COD)</f>
        <v>0</v>
      </c>
      <c r="DG72" s="47" t="n">
        <f aca="false">In_Guar_Credit*(1-DG19)*(DG71+DG48+DG49)*DG$5/Days_In_Year*(DG$4&lt;=In_COD)</f>
        <v>0</v>
      </c>
      <c r="DH72" s="47" t="n">
        <f aca="false">In_Guar_Credit*(1-DH19)*(DH71+DH48+DH49)*DH$5/Days_In_Year*(DH$4&lt;=In_COD)</f>
        <v>0</v>
      </c>
      <c r="DI72" s="47" t="n">
        <f aca="false">In_Guar_Credit*(1-DI19)*(DI71+DI48+DI49)*DI$5/Days_In_Year*(DI$4&lt;=In_COD)</f>
        <v>0</v>
      </c>
      <c r="DJ72" s="47" t="n">
        <f aca="false">In_Guar_Credit*(1-DJ19)*(DJ71+DJ48+DJ49)*DJ$5/Days_In_Year*(DJ$4&lt;=In_COD)</f>
        <v>0</v>
      </c>
      <c r="DK72" s="47" t="n">
        <f aca="false">In_Guar_Credit*(1-DK19)*(DK71+DK48+DK49)*DK$5/Days_In_Year*(DK$4&lt;=In_COD)</f>
        <v>0</v>
      </c>
      <c r="DL72" s="47" t="n">
        <f aca="false">In_Guar_Credit*(1-DL19)*(DL71+DL48+DL49)*DL$5/Days_In_Year*(DL$4&lt;=In_COD)</f>
        <v>0</v>
      </c>
      <c r="DM72" s="47" t="n">
        <f aca="false">In_Guar_Credit*(1-DM19)*(DM71+DM48+DM49)*DM$5/Days_In_Year*(DM$4&lt;=In_COD)</f>
        <v>0</v>
      </c>
      <c r="DN72" s="47" t="n">
        <f aca="false">In_Guar_Credit*(1-DN19)*(DN71+DN48+DN49)*DN$5/Days_In_Year*(DN$4&lt;=In_COD)</f>
        <v>0</v>
      </c>
      <c r="DO72" s="47" t="n">
        <f aca="false">In_Guar_Credit*(1-DO19)*(DO71+DO48+DO49)*DO$5/Days_In_Year*(DO$4&lt;=In_COD)</f>
        <v>0</v>
      </c>
      <c r="DP72" s="47" t="n">
        <f aca="false">In_Guar_Credit*(1-DP19)*(DP71+DP48+DP49)*DP$5/Days_In_Year*(DP$4&lt;=In_COD)</f>
        <v>0</v>
      </c>
      <c r="DQ72" s="47" t="n">
        <f aca="false">In_Guar_Credit*(1-DQ19)*(DQ71+DQ48+DQ49)*DQ$5/Days_In_Year*(DQ$4&lt;=In_COD)</f>
        <v>0</v>
      </c>
      <c r="DR72" s="47" t="n">
        <f aca="false">In_Guar_Credit*(1-DR19)*(DR71+DR48+DR49)*DR$5/Days_In_Year*(DR$4&lt;=In_COD)</f>
        <v>0</v>
      </c>
      <c r="DS72" s="47" t="n">
        <f aca="false">In_Guar_Credit*(1-DS19)*(DS71+DS48+DS49)*DS$5/Days_In_Year*(DS$4&lt;=In_COD)</f>
        <v>0</v>
      </c>
      <c r="DT72" s="47" t="n">
        <f aca="false">In_Guar_Credit*(1-DT19)*(DT71+DT48+DT49)*DT$5/Days_In_Year*(DT$4&lt;=In_COD)</f>
        <v>0</v>
      </c>
      <c r="DU72" s="47" t="n">
        <f aca="false">In_Guar_Credit*(1-DU19)*(DU71+DU48+DU49)*DU$5/Days_In_Year*(DU$4&lt;=In_COD)</f>
        <v>0</v>
      </c>
      <c r="DV72" s="47" t="n">
        <f aca="false">In_Guar_Credit*(1-DV19)*(DV71+DV48+DV49)*DV$5/Days_In_Year*(DV$4&lt;=In_COD)</f>
        <v>0</v>
      </c>
      <c r="DW72" s="47" t="n">
        <f aca="false">In_Guar_Credit*(1-DW19)*(DW71+DW48+DW49)*DW$5/Days_In_Year*(DW$4&lt;=In_COD)</f>
        <v>0</v>
      </c>
      <c r="DX72" s="47" t="n">
        <f aca="false">In_Guar_Credit*(1-DX19)*(DX71+DX48+DX49)*DX$5/Days_In_Year*(DX$4&lt;=In_COD)</f>
        <v>0</v>
      </c>
      <c r="DY72" s="47" t="n">
        <f aca="false">In_Guar_Credit*(1-DY19)*(DY71+DY48+DY49)*DY$5/Days_In_Year*(DY$4&lt;=In_COD)</f>
        <v>0</v>
      </c>
      <c r="DZ72" s="47" t="n">
        <f aca="false">In_Guar_Credit*(1-DZ19)*(DZ71+DZ48+DZ49)*DZ$5/Days_In_Year*(DZ$4&lt;=In_COD)</f>
        <v>0</v>
      </c>
      <c r="EA72" s="47" t="n">
        <f aca="false">In_Guar_Credit*(1-EA19)*(EA71+EA48+EA49)*EA$5/Days_In_Year*(EA$4&lt;=In_COD)</f>
        <v>0</v>
      </c>
      <c r="EB72" s="47" t="n">
        <f aca="false">In_Guar_Credit*(1-EB19)*(EB71+EB48+EB49)*EB$5/Days_In_Year*(EB$4&lt;=In_COD)</f>
        <v>0</v>
      </c>
      <c r="EC72" s="47" t="n">
        <f aca="false">In_Guar_Credit*(1-EC19)*(EC71+EC48+EC49)*EC$5/Days_In_Year*(EC$4&lt;=In_COD)</f>
        <v>0</v>
      </c>
      <c r="ED72" s="47" t="n">
        <f aca="false">In_Guar_Credit*(1-ED19)*(ED71+ED48+ED49)*ED$5/Days_In_Year*(ED$4&lt;=In_COD)</f>
        <v>0</v>
      </c>
      <c r="EE72" s="47" t="n">
        <f aca="false">In_Guar_Credit*(1-EE19)*(EE71+EE48+EE49)*EE$5/Days_In_Year*(EE$4&lt;=In_COD)</f>
        <v>0</v>
      </c>
      <c r="EF72" s="47" t="n">
        <f aca="false">In_Guar_Credit*(1-EF19)*(EF71+EF48+EF49)*EF$5/Days_In_Year*(EF$4&lt;=In_COD)</f>
        <v>0</v>
      </c>
      <c r="EG72" s="47" t="n">
        <f aca="false">In_Guar_Credit*(1-EG19)*(EG71+EG48+EG49)*EG$5/Days_In_Year*(EG$4&lt;=In_COD)</f>
        <v>0</v>
      </c>
      <c r="EH72" s="47" t="n">
        <f aca="false">In_Guar_Credit*(1-EH19)*(EH71+EH48+EH49)*EH$5/Days_In_Year*(EH$4&lt;=In_COD)</f>
        <v>0</v>
      </c>
      <c r="EI72" s="47" t="n">
        <f aca="false">In_Guar_Credit*(1-EI19)*(EI71+EI48+EI49)*EI$5/Days_In_Year*(EI$4&lt;=In_COD)</f>
        <v>0</v>
      </c>
      <c r="EJ72" s="47" t="n">
        <f aca="false">In_Guar_Credit*(1-EJ19)*(EJ71+EJ48+EJ49)*EJ$5/Days_In_Year*(EJ$4&lt;=In_COD)</f>
        <v>0</v>
      </c>
      <c r="EK72" s="47" t="n">
        <f aca="false">In_Guar_Credit*(1-EK19)*(EK71+EK48+EK49)*EK$5/Days_In_Year*(EK$4&lt;=In_COD)</f>
        <v>0</v>
      </c>
      <c r="EL72" s="47" t="n">
        <f aca="false">In_Guar_Credit*(1-EL19)*(EL71+EL48+EL49)*EL$5/Days_In_Year*(EL$4&lt;=In_COD)</f>
        <v>0</v>
      </c>
      <c r="EM72" s="47" t="n">
        <f aca="false">In_Guar_Credit*(1-EM19)*(EM71+EM48+EM49)*EM$5/Days_In_Year*(EM$4&lt;=In_COD)</f>
        <v>0</v>
      </c>
      <c r="EN72" s="47" t="n">
        <f aca="false">In_Guar_Credit*(1-EN19)*(EN71+EN48+EN49)*EN$5/Days_In_Year*(EN$4&lt;=In_COD)</f>
        <v>0</v>
      </c>
      <c r="EO72" s="47" t="n">
        <f aca="false">In_Guar_Credit*(1-EO19)*(EO71+EO48+EO49)*EO$5/Days_In_Year*(EO$4&lt;=In_COD)</f>
        <v>0</v>
      </c>
      <c r="EP72" s="47" t="n">
        <f aca="false">In_Guar_Credit*(1-EP19)*(EP71+EP48+EP49)*EP$5/Days_In_Year*(EP$4&lt;=In_COD)</f>
        <v>0</v>
      </c>
      <c r="EQ72" s="47" t="n">
        <f aca="false">In_Guar_Credit*(1-EQ19)*(EQ71+EQ48+EQ49)*EQ$5/Days_In_Year*(EQ$4&lt;=In_COD)</f>
        <v>0</v>
      </c>
      <c r="ER72" s="47" t="n">
        <f aca="false">In_Guar_Credit*(1-ER19)*(ER71+ER48+ER49)*ER$5/Days_In_Year*(ER$4&lt;=In_COD)</f>
        <v>0</v>
      </c>
      <c r="ES72" s="47" t="n">
        <f aca="false">In_Guar_Credit*(1-ES19)*(ES71+ES48+ES49)*ES$5/Days_In_Year*(ES$4&lt;=In_COD)</f>
        <v>0</v>
      </c>
      <c r="ET72" s="47" t="n">
        <f aca="false">In_Guar_Credit*(1-ET19)*(ET71+ET48+ET49)*ET$5/Days_In_Year*(ET$4&lt;=In_COD)</f>
        <v>0</v>
      </c>
    </row>
    <row r="73" customFormat="false" ht="15" hidden="false" customHeight="false" outlineLevel="0" collapsed="false">
      <c r="C73" s="1" t="s">
        <v>496</v>
      </c>
      <c r="D73" s="12" t="s">
        <v>222</v>
      </c>
      <c r="I73" s="47" t="n">
        <f aca="false">SUM(J73:ET73)</f>
        <v>1993.30208050153</v>
      </c>
      <c r="J73" s="47" t="n">
        <f aca="false">J20*SUMIF($J$7:J$7,J$7,$J72:J72)</f>
        <v>0</v>
      </c>
      <c r="K73" s="47" t="n">
        <f aca="false">K20*SUMIF($J$7:K$7,K$7,$J72:K72)</f>
        <v>18.1640998311128</v>
      </c>
      <c r="L73" s="47" t="n">
        <f aca="false">L20*SUMIF($J$7:L$7,L$7,$J72:L72)</f>
        <v>0</v>
      </c>
      <c r="M73" s="47" t="n">
        <f aca="false">M20*SUMIF($J$7:M$7,M$7,$J72:M72)</f>
        <v>0</v>
      </c>
      <c r="N73" s="47" t="n">
        <f aca="false">N20*SUMIF($J$7:N$7,N$7,$J72:N72)</f>
        <v>0</v>
      </c>
      <c r="O73" s="47" t="n">
        <f aca="false">O20*SUMIF($J$7:O$7,O$7,$J72:O72)</f>
        <v>420.703544620004</v>
      </c>
      <c r="P73" s="47" t="n">
        <f aca="false">P20*SUMIF($J$7:P$7,P$7,$J72:P72)</f>
        <v>0</v>
      </c>
      <c r="Q73" s="47" t="n">
        <f aca="false">Q20*SUMIF($J$7:Q$7,Q$7,$J72:Q72)</f>
        <v>0</v>
      </c>
      <c r="R73" s="47" t="n">
        <f aca="false">R20*SUMIF($J$7:R$7,R$7,$J72:R72)</f>
        <v>0</v>
      </c>
      <c r="S73" s="47" t="n">
        <f aca="false">S20*SUMIF($J$7:S$7,S$7,$J72:S72)</f>
        <v>447.167526495279</v>
      </c>
      <c r="T73" s="47" t="n">
        <f aca="false">T20*SUMIF($J$7:T$7,T$7,$J72:T72)</f>
        <v>0</v>
      </c>
      <c r="U73" s="47" t="n">
        <f aca="false">U20*SUMIF($J$7:U$7,U$7,$J72:U72)</f>
        <v>0</v>
      </c>
      <c r="V73" s="47" t="n">
        <f aca="false">V20*SUMIF($J$7:V$7,V$7,$J72:V72)</f>
        <v>0</v>
      </c>
      <c r="W73" s="47" t="n">
        <f aca="false">W20*SUMIF($J$7:W$7,W$7,$J72:W72)</f>
        <v>234.444990160363</v>
      </c>
      <c r="X73" s="47" t="n">
        <f aca="false">X20*SUMIF($J$7:X$7,X$7,$J72:X72)</f>
        <v>0</v>
      </c>
      <c r="Y73" s="47" t="n">
        <f aca="false">Y20*SUMIF($J$7:Y$7,Y$7,$J72:Y72)</f>
        <v>0</v>
      </c>
      <c r="Z73" s="47" t="n">
        <f aca="false">Z20*SUMIF($J$7:Z$7,Z$7,$J72:Z72)</f>
        <v>0</v>
      </c>
      <c r="AA73" s="47" t="n">
        <f aca="false">AA20*SUMIF($J$7:AA$7,AA$7,$J72:AA72)</f>
        <v>486.842508296543</v>
      </c>
      <c r="AB73" s="47" t="n">
        <f aca="false">AB20*SUMIF($J$7:AB$7,AB$7,$J72:AB72)</f>
        <v>0</v>
      </c>
      <c r="AC73" s="47" t="n">
        <f aca="false">AC20*SUMIF($J$7:AC$7,AC$7,$J72:AC72)</f>
        <v>0</v>
      </c>
      <c r="AD73" s="47" t="n">
        <f aca="false">AD20*SUMIF($J$7:AD$7,AD$7,$J72:AD72)</f>
        <v>0</v>
      </c>
      <c r="AE73" s="47" t="n">
        <f aca="false">AE20*SUMIF($J$7:AE$7,AE$7,$J72:AE72)</f>
        <v>385.979411098229</v>
      </c>
      <c r="AF73" s="47" t="n">
        <f aca="false">AF20*SUMIF($J$7:AF$7,AF$7,$J72:AF72)</f>
        <v>0</v>
      </c>
      <c r="AG73" s="47" t="n">
        <f aca="false">AG20*SUMIF($J$7:AG$7,AG$7,$J72:AG72)</f>
        <v>0</v>
      </c>
      <c r="AH73" s="47" t="n">
        <f aca="false">AH20*SUMIF($J$7:AH$7,AH$7,$J72:AH72)</f>
        <v>0</v>
      </c>
      <c r="AI73" s="47" t="n">
        <f aca="false">AI20*SUMIF($J$7:AI$7,AI$7,$J72:AI72)</f>
        <v>0</v>
      </c>
      <c r="AJ73" s="47" t="n">
        <f aca="false">AJ20*SUMIF($J$7:AJ$7,AJ$7,$J72:AJ72)</f>
        <v>0</v>
      </c>
      <c r="AK73" s="47" t="n">
        <f aca="false">AK20*SUMIF($J$7:AK$7,AK$7,$J72:AK72)</f>
        <v>0</v>
      </c>
      <c r="AL73" s="47" t="n">
        <f aca="false">AL20*SUMIF($J$7:AL$7,AL$7,$J72:AL72)</f>
        <v>0</v>
      </c>
      <c r="AM73" s="47" t="n">
        <f aca="false">AM20*SUMIF($J$7:AM$7,AM$7,$J72:AM72)</f>
        <v>0</v>
      </c>
      <c r="AN73" s="47" t="n">
        <f aca="false">AN20*SUMIF($J$7:AN$7,AN$7,$J72:AN72)</f>
        <v>0</v>
      </c>
      <c r="AO73" s="47" t="n">
        <f aca="false">AO20*SUMIF($J$7:AO$7,AO$7,$J72:AO72)</f>
        <v>0</v>
      </c>
      <c r="AP73" s="47" t="n">
        <f aca="false">AP20*SUMIF($J$7:AP$7,AP$7,$J72:AP72)</f>
        <v>0</v>
      </c>
      <c r="AQ73" s="47" t="n">
        <f aca="false">AQ20*SUMIF($J$7:AQ$7,AQ$7,$J72:AQ72)</f>
        <v>0</v>
      </c>
      <c r="AR73" s="47" t="n">
        <f aca="false">AR20*SUMIF($J$7:AR$7,AR$7,$J72:AR72)</f>
        <v>0</v>
      </c>
      <c r="AS73" s="47" t="n">
        <f aca="false">AS20*SUMIF($J$7:AS$7,AS$7,$J72:AS72)</f>
        <v>0</v>
      </c>
      <c r="AT73" s="47" t="n">
        <f aca="false">AT20*SUMIF($J$7:AT$7,AT$7,$J72:AT72)</f>
        <v>0</v>
      </c>
      <c r="AU73" s="47" t="n">
        <f aca="false">AU20*SUMIF($J$7:AU$7,AU$7,$J72:AU72)</f>
        <v>0</v>
      </c>
      <c r="AV73" s="47" t="n">
        <f aca="false">AV20*SUMIF($J$7:AV$7,AV$7,$J72:AV72)</f>
        <v>0</v>
      </c>
      <c r="AW73" s="47" t="n">
        <f aca="false">AW20*SUMIF($J$7:AW$7,AW$7,$J72:AW72)</f>
        <v>0</v>
      </c>
      <c r="AX73" s="47" t="n">
        <f aca="false">AX20*SUMIF($J$7:AX$7,AX$7,$J72:AX72)</f>
        <v>0</v>
      </c>
      <c r="AY73" s="47" t="n">
        <f aca="false">AY20*SUMIF($J$7:AY$7,AY$7,$J72:AY72)</f>
        <v>0</v>
      </c>
      <c r="AZ73" s="47" t="n">
        <f aca="false">AZ20*SUMIF($J$7:AZ$7,AZ$7,$J72:AZ72)</f>
        <v>0</v>
      </c>
      <c r="BA73" s="47" t="n">
        <f aca="false">BA20*SUMIF($J$7:BA$7,BA$7,$J72:BA72)</f>
        <v>0</v>
      </c>
      <c r="BB73" s="47" t="n">
        <f aca="false">BB20*SUMIF($J$7:BB$7,BB$7,$J72:BB72)</f>
        <v>0</v>
      </c>
      <c r="BC73" s="47" t="n">
        <f aca="false">BC20*SUMIF($J$7:BC$7,BC$7,$J72:BC72)</f>
        <v>0</v>
      </c>
      <c r="BD73" s="47" t="n">
        <f aca="false">BD20*SUMIF($J$7:BD$7,BD$7,$J72:BD72)</f>
        <v>0</v>
      </c>
      <c r="BE73" s="47" t="n">
        <f aca="false">BE20*SUMIF($J$7:BE$7,BE$7,$J72:BE72)</f>
        <v>0</v>
      </c>
      <c r="BF73" s="47" t="n">
        <f aca="false">BF20*SUMIF($J$7:BF$7,BF$7,$J72:BF72)</f>
        <v>0</v>
      </c>
      <c r="BG73" s="47" t="n">
        <f aca="false">BG20*SUMIF($J$7:BG$7,BG$7,$J72:BG72)</f>
        <v>0</v>
      </c>
      <c r="BH73" s="47" t="n">
        <f aca="false">BH20*SUMIF($J$7:BH$7,BH$7,$J72:BH72)</f>
        <v>0</v>
      </c>
      <c r="BI73" s="47" t="n">
        <f aca="false">BI20*SUMIF($J$7:BI$7,BI$7,$J72:BI72)</f>
        <v>0</v>
      </c>
      <c r="BJ73" s="47" t="n">
        <f aca="false">BJ20*SUMIF($J$7:BJ$7,BJ$7,$J72:BJ72)</f>
        <v>0</v>
      </c>
      <c r="BK73" s="47" t="n">
        <f aca="false">BK20*SUMIF($J$7:BK$7,BK$7,$J72:BK72)</f>
        <v>0</v>
      </c>
      <c r="BL73" s="47" t="n">
        <f aca="false">BL20*SUMIF($J$7:BL$7,BL$7,$J72:BL72)</f>
        <v>0</v>
      </c>
      <c r="BM73" s="47" t="n">
        <f aca="false">BM20*SUMIF($J$7:BM$7,BM$7,$J72:BM72)</f>
        <v>0</v>
      </c>
      <c r="BN73" s="47" t="n">
        <f aca="false">BN20*SUMIF($J$7:BN$7,BN$7,$J72:BN72)</f>
        <v>0</v>
      </c>
      <c r="BO73" s="47" t="n">
        <f aca="false">BO20*SUMIF($J$7:BO$7,BO$7,$J72:BO72)</f>
        <v>0</v>
      </c>
      <c r="BP73" s="47" t="n">
        <f aca="false">BP20*SUMIF($J$7:BP$7,BP$7,$J72:BP72)</f>
        <v>0</v>
      </c>
      <c r="BQ73" s="47" t="n">
        <f aca="false">BQ20*SUMIF($J$7:BQ$7,BQ$7,$J72:BQ72)</f>
        <v>0</v>
      </c>
      <c r="BR73" s="47" t="n">
        <f aca="false">BR20*SUMIF($J$7:BR$7,BR$7,$J72:BR72)</f>
        <v>0</v>
      </c>
      <c r="BS73" s="47" t="n">
        <f aca="false">BS20*SUMIF($J$7:BS$7,BS$7,$J72:BS72)</f>
        <v>0</v>
      </c>
      <c r="BT73" s="47" t="n">
        <f aca="false">BT20*SUMIF($J$7:BT$7,BT$7,$J72:BT72)</f>
        <v>0</v>
      </c>
      <c r="BU73" s="47" t="n">
        <f aca="false">BU20*SUMIF($J$7:BU$7,BU$7,$J72:BU72)</f>
        <v>0</v>
      </c>
      <c r="BV73" s="47" t="n">
        <f aca="false">BV20*SUMIF($J$7:BV$7,BV$7,$J72:BV72)</f>
        <v>0</v>
      </c>
      <c r="BW73" s="47" t="n">
        <f aca="false">BW20*SUMIF($J$7:BW$7,BW$7,$J72:BW72)</f>
        <v>0</v>
      </c>
      <c r="BX73" s="47" t="n">
        <f aca="false">BX20*SUMIF($J$7:BX$7,BX$7,$J72:BX72)</f>
        <v>0</v>
      </c>
      <c r="BY73" s="47" t="n">
        <f aca="false">BY20*SUMIF($J$7:BY$7,BY$7,$J72:BY72)</f>
        <v>0</v>
      </c>
      <c r="BZ73" s="47" t="n">
        <f aca="false">BZ20*SUMIF($J$7:BZ$7,BZ$7,$J72:BZ72)</f>
        <v>0</v>
      </c>
      <c r="CA73" s="47" t="n">
        <f aca="false">CA20*SUMIF($J$7:CA$7,CA$7,$J72:CA72)</f>
        <v>0</v>
      </c>
      <c r="CB73" s="47" t="n">
        <f aca="false">CB20*SUMIF($J$7:CB$7,CB$7,$J72:CB72)</f>
        <v>0</v>
      </c>
      <c r="CC73" s="47" t="n">
        <f aca="false">CC20*SUMIF($J$7:CC$7,CC$7,$J72:CC72)</f>
        <v>0</v>
      </c>
      <c r="CD73" s="47" t="n">
        <f aca="false">CD20*SUMIF($J$7:CD$7,CD$7,$J72:CD72)</f>
        <v>0</v>
      </c>
      <c r="CE73" s="47" t="n">
        <f aca="false">CE20*SUMIF($J$7:CE$7,CE$7,$J72:CE72)</f>
        <v>0</v>
      </c>
      <c r="CF73" s="47" t="n">
        <f aca="false">CF20*SUMIF($J$7:CF$7,CF$7,$J72:CF72)</f>
        <v>0</v>
      </c>
      <c r="CG73" s="47" t="n">
        <f aca="false">CG20*SUMIF($J$7:CG$7,CG$7,$J72:CG72)</f>
        <v>0</v>
      </c>
      <c r="CH73" s="47" t="n">
        <f aca="false">CH20*SUMIF($J$7:CH$7,CH$7,$J72:CH72)</f>
        <v>0</v>
      </c>
      <c r="CI73" s="47" t="n">
        <f aca="false">CI20*SUMIF($J$7:CI$7,CI$7,$J72:CI72)</f>
        <v>0</v>
      </c>
      <c r="CJ73" s="47" t="n">
        <f aca="false">CJ20*SUMIF($J$7:CJ$7,CJ$7,$J72:CJ72)</f>
        <v>0</v>
      </c>
      <c r="CK73" s="47" t="n">
        <f aca="false">CK20*SUMIF($J$7:CK$7,CK$7,$J72:CK72)</f>
        <v>0</v>
      </c>
      <c r="CL73" s="47" t="n">
        <f aca="false">CL20*SUMIF($J$7:CL$7,CL$7,$J72:CL72)</f>
        <v>0</v>
      </c>
      <c r="CM73" s="47" t="n">
        <f aca="false">CM20*SUMIF($J$7:CM$7,CM$7,$J72:CM72)</f>
        <v>0</v>
      </c>
      <c r="CN73" s="47" t="n">
        <f aca="false">CN20*SUMIF($J$7:CN$7,CN$7,$J72:CN72)</f>
        <v>0</v>
      </c>
      <c r="CO73" s="47" t="n">
        <f aca="false">CO20*SUMIF($J$7:CO$7,CO$7,$J72:CO72)</f>
        <v>0</v>
      </c>
      <c r="CP73" s="47" t="n">
        <f aca="false">CP20*SUMIF($J$7:CP$7,CP$7,$J72:CP72)</f>
        <v>0</v>
      </c>
      <c r="CQ73" s="47" t="n">
        <f aca="false">CQ20*SUMIF($J$7:CQ$7,CQ$7,$J72:CQ72)</f>
        <v>0</v>
      </c>
      <c r="CR73" s="47" t="n">
        <f aca="false">CR20*SUMIF($J$7:CR$7,CR$7,$J72:CR72)</f>
        <v>0</v>
      </c>
      <c r="CS73" s="47" t="n">
        <f aca="false">CS20*SUMIF($J$7:CS$7,CS$7,$J72:CS72)</f>
        <v>0</v>
      </c>
      <c r="CT73" s="47" t="n">
        <f aca="false">CT20*SUMIF($J$7:CT$7,CT$7,$J72:CT72)</f>
        <v>0</v>
      </c>
      <c r="CU73" s="47" t="n">
        <f aca="false">CU20*SUMIF($J$7:CU$7,CU$7,$J72:CU72)</f>
        <v>0</v>
      </c>
      <c r="CV73" s="47" t="n">
        <f aca="false">CV20*SUMIF($J$7:CV$7,CV$7,$J72:CV72)</f>
        <v>0</v>
      </c>
      <c r="CW73" s="47" t="n">
        <f aca="false">CW20*SUMIF($J$7:CW$7,CW$7,$J72:CW72)</f>
        <v>0</v>
      </c>
      <c r="CX73" s="47" t="n">
        <f aca="false">CX20*SUMIF($J$7:CX$7,CX$7,$J72:CX72)</f>
        <v>0</v>
      </c>
      <c r="CY73" s="47" t="n">
        <f aca="false">CY20*SUMIF($J$7:CY$7,CY$7,$J72:CY72)</f>
        <v>0</v>
      </c>
      <c r="CZ73" s="47" t="n">
        <f aca="false">CZ20*SUMIF($J$7:CZ$7,CZ$7,$J72:CZ72)</f>
        <v>0</v>
      </c>
      <c r="DA73" s="47" t="n">
        <f aca="false">DA20*SUMIF($J$7:DA$7,DA$7,$J72:DA72)</f>
        <v>0</v>
      </c>
      <c r="DB73" s="47" t="n">
        <f aca="false">DB20*SUMIF($J$7:DB$7,DB$7,$J72:DB72)</f>
        <v>0</v>
      </c>
      <c r="DC73" s="47" t="n">
        <f aca="false">DC20*SUMIF($J$7:DC$7,DC$7,$J72:DC72)</f>
        <v>0</v>
      </c>
      <c r="DD73" s="47" t="n">
        <f aca="false">DD20*SUMIF($J$7:DD$7,DD$7,$J72:DD72)</f>
        <v>0</v>
      </c>
      <c r="DE73" s="47" t="n">
        <f aca="false">DE20*SUMIF($J$7:DE$7,DE$7,$J72:DE72)</f>
        <v>0</v>
      </c>
      <c r="DF73" s="47" t="n">
        <f aca="false">DF20*SUMIF($J$7:DF$7,DF$7,$J72:DF72)</f>
        <v>0</v>
      </c>
      <c r="DG73" s="47" t="n">
        <f aca="false">DG20*SUMIF($J$7:DG$7,DG$7,$J72:DG72)</f>
        <v>0</v>
      </c>
      <c r="DH73" s="47" t="n">
        <f aca="false">DH20*SUMIF($J$7:DH$7,DH$7,$J72:DH72)</f>
        <v>0</v>
      </c>
      <c r="DI73" s="47" t="n">
        <f aca="false">DI20*SUMIF($J$7:DI$7,DI$7,$J72:DI72)</f>
        <v>0</v>
      </c>
      <c r="DJ73" s="47" t="n">
        <f aca="false">DJ20*SUMIF($J$7:DJ$7,DJ$7,$J72:DJ72)</f>
        <v>0</v>
      </c>
      <c r="DK73" s="47" t="n">
        <f aca="false">DK20*SUMIF($J$7:DK$7,DK$7,$J72:DK72)</f>
        <v>0</v>
      </c>
      <c r="DL73" s="47" t="n">
        <f aca="false">DL20*SUMIF($J$7:DL$7,DL$7,$J72:DL72)</f>
        <v>0</v>
      </c>
      <c r="DM73" s="47" t="n">
        <f aca="false">DM20*SUMIF($J$7:DM$7,DM$7,$J72:DM72)</f>
        <v>0</v>
      </c>
      <c r="DN73" s="47" t="n">
        <f aca="false">DN20*SUMIF($J$7:DN$7,DN$7,$J72:DN72)</f>
        <v>0</v>
      </c>
      <c r="DO73" s="47" t="n">
        <f aca="false">DO20*SUMIF($J$7:DO$7,DO$7,$J72:DO72)</f>
        <v>0</v>
      </c>
      <c r="DP73" s="47" t="n">
        <f aca="false">DP20*SUMIF($J$7:DP$7,DP$7,$J72:DP72)</f>
        <v>0</v>
      </c>
      <c r="DQ73" s="47" t="n">
        <f aca="false">DQ20*SUMIF($J$7:DQ$7,DQ$7,$J72:DQ72)</f>
        <v>0</v>
      </c>
      <c r="DR73" s="47" t="n">
        <f aca="false">DR20*SUMIF($J$7:DR$7,DR$7,$J72:DR72)</f>
        <v>0</v>
      </c>
      <c r="DS73" s="47" t="n">
        <f aca="false">DS20*SUMIF($J$7:DS$7,DS$7,$J72:DS72)</f>
        <v>0</v>
      </c>
      <c r="DT73" s="47" t="n">
        <f aca="false">DT20*SUMIF($J$7:DT$7,DT$7,$J72:DT72)</f>
        <v>0</v>
      </c>
      <c r="DU73" s="47" t="n">
        <f aca="false">DU20*SUMIF($J$7:DU$7,DU$7,$J72:DU72)</f>
        <v>0</v>
      </c>
      <c r="DV73" s="47" t="n">
        <f aca="false">DV20*SUMIF($J$7:DV$7,DV$7,$J72:DV72)</f>
        <v>0</v>
      </c>
      <c r="DW73" s="47" t="n">
        <f aca="false">DW20*SUMIF($J$7:DW$7,DW$7,$J72:DW72)</f>
        <v>0</v>
      </c>
      <c r="DX73" s="47" t="n">
        <f aca="false">DX20*SUMIF($J$7:DX$7,DX$7,$J72:DX72)</f>
        <v>0</v>
      </c>
      <c r="DY73" s="47" t="n">
        <f aca="false">DY20*SUMIF($J$7:DY$7,DY$7,$J72:DY72)</f>
        <v>0</v>
      </c>
      <c r="DZ73" s="47" t="n">
        <f aca="false">DZ20*SUMIF($J$7:DZ$7,DZ$7,$J72:DZ72)</f>
        <v>0</v>
      </c>
      <c r="EA73" s="47" t="n">
        <f aca="false">EA20*SUMIF($J$7:EA$7,EA$7,$J72:EA72)</f>
        <v>0</v>
      </c>
      <c r="EB73" s="47" t="n">
        <f aca="false">EB20*SUMIF($J$7:EB$7,EB$7,$J72:EB72)</f>
        <v>0</v>
      </c>
      <c r="EC73" s="47" t="n">
        <f aca="false">EC20*SUMIF($J$7:EC$7,EC$7,$J72:EC72)</f>
        <v>0</v>
      </c>
      <c r="ED73" s="47" t="n">
        <f aca="false">ED20*SUMIF($J$7:ED$7,ED$7,$J72:ED72)</f>
        <v>0</v>
      </c>
      <c r="EE73" s="47" t="n">
        <f aca="false">EE20*SUMIF($J$7:EE$7,EE$7,$J72:EE72)</f>
        <v>0</v>
      </c>
      <c r="EF73" s="47" t="n">
        <f aca="false">EF20*SUMIF($J$7:EF$7,EF$7,$J72:EF72)</f>
        <v>0</v>
      </c>
      <c r="EG73" s="47" t="n">
        <f aca="false">EG20*SUMIF($J$7:EG$7,EG$7,$J72:EG72)</f>
        <v>0</v>
      </c>
      <c r="EH73" s="47" t="n">
        <f aca="false">EH20*SUMIF($J$7:EH$7,EH$7,$J72:EH72)</f>
        <v>0</v>
      </c>
      <c r="EI73" s="47" t="n">
        <f aca="false">EI20*SUMIF($J$7:EI$7,EI$7,$J72:EI72)</f>
        <v>0</v>
      </c>
      <c r="EJ73" s="47" t="n">
        <f aca="false">EJ20*SUMIF($J$7:EJ$7,EJ$7,$J72:EJ72)</f>
        <v>0</v>
      </c>
      <c r="EK73" s="47" t="n">
        <f aca="false">EK20*SUMIF($J$7:EK$7,EK$7,$J72:EK72)</f>
        <v>0</v>
      </c>
      <c r="EL73" s="47" t="n">
        <f aca="false">EL20*SUMIF($J$7:EL$7,EL$7,$J72:EL72)</f>
        <v>0</v>
      </c>
      <c r="EM73" s="47" t="n">
        <f aca="false">EM20*SUMIF($J$7:EM$7,EM$7,$J72:EM72)</f>
        <v>0</v>
      </c>
      <c r="EN73" s="47" t="n">
        <f aca="false">EN20*SUMIF($J$7:EN$7,EN$7,$J72:EN72)</f>
        <v>0</v>
      </c>
      <c r="EO73" s="47" t="n">
        <f aca="false">EO20*SUMIF($J$7:EO$7,EO$7,$J72:EO72)</f>
        <v>0</v>
      </c>
      <c r="EP73" s="47" t="n">
        <f aca="false">EP20*SUMIF($J$7:EP$7,EP$7,$J72:EP72)</f>
        <v>0</v>
      </c>
      <c r="EQ73" s="47" t="n">
        <f aca="false">EQ20*SUMIF($J$7:EQ$7,EQ$7,$J72:EQ72)</f>
        <v>0</v>
      </c>
      <c r="ER73" s="47" t="n">
        <f aca="false">ER20*SUMIF($J$7:ER$7,ER$7,$J72:ER72)</f>
        <v>0</v>
      </c>
      <c r="ES73" s="47" t="n">
        <f aca="false">ES20*SUMIF($J$7:ES$7,ES$7,$J72:ES72)</f>
        <v>0</v>
      </c>
      <c r="ET73" s="47" t="n">
        <f aca="false">ET20*SUMIF($J$7:ET$7,ET$7,$J72:ET72)</f>
        <v>0</v>
      </c>
    </row>
    <row r="74" customFormat="false" ht="15" hidden="false" customHeight="false" outlineLevel="0" collapsed="false">
      <c r="C74" s="1" t="s">
        <v>500</v>
      </c>
      <c r="D74" s="12" t="s">
        <v>222</v>
      </c>
      <c r="I74" s="57"/>
      <c r="J74" s="47" t="n">
        <f aca="false">J71+J73</f>
        <v>0</v>
      </c>
      <c r="K74" s="47" t="n">
        <f aca="false">K71+K73</f>
        <v>18.1640998311128</v>
      </c>
      <c r="L74" s="47" t="n">
        <f aca="false">L71+L73</f>
        <v>18.1640998311128</v>
      </c>
      <c r="M74" s="47" t="n">
        <f aca="false">M71+M73</f>
        <v>18.1640998311128</v>
      </c>
      <c r="N74" s="47" t="n">
        <f aca="false">N71+N73</f>
        <v>18.1640998311128</v>
      </c>
      <c r="O74" s="47" t="n">
        <f aca="false">O71+O73</f>
        <v>438.867644451117</v>
      </c>
      <c r="P74" s="47" t="n">
        <f aca="false">P71+P73</f>
        <v>438.867644451117</v>
      </c>
      <c r="Q74" s="47" t="n">
        <f aca="false">Q71+Q73</f>
        <v>438.867644451117</v>
      </c>
      <c r="R74" s="47" t="n">
        <f aca="false">R71+R73</f>
        <v>438.867644451117</v>
      </c>
      <c r="S74" s="47" t="n">
        <f aca="false">S71+S73</f>
        <v>886.035170946395</v>
      </c>
      <c r="T74" s="47" t="n">
        <f aca="false">T71+T73</f>
        <v>886.035170946395</v>
      </c>
      <c r="U74" s="47" t="n">
        <f aca="false">U71+U73</f>
        <v>886.035170946395</v>
      </c>
      <c r="V74" s="47" t="n">
        <f aca="false">V71+V73</f>
        <v>886.035170946395</v>
      </c>
      <c r="W74" s="47" t="n">
        <f aca="false">W71+W73</f>
        <v>1120.48016110676</v>
      </c>
      <c r="X74" s="47" t="n">
        <f aca="false">X71+X73</f>
        <v>1120.48016110676</v>
      </c>
      <c r="Y74" s="47" t="n">
        <f aca="false">Y71+Y73</f>
        <v>1120.48016110676</v>
      </c>
      <c r="Z74" s="47" t="n">
        <f aca="false">Z71+Z73</f>
        <v>1120.48016110676</v>
      </c>
      <c r="AA74" s="47" t="n">
        <f aca="false">AA71+AA73</f>
        <v>1607.3226694033</v>
      </c>
      <c r="AB74" s="47" t="n">
        <f aca="false">AB71+AB73</f>
        <v>1607.3226694033</v>
      </c>
      <c r="AC74" s="47" t="n">
        <f aca="false">AC71+AC73</f>
        <v>1607.3226694033</v>
      </c>
      <c r="AD74" s="47" t="n">
        <f aca="false">AD71+AD73</f>
        <v>1607.3226694033</v>
      </c>
      <c r="AE74" s="47" t="n">
        <f aca="false">AE71+AE73</f>
        <v>1993.30208050153</v>
      </c>
      <c r="AF74" s="47" t="n">
        <f aca="false">AF71+AF73</f>
        <v>1993.30208050153</v>
      </c>
      <c r="AG74" s="47" t="n">
        <f aca="false">AG71+AG73</f>
        <v>1993.30208050153</v>
      </c>
      <c r="AH74" s="47" t="n">
        <f aca="false">AH71+AH73</f>
        <v>1993.30208050153</v>
      </c>
      <c r="AI74" s="47" t="n">
        <f aca="false">AI71+AI73</f>
        <v>1993.30208050153</v>
      </c>
      <c r="AJ74" s="47" t="n">
        <f aca="false">AJ71+AJ73</f>
        <v>1993.30208050153</v>
      </c>
      <c r="AK74" s="47" t="n">
        <f aca="false">AK71+AK73</f>
        <v>1993.30208050153</v>
      </c>
      <c r="AL74" s="47" t="n">
        <f aca="false">AL71+AL73</f>
        <v>1993.30208050153</v>
      </c>
      <c r="AM74" s="47" t="n">
        <f aca="false">AM71+AM73</f>
        <v>1993.30208050153</v>
      </c>
      <c r="AN74" s="47" t="n">
        <f aca="false">AN71+AN73</f>
        <v>1993.30208050153</v>
      </c>
      <c r="AO74" s="47" t="n">
        <f aca="false">AO71+AO73</f>
        <v>1993.30208050153</v>
      </c>
      <c r="AP74" s="47" t="n">
        <f aca="false">AP71+AP73</f>
        <v>1993.30208050153</v>
      </c>
      <c r="AQ74" s="47" t="n">
        <f aca="false">AQ71+AQ73</f>
        <v>1993.30208050153</v>
      </c>
      <c r="AR74" s="47" t="n">
        <f aca="false">AR71+AR73</f>
        <v>1993.30208050153</v>
      </c>
      <c r="AS74" s="47" t="n">
        <f aca="false">AS71+AS73</f>
        <v>1993.30208050153</v>
      </c>
      <c r="AT74" s="47" t="n">
        <f aca="false">AT71+AT73</f>
        <v>1993.30208050153</v>
      </c>
      <c r="AU74" s="47" t="n">
        <f aca="false">AU71+AU73</f>
        <v>1993.30208050153</v>
      </c>
      <c r="AV74" s="47" t="n">
        <f aca="false">AV71+AV73</f>
        <v>1993.30208050153</v>
      </c>
      <c r="AW74" s="47" t="n">
        <f aca="false">AW71+AW73</f>
        <v>1993.30208050153</v>
      </c>
      <c r="AX74" s="47" t="n">
        <f aca="false">AX71+AX73</f>
        <v>1993.30208050153</v>
      </c>
      <c r="AY74" s="47" t="n">
        <f aca="false">AY71+AY73</f>
        <v>1993.30208050153</v>
      </c>
      <c r="AZ74" s="47" t="n">
        <f aca="false">AZ71+AZ73</f>
        <v>1993.30208050153</v>
      </c>
      <c r="BA74" s="47" t="n">
        <f aca="false">BA71+BA73</f>
        <v>1993.30208050153</v>
      </c>
      <c r="BB74" s="47" t="n">
        <f aca="false">BB71+BB73</f>
        <v>1993.30208050153</v>
      </c>
      <c r="BC74" s="47" t="n">
        <f aca="false">BC71+BC73</f>
        <v>1993.30208050153</v>
      </c>
      <c r="BD74" s="47" t="n">
        <f aca="false">BD71+BD73</f>
        <v>1993.30208050153</v>
      </c>
      <c r="BE74" s="47" t="n">
        <f aca="false">BE71+BE73</f>
        <v>1993.30208050153</v>
      </c>
      <c r="BF74" s="47" t="n">
        <f aca="false">BF71+BF73</f>
        <v>1993.30208050153</v>
      </c>
      <c r="BG74" s="47" t="n">
        <f aca="false">BG71+BG73</f>
        <v>1993.30208050153</v>
      </c>
      <c r="BH74" s="47" t="n">
        <f aca="false">BH71+BH73</f>
        <v>1993.30208050153</v>
      </c>
      <c r="BI74" s="47" t="n">
        <f aca="false">BI71+BI73</f>
        <v>1993.30208050153</v>
      </c>
      <c r="BJ74" s="47" t="n">
        <f aca="false">BJ71+BJ73</f>
        <v>1993.30208050153</v>
      </c>
      <c r="BK74" s="47" t="n">
        <f aca="false">BK71+BK73</f>
        <v>1993.30208050153</v>
      </c>
      <c r="BL74" s="47" t="n">
        <f aca="false">BL71+BL73</f>
        <v>1993.30208050153</v>
      </c>
      <c r="BM74" s="47" t="n">
        <f aca="false">BM71+BM73</f>
        <v>1993.30208050153</v>
      </c>
      <c r="BN74" s="47" t="n">
        <f aca="false">BN71+BN73</f>
        <v>1993.30208050153</v>
      </c>
      <c r="BO74" s="47" t="n">
        <f aca="false">BO71+BO73</f>
        <v>1993.30208050153</v>
      </c>
      <c r="BP74" s="47" t="n">
        <f aca="false">BP71+BP73</f>
        <v>1993.30208050153</v>
      </c>
      <c r="BQ74" s="47" t="n">
        <f aca="false">BQ71+BQ73</f>
        <v>1993.30208050153</v>
      </c>
      <c r="BR74" s="47" t="n">
        <f aca="false">BR71+BR73</f>
        <v>1993.30208050153</v>
      </c>
      <c r="BS74" s="47" t="n">
        <f aca="false">BS71+BS73</f>
        <v>1993.30208050153</v>
      </c>
      <c r="BT74" s="47" t="n">
        <f aca="false">BT71+BT73</f>
        <v>1993.30208050153</v>
      </c>
      <c r="BU74" s="47" t="n">
        <f aca="false">BU71+BU73</f>
        <v>1993.30208050153</v>
      </c>
      <c r="BV74" s="47" t="n">
        <f aca="false">BV71+BV73</f>
        <v>1993.30208050153</v>
      </c>
      <c r="BW74" s="47" t="n">
        <f aca="false">BW71+BW73</f>
        <v>1993.30208050153</v>
      </c>
      <c r="BX74" s="47" t="n">
        <f aca="false">BX71+BX73</f>
        <v>1993.30208050153</v>
      </c>
      <c r="BY74" s="47" t="n">
        <f aca="false">BY71+BY73</f>
        <v>1993.30208050153</v>
      </c>
      <c r="BZ74" s="47" t="n">
        <f aca="false">BZ71+BZ73</f>
        <v>1993.30208050153</v>
      </c>
      <c r="CA74" s="47" t="n">
        <f aca="false">CA71+CA73</f>
        <v>1993.30208050153</v>
      </c>
      <c r="CB74" s="47" t="n">
        <f aca="false">CB71+CB73</f>
        <v>1993.30208050153</v>
      </c>
      <c r="CC74" s="47" t="n">
        <f aca="false">CC71+CC73</f>
        <v>1993.30208050153</v>
      </c>
      <c r="CD74" s="47" t="n">
        <f aca="false">CD71+CD73</f>
        <v>1993.30208050153</v>
      </c>
      <c r="CE74" s="47" t="n">
        <f aca="false">CE71+CE73</f>
        <v>1993.30208050153</v>
      </c>
      <c r="CF74" s="47" t="n">
        <f aca="false">CF71+CF73</f>
        <v>1993.30208050153</v>
      </c>
      <c r="CG74" s="47" t="n">
        <f aca="false">CG71+CG73</f>
        <v>1993.30208050153</v>
      </c>
      <c r="CH74" s="47" t="n">
        <f aca="false">CH71+CH73</f>
        <v>1993.30208050153</v>
      </c>
      <c r="CI74" s="47" t="n">
        <f aca="false">CI71+CI73</f>
        <v>1993.30208050153</v>
      </c>
      <c r="CJ74" s="47" t="n">
        <f aca="false">CJ71+CJ73</f>
        <v>1993.30208050153</v>
      </c>
      <c r="CK74" s="47" t="n">
        <f aca="false">CK71+CK73</f>
        <v>1993.30208050153</v>
      </c>
      <c r="CL74" s="47" t="n">
        <f aca="false">CL71+CL73</f>
        <v>1993.30208050153</v>
      </c>
      <c r="CM74" s="47" t="n">
        <f aca="false">CM71+CM73</f>
        <v>1993.30208050153</v>
      </c>
      <c r="CN74" s="47" t="n">
        <f aca="false">CN71+CN73</f>
        <v>1993.30208050153</v>
      </c>
      <c r="CO74" s="47" t="n">
        <f aca="false">CO71+CO73</f>
        <v>1993.30208050153</v>
      </c>
      <c r="CP74" s="47" t="n">
        <f aca="false">CP71+CP73</f>
        <v>1993.30208050153</v>
      </c>
      <c r="CQ74" s="47" t="n">
        <f aca="false">CQ71+CQ73</f>
        <v>1993.30208050153</v>
      </c>
      <c r="CR74" s="47" t="n">
        <f aca="false">CR71+CR73</f>
        <v>1993.30208050153</v>
      </c>
      <c r="CS74" s="47" t="n">
        <f aca="false">CS71+CS73</f>
        <v>1993.30208050153</v>
      </c>
      <c r="CT74" s="47" t="n">
        <f aca="false">CT71+CT73</f>
        <v>1993.30208050153</v>
      </c>
      <c r="CU74" s="47" t="n">
        <f aca="false">CU71+CU73</f>
        <v>1993.30208050153</v>
      </c>
      <c r="CV74" s="47" t="n">
        <f aca="false">CV71+CV73</f>
        <v>1993.30208050153</v>
      </c>
      <c r="CW74" s="47" t="n">
        <f aca="false">CW71+CW73</f>
        <v>1993.30208050153</v>
      </c>
      <c r="CX74" s="47" t="n">
        <f aca="false">CX71+CX73</f>
        <v>1993.30208050153</v>
      </c>
      <c r="CY74" s="47" t="n">
        <f aca="false">CY71+CY73</f>
        <v>1993.30208050153</v>
      </c>
      <c r="CZ74" s="47" t="n">
        <f aca="false">CZ71+CZ73</f>
        <v>1993.30208050153</v>
      </c>
      <c r="DA74" s="47" t="n">
        <f aca="false">DA71+DA73</f>
        <v>1993.30208050153</v>
      </c>
      <c r="DB74" s="47" t="n">
        <f aca="false">DB71+DB73</f>
        <v>1993.30208050153</v>
      </c>
      <c r="DC74" s="47" t="n">
        <f aca="false">DC71+DC73</f>
        <v>1993.30208050153</v>
      </c>
      <c r="DD74" s="47" t="n">
        <f aca="false">DD71+DD73</f>
        <v>1993.30208050153</v>
      </c>
      <c r="DE74" s="47" t="n">
        <f aca="false">DE71+DE73</f>
        <v>1993.30208050153</v>
      </c>
      <c r="DF74" s="47" t="n">
        <f aca="false">DF71+DF73</f>
        <v>1993.30208050153</v>
      </c>
      <c r="DG74" s="47" t="n">
        <f aca="false">DG71+DG73</f>
        <v>1993.30208050153</v>
      </c>
      <c r="DH74" s="47" t="n">
        <f aca="false">DH71+DH73</f>
        <v>1993.30208050153</v>
      </c>
      <c r="DI74" s="47" t="n">
        <f aca="false">DI71+DI73</f>
        <v>1993.30208050153</v>
      </c>
      <c r="DJ74" s="47" t="n">
        <f aca="false">DJ71+DJ73</f>
        <v>1993.30208050153</v>
      </c>
      <c r="DK74" s="47" t="n">
        <f aca="false">DK71+DK73</f>
        <v>1993.30208050153</v>
      </c>
      <c r="DL74" s="47" t="n">
        <f aca="false">DL71+DL73</f>
        <v>1993.30208050153</v>
      </c>
      <c r="DM74" s="47" t="n">
        <f aca="false">DM71+DM73</f>
        <v>1993.30208050153</v>
      </c>
      <c r="DN74" s="47" t="n">
        <f aca="false">DN71+DN73</f>
        <v>1993.30208050153</v>
      </c>
      <c r="DO74" s="47" t="n">
        <f aca="false">DO71+DO73</f>
        <v>1993.30208050153</v>
      </c>
      <c r="DP74" s="47" t="n">
        <f aca="false">DP71+DP73</f>
        <v>1993.30208050153</v>
      </c>
      <c r="DQ74" s="47" t="n">
        <f aca="false">DQ71+DQ73</f>
        <v>1993.30208050153</v>
      </c>
      <c r="DR74" s="47" t="n">
        <f aca="false">DR71+DR73</f>
        <v>1993.30208050153</v>
      </c>
      <c r="DS74" s="47" t="n">
        <f aca="false">DS71+DS73</f>
        <v>1993.30208050153</v>
      </c>
      <c r="DT74" s="47" t="n">
        <f aca="false">DT71+DT73</f>
        <v>1993.30208050153</v>
      </c>
      <c r="DU74" s="47" t="n">
        <f aca="false">DU71+DU73</f>
        <v>1993.30208050153</v>
      </c>
      <c r="DV74" s="47" t="n">
        <f aca="false">DV71+DV73</f>
        <v>1993.30208050153</v>
      </c>
      <c r="DW74" s="47" t="n">
        <f aca="false">DW71+DW73</f>
        <v>1993.30208050153</v>
      </c>
      <c r="DX74" s="47" t="n">
        <f aca="false">DX71+DX73</f>
        <v>1993.30208050153</v>
      </c>
      <c r="DY74" s="47" t="n">
        <f aca="false">DY71+DY73</f>
        <v>1993.30208050153</v>
      </c>
      <c r="DZ74" s="47" t="n">
        <f aca="false">DZ71+DZ73</f>
        <v>1993.30208050153</v>
      </c>
      <c r="EA74" s="47" t="n">
        <f aca="false">EA71+EA73</f>
        <v>1993.30208050153</v>
      </c>
      <c r="EB74" s="47" t="n">
        <f aca="false">EB71+EB73</f>
        <v>1993.30208050153</v>
      </c>
      <c r="EC74" s="47" t="n">
        <f aca="false">EC71+EC73</f>
        <v>1993.30208050153</v>
      </c>
      <c r="ED74" s="47" t="n">
        <f aca="false">ED71+ED73</f>
        <v>1993.30208050153</v>
      </c>
      <c r="EE74" s="47" t="n">
        <f aca="false">EE71+EE73</f>
        <v>1993.30208050153</v>
      </c>
      <c r="EF74" s="47" t="n">
        <f aca="false">EF71+EF73</f>
        <v>1993.30208050153</v>
      </c>
      <c r="EG74" s="47" t="n">
        <f aca="false">EG71+EG73</f>
        <v>1993.30208050153</v>
      </c>
      <c r="EH74" s="47" t="n">
        <f aca="false">EH71+EH73</f>
        <v>1993.30208050153</v>
      </c>
      <c r="EI74" s="47" t="n">
        <f aca="false">EI71+EI73</f>
        <v>1993.30208050153</v>
      </c>
      <c r="EJ74" s="47" t="n">
        <f aca="false">EJ71+EJ73</f>
        <v>1993.30208050153</v>
      </c>
      <c r="EK74" s="47" t="n">
        <f aca="false">EK71+EK73</f>
        <v>1993.30208050153</v>
      </c>
      <c r="EL74" s="47" t="n">
        <f aca="false">EL71+EL73</f>
        <v>1993.30208050153</v>
      </c>
      <c r="EM74" s="47" t="n">
        <f aca="false">EM71+EM73</f>
        <v>1993.30208050153</v>
      </c>
      <c r="EN74" s="47" t="n">
        <f aca="false">EN71+EN73</f>
        <v>1993.30208050153</v>
      </c>
      <c r="EO74" s="47" t="n">
        <f aca="false">EO71+EO73</f>
        <v>1993.30208050153</v>
      </c>
      <c r="EP74" s="47" t="n">
        <f aca="false">EP71+EP73</f>
        <v>1993.30208050153</v>
      </c>
      <c r="EQ74" s="47" t="n">
        <f aca="false">EQ71+EQ73</f>
        <v>1993.30208050153</v>
      </c>
      <c r="ER74" s="47" t="n">
        <f aca="false">ER71+ER73</f>
        <v>1993.30208050153</v>
      </c>
      <c r="ES74" s="47" t="n">
        <f aca="false">ES71+ES73</f>
        <v>1993.30208050153</v>
      </c>
      <c r="ET74" s="47" t="n">
        <f aca="false">ET71+ET73</f>
        <v>1993.30208050153</v>
      </c>
    </row>
    <row r="75" customFormat="false" ht="15" hidden="false" customHeight="false" outlineLevel="0" collapsed="false">
      <c r="A75" s="36"/>
      <c r="B75" s="36"/>
      <c r="C75" s="36" t="s">
        <v>501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</row>
    <row r="76" customFormat="false" ht="15" hidden="false" customHeight="false" outlineLevel="0" collapsed="false">
      <c r="C76" s="1" t="s">
        <v>493</v>
      </c>
      <c r="D76" s="12" t="s">
        <v>180</v>
      </c>
      <c r="J76" s="58" t="n">
        <f aca="false">SUMPRODUCT(Devex_Keur*Devex_Date*(Devex_Date&gt;=J$3)*(Devex_Date&lt;=J$4))-J56*$F56</f>
        <v>0</v>
      </c>
      <c r="K76" s="58" t="n">
        <f aca="false">SUMPRODUCT(Devex_Keur*Devex_Date*(Devex_Date&gt;=K$3)*(Devex_Date&lt;=K$4))-K56*$F56</f>
        <v>8264787.28767123</v>
      </c>
      <c r="L76" s="58" t="n">
        <f aca="false">SUMPRODUCT(Devex_Keur*Devex_Date*(Devex_Date&gt;=L$3)*(Devex_Date&lt;=L$4))-L56*$F56</f>
        <v>27328011.4239726</v>
      </c>
      <c r="M76" s="58" t="n">
        <f aca="false">SUMPRODUCT(Devex_Keur*Devex_Date*(Devex_Date&gt;=M$3)*(Devex_Date&lt;=M$4))-M56*$F56</f>
        <v>2041249.31506849</v>
      </c>
      <c r="N76" s="58" t="n">
        <f aca="false">SUMPRODUCT(Devex_Keur*Devex_Date*(Devex_Date&gt;=N$3)*(Devex_Date&lt;=N$4))-N56*$F56</f>
        <v>2042564.38356164</v>
      </c>
      <c r="O76" s="58" t="n">
        <f aca="false">SUMPRODUCT(Devex_Keur*Devex_Date*(Devex_Date&gt;=O$3)*(Devex_Date&lt;=O$4))-O56*$F56</f>
        <v>8617904.08767123</v>
      </c>
      <c r="P76" s="58" t="n">
        <f aca="false">SUMPRODUCT(Devex_Keur*Devex_Date*(Devex_Date&gt;=P$3)*(Devex_Date&lt;=P$4))-P56*$F56</f>
        <v>60359659.8456807</v>
      </c>
      <c r="Q76" s="58" t="n">
        <f aca="false">SUMPRODUCT(Devex_Keur*Devex_Date*(Devex_Date&gt;=Q$3)*(Devex_Date&lt;=Q$4))-Q56*$F56</f>
        <v>216330.547945205</v>
      </c>
      <c r="R76" s="58" t="n">
        <f aca="false">SUMPRODUCT(Devex_Keur*Devex_Date*(Devex_Date&gt;=R$3)*(Devex_Date&lt;=R$4))-R56*$F56</f>
        <v>7708362.7728407</v>
      </c>
      <c r="S76" s="58" t="n">
        <f aca="false">SUMPRODUCT(Devex_Keur*Devex_Date*(Devex_Date&gt;=S$3)*(Devex_Date&lt;=S$4))-S56*$F56</f>
        <v>14945351.6140951</v>
      </c>
      <c r="T76" s="58" t="n">
        <f aca="false">SUMPRODUCT(Devex_Keur*Devex_Date*(Devex_Date&gt;=T$3)*(Devex_Date&lt;=T$4))-T56*$F56</f>
        <v>14376030.6849315</v>
      </c>
      <c r="U76" s="58" t="n">
        <f aca="false">SUMPRODUCT(Devex_Keur*Devex_Date*(Devex_Date&gt;=U$3)*(Devex_Date&lt;=U$4))-U56*$F56</f>
        <v>0</v>
      </c>
      <c r="V76" s="58" t="n">
        <f aca="false">SUMPRODUCT(Devex_Keur*Devex_Date*(Devex_Date&gt;=V$3)*(Devex_Date&lt;=V$4))-V56*$F56</f>
        <v>0</v>
      </c>
      <c r="W76" s="58" t="n">
        <f aca="false">SUMPRODUCT(Devex_Keur*Devex_Date*(Devex_Date&gt;=W$3)*(Devex_Date&lt;=W$4))-W56*$F56</f>
        <v>0</v>
      </c>
      <c r="X76" s="58" t="n">
        <f aca="false">SUMPRODUCT(Devex_Keur*Devex_Date*(Devex_Date&gt;=X$3)*(Devex_Date&lt;=X$4))-X56*$F56</f>
        <v>0</v>
      </c>
      <c r="Y76" s="58" t="n">
        <f aca="false">SUMPRODUCT(Devex_Keur*Devex_Date*(Devex_Date&gt;=Y$3)*(Devex_Date&lt;=Y$4))-Y56*$F56</f>
        <v>0</v>
      </c>
      <c r="Z76" s="58" t="n">
        <f aca="false">SUMPRODUCT(Devex_Keur*Devex_Date*(Devex_Date&gt;=Z$3)*(Devex_Date&lt;=Z$4))-Z56*$F56</f>
        <v>0</v>
      </c>
      <c r="AA76" s="58" t="n">
        <f aca="false">SUMPRODUCT(Devex_Keur*Devex_Date*(Devex_Date&gt;=AA$3)*(Devex_Date&lt;=AA$4))-AA56*$F56</f>
        <v>0</v>
      </c>
      <c r="AB76" s="58" t="n">
        <f aca="false">SUMPRODUCT(Devex_Keur*Devex_Date*(Devex_Date&gt;=AB$3)*(Devex_Date&lt;=AB$4))-AB56*$F56</f>
        <v>0</v>
      </c>
      <c r="AC76" s="58" t="n">
        <f aca="false">SUMPRODUCT(Devex_Keur*Devex_Date*(Devex_Date&gt;=AC$3)*(Devex_Date&lt;=AC$4))-AC56*$F56</f>
        <v>0</v>
      </c>
      <c r="AD76" s="58" t="n">
        <f aca="false">SUMPRODUCT(Devex_Keur*Devex_Date*(Devex_Date&gt;=AD$3)*(Devex_Date&lt;=AD$4))-AD56*$F56</f>
        <v>0</v>
      </c>
      <c r="AE76" s="58" t="n">
        <f aca="false">SUMPRODUCT(Devex_Keur*Devex_Date*(Devex_Date&gt;=AE$3)*(Devex_Date&lt;=AE$4))-AE56*$F56</f>
        <v>0</v>
      </c>
      <c r="AF76" s="58" t="n">
        <f aca="false">SUMPRODUCT(Devex_Keur*Devex_Date*(Devex_Date&gt;=AF$3)*(Devex_Date&lt;=AF$4))-AF56*$F56</f>
        <v>0</v>
      </c>
      <c r="AG76" s="58" t="n">
        <f aca="false">SUMPRODUCT(Devex_Keur*Devex_Date*(Devex_Date&gt;=AG$3)*(Devex_Date&lt;=AG$4))-AG56*$F56</f>
        <v>0</v>
      </c>
      <c r="AH76" s="58" t="n">
        <f aca="false">SUMPRODUCT(Devex_Keur*Devex_Date*(Devex_Date&gt;=AH$3)*(Devex_Date&lt;=AH$4))-AH56*$F56</f>
        <v>0</v>
      </c>
      <c r="AI76" s="58" t="n">
        <f aca="false">SUMPRODUCT(Devex_Keur*Devex_Date*(Devex_Date&gt;=AI$3)*(Devex_Date&lt;=AI$4))-AI56*$F56</f>
        <v>0</v>
      </c>
      <c r="AJ76" s="58" t="n">
        <f aca="false">SUMPRODUCT(Devex_Keur*Devex_Date*(Devex_Date&gt;=AJ$3)*(Devex_Date&lt;=AJ$4))-AJ56*$F56</f>
        <v>0</v>
      </c>
      <c r="AK76" s="58" t="n">
        <f aca="false">SUMPRODUCT(Devex_Keur*Devex_Date*(Devex_Date&gt;=AK$3)*(Devex_Date&lt;=AK$4))-AK56*$F56</f>
        <v>0</v>
      </c>
      <c r="AL76" s="58" t="n">
        <f aca="false">SUMPRODUCT(Devex_Keur*Devex_Date*(Devex_Date&gt;=AL$3)*(Devex_Date&lt;=AL$4))-AL56*$F56</f>
        <v>0</v>
      </c>
      <c r="AM76" s="58" t="n">
        <f aca="false">SUMPRODUCT(Devex_Keur*Devex_Date*(Devex_Date&gt;=AM$3)*(Devex_Date&lt;=AM$4))-AM56*$F56</f>
        <v>0</v>
      </c>
      <c r="AN76" s="58" t="n">
        <f aca="false">SUMPRODUCT(Devex_Keur*Devex_Date*(Devex_Date&gt;=AN$3)*(Devex_Date&lt;=AN$4))-AN56*$F56</f>
        <v>0</v>
      </c>
      <c r="AO76" s="58" t="n">
        <f aca="false">SUMPRODUCT(Devex_Keur*Devex_Date*(Devex_Date&gt;=AO$3)*(Devex_Date&lt;=AO$4))-AO56*$F56</f>
        <v>0</v>
      </c>
      <c r="AP76" s="58" t="n">
        <f aca="false">SUMPRODUCT(Devex_Keur*Devex_Date*(Devex_Date&gt;=AP$3)*(Devex_Date&lt;=AP$4))-AP56*$F56</f>
        <v>0</v>
      </c>
      <c r="AQ76" s="58" t="n">
        <f aca="false">SUMPRODUCT(Devex_Keur*Devex_Date*(Devex_Date&gt;=AQ$3)*(Devex_Date&lt;=AQ$4))-AQ56*$F56</f>
        <v>0</v>
      </c>
      <c r="AR76" s="58" t="n">
        <f aca="false">SUMPRODUCT(Devex_Keur*Devex_Date*(Devex_Date&gt;=AR$3)*(Devex_Date&lt;=AR$4))-AR56*$F56</f>
        <v>0</v>
      </c>
      <c r="AS76" s="58" t="n">
        <f aca="false">SUMPRODUCT(Devex_Keur*Devex_Date*(Devex_Date&gt;=AS$3)*(Devex_Date&lt;=AS$4))-AS56*$F56</f>
        <v>0</v>
      </c>
      <c r="AT76" s="58" t="n">
        <f aca="false">SUMPRODUCT(Devex_Keur*Devex_Date*(Devex_Date&gt;=AT$3)*(Devex_Date&lt;=AT$4))-AT56*$F56</f>
        <v>0</v>
      </c>
      <c r="AU76" s="58" t="n">
        <f aca="false">SUMPRODUCT(Devex_Keur*Devex_Date*(Devex_Date&gt;=AU$3)*(Devex_Date&lt;=AU$4))-AU56*$F56</f>
        <v>0</v>
      </c>
      <c r="AV76" s="58" t="n">
        <f aca="false">SUMPRODUCT(Devex_Keur*Devex_Date*(Devex_Date&gt;=AV$3)*(Devex_Date&lt;=AV$4))-AV56*$F56</f>
        <v>0</v>
      </c>
      <c r="AW76" s="58" t="n">
        <f aca="false">SUMPRODUCT(Devex_Keur*Devex_Date*(Devex_Date&gt;=AW$3)*(Devex_Date&lt;=AW$4))-AW56*$F56</f>
        <v>0</v>
      </c>
      <c r="AX76" s="58" t="n">
        <f aca="false">SUMPRODUCT(Devex_Keur*Devex_Date*(Devex_Date&gt;=AX$3)*(Devex_Date&lt;=AX$4))-AX56*$F56</f>
        <v>0</v>
      </c>
      <c r="AY76" s="58" t="n">
        <f aca="false">SUMPRODUCT(Devex_Keur*Devex_Date*(Devex_Date&gt;=AY$3)*(Devex_Date&lt;=AY$4))-AY56*$F56</f>
        <v>0</v>
      </c>
      <c r="AZ76" s="58" t="n">
        <f aca="false">SUMPRODUCT(Devex_Keur*Devex_Date*(Devex_Date&gt;=AZ$3)*(Devex_Date&lt;=AZ$4))-AZ56*$F56</f>
        <v>0</v>
      </c>
      <c r="BA76" s="58" t="n">
        <f aca="false">SUMPRODUCT(Devex_Keur*Devex_Date*(Devex_Date&gt;=BA$3)*(Devex_Date&lt;=BA$4))-BA56*$F56</f>
        <v>0</v>
      </c>
      <c r="BB76" s="58" t="n">
        <f aca="false">SUMPRODUCT(Devex_Keur*Devex_Date*(Devex_Date&gt;=BB$3)*(Devex_Date&lt;=BB$4))-BB56*$F56</f>
        <v>0</v>
      </c>
      <c r="BC76" s="58" t="n">
        <f aca="false">SUMPRODUCT(Devex_Keur*Devex_Date*(Devex_Date&gt;=BC$3)*(Devex_Date&lt;=BC$4))-BC56*$F56</f>
        <v>0</v>
      </c>
      <c r="BD76" s="58" t="n">
        <f aca="false">SUMPRODUCT(Devex_Keur*Devex_Date*(Devex_Date&gt;=BD$3)*(Devex_Date&lt;=BD$4))-BD56*$F56</f>
        <v>0</v>
      </c>
      <c r="BE76" s="58" t="n">
        <f aca="false">SUMPRODUCT(Devex_Keur*Devex_Date*(Devex_Date&gt;=BE$3)*(Devex_Date&lt;=BE$4))-BE56*$F56</f>
        <v>0</v>
      </c>
      <c r="BF76" s="58" t="n">
        <f aca="false">SUMPRODUCT(Devex_Keur*Devex_Date*(Devex_Date&gt;=BF$3)*(Devex_Date&lt;=BF$4))-BF56*$F56</f>
        <v>0</v>
      </c>
      <c r="BG76" s="58" t="n">
        <f aca="false">SUMPRODUCT(Devex_Keur*Devex_Date*(Devex_Date&gt;=BG$3)*(Devex_Date&lt;=BG$4))-BG56*$F56</f>
        <v>0</v>
      </c>
      <c r="BH76" s="58" t="n">
        <f aca="false">SUMPRODUCT(Devex_Keur*Devex_Date*(Devex_Date&gt;=BH$3)*(Devex_Date&lt;=BH$4))-BH56*$F56</f>
        <v>0</v>
      </c>
      <c r="BI76" s="58" t="n">
        <f aca="false">SUMPRODUCT(Devex_Keur*Devex_Date*(Devex_Date&gt;=BI$3)*(Devex_Date&lt;=BI$4))-BI56*$F56</f>
        <v>0</v>
      </c>
      <c r="BJ76" s="58" t="n">
        <f aca="false">SUMPRODUCT(Devex_Keur*Devex_Date*(Devex_Date&gt;=BJ$3)*(Devex_Date&lt;=BJ$4))-BJ56*$F56</f>
        <v>0</v>
      </c>
      <c r="BK76" s="58" t="n">
        <f aca="false">SUMPRODUCT(Devex_Keur*Devex_Date*(Devex_Date&gt;=BK$3)*(Devex_Date&lt;=BK$4))-BK56*$F56</f>
        <v>0</v>
      </c>
      <c r="BL76" s="58" t="n">
        <f aca="false">SUMPRODUCT(Devex_Keur*Devex_Date*(Devex_Date&gt;=BL$3)*(Devex_Date&lt;=BL$4))-BL56*$F56</f>
        <v>0</v>
      </c>
      <c r="BM76" s="58" t="n">
        <f aca="false">SUMPRODUCT(Devex_Keur*Devex_Date*(Devex_Date&gt;=BM$3)*(Devex_Date&lt;=BM$4))-BM56*$F56</f>
        <v>0</v>
      </c>
      <c r="BN76" s="58" t="n">
        <f aca="false">SUMPRODUCT(Devex_Keur*Devex_Date*(Devex_Date&gt;=BN$3)*(Devex_Date&lt;=BN$4))-BN56*$F56</f>
        <v>0</v>
      </c>
      <c r="BO76" s="58" t="n">
        <f aca="false">SUMPRODUCT(Devex_Keur*Devex_Date*(Devex_Date&gt;=BO$3)*(Devex_Date&lt;=BO$4))-BO56*$F56</f>
        <v>0</v>
      </c>
      <c r="BP76" s="58" t="n">
        <f aca="false">SUMPRODUCT(Devex_Keur*Devex_Date*(Devex_Date&gt;=BP$3)*(Devex_Date&lt;=BP$4))-BP56*$F56</f>
        <v>0</v>
      </c>
      <c r="BQ76" s="58" t="n">
        <f aca="false">SUMPRODUCT(Devex_Keur*Devex_Date*(Devex_Date&gt;=BQ$3)*(Devex_Date&lt;=BQ$4))-BQ56*$F56</f>
        <v>0</v>
      </c>
      <c r="BR76" s="58" t="n">
        <f aca="false">SUMPRODUCT(Devex_Keur*Devex_Date*(Devex_Date&gt;=BR$3)*(Devex_Date&lt;=BR$4))-BR56*$F56</f>
        <v>0</v>
      </c>
      <c r="BS76" s="58" t="n">
        <f aca="false">SUMPRODUCT(Devex_Keur*Devex_Date*(Devex_Date&gt;=BS$3)*(Devex_Date&lt;=BS$4))-BS56*$F56</f>
        <v>0</v>
      </c>
      <c r="BT76" s="58" t="n">
        <f aca="false">SUMPRODUCT(Devex_Keur*Devex_Date*(Devex_Date&gt;=BT$3)*(Devex_Date&lt;=BT$4))-BT56*$F56</f>
        <v>0</v>
      </c>
      <c r="BU76" s="58" t="n">
        <f aca="false">SUMPRODUCT(Devex_Keur*Devex_Date*(Devex_Date&gt;=BU$3)*(Devex_Date&lt;=BU$4))-BU56*$F56</f>
        <v>0</v>
      </c>
      <c r="BV76" s="58" t="n">
        <f aca="false">SUMPRODUCT(Devex_Keur*Devex_Date*(Devex_Date&gt;=BV$3)*(Devex_Date&lt;=BV$4))-BV56*$F56</f>
        <v>0</v>
      </c>
      <c r="BW76" s="58" t="n">
        <f aca="false">SUMPRODUCT(Devex_Keur*Devex_Date*(Devex_Date&gt;=BW$3)*(Devex_Date&lt;=BW$4))-BW56*$F56</f>
        <v>0</v>
      </c>
      <c r="BX76" s="58" t="n">
        <f aca="false">SUMPRODUCT(Devex_Keur*Devex_Date*(Devex_Date&gt;=BX$3)*(Devex_Date&lt;=BX$4))-BX56*$F56</f>
        <v>0</v>
      </c>
      <c r="BY76" s="58" t="n">
        <f aca="false">SUMPRODUCT(Devex_Keur*Devex_Date*(Devex_Date&gt;=BY$3)*(Devex_Date&lt;=BY$4))-BY56*$F56</f>
        <v>0</v>
      </c>
      <c r="BZ76" s="58" t="n">
        <f aca="false">SUMPRODUCT(Devex_Keur*Devex_Date*(Devex_Date&gt;=BZ$3)*(Devex_Date&lt;=BZ$4))-BZ56*$F56</f>
        <v>0</v>
      </c>
      <c r="CA76" s="58" t="n">
        <f aca="false">SUMPRODUCT(Devex_Keur*Devex_Date*(Devex_Date&gt;=CA$3)*(Devex_Date&lt;=CA$4))-CA56*$F56</f>
        <v>0</v>
      </c>
      <c r="CB76" s="58" t="n">
        <f aca="false">SUMPRODUCT(Devex_Keur*Devex_Date*(Devex_Date&gt;=CB$3)*(Devex_Date&lt;=CB$4))-CB56*$F56</f>
        <v>0</v>
      </c>
      <c r="CC76" s="58" t="n">
        <f aca="false">SUMPRODUCT(Devex_Keur*Devex_Date*(Devex_Date&gt;=CC$3)*(Devex_Date&lt;=CC$4))-CC56*$F56</f>
        <v>0</v>
      </c>
      <c r="CD76" s="58" t="n">
        <f aca="false">SUMPRODUCT(Devex_Keur*Devex_Date*(Devex_Date&gt;=CD$3)*(Devex_Date&lt;=CD$4))-CD56*$F56</f>
        <v>0</v>
      </c>
      <c r="CE76" s="58" t="n">
        <f aca="false">SUMPRODUCT(Devex_Keur*Devex_Date*(Devex_Date&gt;=CE$3)*(Devex_Date&lt;=CE$4))-CE56*$F56</f>
        <v>0</v>
      </c>
      <c r="CF76" s="58" t="n">
        <f aca="false">SUMPRODUCT(Devex_Keur*Devex_Date*(Devex_Date&gt;=CF$3)*(Devex_Date&lt;=CF$4))-CF56*$F56</f>
        <v>0</v>
      </c>
      <c r="CG76" s="58" t="n">
        <f aca="false">SUMPRODUCT(Devex_Keur*Devex_Date*(Devex_Date&gt;=CG$3)*(Devex_Date&lt;=CG$4))-CG56*$F56</f>
        <v>0</v>
      </c>
      <c r="CH76" s="58" t="n">
        <f aca="false">SUMPRODUCT(Devex_Keur*Devex_Date*(Devex_Date&gt;=CH$3)*(Devex_Date&lt;=CH$4))-CH56*$F56</f>
        <v>0</v>
      </c>
      <c r="CI76" s="58" t="n">
        <f aca="false">SUMPRODUCT(Devex_Keur*Devex_Date*(Devex_Date&gt;=CI$3)*(Devex_Date&lt;=CI$4))-CI56*$F56</f>
        <v>0</v>
      </c>
      <c r="CJ76" s="58" t="n">
        <f aca="false">SUMPRODUCT(Devex_Keur*Devex_Date*(Devex_Date&gt;=CJ$3)*(Devex_Date&lt;=CJ$4))-CJ56*$F56</f>
        <v>0</v>
      </c>
      <c r="CK76" s="58" t="n">
        <f aca="false">SUMPRODUCT(Devex_Keur*Devex_Date*(Devex_Date&gt;=CK$3)*(Devex_Date&lt;=CK$4))-CK56*$F56</f>
        <v>0</v>
      </c>
      <c r="CL76" s="58" t="n">
        <f aca="false">SUMPRODUCT(Devex_Keur*Devex_Date*(Devex_Date&gt;=CL$3)*(Devex_Date&lt;=CL$4))-CL56*$F56</f>
        <v>0</v>
      </c>
      <c r="CM76" s="58" t="n">
        <f aca="false">SUMPRODUCT(Devex_Keur*Devex_Date*(Devex_Date&gt;=CM$3)*(Devex_Date&lt;=CM$4))-CM56*$F56</f>
        <v>0</v>
      </c>
      <c r="CN76" s="58" t="n">
        <f aca="false">SUMPRODUCT(Devex_Keur*Devex_Date*(Devex_Date&gt;=CN$3)*(Devex_Date&lt;=CN$4))-CN56*$F56</f>
        <v>0</v>
      </c>
      <c r="CO76" s="58" t="n">
        <f aca="false">SUMPRODUCT(Devex_Keur*Devex_Date*(Devex_Date&gt;=CO$3)*(Devex_Date&lt;=CO$4))-CO56*$F56</f>
        <v>0</v>
      </c>
      <c r="CP76" s="58" t="n">
        <f aca="false">SUMPRODUCT(Devex_Keur*Devex_Date*(Devex_Date&gt;=CP$3)*(Devex_Date&lt;=CP$4))-CP56*$F56</f>
        <v>0</v>
      </c>
      <c r="CQ76" s="58" t="n">
        <f aca="false">SUMPRODUCT(Devex_Keur*Devex_Date*(Devex_Date&gt;=CQ$3)*(Devex_Date&lt;=CQ$4))-CQ56*$F56</f>
        <v>0</v>
      </c>
      <c r="CR76" s="58" t="n">
        <f aca="false">SUMPRODUCT(Devex_Keur*Devex_Date*(Devex_Date&gt;=CR$3)*(Devex_Date&lt;=CR$4))-CR56*$F56</f>
        <v>0</v>
      </c>
      <c r="CS76" s="58" t="n">
        <f aca="false">SUMPRODUCT(Devex_Keur*Devex_Date*(Devex_Date&gt;=CS$3)*(Devex_Date&lt;=CS$4))-CS56*$F56</f>
        <v>0</v>
      </c>
      <c r="CT76" s="58" t="n">
        <f aca="false">SUMPRODUCT(Devex_Keur*Devex_Date*(Devex_Date&gt;=CT$3)*(Devex_Date&lt;=CT$4))-CT56*$F56</f>
        <v>0</v>
      </c>
      <c r="CU76" s="58" t="n">
        <f aca="false">SUMPRODUCT(Devex_Keur*Devex_Date*(Devex_Date&gt;=CU$3)*(Devex_Date&lt;=CU$4))-CU56*$F56</f>
        <v>0</v>
      </c>
      <c r="CV76" s="58" t="n">
        <f aca="false">SUMPRODUCT(Devex_Keur*Devex_Date*(Devex_Date&gt;=CV$3)*(Devex_Date&lt;=CV$4))-CV56*$F56</f>
        <v>0</v>
      </c>
      <c r="CW76" s="58" t="n">
        <f aca="false">SUMPRODUCT(Devex_Keur*Devex_Date*(Devex_Date&gt;=CW$3)*(Devex_Date&lt;=CW$4))-CW56*$F56</f>
        <v>0</v>
      </c>
      <c r="CX76" s="58" t="n">
        <f aca="false">SUMPRODUCT(Devex_Keur*Devex_Date*(Devex_Date&gt;=CX$3)*(Devex_Date&lt;=CX$4))-CX56*$F56</f>
        <v>0</v>
      </c>
      <c r="CY76" s="58" t="n">
        <f aca="false">SUMPRODUCT(Devex_Keur*Devex_Date*(Devex_Date&gt;=CY$3)*(Devex_Date&lt;=CY$4))-CY56*$F56</f>
        <v>0</v>
      </c>
      <c r="CZ76" s="58" t="n">
        <f aca="false">SUMPRODUCT(Devex_Keur*Devex_Date*(Devex_Date&gt;=CZ$3)*(Devex_Date&lt;=CZ$4))-CZ56*$F56</f>
        <v>0</v>
      </c>
      <c r="DA76" s="58" t="n">
        <f aca="false">SUMPRODUCT(Devex_Keur*Devex_Date*(Devex_Date&gt;=DA$3)*(Devex_Date&lt;=DA$4))-DA56*$F56</f>
        <v>0</v>
      </c>
      <c r="DB76" s="58" t="n">
        <f aca="false">SUMPRODUCT(Devex_Keur*Devex_Date*(Devex_Date&gt;=DB$3)*(Devex_Date&lt;=DB$4))-DB56*$F56</f>
        <v>0</v>
      </c>
      <c r="DC76" s="58" t="n">
        <f aca="false">SUMPRODUCT(Devex_Keur*Devex_Date*(Devex_Date&gt;=DC$3)*(Devex_Date&lt;=DC$4))-DC56*$F56</f>
        <v>0</v>
      </c>
      <c r="DD76" s="58" t="n">
        <f aca="false">SUMPRODUCT(Devex_Keur*Devex_Date*(Devex_Date&gt;=DD$3)*(Devex_Date&lt;=DD$4))-DD56*$F56</f>
        <v>0</v>
      </c>
      <c r="DE76" s="58" t="n">
        <f aca="false">SUMPRODUCT(Devex_Keur*Devex_Date*(Devex_Date&gt;=DE$3)*(Devex_Date&lt;=DE$4))-DE56*$F56</f>
        <v>0</v>
      </c>
      <c r="DF76" s="58" t="n">
        <f aca="false">SUMPRODUCT(Devex_Keur*Devex_Date*(Devex_Date&gt;=DF$3)*(Devex_Date&lt;=DF$4))-DF56*$F56</f>
        <v>0</v>
      </c>
      <c r="DG76" s="58" t="n">
        <f aca="false">SUMPRODUCT(Devex_Keur*Devex_Date*(Devex_Date&gt;=DG$3)*(Devex_Date&lt;=DG$4))-DG56*$F56</f>
        <v>0</v>
      </c>
      <c r="DH76" s="58" t="n">
        <f aca="false">SUMPRODUCT(Devex_Keur*Devex_Date*(Devex_Date&gt;=DH$3)*(Devex_Date&lt;=DH$4))-DH56*$F56</f>
        <v>0</v>
      </c>
      <c r="DI76" s="58" t="n">
        <f aca="false">SUMPRODUCT(Devex_Keur*Devex_Date*(Devex_Date&gt;=DI$3)*(Devex_Date&lt;=DI$4))-DI56*$F56</f>
        <v>0</v>
      </c>
      <c r="DJ76" s="58" t="n">
        <f aca="false">SUMPRODUCT(Devex_Keur*Devex_Date*(Devex_Date&gt;=DJ$3)*(Devex_Date&lt;=DJ$4))-DJ56*$F56</f>
        <v>0</v>
      </c>
      <c r="DK76" s="58" t="n">
        <f aca="false">SUMPRODUCT(Devex_Keur*Devex_Date*(Devex_Date&gt;=DK$3)*(Devex_Date&lt;=DK$4))-DK56*$F56</f>
        <v>0</v>
      </c>
      <c r="DL76" s="58" t="n">
        <f aca="false">SUMPRODUCT(Devex_Keur*Devex_Date*(Devex_Date&gt;=DL$3)*(Devex_Date&lt;=DL$4))-DL56*$F56</f>
        <v>0</v>
      </c>
      <c r="DM76" s="58" t="n">
        <f aca="false">SUMPRODUCT(Devex_Keur*Devex_Date*(Devex_Date&gt;=DM$3)*(Devex_Date&lt;=DM$4))-DM56*$F56</f>
        <v>0</v>
      </c>
      <c r="DN76" s="58" t="n">
        <f aca="false">SUMPRODUCT(Devex_Keur*Devex_Date*(Devex_Date&gt;=DN$3)*(Devex_Date&lt;=DN$4))-DN56*$F56</f>
        <v>0</v>
      </c>
      <c r="DO76" s="58" t="n">
        <f aca="false">SUMPRODUCT(Devex_Keur*Devex_Date*(Devex_Date&gt;=DO$3)*(Devex_Date&lt;=DO$4))-DO56*$F56</f>
        <v>0</v>
      </c>
      <c r="DP76" s="58" t="n">
        <f aca="false">SUMPRODUCT(Devex_Keur*Devex_Date*(Devex_Date&gt;=DP$3)*(Devex_Date&lt;=DP$4))-DP56*$F56</f>
        <v>0</v>
      </c>
      <c r="DQ76" s="58" t="n">
        <f aca="false">SUMPRODUCT(Devex_Keur*Devex_Date*(Devex_Date&gt;=DQ$3)*(Devex_Date&lt;=DQ$4))-DQ56*$F56</f>
        <v>0</v>
      </c>
      <c r="DR76" s="58" t="n">
        <f aca="false">SUMPRODUCT(Devex_Keur*Devex_Date*(Devex_Date&gt;=DR$3)*(Devex_Date&lt;=DR$4))-DR56*$F56</f>
        <v>0</v>
      </c>
      <c r="DS76" s="58" t="n">
        <f aca="false">SUMPRODUCT(Devex_Keur*Devex_Date*(Devex_Date&gt;=DS$3)*(Devex_Date&lt;=DS$4))-DS56*$F56</f>
        <v>0</v>
      </c>
      <c r="DT76" s="58" t="n">
        <f aca="false">SUMPRODUCT(Devex_Keur*Devex_Date*(Devex_Date&gt;=DT$3)*(Devex_Date&lt;=DT$4))-DT56*$F56</f>
        <v>0</v>
      </c>
      <c r="DU76" s="58" t="n">
        <f aca="false">SUMPRODUCT(Devex_Keur*Devex_Date*(Devex_Date&gt;=DU$3)*(Devex_Date&lt;=DU$4))-DU56*$F56</f>
        <v>0</v>
      </c>
      <c r="DV76" s="58" t="n">
        <f aca="false">SUMPRODUCT(Devex_Keur*Devex_Date*(Devex_Date&gt;=DV$3)*(Devex_Date&lt;=DV$4))-DV56*$F56</f>
        <v>0</v>
      </c>
      <c r="DW76" s="58" t="n">
        <f aca="false">SUMPRODUCT(Devex_Keur*Devex_Date*(Devex_Date&gt;=DW$3)*(Devex_Date&lt;=DW$4))-DW56*$F56</f>
        <v>0</v>
      </c>
      <c r="DX76" s="58" t="n">
        <f aca="false">SUMPRODUCT(Devex_Keur*Devex_Date*(Devex_Date&gt;=DX$3)*(Devex_Date&lt;=DX$4))-DX56*$F56</f>
        <v>0</v>
      </c>
      <c r="DY76" s="58" t="n">
        <f aca="false">SUMPRODUCT(Devex_Keur*Devex_Date*(Devex_Date&gt;=DY$3)*(Devex_Date&lt;=DY$4))-DY56*$F56</f>
        <v>0</v>
      </c>
      <c r="DZ76" s="58" t="n">
        <f aca="false">SUMPRODUCT(Devex_Keur*Devex_Date*(Devex_Date&gt;=DZ$3)*(Devex_Date&lt;=DZ$4))-DZ56*$F56</f>
        <v>0</v>
      </c>
      <c r="EA76" s="58" t="n">
        <f aca="false">SUMPRODUCT(Devex_Keur*Devex_Date*(Devex_Date&gt;=EA$3)*(Devex_Date&lt;=EA$4))-EA56*$F56</f>
        <v>0</v>
      </c>
      <c r="EB76" s="58" t="n">
        <f aca="false">SUMPRODUCT(Devex_Keur*Devex_Date*(Devex_Date&gt;=EB$3)*(Devex_Date&lt;=EB$4))-EB56*$F56</f>
        <v>0</v>
      </c>
      <c r="EC76" s="58" t="n">
        <f aca="false">SUMPRODUCT(Devex_Keur*Devex_Date*(Devex_Date&gt;=EC$3)*(Devex_Date&lt;=EC$4))-EC56*$F56</f>
        <v>0</v>
      </c>
      <c r="ED76" s="58" t="n">
        <f aca="false">SUMPRODUCT(Devex_Keur*Devex_Date*(Devex_Date&gt;=ED$3)*(Devex_Date&lt;=ED$4))-ED56*$F56</f>
        <v>0</v>
      </c>
      <c r="EE76" s="58" t="n">
        <f aca="false">SUMPRODUCT(Devex_Keur*Devex_Date*(Devex_Date&gt;=EE$3)*(Devex_Date&lt;=EE$4))-EE56*$F56</f>
        <v>0</v>
      </c>
      <c r="EF76" s="58" t="n">
        <f aca="false">SUMPRODUCT(Devex_Keur*Devex_Date*(Devex_Date&gt;=EF$3)*(Devex_Date&lt;=EF$4))-EF56*$F56</f>
        <v>0</v>
      </c>
      <c r="EG76" s="58" t="n">
        <f aca="false">SUMPRODUCT(Devex_Keur*Devex_Date*(Devex_Date&gt;=EG$3)*(Devex_Date&lt;=EG$4))-EG56*$F56</f>
        <v>0</v>
      </c>
      <c r="EH76" s="58" t="n">
        <f aca="false">SUMPRODUCT(Devex_Keur*Devex_Date*(Devex_Date&gt;=EH$3)*(Devex_Date&lt;=EH$4))-EH56*$F56</f>
        <v>0</v>
      </c>
      <c r="EI76" s="58" t="n">
        <f aca="false">SUMPRODUCT(Devex_Keur*Devex_Date*(Devex_Date&gt;=EI$3)*(Devex_Date&lt;=EI$4))-EI56*$F56</f>
        <v>0</v>
      </c>
      <c r="EJ76" s="58" t="n">
        <f aca="false">SUMPRODUCT(Devex_Keur*Devex_Date*(Devex_Date&gt;=EJ$3)*(Devex_Date&lt;=EJ$4))-EJ56*$F56</f>
        <v>0</v>
      </c>
      <c r="EK76" s="58" t="n">
        <f aca="false">SUMPRODUCT(Devex_Keur*Devex_Date*(Devex_Date&gt;=EK$3)*(Devex_Date&lt;=EK$4))-EK56*$F56</f>
        <v>0</v>
      </c>
      <c r="EL76" s="58" t="n">
        <f aca="false">SUMPRODUCT(Devex_Keur*Devex_Date*(Devex_Date&gt;=EL$3)*(Devex_Date&lt;=EL$4))-EL56*$F56</f>
        <v>0</v>
      </c>
      <c r="EM76" s="58" t="n">
        <f aca="false">SUMPRODUCT(Devex_Keur*Devex_Date*(Devex_Date&gt;=EM$3)*(Devex_Date&lt;=EM$4))-EM56*$F56</f>
        <v>0</v>
      </c>
      <c r="EN76" s="58" t="n">
        <f aca="false">SUMPRODUCT(Devex_Keur*Devex_Date*(Devex_Date&gt;=EN$3)*(Devex_Date&lt;=EN$4))-EN56*$F56</f>
        <v>0</v>
      </c>
      <c r="EO76" s="58" t="n">
        <f aca="false">SUMPRODUCT(Devex_Keur*Devex_Date*(Devex_Date&gt;=EO$3)*(Devex_Date&lt;=EO$4))-EO56*$F56</f>
        <v>0</v>
      </c>
      <c r="EP76" s="58" t="n">
        <f aca="false">SUMPRODUCT(Devex_Keur*Devex_Date*(Devex_Date&gt;=EP$3)*(Devex_Date&lt;=EP$4))-EP56*$F56</f>
        <v>0</v>
      </c>
      <c r="EQ76" s="58" t="n">
        <f aca="false">SUMPRODUCT(Devex_Keur*Devex_Date*(Devex_Date&gt;=EQ$3)*(Devex_Date&lt;=EQ$4))-EQ56*$F56</f>
        <v>0</v>
      </c>
      <c r="ER76" s="58" t="n">
        <f aca="false">SUMPRODUCT(Devex_Keur*Devex_Date*(Devex_Date&gt;=ER$3)*(Devex_Date&lt;=ER$4))-ER56*$F56</f>
        <v>0</v>
      </c>
      <c r="ES76" s="58" t="n">
        <f aca="false">SUMPRODUCT(Devex_Keur*Devex_Date*(Devex_Date&gt;=ES$3)*(Devex_Date&lt;=ES$4))-ES56*$F56</f>
        <v>0</v>
      </c>
      <c r="ET76" s="58" t="n">
        <f aca="false">SUMPRODUCT(Devex_Keur*Devex_Date*(Devex_Date&gt;=ET$3)*(Devex_Date&lt;=ET$4))-ET56*$F56</f>
        <v>0</v>
      </c>
    </row>
    <row r="77" customFormat="false" ht="15" hidden="false" customHeight="false" outlineLevel="0" collapsed="false">
      <c r="C77" s="1" t="s">
        <v>494</v>
      </c>
      <c r="D77" s="12" t="s">
        <v>222</v>
      </c>
      <c r="J77" s="23" t="n">
        <f aca="false">I80</f>
        <v>0</v>
      </c>
      <c r="K77" s="23" t="n">
        <f aca="false">J80</f>
        <v>0</v>
      </c>
      <c r="L77" s="23" t="n">
        <f aca="false">K80</f>
        <v>187.51993995121</v>
      </c>
      <c r="M77" s="23" t="n">
        <f aca="false">L80</f>
        <v>775.964460499156</v>
      </c>
      <c r="N77" s="23" t="n">
        <f aca="false">M80</f>
        <v>819.800076937512</v>
      </c>
      <c r="O77" s="23" t="n">
        <f aca="false">N80</f>
        <v>863.635693375868</v>
      </c>
      <c r="P77" s="23" t="n">
        <f aca="false">O80</f>
        <v>1195.18381497467</v>
      </c>
      <c r="Q77" s="23" t="n">
        <f aca="false">P80</f>
        <v>2485.22560977478</v>
      </c>
      <c r="R77" s="23" t="n">
        <f aca="false">Q80</f>
        <v>2489.83519881588</v>
      </c>
      <c r="S77" s="23" t="n">
        <f aca="false">R80</f>
        <v>2653.92670879631</v>
      </c>
      <c r="T77" s="23" t="n">
        <f aca="false">S80</f>
        <v>3458.61440309663</v>
      </c>
      <c r="U77" s="23" t="n">
        <f aca="false">T80</f>
        <v>3763.27193734321</v>
      </c>
      <c r="V77" s="23" t="n">
        <f aca="false">U80</f>
        <v>3763.27193734321</v>
      </c>
      <c r="W77" s="23" t="n">
        <f aca="false">V80</f>
        <v>3763.27193734321</v>
      </c>
      <c r="X77" s="23" t="n">
        <f aca="false">W80</f>
        <v>4125.06913837992</v>
      </c>
      <c r="Y77" s="23" t="n">
        <f aca="false">X80</f>
        <v>4125.06913837992</v>
      </c>
      <c r="Z77" s="23" t="n">
        <f aca="false">Y80</f>
        <v>4125.06913837992</v>
      </c>
      <c r="AA77" s="23" t="n">
        <f aca="false">Z80</f>
        <v>4125.06913837992</v>
      </c>
      <c r="AB77" s="23" t="n">
        <f aca="false">AA80</f>
        <v>4950.0829660559</v>
      </c>
      <c r="AC77" s="23" t="n">
        <f aca="false">AB80</f>
        <v>4950.0829660559</v>
      </c>
      <c r="AD77" s="23" t="n">
        <f aca="false">AC80</f>
        <v>4950.0829660559</v>
      </c>
      <c r="AE77" s="23" t="n">
        <f aca="false">AD80</f>
        <v>4950.0829660559</v>
      </c>
      <c r="AF77" s="23" t="n">
        <f aca="false">AE80</f>
        <v>5690.56113029331</v>
      </c>
      <c r="AG77" s="23" t="n">
        <f aca="false">AF80</f>
        <v>5690.56113029331</v>
      </c>
      <c r="AH77" s="23" t="n">
        <f aca="false">AG80</f>
        <v>5690.56113029331</v>
      </c>
      <c r="AI77" s="23" t="n">
        <f aca="false">AH80</f>
        <v>5690.56113029331</v>
      </c>
      <c r="AJ77" s="23" t="n">
        <f aca="false">AI80</f>
        <v>5690.56113029331</v>
      </c>
      <c r="AK77" s="23" t="n">
        <f aca="false">AJ80</f>
        <v>5690.56113029331</v>
      </c>
      <c r="AL77" s="23" t="n">
        <f aca="false">AK80</f>
        <v>5690.56113029331</v>
      </c>
      <c r="AM77" s="23" t="n">
        <f aca="false">AL80</f>
        <v>5690.56113029331</v>
      </c>
      <c r="AN77" s="23" t="n">
        <f aca="false">AM80</f>
        <v>5690.56113029331</v>
      </c>
      <c r="AO77" s="23" t="n">
        <f aca="false">AN80</f>
        <v>5690.56113029331</v>
      </c>
      <c r="AP77" s="23" t="n">
        <f aca="false">AO80</f>
        <v>5690.56113029331</v>
      </c>
      <c r="AQ77" s="23" t="n">
        <f aca="false">AP80</f>
        <v>5690.56113029331</v>
      </c>
      <c r="AR77" s="23" t="n">
        <f aca="false">AQ80</f>
        <v>5690.56113029331</v>
      </c>
      <c r="AS77" s="23" t="n">
        <f aca="false">AR80</f>
        <v>5690.56113029331</v>
      </c>
      <c r="AT77" s="23" t="n">
        <f aca="false">AS80</f>
        <v>5690.56113029331</v>
      </c>
      <c r="AU77" s="23" t="n">
        <f aca="false">AT80</f>
        <v>5690.56113029331</v>
      </c>
      <c r="AV77" s="23" t="n">
        <f aca="false">AU80</f>
        <v>5690.56113029331</v>
      </c>
      <c r="AW77" s="23" t="n">
        <f aca="false">AV80</f>
        <v>5690.56113029331</v>
      </c>
      <c r="AX77" s="23" t="n">
        <f aca="false">AW80</f>
        <v>5690.56113029331</v>
      </c>
      <c r="AY77" s="23" t="n">
        <f aca="false">AX80</f>
        <v>5690.56113029331</v>
      </c>
      <c r="AZ77" s="23" t="n">
        <f aca="false">AY80</f>
        <v>5690.56113029331</v>
      </c>
      <c r="BA77" s="23" t="n">
        <f aca="false">AZ80</f>
        <v>5690.56113029331</v>
      </c>
      <c r="BB77" s="23" t="n">
        <f aca="false">BA80</f>
        <v>5690.56113029331</v>
      </c>
      <c r="BC77" s="23" t="n">
        <f aca="false">BB80</f>
        <v>5690.56113029331</v>
      </c>
      <c r="BD77" s="23" t="n">
        <f aca="false">BC80</f>
        <v>5690.56113029331</v>
      </c>
      <c r="BE77" s="23" t="n">
        <f aca="false">BD80</f>
        <v>5690.56113029331</v>
      </c>
      <c r="BF77" s="23" t="n">
        <f aca="false">BE80</f>
        <v>5690.56113029331</v>
      </c>
      <c r="BG77" s="23" t="n">
        <f aca="false">BF80</f>
        <v>5690.56113029331</v>
      </c>
      <c r="BH77" s="23" t="n">
        <f aca="false">BG80</f>
        <v>5690.56113029331</v>
      </c>
      <c r="BI77" s="23" t="n">
        <f aca="false">BH80</f>
        <v>5690.56113029331</v>
      </c>
      <c r="BJ77" s="23" t="n">
        <f aca="false">BI80</f>
        <v>5690.56113029331</v>
      </c>
      <c r="BK77" s="23" t="n">
        <f aca="false">BJ80</f>
        <v>5690.56113029331</v>
      </c>
      <c r="BL77" s="23" t="n">
        <f aca="false">BK80</f>
        <v>5690.56113029331</v>
      </c>
      <c r="BM77" s="23" t="n">
        <f aca="false">BL80</f>
        <v>5690.56113029331</v>
      </c>
      <c r="BN77" s="23" t="n">
        <f aca="false">BM80</f>
        <v>5690.56113029331</v>
      </c>
      <c r="BO77" s="23" t="n">
        <f aca="false">BN80</f>
        <v>5690.56113029331</v>
      </c>
      <c r="BP77" s="23" t="n">
        <f aca="false">BO80</f>
        <v>5690.56113029331</v>
      </c>
      <c r="BQ77" s="23" t="n">
        <f aca="false">BP80</f>
        <v>5690.56113029331</v>
      </c>
      <c r="BR77" s="23" t="n">
        <f aca="false">BQ80</f>
        <v>5690.56113029331</v>
      </c>
      <c r="BS77" s="23" t="n">
        <f aca="false">BR80</f>
        <v>5690.56113029331</v>
      </c>
      <c r="BT77" s="23" t="n">
        <f aca="false">BS80</f>
        <v>5690.56113029331</v>
      </c>
      <c r="BU77" s="23" t="n">
        <f aca="false">BT80</f>
        <v>5690.56113029331</v>
      </c>
      <c r="BV77" s="23" t="n">
        <f aca="false">BU80</f>
        <v>5690.56113029331</v>
      </c>
      <c r="BW77" s="23" t="n">
        <f aca="false">BV80</f>
        <v>5690.56113029331</v>
      </c>
      <c r="BX77" s="23" t="n">
        <f aca="false">BW80</f>
        <v>5690.56113029331</v>
      </c>
      <c r="BY77" s="23" t="n">
        <f aca="false">BX80</f>
        <v>5690.56113029331</v>
      </c>
      <c r="BZ77" s="23" t="n">
        <f aca="false">BY80</f>
        <v>5690.56113029331</v>
      </c>
      <c r="CA77" s="23" t="n">
        <f aca="false">BZ80</f>
        <v>5690.56113029331</v>
      </c>
      <c r="CB77" s="23" t="n">
        <f aca="false">CA80</f>
        <v>5690.56113029331</v>
      </c>
      <c r="CC77" s="23" t="n">
        <f aca="false">CB80</f>
        <v>5690.56113029331</v>
      </c>
      <c r="CD77" s="23" t="n">
        <f aca="false">CC80</f>
        <v>5690.56113029331</v>
      </c>
      <c r="CE77" s="23" t="n">
        <f aca="false">CD80</f>
        <v>5690.56113029331</v>
      </c>
      <c r="CF77" s="23" t="n">
        <f aca="false">CE80</f>
        <v>5690.56113029331</v>
      </c>
      <c r="CG77" s="23" t="n">
        <f aca="false">CF80</f>
        <v>5690.56113029331</v>
      </c>
      <c r="CH77" s="23" t="n">
        <f aca="false">CG80</f>
        <v>5690.56113029331</v>
      </c>
      <c r="CI77" s="23" t="n">
        <f aca="false">CH80</f>
        <v>5690.56113029331</v>
      </c>
      <c r="CJ77" s="23" t="n">
        <f aca="false">CI80</f>
        <v>5690.56113029331</v>
      </c>
      <c r="CK77" s="23" t="n">
        <f aca="false">CJ80</f>
        <v>5690.56113029331</v>
      </c>
      <c r="CL77" s="23" t="n">
        <f aca="false">CK80</f>
        <v>5690.56113029331</v>
      </c>
      <c r="CM77" s="23" t="n">
        <f aca="false">CL80</f>
        <v>5690.56113029331</v>
      </c>
      <c r="CN77" s="23" t="n">
        <f aca="false">CM80</f>
        <v>5690.56113029331</v>
      </c>
      <c r="CO77" s="23" t="n">
        <f aca="false">CN80</f>
        <v>5690.56113029331</v>
      </c>
      <c r="CP77" s="23" t="n">
        <f aca="false">CO80</f>
        <v>5690.56113029331</v>
      </c>
      <c r="CQ77" s="23" t="n">
        <f aca="false">CP80</f>
        <v>5690.56113029331</v>
      </c>
      <c r="CR77" s="23" t="n">
        <f aca="false">CQ80</f>
        <v>5690.56113029331</v>
      </c>
      <c r="CS77" s="23" t="n">
        <f aca="false">CR80</f>
        <v>5690.56113029331</v>
      </c>
      <c r="CT77" s="23" t="n">
        <f aca="false">CS80</f>
        <v>5690.56113029331</v>
      </c>
      <c r="CU77" s="23" t="n">
        <f aca="false">CT80</f>
        <v>5690.56113029331</v>
      </c>
      <c r="CV77" s="23" t="n">
        <f aca="false">CU80</f>
        <v>5690.56113029331</v>
      </c>
      <c r="CW77" s="23" t="n">
        <f aca="false">CV80</f>
        <v>5690.56113029331</v>
      </c>
      <c r="CX77" s="23" t="n">
        <f aca="false">CW80</f>
        <v>5690.56113029331</v>
      </c>
      <c r="CY77" s="23" t="n">
        <f aca="false">CX80</f>
        <v>5690.56113029331</v>
      </c>
      <c r="CZ77" s="23" t="n">
        <f aca="false">CY80</f>
        <v>5690.56113029331</v>
      </c>
      <c r="DA77" s="23" t="n">
        <f aca="false">CZ80</f>
        <v>5690.56113029331</v>
      </c>
      <c r="DB77" s="23" t="n">
        <f aca="false">DA80</f>
        <v>5690.56113029331</v>
      </c>
      <c r="DC77" s="23" t="n">
        <f aca="false">DB80</f>
        <v>5690.56113029331</v>
      </c>
      <c r="DD77" s="23" t="n">
        <f aca="false">DC80</f>
        <v>5690.56113029331</v>
      </c>
      <c r="DE77" s="23" t="n">
        <f aca="false">DD80</f>
        <v>5690.56113029331</v>
      </c>
      <c r="DF77" s="23" t="n">
        <f aca="false">DE80</f>
        <v>5690.56113029331</v>
      </c>
      <c r="DG77" s="23" t="n">
        <f aca="false">DF80</f>
        <v>5690.56113029331</v>
      </c>
      <c r="DH77" s="23" t="n">
        <f aca="false">DG80</f>
        <v>5690.56113029331</v>
      </c>
      <c r="DI77" s="23" t="n">
        <f aca="false">DH80</f>
        <v>5690.56113029331</v>
      </c>
      <c r="DJ77" s="23" t="n">
        <f aca="false">DI80</f>
        <v>5690.56113029331</v>
      </c>
      <c r="DK77" s="23" t="n">
        <f aca="false">DJ80</f>
        <v>5690.56113029331</v>
      </c>
      <c r="DL77" s="23" t="n">
        <f aca="false">DK80</f>
        <v>5690.56113029331</v>
      </c>
      <c r="DM77" s="23" t="n">
        <f aca="false">DL80</f>
        <v>5690.56113029331</v>
      </c>
      <c r="DN77" s="23" t="n">
        <f aca="false">DM80</f>
        <v>5690.56113029331</v>
      </c>
      <c r="DO77" s="23" t="n">
        <f aca="false">DN80</f>
        <v>5690.56113029331</v>
      </c>
      <c r="DP77" s="23" t="n">
        <f aca="false">DO80</f>
        <v>5690.56113029331</v>
      </c>
      <c r="DQ77" s="23" t="n">
        <f aca="false">DP80</f>
        <v>5690.56113029331</v>
      </c>
      <c r="DR77" s="23" t="n">
        <f aca="false">DQ80</f>
        <v>5690.56113029331</v>
      </c>
      <c r="DS77" s="23" t="n">
        <f aca="false">DR80</f>
        <v>5690.56113029331</v>
      </c>
      <c r="DT77" s="23" t="n">
        <f aca="false">DS80</f>
        <v>5690.56113029331</v>
      </c>
      <c r="DU77" s="23" t="n">
        <f aca="false">DT80</f>
        <v>5690.56113029331</v>
      </c>
      <c r="DV77" s="23" t="n">
        <f aca="false">DU80</f>
        <v>5690.56113029331</v>
      </c>
      <c r="DW77" s="23" t="n">
        <f aca="false">DV80</f>
        <v>5690.56113029331</v>
      </c>
      <c r="DX77" s="23" t="n">
        <f aca="false">DW80</f>
        <v>5690.56113029331</v>
      </c>
      <c r="DY77" s="23" t="n">
        <f aca="false">DX80</f>
        <v>5690.56113029331</v>
      </c>
      <c r="DZ77" s="23" t="n">
        <f aca="false">DY80</f>
        <v>5690.56113029331</v>
      </c>
      <c r="EA77" s="23" t="n">
        <f aca="false">DZ80</f>
        <v>5690.56113029331</v>
      </c>
      <c r="EB77" s="23" t="n">
        <f aca="false">EA80</f>
        <v>5690.56113029331</v>
      </c>
      <c r="EC77" s="23" t="n">
        <f aca="false">EB80</f>
        <v>5690.56113029331</v>
      </c>
      <c r="ED77" s="23" t="n">
        <f aca="false">EC80</f>
        <v>5690.56113029331</v>
      </c>
      <c r="EE77" s="23" t="n">
        <f aca="false">ED80</f>
        <v>5690.56113029331</v>
      </c>
      <c r="EF77" s="23" t="n">
        <f aca="false">EE80</f>
        <v>5690.56113029331</v>
      </c>
      <c r="EG77" s="23" t="n">
        <f aca="false">EF80</f>
        <v>5690.56113029331</v>
      </c>
      <c r="EH77" s="23" t="n">
        <f aca="false">EG80</f>
        <v>5690.56113029331</v>
      </c>
      <c r="EI77" s="23" t="n">
        <f aca="false">EH80</f>
        <v>5690.56113029331</v>
      </c>
      <c r="EJ77" s="23" t="n">
        <f aca="false">EI80</f>
        <v>5690.56113029331</v>
      </c>
      <c r="EK77" s="23" t="n">
        <f aca="false">EJ80</f>
        <v>5690.56113029331</v>
      </c>
      <c r="EL77" s="23" t="n">
        <f aca="false">EK80</f>
        <v>5690.56113029331</v>
      </c>
      <c r="EM77" s="23" t="n">
        <f aca="false">EL80</f>
        <v>5690.56113029331</v>
      </c>
      <c r="EN77" s="23" t="n">
        <f aca="false">EM80</f>
        <v>5690.56113029331</v>
      </c>
      <c r="EO77" s="23" t="n">
        <f aca="false">EN80</f>
        <v>5690.56113029331</v>
      </c>
      <c r="EP77" s="23" t="n">
        <f aca="false">EO80</f>
        <v>5690.56113029331</v>
      </c>
      <c r="EQ77" s="23" t="n">
        <f aca="false">EP80</f>
        <v>5690.56113029331</v>
      </c>
      <c r="ER77" s="23" t="n">
        <f aca="false">EQ80</f>
        <v>5690.56113029331</v>
      </c>
      <c r="ES77" s="23" t="n">
        <f aca="false">ER80</f>
        <v>5690.56113029331</v>
      </c>
      <c r="ET77" s="23" t="n">
        <f aca="false">ES80</f>
        <v>5690.56113029331</v>
      </c>
    </row>
    <row r="78" customFormat="false" ht="15" hidden="false" customHeight="false" outlineLevel="0" collapsed="false">
      <c r="C78" s="1" t="s">
        <v>502</v>
      </c>
      <c r="D78" s="12" t="s">
        <v>222</v>
      </c>
      <c r="E78" s="47" t="n">
        <f aca="false">MAX(SUMIF($J$4:$ET$4,"&lt;="&amp;$E12,$J78:$ET78),(In_Min_Multiple-1)*$E57)</f>
        <v>3119.62451197093</v>
      </c>
      <c r="F78" s="47" t="n">
        <f aca="false">MAX(SUMIF($J$4:$ET$4,"&lt;="&amp;In_COD,$J78:$ET78),(In_Min_Multiple-1)*$F57)</f>
        <v>3119.62451197093</v>
      </c>
      <c r="I78" s="47" t="n">
        <f aca="false">SUM(J78:ET78)</f>
        <v>2570.93661832238</v>
      </c>
      <c r="J78" s="47" t="n">
        <f aca="false">In_AtRisk_Rate/Days_In_Year*(1-J19)*(J77*J$5-(J$4+1)*J57-J76)*(J$4&lt;=In_COD)</f>
        <v>0</v>
      </c>
      <c r="K78" s="47" t="n">
        <f aca="false">In_AtRisk_Rate/Days_In_Year*(1-K19)*(K77*K$5-(K$4+1)*K57-K76)*(K$4&lt;=In_COD)</f>
        <v>8.99939200600482</v>
      </c>
      <c r="L78" s="47" t="n">
        <f aca="false">In_AtRisk_Rate/Days_In_Year*(1-L19)*(L77*L$5-(L$4+1)*L57-L76)*(L$4&lt;=In_COD)</f>
        <v>21.145094055017</v>
      </c>
      <c r="M78" s="47" t="n">
        <f aca="false">In_AtRisk_Rate/Days_In_Year*(1-M19)*(M77*M$5-(M$4+1)*M57-M76)*(M$4&lt;=In_COD)</f>
        <v>38.7639850710894</v>
      </c>
      <c r="N78" s="47" t="n">
        <f aca="false">In_AtRisk_Rate/Days_In_Year*(1-N19)*(N77*N$5-(N$4+1)*N57-N76)*(N$4&lt;=In_COD)</f>
        <v>42.8881765187639</v>
      </c>
      <c r="O78" s="47" t="n">
        <f aca="false">In_AtRisk_Rate/Days_In_Year*(1-O19)*(O77*O$5-(O$4+1)*O57-O76)*(O$4&lt;=In_COD)</f>
        <v>44.3892221183136</v>
      </c>
      <c r="P78" s="47" t="n">
        <f aca="false">In_AtRisk_Rate/Days_In_Year*(1-P19)*(P77*P$5-(P$4+1)*P57-P76)*(P$4&lt;=In_COD)</f>
        <v>98.5313518347397</v>
      </c>
      <c r="Q78" s="47" t="n">
        <f aca="false">In_AtRisk_Rate/Days_In_Year*(1-Q19)*(Q77*Q$5-(Q$4+1)*Q57-Q76)*(Q$4&lt;=In_COD)</f>
        <v>123.932079007197</v>
      </c>
      <c r="R78" s="47" t="n">
        <f aca="false">In_AtRisk_Rate/Days_In_Year*(1-R19)*(R77*R$5-(R$4+1)*R57-R76)*(R$4&lt;=In_COD)</f>
        <v>130.100550849349</v>
      </c>
      <c r="S78" s="47" t="n">
        <f aca="false">In_AtRisk_Rate/Days_In_Year*(1-S19)*(S77*S$5-(S$4+1)*S57-S76)*(S$4&lt;=In_COD)</f>
        <v>134.897573911809</v>
      </c>
      <c r="T78" s="47" t="n">
        <f aca="false">In_AtRisk_Rate/Days_In_Year*(1-T19)*(T77*T$5-(T$4+1)*T57-T76)*(T$4&lt;=In_COD)</f>
        <v>174.149120873296</v>
      </c>
      <c r="U78" s="47" t="n">
        <f aca="false">In_AtRisk_Rate/Days_In_Year*(1-U19)*(U77*U$5-(U$4+1)*U57-U76)*(U$4&lt;=In_COD)</f>
        <v>187.648080163415</v>
      </c>
      <c r="V78" s="47" t="n">
        <f aca="false">In_AtRisk_Rate/Days_In_Year*(1-V19)*(V77*V$5-(V$4+1)*V57-V76)*(V$4&lt;=In_COD)</f>
        <v>0</v>
      </c>
      <c r="W78" s="47" t="n">
        <f aca="false">In_AtRisk_Rate/Days_In_Year*(1-W19)*(W77*W$5-(W$4+1)*W57-W76)*(W$4&lt;=In_COD)</f>
        <v>0</v>
      </c>
      <c r="X78" s="47" t="n">
        <f aca="false">In_AtRisk_Rate/Days_In_Year*(1-X19)*(X77*X$5-(X$4+1)*X57-X76)*(X$4&lt;=In_COD)</f>
        <v>203.428067098188</v>
      </c>
      <c r="Y78" s="47" t="n">
        <f aca="false">In_AtRisk_Rate/Days_In_Year*(1-Y19)*(Y77*Y$5-(Y$4+1)*Y57-Y76)*(Y$4&lt;=In_COD)</f>
        <v>205.688378954834</v>
      </c>
      <c r="Z78" s="47" t="n">
        <f aca="false">In_AtRisk_Rate/Days_In_Year*(1-Z19)*(Z77*Z$5-(Z$4+1)*Z57-Z76)*(Z$4&lt;=In_COD)</f>
        <v>207.948690811481</v>
      </c>
      <c r="AA78" s="47" t="n">
        <f aca="false">In_AtRisk_Rate/Days_In_Year*(1-AA19)*(AA77*AA$5-(AA$4+1)*AA57-AA76)*(AA$4&lt;=In_COD)</f>
        <v>207.948690811481</v>
      </c>
      <c r="AB78" s="47" t="n">
        <f aca="false">In_AtRisk_Rate/Days_In_Year*(1-AB19)*(AB77*AB$5-(AB$4+1)*AB57-AB76)*(AB$4&lt;=In_COD)</f>
        <v>244.113680517825</v>
      </c>
      <c r="AC78" s="47" t="n">
        <f aca="false">In_AtRisk_Rate/Days_In_Year*(1-AC19)*(AC77*AC$5-(AC$4+1)*AC57-AC76)*(AC$4&lt;=In_COD)</f>
        <v>246.826054745801</v>
      </c>
      <c r="AD78" s="47" t="n">
        <f aca="false">In_AtRisk_Rate/Days_In_Year*(1-AD19)*(AD77*AD$5-(AD$4+1)*AD57-AD76)*(AD$4&lt;=In_COD)</f>
        <v>249.538428973777</v>
      </c>
      <c r="AE78" s="47" t="n">
        <f aca="false">In_AtRisk_Rate/Days_In_Year*(1-AE19)*(AE77*AE$5-(AE$4+1)*AE57-AE76)*(AE$4&lt;=In_COD)</f>
        <v>0</v>
      </c>
      <c r="AF78" s="47" t="n">
        <f aca="false">In_AtRisk_Rate/Days_In_Year*(1-AF19)*(AF77*AF$5-(AF$4+1)*AF57-AF76)*(AF$4&lt;=In_COD)</f>
        <v>0</v>
      </c>
      <c r="AG78" s="47" t="n">
        <f aca="false">In_AtRisk_Rate/Days_In_Year*(1-AG19)*(AG77*AG$5-(AG$4+1)*AG57-AG76)*(AG$4&lt;=In_COD)</f>
        <v>0</v>
      </c>
      <c r="AH78" s="47" t="n">
        <f aca="false">In_AtRisk_Rate/Days_In_Year*(1-AH19)*(AH77*AH$5-(AH$4+1)*AH57-AH76)*(AH$4&lt;=In_COD)</f>
        <v>0</v>
      </c>
      <c r="AI78" s="47" t="n">
        <f aca="false">In_AtRisk_Rate/Days_In_Year*(1-AI19)*(AI77*AI$5-(AI$4+1)*AI57-AI76)*(AI$4&lt;=In_COD)</f>
        <v>0</v>
      </c>
      <c r="AJ78" s="47" t="n">
        <f aca="false">In_AtRisk_Rate/Days_In_Year*(1-AJ19)*(AJ77*AJ$5-(AJ$4+1)*AJ57-AJ76)*(AJ$4&lt;=In_COD)</f>
        <v>0</v>
      </c>
      <c r="AK78" s="47" t="n">
        <f aca="false">In_AtRisk_Rate/Days_In_Year*(1-AK19)*(AK77*AK$5-(AK$4+1)*AK57-AK76)*(AK$4&lt;=In_COD)</f>
        <v>0</v>
      </c>
      <c r="AL78" s="47" t="n">
        <f aca="false">In_AtRisk_Rate/Days_In_Year*(1-AL19)*(AL77*AL$5-(AL$4+1)*AL57-AL76)*(AL$4&lt;=In_COD)</f>
        <v>0</v>
      </c>
      <c r="AM78" s="47" t="n">
        <f aca="false">In_AtRisk_Rate/Days_In_Year*(1-AM19)*(AM77*AM$5-(AM$4+1)*AM57-AM76)*(AM$4&lt;=In_COD)</f>
        <v>0</v>
      </c>
      <c r="AN78" s="47" t="n">
        <f aca="false">In_AtRisk_Rate/Days_In_Year*(1-AN19)*(AN77*AN$5-(AN$4+1)*AN57-AN76)*(AN$4&lt;=In_COD)</f>
        <v>0</v>
      </c>
      <c r="AO78" s="47" t="n">
        <f aca="false">In_AtRisk_Rate/Days_In_Year*(1-AO19)*(AO77*AO$5-(AO$4+1)*AO57-AO76)*(AO$4&lt;=In_COD)</f>
        <v>0</v>
      </c>
      <c r="AP78" s="47" t="n">
        <f aca="false">In_AtRisk_Rate/Days_In_Year*(1-AP19)*(AP77*AP$5-(AP$4+1)*AP57-AP76)*(AP$4&lt;=In_COD)</f>
        <v>0</v>
      </c>
      <c r="AQ78" s="47" t="n">
        <f aca="false">In_AtRisk_Rate/Days_In_Year*(1-AQ19)*(AQ77*AQ$5-(AQ$4+1)*AQ57-AQ76)*(AQ$4&lt;=In_COD)</f>
        <v>0</v>
      </c>
      <c r="AR78" s="47" t="n">
        <f aca="false">In_AtRisk_Rate/Days_In_Year*(1-AR19)*(AR77*AR$5-(AR$4+1)*AR57-AR76)*(AR$4&lt;=In_COD)</f>
        <v>0</v>
      </c>
      <c r="AS78" s="47" t="n">
        <f aca="false">In_AtRisk_Rate/Days_In_Year*(1-AS19)*(AS77*AS$5-(AS$4+1)*AS57-AS76)*(AS$4&lt;=In_COD)</f>
        <v>0</v>
      </c>
      <c r="AT78" s="47" t="n">
        <f aca="false">In_AtRisk_Rate/Days_In_Year*(1-AT19)*(AT77*AT$5-(AT$4+1)*AT57-AT76)*(AT$4&lt;=In_COD)</f>
        <v>0</v>
      </c>
      <c r="AU78" s="47" t="n">
        <f aca="false">In_AtRisk_Rate/Days_In_Year*(1-AU19)*(AU77*AU$5-(AU$4+1)*AU57-AU76)*(AU$4&lt;=In_COD)</f>
        <v>0</v>
      </c>
      <c r="AV78" s="47" t="n">
        <f aca="false">In_AtRisk_Rate/Days_In_Year*(1-AV19)*(AV77*AV$5-(AV$4+1)*AV57-AV76)*(AV$4&lt;=In_COD)</f>
        <v>0</v>
      </c>
      <c r="AW78" s="47" t="n">
        <f aca="false">In_AtRisk_Rate/Days_In_Year*(1-AW19)*(AW77*AW$5-(AW$4+1)*AW57-AW76)*(AW$4&lt;=In_COD)</f>
        <v>0</v>
      </c>
      <c r="AX78" s="47" t="n">
        <f aca="false">In_AtRisk_Rate/Days_In_Year*(1-AX19)*(AX77*AX$5-(AX$4+1)*AX57-AX76)*(AX$4&lt;=In_COD)</f>
        <v>0</v>
      </c>
      <c r="AY78" s="47" t="n">
        <f aca="false">In_AtRisk_Rate/Days_In_Year*(1-AY19)*(AY77*AY$5-(AY$4+1)*AY57-AY76)*(AY$4&lt;=In_COD)</f>
        <v>0</v>
      </c>
      <c r="AZ78" s="47" t="n">
        <f aca="false">In_AtRisk_Rate/Days_In_Year*(1-AZ19)*(AZ77*AZ$5-(AZ$4+1)*AZ57-AZ76)*(AZ$4&lt;=In_COD)</f>
        <v>0</v>
      </c>
      <c r="BA78" s="47" t="n">
        <f aca="false">In_AtRisk_Rate/Days_In_Year*(1-BA19)*(BA77*BA$5-(BA$4+1)*BA57-BA76)*(BA$4&lt;=In_COD)</f>
        <v>0</v>
      </c>
      <c r="BB78" s="47" t="n">
        <f aca="false">In_AtRisk_Rate/Days_In_Year*(1-BB19)*(BB77*BB$5-(BB$4+1)*BB57-BB76)*(BB$4&lt;=In_COD)</f>
        <v>0</v>
      </c>
      <c r="BC78" s="47" t="n">
        <f aca="false">In_AtRisk_Rate/Days_In_Year*(1-BC19)*(BC77*BC$5-(BC$4+1)*BC57-BC76)*(BC$4&lt;=In_COD)</f>
        <v>0</v>
      </c>
      <c r="BD78" s="47" t="n">
        <f aca="false">In_AtRisk_Rate/Days_In_Year*(1-BD19)*(BD77*BD$5-(BD$4+1)*BD57-BD76)*(BD$4&lt;=In_COD)</f>
        <v>0</v>
      </c>
      <c r="BE78" s="47" t="n">
        <f aca="false">In_AtRisk_Rate/Days_In_Year*(1-BE19)*(BE77*BE$5-(BE$4+1)*BE57-BE76)*(BE$4&lt;=In_COD)</f>
        <v>0</v>
      </c>
      <c r="BF78" s="47" t="n">
        <f aca="false">In_AtRisk_Rate/Days_In_Year*(1-BF19)*(BF77*BF$5-(BF$4+1)*BF57-BF76)*(BF$4&lt;=In_COD)</f>
        <v>0</v>
      </c>
      <c r="BG78" s="47" t="n">
        <f aca="false">In_AtRisk_Rate/Days_In_Year*(1-BG19)*(BG77*BG$5-(BG$4+1)*BG57-BG76)*(BG$4&lt;=In_COD)</f>
        <v>0</v>
      </c>
      <c r="BH78" s="47" t="n">
        <f aca="false">In_AtRisk_Rate/Days_In_Year*(1-BH19)*(BH77*BH$5-(BH$4+1)*BH57-BH76)*(BH$4&lt;=In_COD)</f>
        <v>0</v>
      </c>
      <c r="BI78" s="47" t="n">
        <f aca="false">In_AtRisk_Rate/Days_In_Year*(1-BI19)*(BI77*BI$5-(BI$4+1)*BI57-BI76)*(BI$4&lt;=In_COD)</f>
        <v>0</v>
      </c>
      <c r="BJ78" s="47" t="n">
        <f aca="false">In_AtRisk_Rate/Days_In_Year*(1-BJ19)*(BJ77*BJ$5-(BJ$4+1)*BJ57-BJ76)*(BJ$4&lt;=In_COD)</f>
        <v>0</v>
      </c>
      <c r="BK78" s="47" t="n">
        <f aca="false">In_AtRisk_Rate/Days_In_Year*(1-BK19)*(BK77*BK$5-(BK$4+1)*BK57-BK76)*(BK$4&lt;=In_COD)</f>
        <v>0</v>
      </c>
      <c r="BL78" s="47" t="n">
        <f aca="false">In_AtRisk_Rate/Days_In_Year*(1-BL19)*(BL77*BL$5-(BL$4+1)*BL57-BL76)*(BL$4&lt;=In_COD)</f>
        <v>0</v>
      </c>
      <c r="BM78" s="47" t="n">
        <f aca="false">In_AtRisk_Rate/Days_In_Year*(1-BM19)*(BM77*BM$5-(BM$4+1)*BM57-BM76)*(BM$4&lt;=In_COD)</f>
        <v>0</v>
      </c>
      <c r="BN78" s="47" t="n">
        <f aca="false">In_AtRisk_Rate/Days_In_Year*(1-BN19)*(BN77*BN$5-(BN$4+1)*BN57-BN76)*(BN$4&lt;=In_COD)</f>
        <v>0</v>
      </c>
      <c r="BO78" s="47" t="n">
        <f aca="false">In_AtRisk_Rate/Days_In_Year*(1-BO19)*(BO77*BO$5-(BO$4+1)*BO57-BO76)*(BO$4&lt;=In_COD)</f>
        <v>0</v>
      </c>
      <c r="BP78" s="47" t="n">
        <f aca="false">In_AtRisk_Rate/Days_In_Year*(1-BP19)*(BP77*BP$5-(BP$4+1)*BP57-BP76)*(BP$4&lt;=In_COD)</f>
        <v>0</v>
      </c>
      <c r="BQ78" s="47" t="n">
        <f aca="false">In_AtRisk_Rate/Days_In_Year*(1-BQ19)*(BQ77*BQ$5-(BQ$4+1)*BQ57-BQ76)*(BQ$4&lt;=In_COD)</f>
        <v>0</v>
      </c>
      <c r="BR78" s="47" t="n">
        <f aca="false">In_AtRisk_Rate/Days_In_Year*(1-BR19)*(BR77*BR$5-(BR$4+1)*BR57-BR76)*(BR$4&lt;=In_COD)</f>
        <v>0</v>
      </c>
      <c r="BS78" s="47" t="n">
        <f aca="false">In_AtRisk_Rate/Days_In_Year*(1-BS19)*(BS77*BS$5-(BS$4+1)*BS57-BS76)*(BS$4&lt;=In_COD)</f>
        <v>0</v>
      </c>
      <c r="BT78" s="47" t="n">
        <f aca="false">In_AtRisk_Rate/Days_In_Year*(1-BT19)*(BT77*BT$5-(BT$4+1)*BT57-BT76)*(BT$4&lt;=In_COD)</f>
        <v>0</v>
      </c>
      <c r="BU78" s="47" t="n">
        <f aca="false">In_AtRisk_Rate/Days_In_Year*(1-BU19)*(BU77*BU$5-(BU$4+1)*BU57-BU76)*(BU$4&lt;=In_COD)</f>
        <v>0</v>
      </c>
      <c r="BV78" s="47" t="n">
        <f aca="false">In_AtRisk_Rate/Days_In_Year*(1-BV19)*(BV77*BV$5-(BV$4+1)*BV57-BV76)*(BV$4&lt;=In_COD)</f>
        <v>0</v>
      </c>
      <c r="BW78" s="47" t="n">
        <f aca="false">In_AtRisk_Rate/Days_In_Year*(1-BW19)*(BW77*BW$5-(BW$4+1)*BW57-BW76)*(BW$4&lt;=In_COD)</f>
        <v>0</v>
      </c>
      <c r="BX78" s="47" t="n">
        <f aca="false">In_AtRisk_Rate/Days_In_Year*(1-BX19)*(BX77*BX$5-(BX$4+1)*BX57-BX76)*(BX$4&lt;=In_COD)</f>
        <v>0</v>
      </c>
      <c r="BY78" s="47" t="n">
        <f aca="false">In_AtRisk_Rate/Days_In_Year*(1-BY19)*(BY77*BY$5-(BY$4+1)*BY57-BY76)*(BY$4&lt;=In_COD)</f>
        <v>0</v>
      </c>
      <c r="BZ78" s="47" t="n">
        <f aca="false">In_AtRisk_Rate/Days_In_Year*(1-BZ19)*(BZ77*BZ$5-(BZ$4+1)*BZ57-BZ76)*(BZ$4&lt;=In_COD)</f>
        <v>0</v>
      </c>
      <c r="CA78" s="47" t="n">
        <f aca="false">In_AtRisk_Rate/Days_In_Year*(1-CA19)*(CA77*CA$5-(CA$4+1)*CA57-CA76)*(CA$4&lt;=In_COD)</f>
        <v>0</v>
      </c>
      <c r="CB78" s="47" t="n">
        <f aca="false">In_AtRisk_Rate/Days_In_Year*(1-CB19)*(CB77*CB$5-(CB$4+1)*CB57-CB76)*(CB$4&lt;=In_COD)</f>
        <v>0</v>
      </c>
      <c r="CC78" s="47" t="n">
        <f aca="false">In_AtRisk_Rate/Days_In_Year*(1-CC19)*(CC77*CC$5-(CC$4+1)*CC57-CC76)*(CC$4&lt;=In_COD)</f>
        <v>0</v>
      </c>
      <c r="CD78" s="47" t="n">
        <f aca="false">In_AtRisk_Rate/Days_In_Year*(1-CD19)*(CD77*CD$5-(CD$4+1)*CD57-CD76)*(CD$4&lt;=In_COD)</f>
        <v>0</v>
      </c>
      <c r="CE78" s="47" t="n">
        <f aca="false">In_AtRisk_Rate/Days_In_Year*(1-CE19)*(CE77*CE$5-(CE$4+1)*CE57-CE76)*(CE$4&lt;=In_COD)</f>
        <v>0</v>
      </c>
      <c r="CF78" s="47" t="n">
        <f aca="false">In_AtRisk_Rate/Days_In_Year*(1-CF19)*(CF77*CF$5-(CF$4+1)*CF57-CF76)*(CF$4&lt;=In_COD)</f>
        <v>0</v>
      </c>
      <c r="CG78" s="47" t="n">
        <f aca="false">In_AtRisk_Rate/Days_In_Year*(1-CG19)*(CG77*CG$5-(CG$4+1)*CG57-CG76)*(CG$4&lt;=In_COD)</f>
        <v>0</v>
      </c>
      <c r="CH78" s="47" t="n">
        <f aca="false">In_AtRisk_Rate/Days_In_Year*(1-CH19)*(CH77*CH$5-(CH$4+1)*CH57-CH76)*(CH$4&lt;=In_COD)</f>
        <v>0</v>
      </c>
      <c r="CI78" s="47" t="n">
        <f aca="false">In_AtRisk_Rate/Days_In_Year*(1-CI19)*(CI77*CI$5-(CI$4+1)*CI57-CI76)*(CI$4&lt;=In_COD)</f>
        <v>0</v>
      </c>
      <c r="CJ78" s="47" t="n">
        <f aca="false">In_AtRisk_Rate/Days_In_Year*(1-CJ19)*(CJ77*CJ$5-(CJ$4+1)*CJ57-CJ76)*(CJ$4&lt;=In_COD)</f>
        <v>0</v>
      </c>
      <c r="CK78" s="47" t="n">
        <f aca="false">In_AtRisk_Rate/Days_In_Year*(1-CK19)*(CK77*CK$5-(CK$4+1)*CK57-CK76)*(CK$4&lt;=In_COD)</f>
        <v>0</v>
      </c>
      <c r="CL78" s="47" t="n">
        <f aca="false">In_AtRisk_Rate/Days_In_Year*(1-CL19)*(CL77*CL$5-(CL$4+1)*CL57-CL76)*(CL$4&lt;=In_COD)</f>
        <v>0</v>
      </c>
      <c r="CM78" s="47" t="n">
        <f aca="false">In_AtRisk_Rate/Days_In_Year*(1-CM19)*(CM77*CM$5-(CM$4+1)*CM57-CM76)*(CM$4&lt;=In_COD)</f>
        <v>0</v>
      </c>
      <c r="CN78" s="47" t="n">
        <f aca="false">In_AtRisk_Rate/Days_In_Year*(1-CN19)*(CN77*CN$5-(CN$4+1)*CN57-CN76)*(CN$4&lt;=In_COD)</f>
        <v>0</v>
      </c>
      <c r="CO78" s="47" t="n">
        <f aca="false">In_AtRisk_Rate/Days_In_Year*(1-CO19)*(CO77*CO$5-(CO$4+1)*CO57-CO76)*(CO$4&lt;=In_COD)</f>
        <v>0</v>
      </c>
      <c r="CP78" s="47" t="n">
        <f aca="false">In_AtRisk_Rate/Days_In_Year*(1-CP19)*(CP77*CP$5-(CP$4+1)*CP57-CP76)*(CP$4&lt;=In_COD)</f>
        <v>0</v>
      </c>
      <c r="CQ78" s="47" t="n">
        <f aca="false">In_AtRisk_Rate/Days_In_Year*(1-CQ19)*(CQ77*CQ$5-(CQ$4+1)*CQ57-CQ76)*(CQ$4&lt;=In_COD)</f>
        <v>0</v>
      </c>
      <c r="CR78" s="47" t="n">
        <f aca="false">In_AtRisk_Rate/Days_In_Year*(1-CR19)*(CR77*CR$5-(CR$4+1)*CR57-CR76)*(CR$4&lt;=In_COD)</f>
        <v>0</v>
      </c>
      <c r="CS78" s="47" t="n">
        <f aca="false">In_AtRisk_Rate/Days_In_Year*(1-CS19)*(CS77*CS$5-(CS$4+1)*CS57-CS76)*(CS$4&lt;=In_COD)</f>
        <v>0</v>
      </c>
      <c r="CT78" s="47" t="n">
        <f aca="false">In_AtRisk_Rate/Days_In_Year*(1-CT19)*(CT77*CT$5-(CT$4+1)*CT57-CT76)*(CT$4&lt;=In_COD)</f>
        <v>0</v>
      </c>
      <c r="CU78" s="47" t="n">
        <f aca="false">In_AtRisk_Rate/Days_In_Year*(1-CU19)*(CU77*CU$5-(CU$4+1)*CU57-CU76)*(CU$4&lt;=In_COD)</f>
        <v>0</v>
      </c>
      <c r="CV78" s="47" t="n">
        <f aca="false">In_AtRisk_Rate/Days_In_Year*(1-CV19)*(CV77*CV$5-(CV$4+1)*CV57-CV76)*(CV$4&lt;=In_COD)</f>
        <v>0</v>
      </c>
      <c r="CW78" s="47" t="n">
        <f aca="false">In_AtRisk_Rate/Days_In_Year*(1-CW19)*(CW77*CW$5-(CW$4+1)*CW57-CW76)*(CW$4&lt;=In_COD)</f>
        <v>0</v>
      </c>
      <c r="CX78" s="47" t="n">
        <f aca="false">In_AtRisk_Rate/Days_In_Year*(1-CX19)*(CX77*CX$5-(CX$4+1)*CX57-CX76)*(CX$4&lt;=In_COD)</f>
        <v>0</v>
      </c>
      <c r="CY78" s="47" t="n">
        <f aca="false">In_AtRisk_Rate/Days_In_Year*(1-CY19)*(CY77*CY$5-(CY$4+1)*CY57-CY76)*(CY$4&lt;=In_COD)</f>
        <v>0</v>
      </c>
      <c r="CZ78" s="47" t="n">
        <f aca="false">In_AtRisk_Rate/Days_In_Year*(1-CZ19)*(CZ77*CZ$5-(CZ$4+1)*CZ57-CZ76)*(CZ$4&lt;=In_COD)</f>
        <v>0</v>
      </c>
      <c r="DA78" s="47" t="n">
        <f aca="false">In_AtRisk_Rate/Days_In_Year*(1-DA19)*(DA77*DA$5-(DA$4+1)*DA57-DA76)*(DA$4&lt;=In_COD)</f>
        <v>0</v>
      </c>
      <c r="DB78" s="47" t="n">
        <f aca="false">In_AtRisk_Rate/Days_In_Year*(1-DB19)*(DB77*DB$5-(DB$4+1)*DB57-DB76)*(DB$4&lt;=In_COD)</f>
        <v>0</v>
      </c>
      <c r="DC78" s="47" t="n">
        <f aca="false">In_AtRisk_Rate/Days_In_Year*(1-DC19)*(DC77*DC$5-(DC$4+1)*DC57-DC76)*(DC$4&lt;=In_COD)</f>
        <v>0</v>
      </c>
      <c r="DD78" s="47" t="n">
        <f aca="false">In_AtRisk_Rate/Days_In_Year*(1-DD19)*(DD77*DD$5-(DD$4+1)*DD57-DD76)*(DD$4&lt;=In_COD)</f>
        <v>0</v>
      </c>
      <c r="DE78" s="47" t="n">
        <f aca="false">In_AtRisk_Rate/Days_In_Year*(1-DE19)*(DE77*DE$5-(DE$4+1)*DE57-DE76)*(DE$4&lt;=In_COD)</f>
        <v>0</v>
      </c>
      <c r="DF78" s="47" t="n">
        <f aca="false">In_AtRisk_Rate/Days_In_Year*(1-DF19)*(DF77*DF$5-(DF$4+1)*DF57-DF76)*(DF$4&lt;=In_COD)</f>
        <v>0</v>
      </c>
      <c r="DG78" s="47" t="n">
        <f aca="false">In_AtRisk_Rate/Days_In_Year*(1-DG19)*(DG77*DG$5-(DG$4+1)*DG57-DG76)*(DG$4&lt;=In_COD)</f>
        <v>0</v>
      </c>
      <c r="DH78" s="47" t="n">
        <f aca="false">In_AtRisk_Rate/Days_In_Year*(1-DH19)*(DH77*DH$5-(DH$4+1)*DH57-DH76)*(DH$4&lt;=In_COD)</f>
        <v>0</v>
      </c>
      <c r="DI78" s="47" t="n">
        <f aca="false">In_AtRisk_Rate/Days_In_Year*(1-DI19)*(DI77*DI$5-(DI$4+1)*DI57-DI76)*(DI$4&lt;=In_COD)</f>
        <v>0</v>
      </c>
      <c r="DJ78" s="47" t="n">
        <f aca="false">In_AtRisk_Rate/Days_In_Year*(1-DJ19)*(DJ77*DJ$5-(DJ$4+1)*DJ57-DJ76)*(DJ$4&lt;=In_COD)</f>
        <v>0</v>
      </c>
      <c r="DK78" s="47" t="n">
        <f aca="false">In_AtRisk_Rate/Days_In_Year*(1-DK19)*(DK77*DK$5-(DK$4+1)*DK57-DK76)*(DK$4&lt;=In_COD)</f>
        <v>0</v>
      </c>
      <c r="DL78" s="47" t="n">
        <f aca="false">In_AtRisk_Rate/Days_In_Year*(1-DL19)*(DL77*DL$5-(DL$4+1)*DL57-DL76)*(DL$4&lt;=In_COD)</f>
        <v>0</v>
      </c>
      <c r="DM78" s="47" t="n">
        <f aca="false">In_AtRisk_Rate/Days_In_Year*(1-DM19)*(DM77*DM$5-(DM$4+1)*DM57-DM76)*(DM$4&lt;=In_COD)</f>
        <v>0</v>
      </c>
      <c r="DN78" s="47" t="n">
        <f aca="false">In_AtRisk_Rate/Days_In_Year*(1-DN19)*(DN77*DN$5-(DN$4+1)*DN57-DN76)*(DN$4&lt;=In_COD)</f>
        <v>0</v>
      </c>
      <c r="DO78" s="47" t="n">
        <f aca="false">In_AtRisk_Rate/Days_In_Year*(1-DO19)*(DO77*DO$5-(DO$4+1)*DO57-DO76)*(DO$4&lt;=In_COD)</f>
        <v>0</v>
      </c>
      <c r="DP78" s="47" t="n">
        <f aca="false">In_AtRisk_Rate/Days_In_Year*(1-DP19)*(DP77*DP$5-(DP$4+1)*DP57-DP76)*(DP$4&lt;=In_COD)</f>
        <v>0</v>
      </c>
      <c r="DQ78" s="47" t="n">
        <f aca="false">In_AtRisk_Rate/Days_In_Year*(1-DQ19)*(DQ77*DQ$5-(DQ$4+1)*DQ57-DQ76)*(DQ$4&lt;=In_COD)</f>
        <v>0</v>
      </c>
      <c r="DR78" s="47" t="n">
        <f aca="false">In_AtRisk_Rate/Days_In_Year*(1-DR19)*(DR77*DR$5-(DR$4+1)*DR57-DR76)*(DR$4&lt;=In_COD)</f>
        <v>0</v>
      </c>
      <c r="DS78" s="47" t="n">
        <f aca="false">In_AtRisk_Rate/Days_In_Year*(1-DS19)*(DS77*DS$5-(DS$4+1)*DS57-DS76)*(DS$4&lt;=In_COD)</f>
        <v>0</v>
      </c>
      <c r="DT78" s="47" t="n">
        <f aca="false">In_AtRisk_Rate/Days_In_Year*(1-DT19)*(DT77*DT$5-(DT$4+1)*DT57-DT76)*(DT$4&lt;=In_COD)</f>
        <v>0</v>
      </c>
      <c r="DU78" s="47" t="n">
        <f aca="false">In_AtRisk_Rate/Days_In_Year*(1-DU19)*(DU77*DU$5-(DU$4+1)*DU57-DU76)*(DU$4&lt;=In_COD)</f>
        <v>0</v>
      </c>
      <c r="DV78" s="47" t="n">
        <f aca="false">In_AtRisk_Rate/Days_In_Year*(1-DV19)*(DV77*DV$5-(DV$4+1)*DV57-DV76)*(DV$4&lt;=In_COD)</f>
        <v>0</v>
      </c>
      <c r="DW78" s="47" t="n">
        <f aca="false">In_AtRisk_Rate/Days_In_Year*(1-DW19)*(DW77*DW$5-(DW$4+1)*DW57-DW76)*(DW$4&lt;=In_COD)</f>
        <v>0</v>
      </c>
      <c r="DX78" s="47" t="n">
        <f aca="false">In_AtRisk_Rate/Days_In_Year*(1-DX19)*(DX77*DX$5-(DX$4+1)*DX57-DX76)*(DX$4&lt;=In_COD)</f>
        <v>0</v>
      </c>
      <c r="DY78" s="47" t="n">
        <f aca="false">In_AtRisk_Rate/Days_In_Year*(1-DY19)*(DY77*DY$5-(DY$4+1)*DY57-DY76)*(DY$4&lt;=In_COD)</f>
        <v>0</v>
      </c>
      <c r="DZ78" s="47" t="n">
        <f aca="false">In_AtRisk_Rate/Days_In_Year*(1-DZ19)*(DZ77*DZ$5-(DZ$4+1)*DZ57-DZ76)*(DZ$4&lt;=In_COD)</f>
        <v>0</v>
      </c>
      <c r="EA78" s="47" t="n">
        <f aca="false">In_AtRisk_Rate/Days_In_Year*(1-EA19)*(EA77*EA$5-(EA$4+1)*EA57-EA76)*(EA$4&lt;=In_COD)</f>
        <v>0</v>
      </c>
      <c r="EB78" s="47" t="n">
        <f aca="false">In_AtRisk_Rate/Days_In_Year*(1-EB19)*(EB77*EB$5-(EB$4+1)*EB57-EB76)*(EB$4&lt;=In_COD)</f>
        <v>0</v>
      </c>
      <c r="EC78" s="47" t="n">
        <f aca="false">In_AtRisk_Rate/Days_In_Year*(1-EC19)*(EC77*EC$5-(EC$4+1)*EC57-EC76)*(EC$4&lt;=In_COD)</f>
        <v>0</v>
      </c>
      <c r="ED78" s="47" t="n">
        <f aca="false">In_AtRisk_Rate/Days_In_Year*(1-ED19)*(ED77*ED$5-(ED$4+1)*ED57-ED76)*(ED$4&lt;=In_COD)</f>
        <v>0</v>
      </c>
      <c r="EE78" s="47" t="n">
        <f aca="false">In_AtRisk_Rate/Days_In_Year*(1-EE19)*(EE77*EE$5-(EE$4+1)*EE57-EE76)*(EE$4&lt;=In_COD)</f>
        <v>0</v>
      </c>
      <c r="EF78" s="47" t="n">
        <f aca="false">In_AtRisk_Rate/Days_In_Year*(1-EF19)*(EF77*EF$5-(EF$4+1)*EF57-EF76)*(EF$4&lt;=In_COD)</f>
        <v>0</v>
      </c>
      <c r="EG78" s="47" t="n">
        <f aca="false">In_AtRisk_Rate/Days_In_Year*(1-EG19)*(EG77*EG$5-(EG$4+1)*EG57-EG76)*(EG$4&lt;=In_COD)</f>
        <v>0</v>
      </c>
      <c r="EH78" s="47" t="n">
        <f aca="false">In_AtRisk_Rate/Days_In_Year*(1-EH19)*(EH77*EH$5-(EH$4+1)*EH57-EH76)*(EH$4&lt;=In_COD)</f>
        <v>0</v>
      </c>
      <c r="EI78" s="47" t="n">
        <f aca="false">In_AtRisk_Rate/Days_In_Year*(1-EI19)*(EI77*EI$5-(EI$4+1)*EI57-EI76)*(EI$4&lt;=In_COD)</f>
        <v>0</v>
      </c>
      <c r="EJ78" s="47" t="n">
        <f aca="false">In_AtRisk_Rate/Days_In_Year*(1-EJ19)*(EJ77*EJ$5-(EJ$4+1)*EJ57-EJ76)*(EJ$4&lt;=In_COD)</f>
        <v>0</v>
      </c>
      <c r="EK78" s="47" t="n">
        <f aca="false">In_AtRisk_Rate/Days_In_Year*(1-EK19)*(EK77*EK$5-(EK$4+1)*EK57-EK76)*(EK$4&lt;=In_COD)</f>
        <v>0</v>
      </c>
      <c r="EL78" s="47" t="n">
        <f aca="false">In_AtRisk_Rate/Days_In_Year*(1-EL19)*(EL77*EL$5-(EL$4+1)*EL57-EL76)*(EL$4&lt;=In_COD)</f>
        <v>0</v>
      </c>
      <c r="EM78" s="47" t="n">
        <f aca="false">In_AtRisk_Rate/Days_In_Year*(1-EM19)*(EM77*EM$5-(EM$4+1)*EM57-EM76)*(EM$4&lt;=In_COD)</f>
        <v>0</v>
      </c>
      <c r="EN78" s="47" t="n">
        <f aca="false">In_AtRisk_Rate/Days_In_Year*(1-EN19)*(EN77*EN$5-(EN$4+1)*EN57-EN76)*(EN$4&lt;=In_COD)</f>
        <v>0</v>
      </c>
      <c r="EO78" s="47" t="n">
        <f aca="false">In_AtRisk_Rate/Days_In_Year*(1-EO19)*(EO77*EO$5-(EO$4+1)*EO57-EO76)*(EO$4&lt;=In_COD)</f>
        <v>0</v>
      </c>
      <c r="EP78" s="47" t="n">
        <f aca="false">In_AtRisk_Rate/Days_In_Year*(1-EP19)*(EP77*EP$5-(EP$4+1)*EP57-EP76)*(EP$4&lt;=In_COD)</f>
        <v>0</v>
      </c>
      <c r="EQ78" s="47" t="n">
        <f aca="false">In_AtRisk_Rate/Days_In_Year*(1-EQ19)*(EQ77*EQ$5-(EQ$4+1)*EQ57-EQ76)*(EQ$4&lt;=In_COD)</f>
        <v>0</v>
      </c>
      <c r="ER78" s="47" t="n">
        <f aca="false">In_AtRisk_Rate/Days_In_Year*(1-ER19)*(ER77*ER$5-(ER$4+1)*ER57-ER76)*(ER$4&lt;=In_COD)</f>
        <v>0</v>
      </c>
      <c r="ES78" s="47" t="n">
        <f aca="false">In_AtRisk_Rate/Days_In_Year*(1-ES19)*(ES77*ES$5-(ES$4+1)*ES57-ES76)*(ES$4&lt;=In_COD)</f>
        <v>0</v>
      </c>
      <c r="ET78" s="47" t="n">
        <f aca="false">In_AtRisk_Rate/Days_In_Year*(1-ET19)*(ET77*ET$5-(ET$4+1)*ET57-ET76)*(ET$4&lt;=In_COD)</f>
        <v>0</v>
      </c>
    </row>
    <row r="79" customFormat="false" ht="15" hidden="false" customHeight="false" outlineLevel="0" collapsed="false">
      <c r="C79" s="1" t="s">
        <v>496</v>
      </c>
      <c r="D79" s="12" t="s">
        <v>222</v>
      </c>
      <c r="I79" s="47" t="n">
        <f aca="false">SUM(J79:ET79)</f>
        <v>2570.93661832238</v>
      </c>
      <c r="J79" s="47" t="n">
        <f aca="false">J20*SUMIF($J$7:J$7,J$7,$J78:J78)</f>
        <v>0</v>
      </c>
      <c r="K79" s="47" t="n">
        <f aca="false">K20*SUMIF($J$7:K$7,K$7,$J78:K78)</f>
        <v>8.99939200600482</v>
      </c>
      <c r="L79" s="47" t="n">
        <f aca="false">L20*SUMIF($J$7:L$7,L$7,$J78:L78)</f>
        <v>0</v>
      </c>
      <c r="M79" s="47" t="n">
        <f aca="false">M20*SUMIF($J$7:M$7,M$7,$J78:M78)</f>
        <v>0</v>
      </c>
      <c r="N79" s="47" t="n">
        <f aca="false">N20*SUMIF($J$7:N$7,N$7,$J78:N78)</f>
        <v>0</v>
      </c>
      <c r="O79" s="47" t="n">
        <f aca="false">O20*SUMIF($J$7:O$7,O$7,$J78:O78)</f>
        <v>147.186477763184</v>
      </c>
      <c r="P79" s="47" t="n">
        <f aca="false">P20*SUMIF($J$7:P$7,P$7,$J78:P78)</f>
        <v>0</v>
      </c>
      <c r="Q79" s="47" t="n">
        <f aca="false">Q20*SUMIF($J$7:Q$7,Q$7,$J78:Q78)</f>
        <v>0</v>
      </c>
      <c r="R79" s="47" t="n">
        <f aca="false">R20*SUMIF($J$7:R$7,R$7,$J78:R78)</f>
        <v>0</v>
      </c>
      <c r="S79" s="47" t="n">
        <f aca="false">S20*SUMIF($J$7:S$7,S$7,$J78:S78)</f>
        <v>487.461555603095</v>
      </c>
      <c r="T79" s="47" t="n">
        <f aca="false">T20*SUMIF($J$7:T$7,T$7,$J78:T78)</f>
        <v>0</v>
      </c>
      <c r="U79" s="47" t="n">
        <f aca="false">U20*SUMIF($J$7:U$7,U$7,$J78:U78)</f>
        <v>0</v>
      </c>
      <c r="V79" s="47" t="n">
        <f aca="false">V20*SUMIF($J$7:V$7,V$7,$J78:V78)</f>
        <v>0</v>
      </c>
      <c r="W79" s="47" t="n">
        <f aca="false">W20*SUMIF($J$7:W$7,W$7,$J78:W78)</f>
        <v>361.79720103671</v>
      </c>
      <c r="X79" s="47" t="n">
        <f aca="false">X20*SUMIF($J$7:X$7,X$7,$J78:X78)</f>
        <v>0</v>
      </c>
      <c r="Y79" s="47" t="n">
        <f aca="false">Y20*SUMIF($J$7:Y$7,Y$7,$J78:Y78)</f>
        <v>0</v>
      </c>
      <c r="Z79" s="47" t="n">
        <f aca="false">Z20*SUMIF($J$7:Z$7,Z$7,$J78:Z78)</f>
        <v>0</v>
      </c>
      <c r="AA79" s="47" t="n">
        <f aca="false">AA20*SUMIF($J$7:AA$7,AA$7,$J78:AA78)</f>
        <v>825.013827675984</v>
      </c>
      <c r="AB79" s="47" t="n">
        <f aca="false">AB20*SUMIF($J$7:AB$7,AB$7,$J78:AB78)</f>
        <v>0</v>
      </c>
      <c r="AC79" s="47" t="n">
        <f aca="false">AC20*SUMIF($J$7:AC$7,AC$7,$J78:AC78)</f>
        <v>0</v>
      </c>
      <c r="AD79" s="47" t="n">
        <f aca="false">AD20*SUMIF($J$7:AD$7,AD$7,$J78:AD78)</f>
        <v>0</v>
      </c>
      <c r="AE79" s="47" t="n">
        <f aca="false">AE20*SUMIF($J$7:AE$7,AE$7,$J78:AE78)</f>
        <v>740.478164237404</v>
      </c>
      <c r="AF79" s="47" t="n">
        <f aca="false">AF20*SUMIF($J$7:AF$7,AF$7,$J78:AF78)</f>
        <v>0</v>
      </c>
      <c r="AG79" s="47" t="n">
        <f aca="false">AG20*SUMIF($J$7:AG$7,AG$7,$J78:AG78)</f>
        <v>0</v>
      </c>
      <c r="AH79" s="47" t="n">
        <f aca="false">AH20*SUMIF($J$7:AH$7,AH$7,$J78:AH78)</f>
        <v>0</v>
      </c>
      <c r="AI79" s="47" t="n">
        <f aca="false">AI20*SUMIF($J$7:AI$7,AI$7,$J78:AI78)</f>
        <v>0</v>
      </c>
      <c r="AJ79" s="47" t="n">
        <f aca="false">AJ20*SUMIF($J$7:AJ$7,AJ$7,$J78:AJ78)</f>
        <v>0</v>
      </c>
      <c r="AK79" s="47" t="n">
        <f aca="false">AK20*SUMIF($J$7:AK$7,AK$7,$J78:AK78)</f>
        <v>0</v>
      </c>
      <c r="AL79" s="47" t="n">
        <f aca="false">AL20*SUMIF($J$7:AL$7,AL$7,$J78:AL78)</f>
        <v>0</v>
      </c>
      <c r="AM79" s="47" t="n">
        <f aca="false">AM20*SUMIF($J$7:AM$7,AM$7,$J78:AM78)</f>
        <v>0</v>
      </c>
      <c r="AN79" s="47" t="n">
        <f aca="false">AN20*SUMIF($J$7:AN$7,AN$7,$J78:AN78)</f>
        <v>0</v>
      </c>
      <c r="AO79" s="47" t="n">
        <f aca="false">AO20*SUMIF($J$7:AO$7,AO$7,$J78:AO78)</f>
        <v>0</v>
      </c>
      <c r="AP79" s="47" t="n">
        <f aca="false">AP20*SUMIF($J$7:AP$7,AP$7,$J78:AP78)</f>
        <v>0</v>
      </c>
      <c r="AQ79" s="47" t="n">
        <f aca="false">AQ20*SUMIF($J$7:AQ$7,AQ$7,$J78:AQ78)</f>
        <v>0</v>
      </c>
      <c r="AR79" s="47" t="n">
        <f aca="false">AR20*SUMIF($J$7:AR$7,AR$7,$J78:AR78)</f>
        <v>0</v>
      </c>
      <c r="AS79" s="47" t="n">
        <f aca="false">AS20*SUMIF($J$7:AS$7,AS$7,$J78:AS78)</f>
        <v>0</v>
      </c>
      <c r="AT79" s="47" t="n">
        <f aca="false">AT20*SUMIF($J$7:AT$7,AT$7,$J78:AT78)</f>
        <v>0</v>
      </c>
      <c r="AU79" s="47" t="n">
        <f aca="false">AU20*SUMIF($J$7:AU$7,AU$7,$J78:AU78)</f>
        <v>0</v>
      </c>
      <c r="AV79" s="47" t="n">
        <f aca="false">AV20*SUMIF($J$7:AV$7,AV$7,$J78:AV78)</f>
        <v>0</v>
      </c>
      <c r="AW79" s="47" t="n">
        <f aca="false">AW20*SUMIF($J$7:AW$7,AW$7,$J78:AW78)</f>
        <v>0</v>
      </c>
      <c r="AX79" s="47" t="n">
        <f aca="false">AX20*SUMIF($J$7:AX$7,AX$7,$J78:AX78)</f>
        <v>0</v>
      </c>
      <c r="AY79" s="47" t="n">
        <f aca="false">AY20*SUMIF($J$7:AY$7,AY$7,$J78:AY78)</f>
        <v>0</v>
      </c>
      <c r="AZ79" s="47" t="n">
        <f aca="false">AZ20*SUMIF($J$7:AZ$7,AZ$7,$J78:AZ78)</f>
        <v>0</v>
      </c>
      <c r="BA79" s="47" t="n">
        <f aca="false">BA20*SUMIF($J$7:BA$7,BA$7,$J78:BA78)</f>
        <v>0</v>
      </c>
      <c r="BB79" s="47" t="n">
        <f aca="false">BB20*SUMIF($J$7:BB$7,BB$7,$J78:BB78)</f>
        <v>0</v>
      </c>
      <c r="BC79" s="47" t="n">
        <f aca="false">BC20*SUMIF($J$7:BC$7,BC$7,$J78:BC78)</f>
        <v>0</v>
      </c>
      <c r="BD79" s="47" t="n">
        <f aca="false">BD20*SUMIF($J$7:BD$7,BD$7,$J78:BD78)</f>
        <v>0</v>
      </c>
      <c r="BE79" s="47" t="n">
        <f aca="false">BE20*SUMIF($J$7:BE$7,BE$7,$J78:BE78)</f>
        <v>0</v>
      </c>
      <c r="BF79" s="47" t="n">
        <f aca="false">BF20*SUMIF($J$7:BF$7,BF$7,$J78:BF78)</f>
        <v>0</v>
      </c>
      <c r="BG79" s="47" t="n">
        <f aca="false">BG20*SUMIF($J$7:BG$7,BG$7,$J78:BG78)</f>
        <v>0</v>
      </c>
      <c r="BH79" s="47" t="n">
        <f aca="false">BH20*SUMIF($J$7:BH$7,BH$7,$J78:BH78)</f>
        <v>0</v>
      </c>
      <c r="BI79" s="47" t="n">
        <f aca="false">BI20*SUMIF($J$7:BI$7,BI$7,$J78:BI78)</f>
        <v>0</v>
      </c>
      <c r="BJ79" s="47" t="n">
        <f aca="false">BJ20*SUMIF($J$7:BJ$7,BJ$7,$J78:BJ78)</f>
        <v>0</v>
      </c>
      <c r="BK79" s="47" t="n">
        <f aca="false">BK20*SUMIF($J$7:BK$7,BK$7,$J78:BK78)</f>
        <v>0</v>
      </c>
      <c r="BL79" s="47" t="n">
        <f aca="false">BL20*SUMIF($J$7:BL$7,BL$7,$J78:BL78)</f>
        <v>0</v>
      </c>
      <c r="BM79" s="47" t="n">
        <f aca="false">BM20*SUMIF($J$7:BM$7,BM$7,$J78:BM78)</f>
        <v>0</v>
      </c>
      <c r="BN79" s="47" t="n">
        <f aca="false">BN20*SUMIF($J$7:BN$7,BN$7,$J78:BN78)</f>
        <v>0</v>
      </c>
      <c r="BO79" s="47" t="n">
        <f aca="false">BO20*SUMIF($J$7:BO$7,BO$7,$J78:BO78)</f>
        <v>0</v>
      </c>
      <c r="BP79" s="47" t="n">
        <f aca="false">BP20*SUMIF($J$7:BP$7,BP$7,$J78:BP78)</f>
        <v>0</v>
      </c>
      <c r="BQ79" s="47" t="n">
        <f aca="false">BQ20*SUMIF($J$7:BQ$7,BQ$7,$J78:BQ78)</f>
        <v>0</v>
      </c>
      <c r="BR79" s="47" t="n">
        <f aca="false">BR20*SUMIF($J$7:BR$7,BR$7,$J78:BR78)</f>
        <v>0</v>
      </c>
      <c r="BS79" s="47" t="n">
        <f aca="false">BS20*SUMIF($J$7:BS$7,BS$7,$J78:BS78)</f>
        <v>0</v>
      </c>
      <c r="BT79" s="47" t="n">
        <f aca="false">BT20*SUMIF($J$7:BT$7,BT$7,$J78:BT78)</f>
        <v>0</v>
      </c>
      <c r="BU79" s="47" t="n">
        <f aca="false">BU20*SUMIF($J$7:BU$7,BU$7,$J78:BU78)</f>
        <v>0</v>
      </c>
      <c r="BV79" s="47" t="n">
        <f aca="false">BV20*SUMIF($J$7:BV$7,BV$7,$J78:BV78)</f>
        <v>0</v>
      </c>
      <c r="BW79" s="47" t="n">
        <f aca="false">BW20*SUMIF($J$7:BW$7,BW$7,$J78:BW78)</f>
        <v>0</v>
      </c>
      <c r="BX79" s="47" t="n">
        <f aca="false">BX20*SUMIF($J$7:BX$7,BX$7,$J78:BX78)</f>
        <v>0</v>
      </c>
      <c r="BY79" s="47" t="n">
        <f aca="false">BY20*SUMIF($J$7:BY$7,BY$7,$J78:BY78)</f>
        <v>0</v>
      </c>
      <c r="BZ79" s="47" t="n">
        <f aca="false">BZ20*SUMIF($J$7:BZ$7,BZ$7,$J78:BZ78)</f>
        <v>0</v>
      </c>
      <c r="CA79" s="47" t="n">
        <f aca="false">CA20*SUMIF($J$7:CA$7,CA$7,$J78:CA78)</f>
        <v>0</v>
      </c>
      <c r="CB79" s="47" t="n">
        <f aca="false">CB20*SUMIF($J$7:CB$7,CB$7,$J78:CB78)</f>
        <v>0</v>
      </c>
      <c r="CC79" s="47" t="n">
        <f aca="false">CC20*SUMIF($J$7:CC$7,CC$7,$J78:CC78)</f>
        <v>0</v>
      </c>
      <c r="CD79" s="47" t="n">
        <f aca="false">CD20*SUMIF($J$7:CD$7,CD$7,$J78:CD78)</f>
        <v>0</v>
      </c>
      <c r="CE79" s="47" t="n">
        <f aca="false">CE20*SUMIF($J$7:CE$7,CE$7,$J78:CE78)</f>
        <v>0</v>
      </c>
      <c r="CF79" s="47" t="n">
        <f aca="false">CF20*SUMIF($J$7:CF$7,CF$7,$J78:CF78)</f>
        <v>0</v>
      </c>
      <c r="CG79" s="47" t="n">
        <f aca="false">CG20*SUMIF($J$7:CG$7,CG$7,$J78:CG78)</f>
        <v>0</v>
      </c>
      <c r="CH79" s="47" t="n">
        <f aca="false">CH20*SUMIF($J$7:CH$7,CH$7,$J78:CH78)</f>
        <v>0</v>
      </c>
      <c r="CI79" s="47" t="n">
        <f aca="false">CI20*SUMIF($J$7:CI$7,CI$7,$J78:CI78)</f>
        <v>0</v>
      </c>
      <c r="CJ79" s="47" t="n">
        <f aca="false">CJ20*SUMIF($J$7:CJ$7,CJ$7,$J78:CJ78)</f>
        <v>0</v>
      </c>
      <c r="CK79" s="47" t="n">
        <f aca="false">CK20*SUMIF($J$7:CK$7,CK$7,$J78:CK78)</f>
        <v>0</v>
      </c>
      <c r="CL79" s="47" t="n">
        <f aca="false">CL20*SUMIF($J$7:CL$7,CL$7,$J78:CL78)</f>
        <v>0</v>
      </c>
      <c r="CM79" s="47" t="n">
        <f aca="false">CM20*SUMIF($J$7:CM$7,CM$7,$J78:CM78)</f>
        <v>0</v>
      </c>
      <c r="CN79" s="47" t="n">
        <f aca="false">CN20*SUMIF($J$7:CN$7,CN$7,$J78:CN78)</f>
        <v>0</v>
      </c>
      <c r="CO79" s="47" t="n">
        <f aca="false">CO20*SUMIF($J$7:CO$7,CO$7,$J78:CO78)</f>
        <v>0</v>
      </c>
      <c r="CP79" s="47" t="n">
        <f aca="false">CP20*SUMIF($J$7:CP$7,CP$7,$J78:CP78)</f>
        <v>0</v>
      </c>
      <c r="CQ79" s="47" t="n">
        <f aca="false">CQ20*SUMIF($J$7:CQ$7,CQ$7,$J78:CQ78)</f>
        <v>0</v>
      </c>
      <c r="CR79" s="47" t="n">
        <f aca="false">CR20*SUMIF($J$7:CR$7,CR$7,$J78:CR78)</f>
        <v>0</v>
      </c>
      <c r="CS79" s="47" t="n">
        <f aca="false">CS20*SUMIF($J$7:CS$7,CS$7,$J78:CS78)</f>
        <v>0</v>
      </c>
      <c r="CT79" s="47" t="n">
        <f aca="false">CT20*SUMIF($J$7:CT$7,CT$7,$J78:CT78)</f>
        <v>0</v>
      </c>
      <c r="CU79" s="47" t="n">
        <f aca="false">CU20*SUMIF($J$7:CU$7,CU$7,$J78:CU78)</f>
        <v>0</v>
      </c>
      <c r="CV79" s="47" t="n">
        <f aca="false">CV20*SUMIF($J$7:CV$7,CV$7,$J78:CV78)</f>
        <v>0</v>
      </c>
      <c r="CW79" s="47" t="n">
        <f aca="false">CW20*SUMIF($J$7:CW$7,CW$7,$J78:CW78)</f>
        <v>0</v>
      </c>
      <c r="CX79" s="47" t="n">
        <f aca="false">CX20*SUMIF($J$7:CX$7,CX$7,$J78:CX78)</f>
        <v>0</v>
      </c>
      <c r="CY79" s="47" t="n">
        <f aca="false">CY20*SUMIF($J$7:CY$7,CY$7,$J78:CY78)</f>
        <v>0</v>
      </c>
      <c r="CZ79" s="47" t="n">
        <f aca="false">CZ20*SUMIF($J$7:CZ$7,CZ$7,$J78:CZ78)</f>
        <v>0</v>
      </c>
      <c r="DA79" s="47" t="n">
        <f aca="false">DA20*SUMIF($J$7:DA$7,DA$7,$J78:DA78)</f>
        <v>0</v>
      </c>
      <c r="DB79" s="47" t="n">
        <f aca="false">DB20*SUMIF($J$7:DB$7,DB$7,$J78:DB78)</f>
        <v>0</v>
      </c>
      <c r="DC79" s="47" t="n">
        <f aca="false">DC20*SUMIF($J$7:DC$7,DC$7,$J78:DC78)</f>
        <v>0</v>
      </c>
      <c r="DD79" s="47" t="n">
        <f aca="false">DD20*SUMIF($J$7:DD$7,DD$7,$J78:DD78)</f>
        <v>0</v>
      </c>
      <c r="DE79" s="47" t="n">
        <f aca="false">DE20*SUMIF($J$7:DE$7,DE$7,$J78:DE78)</f>
        <v>0</v>
      </c>
      <c r="DF79" s="47" t="n">
        <f aca="false">DF20*SUMIF($J$7:DF$7,DF$7,$J78:DF78)</f>
        <v>0</v>
      </c>
      <c r="DG79" s="47" t="n">
        <f aca="false">DG20*SUMIF($J$7:DG$7,DG$7,$J78:DG78)</f>
        <v>0</v>
      </c>
      <c r="DH79" s="47" t="n">
        <f aca="false">DH20*SUMIF($J$7:DH$7,DH$7,$J78:DH78)</f>
        <v>0</v>
      </c>
      <c r="DI79" s="47" t="n">
        <f aca="false">DI20*SUMIF($J$7:DI$7,DI$7,$J78:DI78)</f>
        <v>0</v>
      </c>
      <c r="DJ79" s="47" t="n">
        <f aca="false">DJ20*SUMIF($J$7:DJ$7,DJ$7,$J78:DJ78)</f>
        <v>0</v>
      </c>
      <c r="DK79" s="47" t="n">
        <f aca="false">DK20*SUMIF($J$7:DK$7,DK$7,$J78:DK78)</f>
        <v>0</v>
      </c>
      <c r="DL79" s="47" t="n">
        <f aca="false">DL20*SUMIF($J$7:DL$7,DL$7,$J78:DL78)</f>
        <v>0</v>
      </c>
      <c r="DM79" s="47" t="n">
        <f aca="false">DM20*SUMIF($J$7:DM$7,DM$7,$J78:DM78)</f>
        <v>0</v>
      </c>
      <c r="DN79" s="47" t="n">
        <f aca="false">DN20*SUMIF($J$7:DN$7,DN$7,$J78:DN78)</f>
        <v>0</v>
      </c>
      <c r="DO79" s="47" t="n">
        <f aca="false">DO20*SUMIF($J$7:DO$7,DO$7,$J78:DO78)</f>
        <v>0</v>
      </c>
      <c r="DP79" s="47" t="n">
        <f aca="false">DP20*SUMIF($J$7:DP$7,DP$7,$J78:DP78)</f>
        <v>0</v>
      </c>
      <c r="DQ79" s="47" t="n">
        <f aca="false">DQ20*SUMIF($J$7:DQ$7,DQ$7,$J78:DQ78)</f>
        <v>0</v>
      </c>
      <c r="DR79" s="47" t="n">
        <f aca="false">DR20*SUMIF($J$7:DR$7,DR$7,$J78:DR78)</f>
        <v>0</v>
      </c>
      <c r="DS79" s="47" t="n">
        <f aca="false">DS20*SUMIF($J$7:DS$7,DS$7,$J78:DS78)</f>
        <v>0</v>
      </c>
      <c r="DT79" s="47" t="n">
        <f aca="false">DT20*SUMIF($J$7:DT$7,DT$7,$J78:DT78)</f>
        <v>0</v>
      </c>
      <c r="DU79" s="47" t="n">
        <f aca="false">DU20*SUMIF($J$7:DU$7,DU$7,$J78:DU78)</f>
        <v>0</v>
      </c>
      <c r="DV79" s="47" t="n">
        <f aca="false">DV20*SUMIF($J$7:DV$7,DV$7,$J78:DV78)</f>
        <v>0</v>
      </c>
      <c r="DW79" s="47" t="n">
        <f aca="false">DW20*SUMIF($J$7:DW$7,DW$7,$J78:DW78)</f>
        <v>0</v>
      </c>
      <c r="DX79" s="47" t="n">
        <f aca="false">DX20*SUMIF($J$7:DX$7,DX$7,$J78:DX78)</f>
        <v>0</v>
      </c>
      <c r="DY79" s="47" t="n">
        <f aca="false">DY20*SUMIF($J$7:DY$7,DY$7,$J78:DY78)</f>
        <v>0</v>
      </c>
      <c r="DZ79" s="47" t="n">
        <f aca="false">DZ20*SUMIF($J$7:DZ$7,DZ$7,$J78:DZ78)</f>
        <v>0</v>
      </c>
      <c r="EA79" s="47" t="n">
        <f aca="false">EA20*SUMIF($J$7:EA$7,EA$7,$J78:EA78)</f>
        <v>0</v>
      </c>
      <c r="EB79" s="47" t="n">
        <f aca="false">EB20*SUMIF($J$7:EB$7,EB$7,$J78:EB78)</f>
        <v>0</v>
      </c>
      <c r="EC79" s="47" t="n">
        <f aca="false">EC20*SUMIF($J$7:EC$7,EC$7,$J78:EC78)</f>
        <v>0</v>
      </c>
      <c r="ED79" s="47" t="n">
        <f aca="false">ED20*SUMIF($J$7:ED$7,ED$7,$J78:ED78)</f>
        <v>0</v>
      </c>
      <c r="EE79" s="47" t="n">
        <f aca="false">EE20*SUMIF($J$7:EE$7,EE$7,$J78:EE78)</f>
        <v>0</v>
      </c>
      <c r="EF79" s="47" t="n">
        <f aca="false">EF20*SUMIF($J$7:EF$7,EF$7,$J78:EF78)</f>
        <v>0</v>
      </c>
      <c r="EG79" s="47" t="n">
        <f aca="false">EG20*SUMIF($J$7:EG$7,EG$7,$J78:EG78)</f>
        <v>0</v>
      </c>
      <c r="EH79" s="47" t="n">
        <f aca="false">EH20*SUMIF($J$7:EH$7,EH$7,$J78:EH78)</f>
        <v>0</v>
      </c>
      <c r="EI79" s="47" t="n">
        <f aca="false">EI20*SUMIF($J$7:EI$7,EI$7,$J78:EI78)</f>
        <v>0</v>
      </c>
      <c r="EJ79" s="47" t="n">
        <f aca="false">EJ20*SUMIF($J$7:EJ$7,EJ$7,$J78:EJ78)</f>
        <v>0</v>
      </c>
      <c r="EK79" s="47" t="n">
        <f aca="false">EK20*SUMIF($J$7:EK$7,EK$7,$J78:EK78)</f>
        <v>0</v>
      </c>
      <c r="EL79" s="47" t="n">
        <f aca="false">EL20*SUMIF($J$7:EL$7,EL$7,$J78:EL78)</f>
        <v>0</v>
      </c>
      <c r="EM79" s="47" t="n">
        <f aca="false">EM20*SUMIF($J$7:EM$7,EM$7,$J78:EM78)</f>
        <v>0</v>
      </c>
      <c r="EN79" s="47" t="n">
        <f aca="false">EN20*SUMIF($J$7:EN$7,EN$7,$J78:EN78)</f>
        <v>0</v>
      </c>
      <c r="EO79" s="47" t="n">
        <f aca="false">EO20*SUMIF($J$7:EO$7,EO$7,$J78:EO78)</f>
        <v>0</v>
      </c>
      <c r="EP79" s="47" t="n">
        <f aca="false">EP20*SUMIF($J$7:EP$7,EP$7,$J78:EP78)</f>
        <v>0</v>
      </c>
      <c r="EQ79" s="47" t="n">
        <f aca="false">EQ20*SUMIF($J$7:EQ$7,EQ$7,$J78:EQ78)</f>
        <v>0</v>
      </c>
      <c r="ER79" s="47" t="n">
        <f aca="false">ER20*SUMIF($J$7:ER$7,ER$7,$J78:ER78)</f>
        <v>0</v>
      </c>
      <c r="ES79" s="47" t="n">
        <f aca="false">ES20*SUMIF($J$7:ES$7,ES$7,$J78:ES78)</f>
        <v>0</v>
      </c>
      <c r="ET79" s="47" t="n">
        <f aca="false">ET20*SUMIF($J$7:ET$7,ET$7,$J78:ET78)</f>
        <v>0</v>
      </c>
    </row>
    <row r="80" customFormat="false" ht="15" hidden="false" customHeight="false" outlineLevel="0" collapsed="false">
      <c r="C80" s="1" t="s">
        <v>497</v>
      </c>
      <c r="D80" s="12" t="s">
        <v>222</v>
      </c>
      <c r="I80" s="57"/>
      <c r="J80" s="47" t="n">
        <f aca="false">J77-J57+J79</f>
        <v>0</v>
      </c>
      <c r="K80" s="47" t="n">
        <f aca="false">K77-K57+K79</f>
        <v>187.51993995121</v>
      </c>
      <c r="L80" s="47" t="n">
        <f aca="false">L77-L57+L79</f>
        <v>775.964460499156</v>
      </c>
      <c r="M80" s="47" t="n">
        <f aca="false">M77-M57+M79</f>
        <v>819.800076937512</v>
      </c>
      <c r="N80" s="47" t="n">
        <f aca="false">N77-N57+N79</f>
        <v>863.635693375868</v>
      </c>
      <c r="O80" s="47" t="n">
        <f aca="false">O77-O57+O79</f>
        <v>1195.18381497467</v>
      </c>
      <c r="P80" s="47" t="n">
        <f aca="false">P77-P57+P79</f>
        <v>2485.22560977478</v>
      </c>
      <c r="Q80" s="47" t="n">
        <f aca="false">Q77-Q57+Q79</f>
        <v>2489.83519881588</v>
      </c>
      <c r="R80" s="47" t="n">
        <f aca="false">R77-R57+R79</f>
        <v>2653.92670879631</v>
      </c>
      <c r="S80" s="47" t="n">
        <f aca="false">S77-S57+S79</f>
        <v>3458.61440309663</v>
      </c>
      <c r="T80" s="47" t="n">
        <f aca="false">T77-T57+T79</f>
        <v>3763.27193734321</v>
      </c>
      <c r="U80" s="47" t="n">
        <f aca="false">U77-U57+U79</f>
        <v>3763.27193734321</v>
      </c>
      <c r="V80" s="47" t="n">
        <f aca="false">V77-V57+V79</f>
        <v>3763.27193734321</v>
      </c>
      <c r="W80" s="47" t="n">
        <f aca="false">W77-W57+W79</f>
        <v>4125.06913837992</v>
      </c>
      <c r="X80" s="47" t="n">
        <f aca="false">X77-X57+X79</f>
        <v>4125.06913837992</v>
      </c>
      <c r="Y80" s="47" t="n">
        <f aca="false">Y77-Y57+Y79</f>
        <v>4125.06913837992</v>
      </c>
      <c r="Z80" s="47" t="n">
        <f aca="false">Z77-Z57+Z79</f>
        <v>4125.06913837992</v>
      </c>
      <c r="AA80" s="47" t="n">
        <f aca="false">AA77-AA57+AA79</f>
        <v>4950.0829660559</v>
      </c>
      <c r="AB80" s="47" t="n">
        <f aca="false">AB77-AB57+AB79</f>
        <v>4950.0829660559</v>
      </c>
      <c r="AC80" s="47" t="n">
        <f aca="false">AC77-AC57+AC79</f>
        <v>4950.0829660559</v>
      </c>
      <c r="AD80" s="47" t="n">
        <f aca="false">AD77-AD57+AD79</f>
        <v>4950.0829660559</v>
      </c>
      <c r="AE80" s="47" t="n">
        <f aca="false">AE77-AE57+AE79</f>
        <v>5690.56113029331</v>
      </c>
      <c r="AF80" s="47" t="n">
        <f aca="false">AF77-AF57+AF79</f>
        <v>5690.56113029331</v>
      </c>
      <c r="AG80" s="47" t="n">
        <f aca="false">AG77-AG57+AG79</f>
        <v>5690.56113029331</v>
      </c>
      <c r="AH80" s="47" t="n">
        <f aca="false">AH77-AH57+AH79</f>
        <v>5690.56113029331</v>
      </c>
      <c r="AI80" s="47" t="n">
        <f aca="false">AI77-AI57+AI79</f>
        <v>5690.56113029331</v>
      </c>
      <c r="AJ80" s="47" t="n">
        <f aca="false">AJ77-AJ57+AJ79</f>
        <v>5690.56113029331</v>
      </c>
      <c r="AK80" s="47" t="n">
        <f aca="false">AK77-AK57+AK79</f>
        <v>5690.56113029331</v>
      </c>
      <c r="AL80" s="47" t="n">
        <f aca="false">AL77-AL57+AL79</f>
        <v>5690.56113029331</v>
      </c>
      <c r="AM80" s="47" t="n">
        <f aca="false">AM77-AM57+AM79</f>
        <v>5690.56113029331</v>
      </c>
      <c r="AN80" s="47" t="n">
        <f aca="false">AN77-AN57+AN79</f>
        <v>5690.56113029331</v>
      </c>
      <c r="AO80" s="47" t="n">
        <f aca="false">AO77-AO57+AO79</f>
        <v>5690.56113029331</v>
      </c>
      <c r="AP80" s="47" t="n">
        <f aca="false">AP77-AP57+AP79</f>
        <v>5690.56113029331</v>
      </c>
      <c r="AQ80" s="47" t="n">
        <f aca="false">AQ77-AQ57+AQ79</f>
        <v>5690.56113029331</v>
      </c>
      <c r="AR80" s="47" t="n">
        <f aca="false">AR77-AR57+AR79</f>
        <v>5690.56113029331</v>
      </c>
      <c r="AS80" s="47" t="n">
        <f aca="false">AS77-AS57+AS79</f>
        <v>5690.56113029331</v>
      </c>
      <c r="AT80" s="47" t="n">
        <f aca="false">AT77-AT57+AT79</f>
        <v>5690.56113029331</v>
      </c>
      <c r="AU80" s="47" t="n">
        <f aca="false">AU77-AU57+AU79</f>
        <v>5690.56113029331</v>
      </c>
      <c r="AV80" s="47" t="n">
        <f aca="false">AV77-AV57+AV79</f>
        <v>5690.56113029331</v>
      </c>
      <c r="AW80" s="47" t="n">
        <f aca="false">AW77-AW57+AW79</f>
        <v>5690.56113029331</v>
      </c>
      <c r="AX80" s="47" t="n">
        <f aca="false">AX77-AX57+AX79</f>
        <v>5690.56113029331</v>
      </c>
      <c r="AY80" s="47" t="n">
        <f aca="false">AY77-AY57+AY79</f>
        <v>5690.56113029331</v>
      </c>
      <c r="AZ80" s="47" t="n">
        <f aca="false">AZ77-AZ57+AZ79</f>
        <v>5690.56113029331</v>
      </c>
      <c r="BA80" s="47" t="n">
        <f aca="false">BA77-BA57+BA79</f>
        <v>5690.56113029331</v>
      </c>
      <c r="BB80" s="47" t="n">
        <f aca="false">BB77-BB57+BB79</f>
        <v>5690.56113029331</v>
      </c>
      <c r="BC80" s="47" t="n">
        <f aca="false">BC77-BC57+BC79</f>
        <v>5690.56113029331</v>
      </c>
      <c r="BD80" s="47" t="n">
        <f aca="false">BD77-BD57+BD79</f>
        <v>5690.56113029331</v>
      </c>
      <c r="BE80" s="47" t="n">
        <f aca="false">BE77-BE57+BE79</f>
        <v>5690.56113029331</v>
      </c>
      <c r="BF80" s="47" t="n">
        <f aca="false">BF77-BF57+BF79</f>
        <v>5690.56113029331</v>
      </c>
      <c r="BG80" s="47" t="n">
        <f aca="false">BG77-BG57+BG79</f>
        <v>5690.56113029331</v>
      </c>
      <c r="BH80" s="47" t="n">
        <f aca="false">BH77-BH57+BH79</f>
        <v>5690.56113029331</v>
      </c>
      <c r="BI80" s="47" t="n">
        <f aca="false">BI77-BI57+BI79</f>
        <v>5690.56113029331</v>
      </c>
      <c r="BJ80" s="47" t="n">
        <f aca="false">BJ77-BJ57+BJ79</f>
        <v>5690.56113029331</v>
      </c>
      <c r="BK80" s="47" t="n">
        <f aca="false">BK77-BK57+BK79</f>
        <v>5690.56113029331</v>
      </c>
      <c r="BL80" s="47" t="n">
        <f aca="false">BL77-BL57+BL79</f>
        <v>5690.56113029331</v>
      </c>
      <c r="BM80" s="47" t="n">
        <f aca="false">BM77-BM57+BM79</f>
        <v>5690.56113029331</v>
      </c>
      <c r="BN80" s="47" t="n">
        <f aca="false">BN77-BN57+BN79</f>
        <v>5690.56113029331</v>
      </c>
      <c r="BO80" s="47" t="n">
        <f aca="false">BO77-BO57+BO79</f>
        <v>5690.56113029331</v>
      </c>
      <c r="BP80" s="47" t="n">
        <f aca="false">BP77-BP57+BP79</f>
        <v>5690.56113029331</v>
      </c>
      <c r="BQ80" s="47" t="n">
        <f aca="false">BQ77-BQ57+BQ79</f>
        <v>5690.56113029331</v>
      </c>
      <c r="BR80" s="47" t="n">
        <f aca="false">BR77-BR57+BR79</f>
        <v>5690.56113029331</v>
      </c>
      <c r="BS80" s="47" t="n">
        <f aca="false">BS77-BS57+BS79</f>
        <v>5690.56113029331</v>
      </c>
      <c r="BT80" s="47" t="n">
        <f aca="false">BT77-BT57+BT79</f>
        <v>5690.56113029331</v>
      </c>
      <c r="BU80" s="47" t="n">
        <f aca="false">BU77-BU57+BU79</f>
        <v>5690.56113029331</v>
      </c>
      <c r="BV80" s="47" t="n">
        <f aca="false">BV77-BV57+BV79</f>
        <v>5690.56113029331</v>
      </c>
      <c r="BW80" s="47" t="n">
        <f aca="false">BW77-BW57+BW79</f>
        <v>5690.56113029331</v>
      </c>
      <c r="BX80" s="47" t="n">
        <f aca="false">BX77-BX57+BX79</f>
        <v>5690.56113029331</v>
      </c>
      <c r="BY80" s="47" t="n">
        <f aca="false">BY77-BY57+BY79</f>
        <v>5690.56113029331</v>
      </c>
      <c r="BZ80" s="47" t="n">
        <f aca="false">BZ77-BZ57+BZ79</f>
        <v>5690.56113029331</v>
      </c>
      <c r="CA80" s="47" t="n">
        <f aca="false">CA77-CA57+CA79</f>
        <v>5690.56113029331</v>
      </c>
      <c r="CB80" s="47" t="n">
        <f aca="false">CB77-CB57+CB79</f>
        <v>5690.56113029331</v>
      </c>
      <c r="CC80" s="47" t="n">
        <f aca="false">CC77-CC57+CC79</f>
        <v>5690.56113029331</v>
      </c>
      <c r="CD80" s="47" t="n">
        <f aca="false">CD77-CD57+CD79</f>
        <v>5690.56113029331</v>
      </c>
      <c r="CE80" s="47" t="n">
        <f aca="false">CE77-CE57+CE79</f>
        <v>5690.56113029331</v>
      </c>
      <c r="CF80" s="47" t="n">
        <f aca="false">CF77-CF57+CF79</f>
        <v>5690.56113029331</v>
      </c>
      <c r="CG80" s="47" t="n">
        <f aca="false">CG77-CG57+CG79</f>
        <v>5690.56113029331</v>
      </c>
      <c r="CH80" s="47" t="n">
        <f aca="false">CH77-CH57+CH79</f>
        <v>5690.56113029331</v>
      </c>
      <c r="CI80" s="47" t="n">
        <f aca="false">CI77-CI57+CI79</f>
        <v>5690.56113029331</v>
      </c>
      <c r="CJ80" s="47" t="n">
        <f aca="false">CJ77-CJ57+CJ79</f>
        <v>5690.56113029331</v>
      </c>
      <c r="CK80" s="47" t="n">
        <f aca="false">CK77-CK57+CK79</f>
        <v>5690.56113029331</v>
      </c>
      <c r="CL80" s="47" t="n">
        <f aca="false">CL77-CL57+CL79</f>
        <v>5690.56113029331</v>
      </c>
      <c r="CM80" s="47" t="n">
        <f aca="false">CM77-CM57+CM79</f>
        <v>5690.56113029331</v>
      </c>
      <c r="CN80" s="47" t="n">
        <f aca="false">CN77-CN57+CN79</f>
        <v>5690.56113029331</v>
      </c>
      <c r="CO80" s="47" t="n">
        <f aca="false">CO77-CO57+CO79</f>
        <v>5690.56113029331</v>
      </c>
      <c r="CP80" s="47" t="n">
        <f aca="false">CP77-CP57+CP79</f>
        <v>5690.56113029331</v>
      </c>
      <c r="CQ80" s="47" t="n">
        <f aca="false">CQ77-CQ57+CQ79</f>
        <v>5690.56113029331</v>
      </c>
      <c r="CR80" s="47" t="n">
        <f aca="false">CR77-CR57+CR79</f>
        <v>5690.56113029331</v>
      </c>
      <c r="CS80" s="47" t="n">
        <f aca="false">CS77-CS57+CS79</f>
        <v>5690.56113029331</v>
      </c>
      <c r="CT80" s="47" t="n">
        <f aca="false">CT77-CT57+CT79</f>
        <v>5690.56113029331</v>
      </c>
      <c r="CU80" s="47" t="n">
        <f aca="false">CU77-CU57+CU79</f>
        <v>5690.56113029331</v>
      </c>
      <c r="CV80" s="47" t="n">
        <f aca="false">CV77-CV57+CV79</f>
        <v>5690.56113029331</v>
      </c>
      <c r="CW80" s="47" t="n">
        <f aca="false">CW77-CW57+CW79</f>
        <v>5690.56113029331</v>
      </c>
      <c r="CX80" s="47" t="n">
        <f aca="false">CX77-CX57+CX79</f>
        <v>5690.56113029331</v>
      </c>
      <c r="CY80" s="47" t="n">
        <f aca="false">CY77-CY57+CY79</f>
        <v>5690.56113029331</v>
      </c>
      <c r="CZ80" s="47" t="n">
        <f aca="false">CZ77-CZ57+CZ79</f>
        <v>5690.56113029331</v>
      </c>
      <c r="DA80" s="47" t="n">
        <f aca="false">DA77-DA57+DA79</f>
        <v>5690.56113029331</v>
      </c>
      <c r="DB80" s="47" t="n">
        <f aca="false">DB77-DB57+DB79</f>
        <v>5690.56113029331</v>
      </c>
      <c r="DC80" s="47" t="n">
        <f aca="false">DC77-DC57+DC79</f>
        <v>5690.56113029331</v>
      </c>
      <c r="DD80" s="47" t="n">
        <f aca="false">DD77-DD57+DD79</f>
        <v>5690.56113029331</v>
      </c>
      <c r="DE80" s="47" t="n">
        <f aca="false">DE77-DE57+DE79</f>
        <v>5690.56113029331</v>
      </c>
      <c r="DF80" s="47" t="n">
        <f aca="false">DF77-DF57+DF79</f>
        <v>5690.56113029331</v>
      </c>
      <c r="DG80" s="47" t="n">
        <f aca="false">DG77-DG57+DG79</f>
        <v>5690.56113029331</v>
      </c>
      <c r="DH80" s="47" t="n">
        <f aca="false">DH77-DH57+DH79</f>
        <v>5690.56113029331</v>
      </c>
      <c r="DI80" s="47" t="n">
        <f aca="false">DI77-DI57+DI79</f>
        <v>5690.56113029331</v>
      </c>
      <c r="DJ80" s="47" t="n">
        <f aca="false">DJ77-DJ57+DJ79</f>
        <v>5690.56113029331</v>
      </c>
      <c r="DK80" s="47" t="n">
        <f aca="false">DK77-DK57+DK79</f>
        <v>5690.56113029331</v>
      </c>
      <c r="DL80" s="47" t="n">
        <f aca="false">DL77-DL57+DL79</f>
        <v>5690.56113029331</v>
      </c>
      <c r="DM80" s="47" t="n">
        <f aca="false">DM77-DM57+DM79</f>
        <v>5690.56113029331</v>
      </c>
      <c r="DN80" s="47" t="n">
        <f aca="false">DN77-DN57+DN79</f>
        <v>5690.56113029331</v>
      </c>
      <c r="DO80" s="47" t="n">
        <f aca="false">DO77-DO57+DO79</f>
        <v>5690.56113029331</v>
      </c>
      <c r="DP80" s="47" t="n">
        <f aca="false">DP77-DP57+DP79</f>
        <v>5690.56113029331</v>
      </c>
      <c r="DQ80" s="47" t="n">
        <f aca="false">DQ77-DQ57+DQ79</f>
        <v>5690.56113029331</v>
      </c>
      <c r="DR80" s="47" t="n">
        <f aca="false">DR77-DR57+DR79</f>
        <v>5690.56113029331</v>
      </c>
      <c r="DS80" s="47" t="n">
        <f aca="false">DS77-DS57+DS79</f>
        <v>5690.56113029331</v>
      </c>
      <c r="DT80" s="47" t="n">
        <f aca="false">DT77-DT57+DT79</f>
        <v>5690.56113029331</v>
      </c>
      <c r="DU80" s="47" t="n">
        <f aca="false">DU77-DU57+DU79</f>
        <v>5690.56113029331</v>
      </c>
      <c r="DV80" s="47" t="n">
        <f aca="false">DV77-DV57+DV79</f>
        <v>5690.56113029331</v>
      </c>
      <c r="DW80" s="47" t="n">
        <f aca="false">DW77-DW57+DW79</f>
        <v>5690.56113029331</v>
      </c>
      <c r="DX80" s="47" t="n">
        <f aca="false">DX77-DX57+DX79</f>
        <v>5690.56113029331</v>
      </c>
      <c r="DY80" s="47" t="n">
        <f aca="false">DY77-DY57+DY79</f>
        <v>5690.56113029331</v>
      </c>
      <c r="DZ80" s="47" t="n">
        <f aca="false">DZ77-DZ57+DZ79</f>
        <v>5690.56113029331</v>
      </c>
      <c r="EA80" s="47" t="n">
        <f aca="false">EA77-EA57+EA79</f>
        <v>5690.56113029331</v>
      </c>
      <c r="EB80" s="47" t="n">
        <f aca="false">EB77-EB57+EB79</f>
        <v>5690.56113029331</v>
      </c>
      <c r="EC80" s="47" t="n">
        <f aca="false">EC77-EC57+EC79</f>
        <v>5690.56113029331</v>
      </c>
      <c r="ED80" s="47" t="n">
        <f aca="false">ED77-ED57+ED79</f>
        <v>5690.56113029331</v>
      </c>
      <c r="EE80" s="47" t="n">
        <f aca="false">EE77-EE57+EE79</f>
        <v>5690.56113029331</v>
      </c>
      <c r="EF80" s="47" t="n">
        <f aca="false">EF77-EF57+EF79</f>
        <v>5690.56113029331</v>
      </c>
      <c r="EG80" s="47" t="n">
        <f aca="false">EG77-EG57+EG79</f>
        <v>5690.56113029331</v>
      </c>
      <c r="EH80" s="47" t="n">
        <f aca="false">EH77-EH57+EH79</f>
        <v>5690.56113029331</v>
      </c>
      <c r="EI80" s="47" t="n">
        <f aca="false">EI77-EI57+EI79</f>
        <v>5690.56113029331</v>
      </c>
      <c r="EJ80" s="47" t="n">
        <f aca="false">EJ77-EJ57+EJ79</f>
        <v>5690.56113029331</v>
      </c>
      <c r="EK80" s="47" t="n">
        <f aca="false">EK77-EK57+EK79</f>
        <v>5690.56113029331</v>
      </c>
      <c r="EL80" s="47" t="n">
        <f aca="false">EL77-EL57+EL79</f>
        <v>5690.56113029331</v>
      </c>
      <c r="EM80" s="47" t="n">
        <f aca="false">EM77-EM57+EM79</f>
        <v>5690.56113029331</v>
      </c>
      <c r="EN80" s="47" t="n">
        <f aca="false">EN77-EN57+EN79</f>
        <v>5690.56113029331</v>
      </c>
      <c r="EO80" s="47" t="n">
        <f aca="false">EO77-EO57+EO79</f>
        <v>5690.56113029331</v>
      </c>
      <c r="EP80" s="47" t="n">
        <f aca="false">EP77-EP57+EP79</f>
        <v>5690.56113029331</v>
      </c>
      <c r="EQ80" s="47" t="n">
        <f aca="false">EQ77-EQ57+EQ79</f>
        <v>5690.56113029331</v>
      </c>
      <c r="ER80" s="47" t="n">
        <f aca="false">ER77-ER57+ER79</f>
        <v>5690.56113029331</v>
      </c>
      <c r="ES80" s="47" t="n">
        <f aca="false">ES77-ES57+ES79</f>
        <v>5690.56113029331</v>
      </c>
      <c r="ET80" s="47" t="n">
        <f aca="false">ET77-ET57+ET79</f>
        <v>5690.56113029331</v>
      </c>
    </row>
    <row r="82" customFormat="false" ht="15" hidden="false" customHeight="false" outlineLevel="0" collapsed="false">
      <c r="A82" s="10" t="s">
        <v>13</v>
      </c>
      <c r="B82" s="10"/>
      <c r="C82" s="10" t="s">
        <v>503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</row>
    <row r="83" customFormat="false" ht="15" hidden="false" customHeight="false" outlineLevel="0" collapsed="false">
      <c r="C83" s="1" t="s">
        <v>504</v>
      </c>
      <c r="D83" s="12" t="s">
        <v>35</v>
      </c>
      <c r="E83" s="48" t="n">
        <f aca="false">1-$F24/$E24</f>
        <v>0.337748344370861</v>
      </c>
      <c r="F83" s="48" t="n">
        <f aca="false">(1-In_BESS_Built)*($E25&gt;0)</f>
        <v>0</v>
      </c>
    </row>
    <row r="84" customFormat="false" ht="15" hidden="false" customHeight="false" outlineLevel="0" collapsed="false">
      <c r="C84" s="1" t="s">
        <v>505</v>
      </c>
      <c r="D84" s="12" t="s">
        <v>222</v>
      </c>
      <c r="E84" s="47" t="n">
        <f aca="false">$E49*$E24*In_Bench_Wind/$E45</f>
        <v>4199.04109589041</v>
      </c>
      <c r="F84" s="47" t="n">
        <f aca="false">$E49-$E84</f>
        <v>2794.52054794521</v>
      </c>
    </row>
    <row r="85" customFormat="false" ht="15" hidden="false" customHeight="false" outlineLevel="0" collapsed="false">
      <c r="C85" s="1" t="s">
        <v>506</v>
      </c>
      <c r="D85" s="12" t="s">
        <v>222</v>
      </c>
      <c r="E85" s="47" t="n">
        <f aca="false">($E83&gt;In_Tolerance_Cap)*$E83*$E84+($F83&gt;In_Tolerance_Cap)*$F83*$F84</f>
        <v>1418.21917808219</v>
      </c>
      <c r="F85" s="47" t="n">
        <f aca="false">($E83+$F83&gt;0)*$E49</f>
        <v>6993.56164383562</v>
      </c>
    </row>
    <row r="86" customFormat="false" ht="15" hidden="false" customHeight="false" outlineLevel="0" collapsed="false">
      <c r="C86" s="1" t="s">
        <v>507</v>
      </c>
      <c r="D86" s="12" t="s">
        <v>222</v>
      </c>
      <c r="E86" s="44" t="n">
        <f aca="false">EDATE(In_COD,In_Sanction_Lag)</f>
        <v>48303</v>
      </c>
      <c r="I86" s="47" t="n">
        <f aca="false">SUM(J86:ET86)</f>
        <v>-1418.21917808219</v>
      </c>
      <c r="J86" s="47" t="n">
        <f aca="false">-CHOOSE(In_Sanction_Regime,$E85,$F85)*N(AND(J$3&lt;=$E86,J$4&gt;=$E86))</f>
        <v>-0</v>
      </c>
      <c r="K86" s="47" t="n">
        <f aca="false">-CHOOSE(In_Sanction_Regime,$E85,$F85)*N(AND(K$3&lt;=$E86,K$4&gt;=$E86))</f>
        <v>-0</v>
      </c>
      <c r="L86" s="47" t="n">
        <f aca="false">-CHOOSE(In_Sanction_Regime,$E85,$F85)*N(AND(L$3&lt;=$E86,L$4&gt;=$E86))</f>
        <v>-0</v>
      </c>
      <c r="M86" s="47" t="n">
        <f aca="false">-CHOOSE(In_Sanction_Regime,$E85,$F85)*N(AND(M$3&lt;=$E86,M$4&gt;=$E86))</f>
        <v>-0</v>
      </c>
      <c r="N86" s="47" t="n">
        <f aca="false">-CHOOSE(In_Sanction_Regime,$E85,$F85)*N(AND(N$3&lt;=$E86,N$4&gt;=$E86))</f>
        <v>-0</v>
      </c>
      <c r="O86" s="47" t="n">
        <f aca="false">-CHOOSE(In_Sanction_Regime,$E85,$F85)*N(AND(O$3&lt;=$E86,O$4&gt;=$E86))</f>
        <v>-0</v>
      </c>
      <c r="P86" s="47" t="n">
        <f aca="false">-CHOOSE(In_Sanction_Regime,$E85,$F85)*N(AND(P$3&lt;=$E86,P$4&gt;=$E86))</f>
        <v>-0</v>
      </c>
      <c r="Q86" s="47" t="n">
        <f aca="false">-CHOOSE(In_Sanction_Regime,$E85,$F85)*N(AND(Q$3&lt;=$E86,Q$4&gt;=$E86))</f>
        <v>-0</v>
      </c>
      <c r="R86" s="47" t="n">
        <f aca="false">-CHOOSE(In_Sanction_Regime,$E85,$F85)*N(AND(R$3&lt;=$E86,R$4&gt;=$E86))</f>
        <v>-0</v>
      </c>
      <c r="S86" s="47" t="n">
        <f aca="false">-CHOOSE(In_Sanction_Regime,$E85,$F85)*N(AND(S$3&lt;=$E86,S$4&gt;=$E86))</f>
        <v>-0</v>
      </c>
      <c r="T86" s="47" t="n">
        <f aca="false">-CHOOSE(In_Sanction_Regime,$E85,$F85)*N(AND(T$3&lt;=$E86,T$4&gt;=$E86))</f>
        <v>-0</v>
      </c>
      <c r="U86" s="47" t="n">
        <f aca="false">-CHOOSE(In_Sanction_Regime,$E85,$F85)*N(AND(U$3&lt;=$E86,U$4&gt;=$E86))</f>
        <v>-0</v>
      </c>
      <c r="V86" s="47" t="n">
        <f aca="false">-CHOOSE(In_Sanction_Regime,$E85,$F85)*N(AND(V$3&lt;=$E86,V$4&gt;=$E86))</f>
        <v>-0</v>
      </c>
      <c r="W86" s="47" t="n">
        <f aca="false">-CHOOSE(In_Sanction_Regime,$E85,$F85)*N(AND(W$3&lt;=$E86,W$4&gt;=$E86))</f>
        <v>-0</v>
      </c>
      <c r="X86" s="47" t="n">
        <f aca="false">-CHOOSE(In_Sanction_Regime,$E85,$F85)*N(AND(X$3&lt;=$E86,X$4&gt;=$E86))</f>
        <v>-0</v>
      </c>
      <c r="Y86" s="47" t="n">
        <f aca="false">-CHOOSE(In_Sanction_Regime,$E85,$F85)*N(AND(Y$3&lt;=$E86,Y$4&gt;=$E86))</f>
        <v>-0</v>
      </c>
      <c r="Z86" s="47" t="n">
        <f aca="false">-CHOOSE(In_Sanction_Regime,$E85,$F85)*N(AND(Z$3&lt;=$E86,Z$4&gt;=$E86))</f>
        <v>-0</v>
      </c>
      <c r="AA86" s="47" t="n">
        <f aca="false">-CHOOSE(In_Sanction_Regime,$E85,$F85)*N(AND(AA$3&lt;=$E86,AA$4&gt;=$E86))</f>
        <v>-0</v>
      </c>
      <c r="AB86" s="47" t="n">
        <f aca="false">-CHOOSE(In_Sanction_Regime,$E85,$F85)*N(AND(AB$3&lt;=$E86,AB$4&gt;=$E86))</f>
        <v>-0</v>
      </c>
      <c r="AC86" s="47" t="n">
        <f aca="false">-CHOOSE(In_Sanction_Regime,$E85,$F85)*N(AND(AC$3&lt;=$E86,AC$4&gt;=$E86))</f>
        <v>-0</v>
      </c>
      <c r="AD86" s="47" t="n">
        <f aca="false">-CHOOSE(In_Sanction_Regime,$E85,$F85)*N(AND(AD$3&lt;=$E86,AD$4&gt;=$E86))</f>
        <v>-0</v>
      </c>
      <c r="AE86" s="47" t="n">
        <f aca="false">-CHOOSE(In_Sanction_Regime,$E85,$F85)*N(AND(AE$3&lt;=$E86,AE$4&gt;=$E86))</f>
        <v>-0</v>
      </c>
      <c r="AF86" s="47" t="n">
        <f aca="false">-CHOOSE(In_Sanction_Regime,$E85,$F85)*N(AND(AF$3&lt;=$E86,AF$4&gt;=$E86))</f>
        <v>-1418.21917808219</v>
      </c>
      <c r="AG86" s="47" t="n">
        <f aca="false">-CHOOSE(In_Sanction_Regime,$E85,$F85)*N(AND(AG$3&lt;=$E86,AG$4&gt;=$E86))</f>
        <v>-0</v>
      </c>
      <c r="AH86" s="47" t="n">
        <f aca="false">-CHOOSE(In_Sanction_Regime,$E85,$F85)*N(AND(AH$3&lt;=$E86,AH$4&gt;=$E86))</f>
        <v>-0</v>
      </c>
      <c r="AI86" s="47" t="n">
        <f aca="false">-CHOOSE(In_Sanction_Regime,$E85,$F85)*N(AND(AI$3&lt;=$E86,AI$4&gt;=$E86))</f>
        <v>-0</v>
      </c>
      <c r="AJ86" s="47" t="n">
        <f aca="false">-CHOOSE(In_Sanction_Regime,$E85,$F85)*N(AND(AJ$3&lt;=$E86,AJ$4&gt;=$E86))</f>
        <v>-0</v>
      </c>
      <c r="AK86" s="47" t="n">
        <f aca="false">-CHOOSE(In_Sanction_Regime,$E85,$F85)*N(AND(AK$3&lt;=$E86,AK$4&gt;=$E86))</f>
        <v>-0</v>
      </c>
      <c r="AL86" s="47" t="n">
        <f aca="false">-CHOOSE(In_Sanction_Regime,$E85,$F85)*N(AND(AL$3&lt;=$E86,AL$4&gt;=$E86))</f>
        <v>-0</v>
      </c>
      <c r="AM86" s="47" t="n">
        <f aca="false">-CHOOSE(In_Sanction_Regime,$E85,$F85)*N(AND(AM$3&lt;=$E86,AM$4&gt;=$E86))</f>
        <v>-0</v>
      </c>
      <c r="AN86" s="47" t="n">
        <f aca="false">-CHOOSE(In_Sanction_Regime,$E85,$F85)*N(AND(AN$3&lt;=$E86,AN$4&gt;=$E86))</f>
        <v>-0</v>
      </c>
      <c r="AO86" s="47" t="n">
        <f aca="false">-CHOOSE(In_Sanction_Regime,$E85,$F85)*N(AND(AO$3&lt;=$E86,AO$4&gt;=$E86))</f>
        <v>-0</v>
      </c>
      <c r="AP86" s="47" t="n">
        <f aca="false">-CHOOSE(In_Sanction_Regime,$E85,$F85)*N(AND(AP$3&lt;=$E86,AP$4&gt;=$E86))</f>
        <v>-0</v>
      </c>
      <c r="AQ86" s="47" t="n">
        <f aca="false">-CHOOSE(In_Sanction_Regime,$E85,$F85)*N(AND(AQ$3&lt;=$E86,AQ$4&gt;=$E86))</f>
        <v>-0</v>
      </c>
      <c r="AR86" s="47" t="n">
        <f aca="false">-CHOOSE(In_Sanction_Regime,$E85,$F85)*N(AND(AR$3&lt;=$E86,AR$4&gt;=$E86))</f>
        <v>-0</v>
      </c>
      <c r="AS86" s="47" t="n">
        <f aca="false">-CHOOSE(In_Sanction_Regime,$E85,$F85)*N(AND(AS$3&lt;=$E86,AS$4&gt;=$E86))</f>
        <v>-0</v>
      </c>
      <c r="AT86" s="47" t="n">
        <f aca="false">-CHOOSE(In_Sanction_Regime,$E85,$F85)*N(AND(AT$3&lt;=$E86,AT$4&gt;=$E86))</f>
        <v>-0</v>
      </c>
      <c r="AU86" s="47" t="n">
        <f aca="false">-CHOOSE(In_Sanction_Regime,$E85,$F85)*N(AND(AU$3&lt;=$E86,AU$4&gt;=$E86))</f>
        <v>-0</v>
      </c>
      <c r="AV86" s="47" t="n">
        <f aca="false">-CHOOSE(In_Sanction_Regime,$E85,$F85)*N(AND(AV$3&lt;=$E86,AV$4&gt;=$E86))</f>
        <v>-0</v>
      </c>
      <c r="AW86" s="47" t="n">
        <f aca="false">-CHOOSE(In_Sanction_Regime,$E85,$F85)*N(AND(AW$3&lt;=$E86,AW$4&gt;=$E86))</f>
        <v>-0</v>
      </c>
      <c r="AX86" s="47" t="n">
        <f aca="false">-CHOOSE(In_Sanction_Regime,$E85,$F85)*N(AND(AX$3&lt;=$E86,AX$4&gt;=$E86))</f>
        <v>-0</v>
      </c>
      <c r="AY86" s="47" t="n">
        <f aca="false">-CHOOSE(In_Sanction_Regime,$E85,$F85)*N(AND(AY$3&lt;=$E86,AY$4&gt;=$E86))</f>
        <v>-0</v>
      </c>
      <c r="AZ86" s="47" t="n">
        <f aca="false">-CHOOSE(In_Sanction_Regime,$E85,$F85)*N(AND(AZ$3&lt;=$E86,AZ$4&gt;=$E86))</f>
        <v>-0</v>
      </c>
      <c r="BA86" s="47" t="n">
        <f aca="false">-CHOOSE(In_Sanction_Regime,$E85,$F85)*N(AND(BA$3&lt;=$E86,BA$4&gt;=$E86))</f>
        <v>-0</v>
      </c>
      <c r="BB86" s="47" t="n">
        <f aca="false">-CHOOSE(In_Sanction_Regime,$E85,$F85)*N(AND(BB$3&lt;=$E86,BB$4&gt;=$E86))</f>
        <v>-0</v>
      </c>
      <c r="BC86" s="47" t="n">
        <f aca="false">-CHOOSE(In_Sanction_Regime,$E85,$F85)*N(AND(BC$3&lt;=$E86,BC$4&gt;=$E86))</f>
        <v>-0</v>
      </c>
      <c r="BD86" s="47" t="n">
        <f aca="false">-CHOOSE(In_Sanction_Regime,$E85,$F85)*N(AND(BD$3&lt;=$E86,BD$4&gt;=$E86))</f>
        <v>-0</v>
      </c>
      <c r="BE86" s="47" t="n">
        <f aca="false">-CHOOSE(In_Sanction_Regime,$E85,$F85)*N(AND(BE$3&lt;=$E86,BE$4&gt;=$E86))</f>
        <v>-0</v>
      </c>
      <c r="BF86" s="47" t="n">
        <f aca="false">-CHOOSE(In_Sanction_Regime,$E85,$F85)*N(AND(BF$3&lt;=$E86,BF$4&gt;=$E86))</f>
        <v>-0</v>
      </c>
      <c r="BG86" s="47" t="n">
        <f aca="false">-CHOOSE(In_Sanction_Regime,$E85,$F85)*N(AND(BG$3&lt;=$E86,BG$4&gt;=$E86))</f>
        <v>-0</v>
      </c>
      <c r="BH86" s="47" t="n">
        <f aca="false">-CHOOSE(In_Sanction_Regime,$E85,$F85)*N(AND(BH$3&lt;=$E86,BH$4&gt;=$E86))</f>
        <v>-0</v>
      </c>
      <c r="BI86" s="47" t="n">
        <f aca="false">-CHOOSE(In_Sanction_Regime,$E85,$F85)*N(AND(BI$3&lt;=$E86,BI$4&gt;=$E86))</f>
        <v>-0</v>
      </c>
      <c r="BJ86" s="47" t="n">
        <f aca="false">-CHOOSE(In_Sanction_Regime,$E85,$F85)*N(AND(BJ$3&lt;=$E86,BJ$4&gt;=$E86))</f>
        <v>-0</v>
      </c>
      <c r="BK86" s="47" t="n">
        <f aca="false">-CHOOSE(In_Sanction_Regime,$E85,$F85)*N(AND(BK$3&lt;=$E86,BK$4&gt;=$E86))</f>
        <v>-0</v>
      </c>
      <c r="BL86" s="47" t="n">
        <f aca="false">-CHOOSE(In_Sanction_Regime,$E85,$F85)*N(AND(BL$3&lt;=$E86,BL$4&gt;=$E86))</f>
        <v>-0</v>
      </c>
      <c r="BM86" s="47" t="n">
        <f aca="false">-CHOOSE(In_Sanction_Regime,$E85,$F85)*N(AND(BM$3&lt;=$E86,BM$4&gt;=$E86))</f>
        <v>-0</v>
      </c>
      <c r="BN86" s="47" t="n">
        <f aca="false">-CHOOSE(In_Sanction_Regime,$E85,$F85)*N(AND(BN$3&lt;=$E86,BN$4&gt;=$E86))</f>
        <v>-0</v>
      </c>
      <c r="BO86" s="47" t="n">
        <f aca="false">-CHOOSE(In_Sanction_Regime,$E85,$F85)*N(AND(BO$3&lt;=$E86,BO$4&gt;=$E86))</f>
        <v>-0</v>
      </c>
      <c r="BP86" s="47" t="n">
        <f aca="false">-CHOOSE(In_Sanction_Regime,$E85,$F85)*N(AND(BP$3&lt;=$E86,BP$4&gt;=$E86))</f>
        <v>-0</v>
      </c>
      <c r="BQ86" s="47" t="n">
        <f aca="false">-CHOOSE(In_Sanction_Regime,$E85,$F85)*N(AND(BQ$3&lt;=$E86,BQ$4&gt;=$E86))</f>
        <v>-0</v>
      </c>
      <c r="BR86" s="47" t="n">
        <f aca="false">-CHOOSE(In_Sanction_Regime,$E85,$F85)*N(AND(BR$3&lt;=$E86,BR$4&gt;=$E86))</f>
        <v>-0</v>
      </c>
      <c r="BS86" s="47" t="n">
        <f aca="false">-CHOOSE(In_Sanction_Regime,$E85,$F85)*N(AND(BS$3&lt;=$E86,BS$4&gt;=$E86))</f>
        <v>-0</v>
      </c>
      <c r="BT86" s="47" t="n">
        <f aca="false">-CHOOSE(In_Sanction_Regime,$E85,$F85)*N(AND(BT$3&lt;=$E86,BT$4&gt;=$E86))</f>
        <v>-0</v>
      </c>
      <c r="BU86" s="47" t="n">
        <f aca="false">-CHOOSE(In_Sanction_Regime,$E85,$F85)*N(AND(BU$3&lt;=$E86,BU$4&gt;=$E86))</f>
        <v>-0</v>
      </c>
      <c r="BV86" s="47" t="n">
        <f aca="false">-CHOOSE(In_Sanction_Regime,$E85,$F85)*N(AND(BV$3&lt;=$E86,BV$4&gt;=$E86))</f>
        <v>-0</v>
      </c>
      <c r="BW86" s="47" t="n">
        <f aca="false">-CHOOSE(In_Sanction_Regime,$E85,$F85)*N(AND(BW$3&lt;=$E86,BW$4&gt;=$E86))</f>
        <v>-0</v>
      </c>
      <c r="BX86" s="47" t="n">
        <f aca="false">-CHOOSE(In_Sanction_Regime,$E85,$F85)*N(AND(BX$3&lt;=$E86,BX$4&gt;=$E86))</f>
        <v>-0</v>
      </c>
      <c r="BY86" s="47" t="n">
        <f aca="false">-CHOOSE(In_Sanction_Regime,$E85,$F85)*N(AND(BY$3&lt;=$E86,BY$4&gt;=$E86))</f>
        <v>-0</v>
      </c>
      <c r="BZ86" s="47" t="n">
        <f aca="false">-CHOOSE(In_Sanction_Regime,$E85,$F85)*N(AND(BZ$3&lt;=$E86,BZ$4&gt;=$E86))</f>
        <v>-0</v>
      </c>
      <c r="CA86" s="47" t="n">
        <f aca="false">-CHOOSE(In_Sanction_Regime,$E85,$F85)*N(AND(CA$3&lt;=$E86,CA$4&gt;=$E86))</f>
        <v>-0</v>
      </c>
      <c r="CB86" s="47" t="n">
        <f aca="false">-CHOOSE(In_Sanction_Regime,$E85,$F85)*N(AND(CB$3&lt;=$E86,CB$4&gt;=$E86))</f>
        <v>-0</v>
      </c>
      <c r="CC86" s="47" t="n">
        <f aca="false">-CHOOSE(In_Sanction_Regime,$E85,$F85)*N(AND(CC$3&lt;=$E86,CC$4&gt;=$E86))</f>
        <v>-0</v>
      </c>
      <c r="CD86" s="47" t="n">
        <f aca="false">-CHOOSE(In_Sanction_Regime,$E85,$F85)*N(AND(CD$3&lt;=$E86,CD$4&gt;=$E86))</f>
        <v>-0</v>
      </c>
      <c r="CE86" s="47" t="n">
        <f aca="false">-CHOOSE(In_Sanction_Regime,$E85,$F85)*N(AND(CE$3&lt;=$E86,CE$4&gt;=$E86))</f>
        <v>-0</v>
      </c>
      <c r="CF86" s="47" t="n">
        <f aca="false">-CHOOSE(In_Sanction_Regime,$E85,$F85)*N(AND(CF$3&lt;=$E86,CF$4&gt;=$E86))</f>
        <v>-0</v>
      </c>
      <c r="CG86" s="47" t="n">
        <f aca="false">-CHOOSE(In_Sanction_Regime,$E85,$F85)*N(AND(CG$3&lt;=$E86,CG$4&gt;=$E86))</f>
        <v>-0</v>
      </c>
      <c r="CH86" s="47" t="n">
        <f aca="false">-CHOOSE(In_Sanction_Regime,$E85,$F85)*N(AND(CH$3&lt;=$E86,CH$4&gt;=$E86))</f>
        <v>-0</v>
      </c>
      <c r="CI86" s="47" t="n">
        <f aca="false">-CHOOSE(In_Sanction_Regime,$E85,$F85)*N(AND(CI$3&lt;=$E86,CI$4&gt;=$E86))</f>
        <v>-0</v>
      </c>
      <c r="CJ86" s="47" t="n">
        <f aca="false">-CHOOSE(In_Sanction_Regime,$E85,$F85)*N(AND(CJ$3&lt;=$E86,CJ$4&gt;=$E86))</f>
        <v>-0</v>
      </c>
      <c r="CK86" s="47" t="n">
        <f aca="false">-CHOOSE(In_Sanction_Regime,$E85,$F85)*N(AND(CK$3&lt;=$E86,CK$4&gt;=$E86))</f>
        <v>-0</v>
      </c>
      <c r="CL86" s="47" t="n">
        <f aca="false">-CHOOSE(In_Sanction_Regime,$E85,$F85)*N(AND(CL$3&lt;=$E86,CL$4&gt;=$E86))</f>
        <v>-0</v>
      </c>
      <c r="CM86" s="47" t="n">
        <f aca="false">-CHOOSE(In_Sanction_Regime,$E85,$F85)*N(AND(CM$3&lt;=$E86,CM$4&gt;=$E86))</f>
        <v>-0</v>
      </c>
      <c r="CN86" s="47" t="n">
        <f aca="false">-CHOOSE(In_Sanction_Regime,$E85,$F85)*N(AND(CN$3&lt;=$E86,CN$4&gt;=$E86))</f>
        <v>-0</v>
      </c>
      <c r="CO86" s="47" t="n">
        <f aca="false">-CHOOSE(In_Sanction_Regime,$E85,$F85)*N(AND(CO$3&lt;=$E86,CO$4&gt;=$E86))</f>
        <v>-0</v>
      </c>
      <c r="CP86" s="47" t="n">
        <f aca="false">-CHOOSE(In_Sanction_Regime,$E85,$F85)*N(AND(CP$3&lt;=$E86,CP$4&gt;=$E86))</f>
        <v>-0</v>
      </c>
      <c r="CQ86" s="47" t="n">
        <f aca="false">-CHOOSE(In_Sanction_Regime,$E85,$F85)*N(AND(CQ$3&lt;=$E86,CQ$4&gt;=$E86))</f>
        <v>-0</v>
      </c>
      <c r="CR86" s="47" t="n">
        <f aca="false">-CHOOSE(In_Sanction_Regime,$E85,$F85)*N(AND(CR$3&lt;=$E86,CR$4&gt;=$E86))</f>
        <v>-0</v>
      </c>
      <c r="CS86" s="47" t="n">
        <f aca="false">-CHOOSE(In_Sanction_Regime,$E85,$F85)*N(AND(CS$3&lt;=$E86,CS$4&gt;=$E86))</f>
        <v>-0</v>
      </c>
      <c r="CT86" s="47" t="n">
        <f aca="false">-CHOOSE(In_Sanction_Regime,$E85,$F85)*N(AND(CT$3&lt;=$E86,CT$4&gt;=$E86))</f>
        <v>-0</v>
      </c>
      <c r="CU86" s="47" t="n">
        <f aca="false">-CHOOSE(In_Sanction_Regime,$E85,$F85)*N(AND(CU$3&lt;=$E86,CU$4&gt;=$E86))</f>
        <v>-0</v>
      </c>
      <c r="CV86" s="47" t="n">
        <f aca="false">-CHOOSE(In_Sanction_Regime,$E85,$F85)*N(AND(CV$3&lt;=$E86,CV$4&gt;=$E86))</f>
        <v>-0</v>
      </c>
      <c r="CW86" s="47" t="n">
        <f aca="false">-CHOOSE(In_Sanction_Regime,$E85,$F85)*N(AND(CW$3&lt;=$E86,CW$4&gt;=$E86))</f>
        <v>-0</v>
      </c>
      <c r="CX86" s="47" t="n">
        <f aca="false">-CHOOSE(In_Sanction_Regime,$E85,$F85)*N(AND(CX$3&lt;=$E86,CX$4&gt;=$E86))</f>
        <v>-0</v>
      </c>
      <c r="CY86" s="47" t="n">
        <f aca="false">-CHOOSE(In_Sanction_Regime,$E85,$F85)*N(AND(CY$3&lt;=$E86,CY$4&gt;=$E86))</f>
        <v>-0</v>
      </c>
      <c r="CZ86" s="47" t="n">
        <f aca="false">-CHOOSE(In_Sanction_Regime,$E85,$F85)*N(AND(CZ$3&lt;=$E86,CZ$4&gt;=$E86))</f>
        <v>-0</v>
      </c>
      <c r="DA86" s="47" t="n">
        <f aca="false">-CHOOSE(In_Sanction_Regime,$E85,$F85)*N(AND(DA$3&lt;=$E86,DA$4&gt;=$E86))</f>
        <v>-0</v>
      </c>
      <c r="DB86" s="47" t="n">
        <f aca="false">-CHOOSE(In_Sanction_Regime,$E85,$F85)*N(AND(DB$3&lt;=$E86,DB$4&gt;=$E86))</f>
        <v>-0</v>
      </c>
      <c r="DC86" s="47" t="n">
        <f aca="false">-CHOOSE(In_Sanction_Regime,$E85,$F85)*N(AND(DC$3&lt;=$E86,DC$4&gt;=$E86))</f>
        <v>-0</v>
      </c>
      <c r="DD86" s="47" t="n">
        <f aca="false">-CHOOSE(In_Sanction_Regime,$E85,$F85)*N(AND(DD$3&lt;=$E86,DD$4&gt;=$E86))</f>
        <v>-0</v>
      </c>
      <c r="DE86" s="47" t="n">
        <f aca="false">-CHOOSE(In_Sanction_Regime,$E85,$F85)*N(AND(DE$3&lt;=$E86,DE$4&gt;=$E86))</f>
        <v>-0</v>
      </c>
      <c r="DF86" s="47" t="n">
        <f aca="false">-CHOOSE(In_Sanction_Regime,$E85,$F85)*N(AND(DF$3&lt;=$E86,DF$4&gt;=$E86))</f>
        <v>-0</v>
      </c>
      <c r="DG86" s="47" t="n">
        <f aca="false">-CHOOSE(In_Sanction_Regime,$E85,$F85)*N(AND(DG$3&lt;=$E86,DG$4&gt;=$E86))</f>
        <v>-0</v>
      </c>
      <c r="DH86" s="47" t="n">
        <f aca="false">-CHOOSE(In_Sanction_Regime,$E85,$F85)*N(AND(DH$3&lt;=$E86,DH$4&gt;=$E86))</f>
        <v>-0</v>
      </c>
      <c r="DI86" s="47" t="n">
        <f aca="false">-CHOOSE(In_Sanction_Regime,$E85,$F85)*N(AND(DI$3&lt;=$E86,DI$4&gt;=$E86))</f>
        <v>-0</v>
      </c>
      <c r="DJ86" s="47" t="n">
        <f aca="false">-CHOOSE(In_Sanction_Regime,$E85,$F85)*N(AND(DJ$3&lt;=$E86,DJ$4&gt;=$E86))</f>
        <v>-0</v>
      </c>
      <c r="DK86" s="47" t="n">
        <f aca="false">-CHOOSE(In_Sanction_Regime,$E85,$F85)*N(AND(DK$3&lt;=$E86,DK$4&gt;=$E86))</f>
        <v>-0</v>
      </c>
      <c r="DL86" s="47" t="n">
        <f aca="false">-CHOOSE(In_Sanction_Regime,$E85,$F85)*N(AND(DL$3&lt;=$E86,DL$4&gt;=$E86))</f>
        <v>-0</v>
      </c>
      <c r="DM86" s="47" t="n">
        <f aca="false">-CHOOSE(In_Sanction_Regime,$E85,$F85)*N(AND(DM$3&lt;=$E86,DM$4&gt;=$E86))</f>
        <v>-0</v>
      </c>
      <c r="DN86" s="47" t="n">
        <f aca="false">-CHOOSE(In_Sanction_Regime,$E85,$F85)*N(AND(DN$3&lt;=$E86,DN$4&gt;=$E86))</f>
        <v>-0</v>
      </c>
      <c r="DO86" s="47" t="n">
        <f aca="false">-CHOOSE(In_Sanction_Regime,$E85,$F85)*N(AND(DO$3&lt;=$E86,DO$4&gt;=$E86))</f>
        <v>-0</v>
      </c>
      <c r="DP86" s="47" t="n">
        <f aca="false">-CHOOSE(In_Sanction_Regime,$E85,$F85)*N(AND(DP$3&lt;=$E86,DP$4&gt;=$E86))</f>
        <v>-0</v>
      </c>
      <c r="DQ86" s="47" t="n">
        <f aca="false">-CHOOSE(In_Sanction_Regime,$E85,$F85)*N(AND(DQ$3&lt;=$E86,DQ$4&gt;=$E86))</f>
        <v>-0</v>
      </c>
      <c r="DR86" s="47" t="n">
        <f aca="false">-CHOOSE(In_Sanction_Regime,$E85,$F85)*N(AND(DR$3&lt;=$E86,DR$4&gt;=$E86))</f>
        <v>-0</v>
      </c>
      <c r="DS86" s="47" t="n">
        <f aca="false">-CHOOSE(In_Sanction_Regime,$E85,$F85)*N(AND(DS$3&lt;=$E86,DS$4&gt;=$E86))</f>
        <v>-0</v>
      </c>
      <c r="DT86" s="47" t="n">
        <f aca="false">-CHOOSE(In_Sanction_Regime,$E85,$F85)*N(AND(DT$3&lt;=$E86,DT$4&gt;=$E86))</f>
        <v>-0</v>
      </c>
      <c r="DU86" s="47" t="n">
        <f aca="false">-CHOOSE(In_Sanction_Regime,$E85,$F85)*N(AND(DU$3&lt;=$E86,DU$4&gt;=$E86))</f>
        <v>-0</v>
      </c>
      <c r="DV86" s="47" t="n">
        <f aca="false">-CHOOSE(In_Sanction_Regime,$E85,$F85)*N(AND(DV$3&lt;=$E86,DV$4&gt;=$E86))</f>
        <v>-0</v>
      </c>
      <c r="DW86" s="47" t="n">
        <f aca="false">-CHOOSE(In_Sanction_Regime,$E85,$F85)*N(AND(DW$3&lt;=$E86,DW$4&gt;=$E86))</f>
        <v>-0</v>
      </c>
      <c r="DX86" s="47" t="n">
        <f aca="false">-CHOOSE(In_Sanction_Regime,$E85,$F85)*N(AND(DX$3&lt;=$E86,DX$4&gt;=$E86))</f>
        <v>-0</v>
      </c>
      <c r="DY86" s="47" t="n">
        <f aca="false">-CHOOSE(In_Sanction_Regime,$E85,$F85)*N(AND(DY$3&lt;=$E86,DY$4&gt;=$E86))</f>
        <v>-0</v>
      </c>
      <c r="DZ86" s="47" t="n">
        <f aca="false">-CHOOSE(In_Sanction_Regime,$E85,$F85)*N(AND(DZ$3&lt;=$E86,DZ$4&gt;=$E86))</f>
        <v>-0</v>
      </c>
      <c r="EA86" s="47" t="n">
        <f aca="false">-CHOOSE(In_Sanction_Regime,$E85,$F85)*N(AND(EA$3&lt;=$E86,EA$4&gt;=$E86))</f>
        <v>-0</v>
      </c>
      <c r="EB86" s="47" t="n">
        <f aca="false">-CHOOSE(In_Sanction_Regime,$E85,$F85)*N(AND(EB$3&lt;=$E86,EB$4&gt;=$E86))</f>
        <v>-0</v>
      </c>
      <c r="EC86" s="47" t="n">
        <f aca="false">-CHOOSE(In_Sanction_Regime,$E85,$F85)*N(AND(EC$3&lt;=$E86,EC$4&gt;=$E86))</f>
        <v>-0</v>
      </c>
      <c r="ED86" s="47" t="n">
        <f aca="false">-CHOOSE(In_Sanction_Regime,$E85,$F85)*N(AND(ED$3&lt;=$E86,ED$4&gt;=$E86))</f>
        <v>-0</v>
      </c>
      <c r="EE86" s="47" t="n">
        <f aca="false">-CHOOSE(In_Sanction_Regime,$E85,$F85)*N(AND(EE$3&lt;=$E86,EE$4&gt;=$E86))</f>
        <v>-0</v>
      </c>
      <c r="EF86" s="47" t="n">
        <f aca="false">-CHOOSE(In_Sanction_Regime,$E85,$F85)*N(AND(EF$3&lt;=$E86,EF$4&gt;=$E86))</f>
        <v>-0</v>
      </c>
      <c r="EG86" s="47" t="n">
        <f aca="false">-CHOOSE(In_Sanction_Regime,$E85,$F85)*N(AND(EG$3&lt;=$E86,EG$4&gt;=$E86))</f>
        <v>-0</v>
      </c>
      <c r="EH86" s="47" t="n">
        <f aca="false">-CHOOSE(In_Sanction_Regime,$E85,$F85)*N(AND(EH$3&lt;=$E86,EH$4&gt;=$E86))</f>
        <v>-0</v>
      </c>
      <c r="EI86" s="47" t="n">
        <f aca="false">-CHOOSE(In_Sanction_Regime,$E85,$F85)*N(AND(EI$3&lt;=$E86,EI$4&gt;=$E86))</f>
        <v>-0</v>
      </c>
      <c r="EJ86" s="47" t="n">
        <f aca="false">-CHOOSE(In_Sanction_Regime,$E85,$F85)*N(AND(EJ$3&lt;=$E86,EJ$4&gt;=$E86))</f>
        <v>-0</v>
      </c>
      <c r="EK86" s="47" t="n">
        <f aca="false">-CHOOSE(In_Sanction_Regime,$E85,$F85)*N(AND(EK$3&lt;=$E86,EK$4&gt;=$E86))</f>
        <v>-0</v>
      </c>
      <c r="EL86" s="47" t="n">
        <f aca="false">-CHOOSE(In_Sanction_Regime,$E85,$F85)*N(AND(EL$3&lt;=$E86,EL$4&gt;=$E86))</f>
        <v>-0</v>
      </c>
      <c r="EM86" s="47" t="n">
        <f aca="false">-CHOOSE(In_Sanction_Regime,$E85,$F85)*N(AND(EM$3&lt;=$E86,EM$4&gt;=$E86))</f>
        <v>-0</v>
      </c>
      <c r="EN86" s="47" t="n">
        <f aca="false">-CHOOSE(In_Sanction_Regime,$E85,$F85)*N(AND(EN$3&lt;=$E86,EN$4&gt;=$E86))</f>
        <v>-0</v>
      </c>
      <c r="EO86" s="47" t="n">
        <f aca="false">-CHOOSE(In_Sanction_Regime,$E85,$F85)*N(AND(EO$3&lt;=$E86,EO$4&gt;=$E86))</f>
        <v>-0</v>
      </c>
      <c r="EP86" s="47" t="n">
        <f aca="false">-CHOOSE(In_Sanction_Regime,$E85,$F85)*N(AND(EP$3&lt;=$E86,EP$4&gt;=$E86))</f>
        <v>-0</v>
      </c>
      <c r="EQ86" s="47" t="n">
        <f aca="false">-CHOOSE(In_Sanction_Regime,$E85,$F85)*N(AND(EQ$3&lt;=$E86,EQ$4&gt;=$E86))</f>
        <v>-0</v>
      </c>
      <c r="ER86" s="47" t="n">
        <f aca="false">-CHOOSE(In_Sanction_Regime,$E85,$F85)*N(AND(ER$3&lt;=$E86,ER$4&gt;=$E86))</f>
        <v>-0</v>
      </c>
      <c r="ES86" s="47" t="n">
        <f aca="false">-CHOOSE(In_Sanction_Regime,$E85,$F85)*N(AND(ES$3&lt;=$E86,ES$4&gt;=$E86))</f>
        <v>-0</v>
      </c>
      <c r="ET86" s="47" t="n">
        <f aca="false">-CHOOSE(In_Sanction_Regime,$E85,$F85)*N(AND(ET$3&lt;=$E86,ET$4&gt;=$E86))</f>
        <v>-0</v>
      </c>
    </row>
    <row r="87" customFormat="false" ht="15" hidden="false" customHeight="false" outlineLevel="0" collapsed="false">
      <c r="C87" s="1" t="s">
        <v>508</v>
      </c>
      <c r="D87" s="12" t="s">
        <v>114</v>
      </c>
      <c r="E87" s="49" t="n">
        <f aca="false">($E83&gt;In_Tolerance_Cap)*$E83*In_MVA</f>
        <v>33.7748344370861</v>
      </c>
    </row>
    <row r="88" customFormat="false" ht="15" hidden="false" customHeight="false" outlineLevel="0" collapsed="false">
      <c r="C88" s="1" t="s">
        <v>115</v>
      </c>
      <c r="D88" s="12" t="s">
        <v>41</v>
      </c>
      <c r="E88" s="46" t="n">
        <f aca="false">N($I86&lt;0)</f>
        <v>1</v>
      </c>
    </row>
    <row r="90" customFormat="false" ht="15" hidden="false" customHeight="false" outlineLevel="0" collapsed="false">
      <c r="A90" s="10" t="s">
        <v>13</v>
      </c>
      <c r="B90" s="10"/>
      <c r="C90" s="10" t="s">
        <v>509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</row>
    <row r="91" customFormat="false" ht="15" hidden="false" customHeight="false" outlineLevel="0" collapsed="false">
      <c r="C91" s="1" t="s">
        <v>510</v>
      </c>
      <c r="D91" s="12" t="s">
        <v>27</v>
      </c>
      <c r="E91" s="47" t="n">
        <f aca="false">IF(In_CN_Turbine=1,In_Turbine_CN,In_Turbine)</f>
        <v>600</v>
      </c>
    </row>
    <row r="92" customFormat="false" ht="15" hidden="false" customHeight="false" outlineLevel="0" collapsed="false">
      <c r="C92" s="1" t="s">
        <v>511</v>
      </c>
      <c r="D92" s="12" t="s">
        <v>222</v>
      </c>
      <c r="E92" s="47" t="n">
        <f aca="false">IF(In_CN_Turbine=1,In_Substation_CN,In_Substation)</f>
        <v>12000</v>
      </c>
    </row>
    <row r="93" customFormat="false" ht="15" hidden="false" customHeight="false" outlineLevel="0" collapsed="false">
      <c r="C93" s="1" t="s">
        <v>512</v>
      </c>
      <c r="D93" s="12" t="s">
        <v>222</v>
      </c>
      <c r="E93" s="47" t="n">
        <f aca="false">(($E91+In_Other_Wind)*$F24+$E92)*(1+In_Capex_Contingency)+In_BESS_Capex*$F25</f>
        <v>125115</v>
      </c>
      <c r="I93" s="47" t="n">
        <f aca="false">SUM(J93:ET93)</f>
        <v>-125115</v>
      </c>
      <c r="J93" s="47" t="n">
        <f aca="false">-$E93*J13</f>
        <v>-0</v>
      </c>
      <c r="K93" s="47" t="n">
        <f aca="false">-$E93*K13</f>
        <v>-0</v>
      </c>
      <c r="L93" s="47" t="n">
        <f aca="false">-$E93*L13</f>
        <v>-0</v>
      </c>
      <c r="M93" s="47" t="n">
        <f aca="false">-$E93*M13</f>
        <v>-0</v>
      </c>
      <c r="N93" s="47" t="n">
        <f aca="false">-$E93*N13</f>
        <v>-0</v>
      </c>
      <c r="O93" s="47" t="n">
        <f aca="false">-$E93*O13</f>
        <v>-0</v>
      </c>
      <c r="P93" s="47" t="n">
        <f aca="false">-$E93*P13</f>
        <v>-0</v>
      </c>
      <c r="Q93" s="47" t="n">
        <f aca="false">-$E93*Q13</f>
        <v>-0</v>
      </c>
      <c r="R93" s="47" t="n">
        <f aca="false">-$E93*R13</f>
        <v>-0</v>
      </c>
      <c r="S93" s="47" t="n">
        <f aca="false">-$E93*S13</f>
        <v>-0</v>
      </c>
      <c r="T93" s="47" t="n">
        <f aca="false">-$E93*T13</f>
        <v>-0</v>
      </c>
      <c r="U93" s="47" t="n">
        <f aca="false">-$E93*U13</f>
        <v>-0</v>
      </c>
      <c r="V93" s="47" t="n">
        <f aca="false">-$E93*V13</f>
        <v>-0</v>
      </c>
      <c r="W93" s="47" t="n">
        <f aca="false">-$E93*W13</f>
        <v>-15767.9178082192</v>
      </c>
      <c r="X93" s="47" t="n">
        <f aca="false">-$E93*X13</f>
        <v>-15425.1369863014</v>
      </c>
      <c r="Y93" s="47" t="n">
        <f aca="false">-$E93*Y13</f>
        <v>-15596.5273972603</v>
      </c>
      <c r="Z93" s="47" t="n">
        <f aca="false">-$E93*Z13</f>
        <v>-15767.9178082192</v>
      </c>
      <c r="AA93" s="47" t="n">
        <f aca="false">-$E93*AA13</f>
        <v>-15767.9178082192</v>
      </c>
      <c r="AB93" s="47" t="n">
        <f aca="false">-$E93*AB13</f>
        <v>-15425.1369863014</v>
      </c>
      <c r="AC93" s="47" t="n">
        <f aca="false">-$E93*AC13</f>
        <v>-15596.5273972603</v>
      </c>
      <c r="AD93" s="47" t="n">
        <f aca="false">-$E93*AD13</f>
        <v>-15767.9178082192</v>
      </c>
      <c r="AE93" s="47" t="n">
        <f aca="false">-$E93*AE13</f>
        <v>-0</v>
      </c>
      <c r="AF93" s="47" t="n">
        <f aca="false">-$E93*AF13</f>
        <v>-0</v>
      </c>
      <c r="AG93" s="47" t="n">
        <f aca="false">-$E93*AG13</f>
        <v>-0</v>
      </c>
      <c r="AH93" s="47" t="n">
        <f aca="false">-$E93*AH13</f>
        <v>-0</v>
      </c>
      <c r="AI93" s="47" t="n">
        <f aca="false">-$E93*AI13</f>
        <v>-0</v>
      </c>
      <c r="AJ93" s="47" t="n">
        <f aca="false">-$E93*AJ13</f>
        <v>-0</v>
      </c>
      <c r="AK93" s="47" t="n">
        <f aca="false">-$E93*AK13</f>
        <v>-0</v>
      </c>
      <c r="AL93" s="47" t="n">
        <f aca="false">-$E93*AL13</f>
        <v>-0</v>
      </c>
      <c r="AM93" s="47" t="n">
        <f aca="false">-$E93*AM13</f>
        <v>-0</v>
      </c>
      <c r="AN93" s="47" t="n">
        <f aca="false">-$E93*AN13</f>
        <v>-0</v>
      </c>
      <c r="AO93" s="47" t="n">
        <f aca="false">-$E93*AO13</f>
        <v>-0</v>
      </c>
      <c r="AP93" s="47" t="n">
        <f aca="false">-$E93*AP13</f>
        <v>-0</v>
      </c>
      <c r="AQ93" s="47" t="n">
        <f aca="false">-$E93*AQ13</f>
        <v>-0</v>
      </c>
      <c r="AR93" s="47" t="n">
        <f aca="false">-$E93*AR13</f>
        <v>-0</v>
      </c>
      <c r="AS93" s="47" t="n">
        <f aca="false">-$E93*AS13</f>
        <v>-0</v>
      </c>
      <c r="AT93" s="47" t="n">
        <f aca="false">-$E93*AT13</f>
        <v>-0</v>
      </c>
      <c r="AU93" s="47" t="n">
        <f aca="false">-$E93*AU13</f>
        <v>-0</v>
      </c>
      <c r="AV93" s="47" t="n">
        <f aca="false">-$E93*AV13</f>
        <v>-0</v>
      </c>
      <c r="AW93" s="47" t="n">
        <f aca="false">-$E93*AW13</f>
        <v>-0</v>
      </c>
      <c r="AX93" s="47" t="n">
        <f aca="false">-$E93*AX13</f>
        <v>-0</v>
      </c>
      <c r="AY93" s="47" t="n">
        <f aca="false">-$E93*AY13</f>
        <v>-0</v>
      </c>
      <c r="AZ93" s="47" t="n">
        <f aca="false">-$E93*AZ13</f>
        <v>-0</v>
      </c>
      <c r="BA93" s="47" t="n">
        <f aca="false">-$E93*BA13</f>
        <v>-0</v>
      </c>
      <c r="BB93" s="47" t="n">
        <f aca="false">-$E93*BB13</f>
        <v>-0</v>
      </c>
      <c r="BC93" s="47" t="n">
        <f aca="false">-$E93*BC13</f>
        <v>-0</v>
      </c>
      <c r="BD93" s="47" t="n">
        <f aca="false">-$E93*BD13</f>
        <v>-0</v>
      </c>
      <c r="BE93" s="47" t="n">
        <f aca="false">-$E93*BE13</f>
        <v>-0</v>
      </c>
      <c r="BF93" s="47" t="n">
        <f aca="false">-$E93*BF13</f>
        <v>-0</v>
      </c>
      <c r="BG93" s="47" t="n">
        <f aca="false">-$E93*BG13</f>
        <v>-0</v>
      </c>
      <c r="BH93" s="47" t="n">
        <f aca="false">-$E93*BH13</f>
        <v>-0</v>
      </c>
      <c r="BI93" s="47" t="n">
        <f aca="false">-$E93*BI13</f>
        <v>-0</v>
      </c>
      <c r="BJ93" s="47" t="n">
        <f aca="false">-$E93*BJ13</f>
        <v>-0</v>
      </c>
      <c r="BK93" s="47" t="n">
        <f aca="false">-$E93*BK13</f>
        <v>-0</v>
      </c>
      <c r="BL93" s="47" t="n">
        <f aca="false">-$E93*BL13</f>
        <v>-0</v>
      </c>
      <c r="BM93" s="47" t="n">
        <f aca="false">-$E93*BM13</f>
        <v>-0</v>
      </c>
      <c r="BN93" s="47" t="n">
        <f aca="false">-$E93*BN13</f>
        <v>-0</v>
      </c>
      <c r="BO93" s="47" t="n">
        <f aca="false">-$E93*BO13</f>
        <v>-0</v>
      </c>
      <c r="BP93" s="47" t="n">
        <f aca="false">-$E93*BP13</f>
        <v>-0</v>
      </c>
      <c r="BQ93" s="47" t="n">
        <f aca="false">-$E93*BQ13</f>
        <v>-0</v>
      </c>
      <c r="BR93" s="47" t="n">
        <f aca="false">-$E93*BR13</f>
        <v>-0</v>
      </c>
      <c r="BS93" s="47" t="n">
        <f aca="false">-$E93*BS13</f>
        <v>-0</v>
      </c>
      <c r="BT93" s="47" t="n">
        <f aca="false">-$E93*BT13</f>
        <v>-0</v>
      </c>
      <c r="BU93" s="47" t="n">
        <f aca="false">-$E93*BU13</f>
        <v>-0</v>
      </c>
      <c r="BV93" s="47" t="n">
        <f aca="false">-$E93*BV13</f>
        <v>-0</v>
      </c>
      <c r="BW93" s="47" t="n">
        <f aca="false">-$E93*BW13</f>
        <v>-0</v>
      </c>
      <c r="BX93" s="47" t="n">
        <f aca="false">-$E93*BX13</f>
        <v>-0</v>
      </c>
      <c r="BY93" s="47" t="n">
        <f aca="false">-$E93*BY13</f>
        <v>-0</v>
      </c>
      <c r="BZ93" s="47" t="n">
        <f aca="false">-$E93*BZ13</f>
        <v>-0</v>
      </c>
      <c r="CA93" s="47" t="n">
        <f aca="false">-$E93*CA13</f>
        <v>-0</v>
      </c>
      <c r="CB93" s="47" t="n">
        <f aca="false">-$E93*CB13</f>
        <v>-0</v>
      </c>
      <c r="CC93" s="47" t="n">
        <f aca="false">-$E93*CC13</f>
        <v>-0</v>
      </c>
      <c r="CD93" s="47" t="n">
        <f aca="false">-$E93*CD13</f>
        <v>-0</v>
      </c>
      <c r="CE93" s="47" t="n">
        <f aca="false">-$E93*CE13</f>
        <v>-0</v>
      </c>
      <c r="CF93" s="47" t="n">
        <f aca="false">-$E93*CF13</f>
        <v>-0</v>
      </c>
      <c r="CG93" s="47" t="n">
        <f aca="false">-$E93*CG13</f>
        <v>-0</v>
      </c>
      <c r="CH93" s="47" t="n">
        <f aca="false">-$E93*CH13</f>
        <v>-0</v>
      </c>
      <c r="CI93" s="47" t="n">
        <f aca="false">-$E93*CI13</f>
        <v>-0</v>
      </c>
      <c r="CJ93" s="47" t="n">
        <f aca="false">-$E93*CJ13</f>
        <v>-0</v>
      </c>
      <c r="CK93" s="47" t="n">
        <f aca="false">-$E93*CK13</f>
        <v>-0</v>
      </c>
      <c r="CL93" s="47" t="n">
        <f aca="false">-$E93*CL13</f>
        <v>-0</v>
      </c>
      <c r="CM93" s="47" t="n">
        <f aca="false">-$E93*CM13</f>
        <v>-0</v>
      </c>
      <c r="CN93" s="47" t="n">
        <f aca="false">-$E93*CN13</f>
        <v>-0</v>
      </c>
      <c r="CO93" s="47" t="n">
        <f aca="false">-$E93*CO13</f>
        <v>-0</v>
      </c>
      <c r="CP93" s="47" t="n">
        <f aca="false">-$E93*CP13</f>
        <v>-0</v>
      </c>
      <c r="CQ93" s="47" t="n">
        <f aca="false">-$E93*CQ13</f>
        <v>-0</v>
      </c>
      <c r="CR93" s="47" t="n">
        <f aca="false">-$E93*CR13</f>
        <v>-0</v>
      </c>
      <c r="CS93" s="47" t="n">
        <f aca="false">-$E93*CS13</f>
        <v>-0</v>
      </c>
      <c r="CT93" s="47" t="n">
        <f aca="false">-$E93*CT13</f>
        <v>-0</v>
      </c>
      <c r="CU93" s="47" t="n">
        <f aca="false">-$E93*CU13</f>
        <v>-0</v>
      </c>
      <c r="CV93" s="47" t="n">
        <f aca="false">-$E93*CV13</f>
        <v>-0</v>
      </c>
      <c r="CW93" s="47" t="n">
        <f aca="false">-$E93*CW13</f>
        <v>-0</v>
      </c>
      <c r="CX93" s="47" t="n">
        <f aca="false">-$E93*CX13</f>
        <v>-0</v>
      </c>
      <c r="CY93" s="47" t="n">
        <f aca="false">-$E93*CY13</f>
        <v>-0</v>
      </c>
      <c r="CZ93" s="47" t="n">
        <f aca="false">-$E93*CZ13</f>
        <v>-0</v>
      </c>
      <c r="DA93" s="47" t="n">
        <f aca="false">-$E93*DA13</f>
        <v>-0</v>
      </c>
      <c r="DB93" s="47" t="n">
        <f aca="false">-$E93*DB13</f>
        <v>-0</v>
      </c>
      <c r="DC93" s="47" t="n">
        <f aca="false">-$E93*DC13</f>
        <v>-0</v>
      </c>
      <c r="DD93" s="47" t="n">
        <f aca="false">-$E93*DD13</f>
        <v>-0</v>
      </c>
      <c r="DE93" s="47" t="n">
        <f aca="false">-$E93*DE13</f>
        <v>-0</v>
      </c>
      <c r="DF93" s="47" t="n">
        <f aca="false">-$E93*DF13</f>
        <v>-0</v>
      </c>
      <c r="DG93" s="47" t="n">
        <f aca="false">-$E93*DG13</f>
        <v>-0</v>
      </c>
      <c r="DH93" s="47" t="n">
        <f aca="false">-$E93*DH13</f>
        <v>-0</v>
      </c>
      <c r="DI93" s="47" t="n">
        <f aca="false">-$E93*DI13</f>
        <v>-0</v>
      </c>
      <c r="DJ93" s="47" t="n">
        <f aca="false">-$E93*DJ13</f>
        <v>-0</v>
      </c>
      <c r="DK93" s="47" t="n">
        <f aca="false">-$E93*DK13</f>
        <v>-0</v>
      </c>
      <c r="DL93" s="47" t="n">
        <f aca="false">-$E93*DL13</f>
        <v>-0</v>
      </c>
      <c r="DM93" s="47" t="n">
        <f aca="false">-$E93*DM13</f>
        <v>-0</v>
      </c>
      <c r="DN93" s="47" t="n">
        <f aca="false">-$E93*DN13</f>
        <v>-0</v>
      </c>
      <c r="DO93" s="47" t="n">
        <f aca="false">-$E93*DO13</f>
        <v>-0</v>
      </c>
      <c r="DP93" s="47" t="n">
        <f aca="false">-$E93*DP13</f>
        <v>-0</v>
      </c>
      <c r="DQ93" s="47" t="n">
        <f aca="false">-$E93*DQ13</f>
        <v>-0</v>
      </c>
      <c r="DR93" s="47" t="n">
        <f aca="false">-$E93*DR13</f>
        <v>-0</v>
      </c>
      <c r="DS93" s="47" t="n">
        <f aca="false">-$E93*DS13</f>
        <v>-0</v>
      </c>
      <c r="DT93" s="47" t="n">
        <f aca="false">-$E93*DT13</f>
        <v>-0</v>
      </c>
      <c r="DU93" s="47" t="n">
        <f aca="false">-$E93*DU13</f>
        <v>-0</v>
      </c>
      <c r="DV93" s="47" t="n">
        <f aca="false">-$E93*DV13</f>
        <v>-0</v>
      </c>
      <c r="DW93" s="47" t="n">
        <f aca="false">-$E93*DW13</f>
        <v>-0</v>
      </c>
      <c r="DX93" s="47" t="n">
        <f aca="false">-$E93*DX13</f>
        <v>-0</v>
      </c>
      <c r="DY93" s="47" t="n">
        <f aca="false">-$E93*DY13</f>
        <v>-0</v>
      </c>
      <c r="DZ93" s="47" t="n">
        <f aca="false">-$E93*DZ13</f>
        <v>-0</v>
      </c>
      <c r="EA93" s="47" t="n">
        <f aca="false">-$E93*EA13</f>
        <v>-0</v>
      </c>
      <c r="EB93" s="47" t="n">
        <f aca="false">-$E93*EB13</f>
        <v>-0</v>
      </c>
      <c r="EC93" s="47" t="n">
        <f aca="false">-$E93*EC13</f>
        <v>-0</v>
      </c>
      <c r="ED93" s="47" t="n">
        <f aca="false">-$E93*ED13</f>
        <v>-0</v>
      </c>
      <c r="EE93" s="47" t="n">
        <f aca="false">-$E93*EE13</f>
        <v>-0</v>
      </c>
      <c r="EF93" s="47" t="n">
        <f aca="false">-$E93*EF13</f>
        <v>-0</v>
      </c>
      <c r="EG93" s="47" t="n">
        <f aca="false">-$E93*EG13</f>
        <v>-0</v>
      </c>
      <c r="EH93" s="47" t="n">
        <f aca="false">-$E93*EH13</f>
        <v>-0</v>
      </c>
      <c r="EI93" s="47" t="n">
        <f aca="false">-$E93*EI13</f>
        <v>-0</v>
      </c>
      <c r="EJ93" s="47" t="n">
        <f aca="false">-$E93*EJ13</f>
        <v>-0</v>
      </c>
      <c r="EK93" s="47" t="n">
        <f aca="false">-$E93*EK13</f>
        <v>-0</v>
      </c>
      <c r="EL93" s="47" t="n">
        <f aca="false">-$E93*EL13</f>
        <v>-0</v>
      </c>
      <c r="EM93" s="47" t="n">
        <f aca="false">-$E93*EM13</f>
        <v>-0</v>
      </c>
      <c r="EN93" s="47" t="n">
        <f aca="false">-$E93*EN13</f>
        <v>-0</v>
      </c>
      <c r="EO93" s="47" t="n">
        <f aca="false">-$E93*EO13</f>
        <v>-0</v>
      </c>
      <c r="EP93" s="47" t="n">
        <f aca="false">-$E93*EP13</f>
        <v>-0</v>
      </c>
      <c r="EQ93" s="47" t="n">
        <f aca="false">-$E93*EQ13</f>
        <v>-0</v>
      </c>
      <c r="ER93" s="47" t="n">
        <f aca="false">-$E93*ER13</f>
        <v>-0</v>
      </c>
      <c r="ES93" s="47" t="n">
        <f aca="false">-$E93*ES13</f>
        <v>-0</v>
      </c>
      <c r="ET93" s="47" t="n">
        <f aca="false">-$E93*ET13</f>
        <v>-0</v>
      </c>
    </row>
    <row r="94" customFormat="false" ht="15" hidden="false" customHeight="false" outlineLevel="0" collapsed="false">
      <c r="C94" s="1" t="s">
        <v>513</v>
      </c>
      <c r="D94" s="12" t="s">
        <v>222</v>
      </c>
      <c r="E94" s="47" t="n">
        <f aca="false">$E30*In_MVA</f>
        <v>5000</v>
      </c>
      <c r="I94" s="47" t="n">
        <f aca="false">SUM(J94:ET94)</f>
        <v>-5000</v>
      </c>
      <c r="J94" s="47" t="n">
        <f aca="false">-$E94*J14</f>
        <v>-0</v>
      </c>
      <c r="K94" s="47" t="n">
        <f aca="false">-$E94*K14</f>
        <v>-0</v>
      </c>
      <c r="L94" s="47" t="n">
        <f aca="false">-$E94*L14</f>
        <v>-0</v>
      </c>
      <c r="M94" s="47" t="n">
        <f aca="false">-$E94*M14</f>
        <v>-0</v>
      </c>
      <c r="N94" s="47" t="n">
        <f aca="false">-$E94*N14</f>
        <v>-0</v>
      </c>
      <c r="O94" s="47" t="n">
        <f aca="false">-$E94*O14</f>
        <v>-0</v>
      </c>
      <c r="P94" s="47" t="n">
        <f aca="false">-$E94*P14</f>
        <v>-0</v>
      </c>
      <c r="Q94" s="47" t="n">
        <f aca="false">-$E94*Q14</f>
        <v>-0</v>
      </c>
      <c r="R94" s="47" t="n">
        <f aca="false">-$E94*R14</f>
        <v>-0</v>
      </c>
      <c r="S94" s="47" t="n">
        <f aca="false">-$E94*S14</f>
        <v>-0</v>
      </c>
      <c r="T94" s="47" t="n">
        <f aca="false">-$E94*T14</f>
        <v>-0</v>
      </c>
      <c r="U94" s="47" t="n">
        <f aca="false">-$E94*U14</f>
        <v>-0</v>
      </c>
      <c r="V94" s="47" t="n">
        <f aca="false">-$E94*V14</f>
        <v>-0</v>
      </c>
      <c r="W94" s="47" t="n">
        <f aca="false">-$E94*W14</f>
        <v>-0</v>
      </c>
      <c r="X94" s="47" t="n">
        <f aca="false">-$E94*X14</f>
        <v>-0</v>
      </c>
      <c r="Y94" s="47" t="n">
        <f aca="false">-$E94*Y14</f>
        <v>-0</v>
      </c>
      <c r="Z94" s="47" t="n">
        <f aca="false">-$E94*Z14</f>
        <v>-0</v>
      </c>
      <c r="AA94" s="47" t="n">
        <f aca="false">-$E94*AA14</f>
        <v>-0</v>
      </c>
      <c r="AB94" s="47" t="n">
        <f aca="false">-$E94*AB14</f>
        <v>-0</v>
      </c>
      <c r="AC94" s="47" t="n">
        <f aca="false">-$E94*AC14</f>
        <v>-0</v>
      </c>
      <c r="AD94" s="47" t="n">
        <f aca="false">-$E94*AD14</f>
        <v>-5000</v>
      </c>
      <c r="AE94" s="47" t="n">
        <f aca="false">-$E94*AE14</f>
        <v>-0</v>
      </c>
      <c r="AF94" s="47" t="n">
        <f aca="false">-$E94*AF14</f>
        <v>-0</v>
      </c>
      <c r="AG94" s="47" t="n">
        <f aca="false">-$E94*AG14</f>
        <v>-0</v>
      </c>
      <c r="AH94" s="47" t="n">
        <f aca="false">-$E94*AH14</f>
        <v>-0</v>
      </c>
      <c r="AI94" s="47" t="n">
        <f aca="false">-$E94*AI14</f>
        <v>-0</v>
      </c>
      <c r="AJ94" s="47" t="n">
        <f aca="false">-$E94*AJ14</f>
        <v>-0</v>
      </c>
      <c r="AK94" s="47" t="n">
        <f aca="false">-$E94*AK14</f>
        <v>-0</v>
      </c>
      <c r="AL94" s="47" t="n">
        <f aca="false">-$E94*AL14</f>
        <v>-0</v>
      </c>
      <c r="AM94" s="47" t="n">
        <f aca="false">-$E94*AM14</f>
        <v>-0</v>
      </c>
      <c r="AN94" s="47" t="n">
        <f aca="false">-$E94*AN14</f>
        <v>-0</v>
      </c>
      <c r="AO94" s="47" t="n">
        <f aca="false">-$E94*AO14</f>
        <v>-0</v>
      </c>
      <c r="AP94" s="47" t="n">
        <f aca="false">-$E94*AP14</f>
        <v>-0</v>
      </c>
      <c r="AQ94" s="47" t="n">
        <f aca="false">-$E94*AQ14</f>
        <v>-0</v>
      </c>
      <c r="AR94" s="47" t="n">
        <f aca="false">-$E94*AR14</f>
        <v>-0</v>
      </c>
      <c r="AS94" s="47" t="n">
        <f aca="false">-$E94*AS14</f>
        <v>-0</v>
      </c>
      <c r="AT94" s="47" t="n">
        <f aca="false">-$E94*AT14</f>
        <v>-0</v>
      </c>
      <c r="AU94" s="47" t="n">
        <f aca="false">-$E94*AU14</f>
        <v>-0</v>
      </c>
      <c r="AV94" s="47" t="n">
        <f aca="false">-$E94*AV14</f>
        <v>-0</v>
      </c>
      <c r="AW94" s="47" t="n">
        <f aca="false">-$E94*AW14</f>
        <v>-0</v>
      </c>
      <c r="AX94" s="47" t="n">
        <f aca="false">-$E94*AX14</f>
        <v>-0</v>
      </c>
      <c r="AY94" s="47" t="n">
        <f aca="false">-$E94*AY14</f>
        <v>-0</v>
      </c>
      <c r="AZ94" s="47" t="n">
        <f aca="false">-$E94*AZ14</f>
        <v>-0</v>
      </c>
      <c r="BA94" s="47" t="n">
        <f aca="false">-$E94*BA14</f>
        <v>-0</v>
      </c>
      <c r="BB94" s="47" t="n">
        <f aca="false">-$E94*BB14</f>
        <v>-0</v>
      </c>
      <c r="BC94" s="47" t="n">
        <f aca="false">-$E94*BC14</f>
        <v>-0</v>
      </c>
      <c r="BD94" s="47" t="n">
        <f aca="false">-$E94*BD14</f>
        <v>-0</v>
      </c>
      <c r="BE94" s="47" t="n">
        <f aca="false">-$E94*BE14</f>
        <v>-0</v>
      </c>
      <c r="BF94" s="47" t="n">
        <f aca="false">-$E94*BF14</f>
        <v>-0</v>
      </c>
      <c r="BG94" s="47" t="n">
        <f aca="false">-$E94*BG14</f>
        <v>-0</v>
      </c>
      <c r="BH94" s="47" t="n">
        <f aca="false">-$E94*BH14</f>
        <v>-0</v>
      </c>
      <c r="BI94" s="47" t="n">
        <f aca="false">-$E94*BI14</f>
        <v>-0</v>
      </c>
      <c r="BJ94" s="47" t="n">
        <f aca="false">-$E94*BJ14</f>
        <v>-0</v>
      </c>
      <c r="BK94" s="47" t="n">
        <f aca="false">-$E94*BK14</f>
        <v>-0</v>
      </c>
      <c r="BL94" s="47" t="n">
        <f aca="false">-$E94*BL14</f>
        <v>-0</v>
      </c>
      <c r="BM94" s="47" t="n">
        <f aca="false">-$E94*BM14</f>
        <v>-0</v>
      </c>
      <c r="BN94" s="47" t="n">
        <f aca="false">-$E94*BN14</f>
        <v>-0</v>
      </c>
      <c r="BO94" s="47" t="n">
        <f aca="false">-$E94*BO14</f>
        <v>-0</v>
      </c>
      <c r="BP94" s="47" t="n">
        <f aca="false">-$E94*BP14</f>
        <v>-0</v>
      </c>
      <c r="BQ94" s="47" t="n">
        <f aca="false">-$E94*BQ14</f>
        <v>-0</v>
      </c>
      <c r="BR94" s="47" t="n">
        <f aca="false">-$E94*BR14</f>
        <v>-0</v>
      </c>
      <c r="BS94" s="47" t="n">
        <f aca="false">-$E94*BS14</f>
        <v>-0</v>
      </c>
      <c r="BT94" s="47" t="n">
        <f aca="false">-$E94*BT14</f>
        <v>-0</v>
      </c>
      <c r="BU94" s="47" t="n">
        <f aca="false">-$E94*BU14</f>
        <v>-0</v>
      </c>
      <c r="BV94" s="47" t="n">
        <f aca="false">-$E94*BV14</f>
        <v>-0</v>
      </c>
      <c r="BW94" s="47" t="n">
        <f aca="false">-$E94*BW14</f>
        <v>-0</v>
      </c>
      <c r="BX94" s="47" t="n">
        <f aca="false">-$E94*BX14</f>
        <v>-0</v>
      </c>
      <c r="BY94" s="47" t="n">
        <f aca="false">-$E94*BY14</f>
        <v>-0</v>
      </c>
      <c r="BZ94" s="47" t="n">
        <f aca="false">-$E94*BZ14</f>
        <v>-0</v>
      </c>
      <c r="CA94" s="47" t="n">
        <f aca="false">-$E94*CA14</f>
        <v>-0</v>
      </c>
      <c r="CB94" s="47" t="n">
        <f aca="false">-$E94*CB14</f>
        <v>-0</v>
      </c>
      <c r="CC94" s="47" t="n">
        <f aca="false">-$E94*CC14</f>
        <v>-0</v>
      </c>
      <c r="CD94" s="47" t="n">
        <f aca="false">-$E94*CD14</f>
        <v>-0</v>
      </c>
      <c r="CE94" s="47" t="n">
        <f aca="false">-$E94*CE14</f>
        <v>-0</v>
      </c>
      <c r="CF94" s="47" t="n">
        <f aca="false">-$E94*CF14</f>
        <v>-0</v>
      </c>
      <c r="CG94" s="47" t="n">
        <f aca="false">-$E94*CG14</f>
        <v>-0</v>
      </c>
      <c r="CH94" s="47" t="n">
        <f aca="false">-$E94*CH14</f>
        <v>-0</v>
      </c>
      <c r="CI94" s="47" t="n">
        <f aca="false">-$E94*CI14</f>
        <v>-0</v>
      </c>
      <c r="CJ94" s="47" t="n">
        <f aca="false">-$E94*CJ14</f>
        <v>-0</v>
      </c>
      <c r="CK94" s="47" t="n">
        <f aca="false">-$E94*CK14</f>
        <v>-0</v>
      </c>
      <c r="CL94" s="47" t="n">
        <f aca="false">-$E94*CL14</f>
        <v>-0</v>
      </c>
      <c r="CM94" s="47" t="n">
        <f aca="false">-$E94*CM14</f>
        <v>-0</v>
      </c>
      <c r="CN94" s="47" t="n">
        <f aca="false">-$E94*CN14</f>
        <v>-0</v>
      </c>
      <c r="CO94" s="47" t="n">
        <f aca="false">-$E94*CO14</f>
        <v>-0</v>
      </c>
      <c r="CP94" s="47" t="n">
        <f aca="false">-$E94*CP14</f>
        <v>-0</v>
      </c>
      <c r="CQ94" s="47" t="n">
        <f aca="false">-$E94*CQ14</f>
        <v>-0</v>
      </c>
      <c r="CR94" s="47" t="n">
        <f aca="false">-$E94*CR14</f>
        <v>-0</v>
      </c>
      <c r="CS94" s="47" t="n">
        <f aca="false">-$E94*CS14</f>
        <v>-0</v>
      </c>
      <c r="CT94" s="47" t="n">
        <f aca="false">-$E94*CT14</f>
        <v>-0</v>
      </c>
      <c r="CU94" s="47" t="n">
        <f aca="false">-$E94*CU14</f>
        <v>-0</v>
      </c>
      <c r="CV94" s="47" t="n">
        <f aca="false">-$E94*CV14</f>
        <v>-0</v>
      </c>
      <c r="CW94" s="47" t="n">
        <f aca="false">-$E94*CW14</f>
        <v>-0</v>
      </c>
      <c r="CX94" s="47" t="n">
        <f aca="false">-$E94*CX14</f>
        <v>-0</v>
      </c>
      <c r="CY94" s="47" t="n">
        <f aca="false">-$E94*CY14</f>
        <v>-0</v>
      </c>
      <c r="CZ94" s="47" t="n">
        <f aca="false">-$E94*CZ14</f>
        <v>-0</v>
      </c>
      <c r="DA94" s="47" t="n">
        <f aca="false">-$E94*DA14</f>
        <v>-0</v>
      </c>
      <c r="DB94" s="47" t="n">
        <f aca="false">-$E94*DB14</f>
        <v>-0</v>
      </c>
      <c r="DC94" s="47" t="n">
        <f aca="false">-$E94*DC14</f>
        <v>-0</v>
      </c>
      <c r="DD94" s="47" t="n">
        <f aca="false">-$E94*DD14</f>
        <v>-0</v>
      </c>
      <c r="DE94" s="47" t="n">
        <f aca="false">-$E94*DE14</f>
        <v>-0</v>
      </c>
      <c r="DF94" s="47" t="n">
        <f aca="false">-$E94*DF14</f>
        <v>-0</v>
      </c>
      <c r="DG94" s="47" t="n">
        <f aca="false">-$E94*DG14</f>
        <v>-0</v>
      </c>
      <c r="DH94" s="47" t="n">
        <f aca="false">-$E94*DH14</f>
        <v>-0</v>
      </c>
      <c r="DI94" s="47" t="n">
        <f aca="false">-$E94*DI14</f>
        <v>-0</v>
      </c>
      <c r="DJ94" s="47" t="n">
        <f aca="false">-$E94*DJ14</f>
        <v>-0</v>
      </c>
      <c r="DK94" s="47" t="n">
        <f aca="false">-$E94*DK14</f>
        <v>-0</v>
      </c>
      <c r="DL94" s="47" t="n">
        <f aca="false">-$E94*DL14</f>
        <v>-0</v>
      </c>
      <c r="DM94" s="47" t="n">
        <f aca="false">-$E94*DM14</f>
        <v>-0</v>
      </c>
      <c r="DN94" s="47" t="n">
        <f aca="false">-$E94*DN14</f>
        <v>-0</v>
      </c>
      <c r="DO94" s="47" t="n">
        <f aca="false">-$E94*DO14</f>
        <v>-0</v>
      </c>
      <c r="DP94" s="47" t="n">
        <f aca="false">-$E94*DP14</f>
        <v>-0</v>
      </c>
      <c r="DQ94" s="47" t="n">
        <f aca="false">-$E94*DQ14</f>
        <v>-0</v>
      </c>
      <c r="DR94" s="47" t="n">
        <f aca="false">-$E94*DR14</f>
        <v>-0</v>
      </c>
      <c r="DS94" s="47" t="n">
        <f aca="false">-$E94*DS14</f>
        <v>-0</v>
      </c>
      <c r="DT94" s="47" t="n">
        <f aca="false">-$E94*DT14</f>
        <v>-0</v>
      </c>
      <c r="DU94" s="47" t="n">
        <f aca="false">-$E94*DU14</f>
        <v>-0</v>
      </c>
      <c r="DV94" s="47" t="n">
        <f aca="false">-$E94*DV14</f>
        <v>-0</v>
      </c>
      <c r="DW94" s="47" t="n">
        <f aca="false">-$E94*DW14</f>
        <v>-0</v>
      </c>
      <c r="DX94" s="47" t="n">
        <f aca="false">-$E94*DX14</f>
        <v>-0</v>
      </c>
      <c r="DY94" s="47" t="n">
        <f aca="false">-$E94*DY14</f>
        <v>-0</v>
      </c>
      <c r="DZ94" s="47" t="n">
        <f aca="false">-$E94*DZ14</f>
        <v>-0</v>
      </c>
      <c r="EA94" s="47" t="n">
        <f aca="false">-$E94*EA14</f>
        <v>-0</v>
      </c>
      <c r="EB94" s="47" t="n">
        <f aca="false">-$E94*EB14</f>
        <v>-0</v>
      </c>
      <c r="EC94" s="47" t="n">
        <f aca="false">-$E94*EC14</f>
        <v>-0</v>
      </c>
      <c r="ED94" s="47" t="n">
        <f aca="false">-$E94*ED14</f>
        <v>-0</v>
      </c>
      <c r="EE94" s="47" t="n">
        <f aca="false">-$E94*EE14</f>
        <v>-0</v>
      </c>
      <c r="EF94" s="47" t="n">
        <f aca="false">-$E94*EF14</f>
        <v>-0</v>
      </c>
      <c r="EG94" s="47" t="n">
        <f aca="false">-$E94*EG14</f>
        <v>-0</v>
      </c>
      <c r="EH94" s="47" t="n">
        <f aca="false">-$E94*EH14</f>
        <v>-0</v>
      </c>
      <c r="EI94" s="47" t="n">
        <f aca="false">-$E94*EI14</f>
        <v>-0</v>
      </c>
      <c r="EJ94" s="47" t="n">
        <f aca="false">-$E94*EJ14</f>
        <v>-0</v>
      </c>
      <c r="EK94" s="47" t="n">
        <f aca="false">-$E94*EK14</f>
        <v>-0</v>
      </c>
      <c r="EL94" s="47" t="n">
        <f aca="false">-$E94*EL14</f>
        <v>-0</v>
      </c>
      <c r="EM94" s="47" t="n">
        <f aca="false">-$E94*EM14</f>
        <v>-0</v>
      </c>
      <c r="EN94" s="47" t="n">
        <f aca="false">-$E94*EN14</f>
        <v>-0</v>
      </c>
      <c r="EO94" s="47" t="n">
        <f aca="false">-$E94*EO14</f>
        <v>-0</v>
      </c>
      <c r="EP94" s="47" t="n">
        <f aca="false">-$E94*EP14</f>
        <v>-0</v>
      </c>
      <c r="EQ94" s="47" t="n">
        <f aca="false">-$E94*EQ14</f>
        <v>-0</v>
      </c>
      <c r="ER94" s="47" t="n">
        <f aca="false">-$E94*ER14</f>
        <v>-0</v>
      </c>
      <c r="ES94" s="47" t="n">
        <f aca="false">-$E94*ES14</f>
        <v>-0</v>
      </c>
      <c r="ET94" s="47" t="n">
        <f aca="false">-$E94*ET14</f>
        <v>-0</v>
      </c>
    </row>
    <row r="95" customFormat="false" ht="15" hidden="false" customHeight="false" outlineLevel="0" collapsed="false">
      <c r="A95" s="36"/>
      <c r="B95" s="36"/>
      <c r="C95" s="36" t="s">
        <v>514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</row>
    <row r="96" customFormat="false" ht="15" hidden="false" customHeight="false" outlineLevel="0" collapsed="false">
      <c r="C96" s="1" t="s">
        <v>494</v>
      </c>
      <c r="D96" s="12" t="s">
        <v>222</v>
      </c>
      <c r="J96" s="23" t="n">
        <f aca="false">I100</f>
        <v>0</v>
      </c>
      <c r="K96" s="23" t="n">
        <f aca="false">J100</f>
        <v>0</v>
      </c>
      <c r="L96" s="23" t="n">
        <f aca="false">K100</f>
        <v>0</v>
      </c>
      <c r="M96" s="23" t="n">
        <f aca="false">L100</f>
        <v>0</v>
      </c>
      <c r="N96" s="23" t="n">
        <f aca="false">M100</f>
        <v>0</v>
      </c>
      <c r="O96" s="23" t="n">
        <f aca="false">N100</f>
        <v>0</v>
      </c>
      <c r="P96" s="23" t="n">
        <f aca="false">O100</f>
        <v>0</v>
      </c>
      <c r="Q96" s="23" t="n">
        <f aca="false">P100</f>
        <v>0</v>
      </c>
      <c r="R96" s="23" t="n">
        <f aca="false">Q100</f>
        <v>0</v>
      </c>
      <c r="S96" s="23" t="n">
        <f aca="false">R100</f>
        <v>0</v>
      </c>
      <c r="T96" s="23" t="n">
        <f aca="false">S100</f>
        <v>0</v>
      </c>
      <c r="U96" s="23" t="n">
        <f aca="false">T100</f>
        <v>0</v>
      </c>
      <c r="V96" s="23" t="n">
        <f aca="false">U100</f>
        <v>0</v>
      </c>
      <c r="W96" s="23" t="n">
        <f aca="false">V100</f>
        <v>0</v>
      </c>
      <c r="X96" s="23" t="n">
        <f aca="false">W100</f>
        <v>11364.7262807311</v>
      </c>
      <c r="Y96" s="23" t="n">
        <f aca="false">X100</f>
        <v>22624.4523729989</v>
      </c>
      <c r="Z96" s="23" t="n">
        <f aca="false">Y100</f>
        <v>34148.4546749063</v>
      </c>
      <c r="AA96" s="23" t="n">
        <f aca="false">Z100</f>
        <v>45940.0366390737</v>
      </c>
      <c r="AB96" s="23" t="n">
        <f aca="false">AA100</f>
        <v>57879.0133777932</v>
      </c>
      <c r="AC96" s="23" t="n">
        <f aca="false">AB100</f>
        <v>69720.1680587743</v>
      </c>
      <c r="AD96" s="23" t="n">
        <f aca="false">AC100</f>
        <v>81832.8668067539</v>
      </c>
      <c r="AE96" s="23" t="n">
        <f aca="false">AD100</f>
        <v>94220.5039225694</v>
      </c>
      <c r="AF96" s="23" t="n">
        <f aca="false">AE100</f>
        <v>92390.6085172141</v>
      </c>
      <c r="AG96" s="23" t="n">
        <f aca="false">AF100</f>
        <v>90537.8394192919</v>
      </c>
      <c r="AH96" s="23" t="n">
        <f aca="false">AG100</f>
        <v>88661.9107076456</v>
      </c>
      <c r="AI96" s="23" t="n">
        <f aca="false">AH100</f>
        <v>86762.5328871038</v>
      </c>
      <c r="AJ96" s="23" t="n">
        <f aca="false">AI100</f>
        <v>84839.4128438052</v>
      </c>
      <c r="AK96" s="23" t="n">
        <f aca="false">AJ100</f>
        <v>82892.2537999654</v>
      </c>
      <c r="AL96" s="23" t="n">
        <f aca="false">AK100</f>
        <v>80920.7552680775</v>
      </c>
      <c r="AM96" s="23" t="n">
        <f aca="false">AL100</f>
        <v>78924.6130045411</v>
      </c>
      <c r="AN96" s="23" t="n">
        <f aca="false">AM100</f>
        <v>76903.5189627105</v>
      </c>
      <c r="AO96" s="23" t="n">
        <f aca="false">AN100</f>
        <v>74857.1612453569</v>
      </c>
      <c r="AP96" s="23" t="n">
        <f aca="false">AO100</f>
        <v>72785.2240565365</v>
      </c>
      <c r="AQ96" s="23" t="n">
        <f aca="false">AP100</f>
        <v>70687.3876528558</v>
      </c>
      <c r="AR96" s="23" t="n">
        <f aca="false">AQ100</f>
        <v>68563.3282941291</v>
      </c>
      <c r="AS96" s="23" t="n">
        <f aca="false">AR100</f>
        <v>66412.7181934183</v>
      </c>
      <c r="AT96" s="23" t="n">
        <f aca="false">AS100</f>
        <v>64235.2254664487</v>
      </c>
      <c r="AU96" s="23" t="n">
        <f aca="false">AT100</f>
        <v>62030.5140803919</v>
      </c>
      <c r="AV96" s="23" t="n">
        <f aca="false">AU100</f>
        <v>59798.2438020094</v>
      </c>
      <c r="AW96" s="23" t="n">
        <f aca="false">AV100</f>
        <v>57538.0701451471</v>
      </c>
      <c r="AX96" s="23" t="n">
        <f aca="false">AW100</f>
        <v>55249.644317574</v>
      </c>
      <c r="AY96" s="23" t="n">
        <f aca="false">AX100</f>
        <v>52932.6131671563</v>
      </c>
      <c r="AZ96" s="23" t="n">
        <f aca="false">AY100</f>
        <v>50586.6191273584</v>
      </c>
      <c r="BA96" s="23" t="n">
        <f aca="false">AZ100</f>
        <v>48211.3001620629</v>
      </c>
      <c r="BB96" s="23" t="n">
        <f aca="false">BA100</f>
        <v>45806.2897097013</v>
      </c>
      <c r="BC96" s="23" t="n">
        <f aca="false">BB100</f>
        <v>43371.2166266852</v>
      </c>
      <c r="BD96" s="23" t="n">
        <f aca="false">BC100</f>
        <v>40905.7051301314</v>
      </c>
      <c r="BE96" s="23" t="n">
        <f aca="false">BD100</f>
        <v>38409.3747398706</v>
      </c>
      <c r="BF96" s="23" t="n">
        <f aca="false">BE100</f>
        <v>35881.8402197316</v>
      </c>
      <c r="BG96" s="23" t="n">
        <f aca="false">BF100</f>
        <v>33322.7115180908</v>
      </c>
      <c r="BH96" s="23" t="n">
        <f aca="false">BG100</f>
        <v>30731.5937076796</v>
      </c>
      <c r="BI96" s="23" t="n">
        <f aca="false">BH100</f>
        <v>28108.0869246381</v>
      </c>
      <c r="BJ96" s="23" t="n">
        <f aca="false">BI100</f>
        <v>25451.7863068087</v>
      </c>
      <c r="BK96" s="23" t="n">
        <f aca="false">BJ100</f>
        <v>22762.2819312564</v>
      </c>
      <c r="BL96" s="23" t="n">
        <f aca="false">BK100</f>
        <v>20039.1587510097</v>
      </c>
      <c r="BM96" s="23" t="n">
        <f aca="false">BL100</f>
        <v>17281.99653101</v>
      </c>
      <c r="BN96" s="23" t="n">
        <f aca="false">BM100</f>
        <v>14490.3697832602</v>
      </c>
      <c r="BO96" s="23" t="n">
        <f aca="false">BN100</f>
        <v>11663.8477011635</v>
      </c>
      <c r="BP96" s="23" t="n">
        <f aca="false">BO100</f>
        <v>8801.99409304069</v>
      </c>
      <c r="BQ96" s="23" t="n">
        <f aca="false">BP100</f>
        <v>5904.36731481629</v>
      </c>
      <c r="BR96" s="23" t="n">
        <f aca="false">BQ100</f>
        <v>2970.5202018641</v>
      </c>
      <c r="BS96" s="23" t="n">
        <f aca="false">BR100</f>
        <v>0</v>
      </c>
      <c r="BT96" s="23" t="n">
        <f aca="false">BS100</f>
        <v>0</v>
      </c>
      <c r="BU96" s="23" t="n">
        <f aca="false">BT100</f>
        <v>0</v>
      </c>
      <c r="BV96" s="23" t="n">
        <f aca="false">BU100</f>
        <v>0</v>
      </c>
      <c r="BW96" s="23" t="n">
        <f aca="false">BV100</f>
        <v>0</v>
      </c>
      <c r="BX96" s="23" t="n">
        <f aca="false">BW100</f>
        <v>0</v>
      </c>
      <c r="BY96" s="23" t="n">
        <f aca="false">BX100</f>
        <v>0</v>
      </c>
      <c r="BZ96" s="23" t="n">
        <f aca="false">BY100</f>
        <v>0</v>
      </c>
      <c r="CA96" s="23" t="n">
        <f aca="false">BZ100</f>
        <v>0</v>
      </c>
      <c r="CB96" s="23" t="n">
        <f aca="false">CA100</f>
        <v>0</v>
      </c>
      <c r="CC96" s="23" t="n">
        <f aca="false">CB100</f>
        <v>0</v>
      </c>
      <c r="CD96" s="23" t="n">
        <f aca="false">CC100</f>
        <v>0</v>
      </c>
      <c r="CE96" s="23" t="n">
        <f aca="false">CD100</f>
        <v>0</v>
      </c>
      <c r="CF96" s="23" t="n">
        <f aca="false">CE100</f>
        <v>0</v>
      </c>
      <c r="CG96" s="23" t="n">
        <f aca="false">CF100</f>
        <v>0</v>
      </c>
      <c r="CH96" s="23" t="n">
        <f aca="false">CG100</f>
        <v>0</v>
      </c>
      <c r="CI96" s="23" t="n">
        <f aca="false">CH100</f>
        <v>0</v>
      </c>
      <c r="CJ96" s="23" t="n">
        <f aca="false">CI100</f>
        <v>0</v>
      </c>
      <c r="CK96" s="23" t="n">
        <f aca="false">CJ100</f>
        <v>0</v>
      </c>
      <c r="CL96" s="23" t="n">
        <f aca="false">CK100</f>
        <v>0</v>
      </c>
      <c r="CM96" s="23" t="n">
        <f aca="false">CL100</f>
        <v>0</v>
      </c>
      <c r="CN96" s="23" t="n">
        <f aca="false">CM100</f>
        <v>0</v>
      </c>
      <c r="CO96" s="23" t="n">
        <f aca="false">CN100</f>
        <v>0</v>
      </c>
      <c r="CP96" s="23" t="n">
        <f aca="false">CO100</f>
        <v>0</v>
      </c>
      <c r="CQ96" s="23" t="n">
        <f aca="false">CP100</f>
        <v>0</v>
      </c>
      <c r="CR96" s="23" t="n">
        <f aca="false">CQ100</f>
        <v>0</v>
      </c>
      <c r="CS96" s="23" t="n">
        <f aca="false">CR100</f>
        <v>0</v>
      </c>
      <c r="CT96" s="23" t="n">
        <f aca="false">CS100</f>
        <v>0</v>
      </c>
      <c r="CU96" s="23" t="n">
        <f aca="false">CT100</f>
        <v>0</v>
      </c>
      <c r="CV96" s="23" t="n">
        <f aca="false">CU100</f>
        <v>0</v>
      </c>
      <c r="CW96" s="23" t="n">
        <f aca="false">CV100</f>
        <v>0</v>
      </c>
      <c r="CX96" s="23" t="n">
        <f aca="false">CW100</f>
        <v>0</v>
      </c>
      <c r="CY96" s="23" t="n">
        <f aca="false">CX100</f>
        <v>0</v>
      </c>
      <c r="CZ96" s="23" t="n">
        <f aca="false">CY100</f>
        <v>0</v>
      </c>
      <c r="DA96" s="23" t="n">
        <f aca="false">CZ100</f>
        <v>0</v>
      </c>
      <c r="DB96" s="23" t="n">
        <f aca="false">DA100</f>
        <v>0</v>
      </c>
      <c r="DC96" s="23" t="n">
        <f aca="false">DB100</f>
        <v>0</v>
      </c>
      <c r="DD96" s="23" t="n">
        <f aca="false">DC100</f>
        <v>0</v>
      </c>
      <c r="DE96" s="23" t="n">
        <f aca="false">DD100</f>
        <v>0</v>
      </c>
      <c r="DF96" s="23" t="n">
        <f aca="false">DE100</f>
        <v>0</v>
      </c>
      <c r="DG96" s="23" t="n">
        <f aca="false">DF100</f>
        <v>0</v>
      </c>
      <c r="DH96" s="23" t="n">
        <f aca="false">DG100</f>
        <v>0</v>
      </c>
      <c r="DI96" s="23" t="n">
        <f aca="false">DH100</f>
        <v>0</v>
      </c>
      <c r="DJ96" s="23" t="n">
        <f aca="false">DI100</f>
        <v>0</v>
      </c>
      <c r="DK96" s="23" t="n">
        <f aca="false">DJ100</f>
        <v>0</v>
      </c>
      <c r="DL96" s="23" t="n">
        <f aca="false">DK100</f>
        <v>0</v>
      </c>
      <c r="DM96" s="23" t="n">
        <f aca="false">DL100</f>
        <v>0</v>
      </c>
      <c r="DN96" s="23" t="n">
        <f aca="false">DM100</f>
        <v>0</v>
      </c>
      <c r="DO96" s="23" t="n">
        <f aca="false">DN100</f>
        <v>0</v>
      </c>
      <c r="DP96" s="23" t="n">
        <f aca="false">DO100</f>
        <v>0</v>
      </c>
      <c r="DQ96" s="23" t="n">
        <f aca="false">DP100</f>
        <v>0</v>
      </c>
      <c r="DR96" s="23" t="n">
        <f aca="false">DQ100</f>
        <v>0</v>
      </c>
      <c r="DS96" s="23" t="n">
        <f aca="false">DR100</f>
        <v>0</v>
      </c>
      <c r="DT96" s="23" t="n">
        <f aca="false">DS100</f>
        <v>0</v>
      </c>
      <c r="DU96" s="23" t="n">
        <f aca="false">DT100</f>
        <v>0</v>
      </c>
      <c r="DV96" s="23" t="n">
        <f aca="false">DU100</f>
        <v>0</v>
      </c>
      <c r="DW96" s="23" t="n">
        <f aca="false">DV100</f>
        <v>0</v>
      </c>
      <c r="DX96" s="23" t="n">
        <f aca="false">DW100</f>
        <v>0</v>
      </c>
      <c r="DY96" s="23" t="n">
        <f aca="false">DX100</f>
        <v>0</v>
      </c>
      <c r="DZ96" s="23" t="n">
        <f aca="false">DY100</f>
        <v>0</v>
      </c>
      <c r="EA96" s="23" t="n">
        <f aca="false">DZ100</f>
        <v>0</v>
      </c>
      <c r="EB96" s="23" t="n">
        <f aca="false">EA100</f>
        <v>0</v>
      </c>
      <c r="EC96" s="23" t="n">
        <f aca="false">EB100</f>
        <v>0</v>
      </c>
      <c r="ED96" s="23" t="n">
        <f aca="false">EC100</f>
        <v>0</v>
      </c>
      <c r="EE96" s="23" t="n">
        <f aca="false">ED100</f>
        <v>0</v>
      </c>
      <c r="EF96" s="23" t="n">
        <f aca="false">EE100</f>
        <v>0</v>
      </c>
      <c r="EG96" s="23" t="n">
        <f aca="false">EF100</f>
        <v>0</v>
      </c>
      <c r="EH96" s="23" t="n">
        <f aca="false">EG100</f>
        <v>0</v>
      </c>
      <c r="EI96" s="23" t="n">
        <f aca="false">EH100</f>
        <v>0</v>
      </c>
      <c r="EJ96" s="23" t="n">
        <f aca="false">EI100</f>
        <v>0</v>
      </c>
      <c r="EK96" s="23" t="n">
        <f aca="false">EJ100</f>
        <v>0</v>
      </c>
      <c r="EL96" s="23" t="n">
        <f aca="false">EK100</f>
        <v>0</v>
      </c>
      <c r="EM96" s="23" t="n">
        <f aca="false">EL100</f>
        <v>0</v>
      </c>
      <c r="EN96" s="23" t="n">
        <f aca="false">EM100</f>
        <v>0</v>
      </c>
      <c r="EO96" s="23" t="n">
        <f aca="false">EN100</f>
        <v>0</v>
      </c>
      <c r="EP96" s="23" t="n">
        <f aca="false">EO100</f>
        <v>0</v>
      </c>
      <c r="EQ96" s="23" t="n">
        <f aca="false">EP100</f>
        <v>0</v>
      </c>
      <c r="ER96" s="23" t="n">
        <f aca="false">EQ100</f>
        <v>0</v>
      </c>
      <c r="ES96" s="23" t="n">
        <f aca="false">ER100</f>
        <v>0</v>
      </c>
      <c r="ET96" s="23" t="n">
        <f aca="false">ES100</f>
        <v>0</v>
      </c>
    </row>
    <row r="97" customFormat="false" ht="15" hidden="false" customHeight="false" outlineLevel="0" collapsed="false">
      <c r="C97" s="1" t="s">
        <v>515</v>
      </c>
      <c r="D97" s="12" t="s">
        <v>222</v>
      </c>
      <c r="E97" s="47" t="n">
        <f aca="false">-IF(In_CN_Turbine=1,In_Gearing_CN,In_Gearing)*($I93+$I53+$I94)</f>
        <v>90176.6324449315</v>
      </c>
      <c r="I97" s="47" t="n">
        <f aca="false">SUM(J97:ET97)</f>
        <v>90176.6324449315</v>
      </c>
      <c r="J97" s="47" t="n">
        <f aca="false">$E97*J13</f>
        <v>0</v>
      </c>
      <c r="K97" s="47" t="n">
        <f aca="false">$E97*K13</f>
        <v>0</v>
      </c>
      <c r="L97" s="47" t="n">
        <f aca="false">$E97*L13</f>
        <v>0</v>
      </c>
      <c r="M97" s="47" t="n">
        <f aca="false">$E97*M13</f>
        <v>0</v>
      </c>
      <c r="N97" s="47" t="n">
        <f aca="false">$E97*N13</f>
        <v>0</v>
      </c>
      <c r="O97" s="47" t="n">
        <f aca="false">$E97*O13</f>
        <v>0</v>
      </c>
      <c r="P97" s="47" t="n">
        <f aca="false">$E97*P13</f>
        <v>0</v>
      </c>
      <c r="Q97" s="47" t="n">
        <f aca="false">$E97*Q13</f>
        <v>0</v>
      </c>
      <c r="R97" s="47" t="n">
        <f aca="false">$E97*R13</f>
        <v>0</v>
      </c>
      <c r="S97" s="47" t="n">
        <f aca="false">$E97*S13</f>
        <v>0</v>
      </c>
      <c r="T97" s="47" t="n">
        <f aca="false">$E97*T13</f>
        <v>0</v>
      </c>
      <c r="U97" s="47" t="n">
        <f aca="false">$E97*U13</f>
        <v>0</v>
      </c>
      <c r="V97" s="47" t="n">
        <f aca="false">$E97*V13</f>
        <v>0</v>
      </c>
      <c r="W97" s="47" t="n">
        <f aca="false">$E97*W13</f>
        <v>11364.7262807311</v>
      </c>
      <c r="X97" s="47" t="n">
        <f aca="false">$E97*X13</f>
        <v>11117.6670137587</v>
      </c>
      <c r="Y97" s="47" t="n">
        <f aca="false">$E97*Y13</f>
        <v>11241.1966472449</v>
      </c>
      <c r="Z97" s="47" t="n">
        <f aca="false">$E97*Z13</f>
        <v>11364.7262807311</v>
      </c>
      <c r="AA97" s="47" t="n">
        <f aca="false">$E97*AA13</f>
        <v>11364.7262807311</v>
      </c>
      <c r="AB97" s="47" t="n">
        <f aca="false">$E97*AB13</f>
        <v>11117.6670137587</v>
      </c>
      <c r="AC97" s="47" t="n">
        <f aca="false">$E97*AC13</f>
        <v>11241.1966472449</v>
      </c>
      <c r="AD97" s="47" t="n">
        <f aca="false">$E97*AD13</f>
        <v>11364.7262807311</v>
      </c>
      <c r="AE97" s="47" t="n">
        <f aca="false">$E97*AE13</f>
        <v>0</v>
      </c>
      <c r="AF97" s="47" t="n">
        <f aca="false">$E97*AF13</f>
        <v>0</v>
      </c>
      <c r="AG97" s="47" t="n">
        <f aca="false">$E97*AG13</f>
        <v>0</v>
      </c>
      <c r="AH97" s="47" t="n">
        <f aca="false">$E97*AH13</f>
        <v>0</v>
      </c>
      <c r="AI97" s="47" t="n">
        <f aca="false">$E97*AI13</f>
        <v>0</v>
      </c>
      <c r="AJ97" s="47" t="n">
        <f aca="false">$E97*AJ13</f>
        <v>0</v>
      </c>
      <c r="AK97" s="47" t="n">
        <f aca="false">$E97*AK13</f>
        <v>0</v>
      </c>
      <c r="AL97" s="47" t="n">
        <f aca="false">$E97*AL13</f>
        <v>0</v>
      </c>
      <c r="AM97" s="47" t="n">
        <f aca="false">$E97*AM13</f>
        <v>0</v>
      </c>
      <c r="AN97" s="47" t="n">
        <f aca="false">$E97*AN13</f>
        <v>0</v>
      </c>
      <c r="AO97" s="47" t="n">
        <f aca="false">$E97*AO13</f>
        <v>0</v>
      </c>
      <c r="AP97" s="47" t="n">
        <f aca="false">$E97*AP13</f>
        <v>0</v>
      </c>
      <c r="AQ97" s="47" t="n">
        <f aca="false">$E97*AQ13</f>
        <v>0</v>
      </c>
      <c r="AR97" s="47" t="n">
        <f aca="false">$E97*AR13</f>
        <v>0</v>
      </c>
      <c r="AS97" s="47" t="n">
        <f aca="false">$E97*AS13</f>
        <v>0</v>
      </c>
      <c r="AT97" s="47" t="n">
        <f aca="false">$E97*AT13</f>
        <v>0</v>
      </c>
      <c r="AU97" s="47" t="n">
        <f aca="false">$E97*AU13</f>
        <v>0</v>
      </c>
      <c r="AV97" s="47" t="n">
        <f aca="false">$E97*AV13</f>
        <v>0</v>
      </c>
      <c r="AW97" s="47" t="n">
        <f aca="false">$E97*AW13</f>
        <v>0</v>
      </c>
      <c r="AX97" s="47" t="n">
        <f aca="false">$E97*AX13</f>
        <v>0</v>
      </c>
      <c r="AY97" s="47" t="n">
        <f aca="false">$E97*AY13</f>
        <v>0</v>
      </c>
      <c r="AZ97" s="47" t="n">
        <f aca="false">$E97*AZ13</f>
        <v>0</v>
      </c>
      <c r="BA97" s="47" t="n">
        <f aca="false">$E97*BA13</f>
        <v>0</v>
      </c>
      <c r="BB97" s="47" t="n">
        <f aca="false">$E97*BB13</f>
        <v>0</v>
      </c>
      <c r="BC97" s="47" t="n">
        <f aca="false">$E97*BC13</f>
        <v>0</v>
      </c>
      <c r="BD97" s="47" t="n">
        <f aca="false">$E97*BD13</f>
        <v>0</v>
      </c>
      <c r="BE97" s="47" t="n">
        <f aca="false">$E97*BE13</f>
        <v>0</v>
      </c>
      <c r="BF97" s="47" t="n">
        <f aca="false">$E97*BF13</f>
        <v>0</v>
      </c>
      <c r="BG97" s="47" t="n">
        <f aca="false">$E97*BG13</f>
        <v>0</v>
      </c>
      <c r="BH97" s="47" t="n">
        <f aca="false">$E97*BH13</f>
        <v>0</v>
      </c>
      <c r="BI97" s="47" t="n">
        <f aca="false">$E97*BI13</f>
        <v>0</v>
      </c>
      <c r="BJ97" s="47" t="n">
        <f aca="false">$E97*BJ13</f>
        <v>0</v>
      </c>
      <c r="BK97" s="47" t="n">
        <f aca="false">$E97*BK13</f>
        <v>0</v>
      </c>
      <c r="BL97" s="47" t="n">
        <f aca="false">$E97*BL13</f>
        <v>0</v>
      </c>
      <c r="BM97" s="47" t="n">
        <f aca="false">$E97*BM13</f>
        <v>0</v>
      </c>
      <c r="BN97" s="47" t="n">
        <f aca="false">$E97*BN13</f>
        <v>0</v>
      </c>
      <c r="BO97" s="47" t="n">
        <f aca="false">$E97*BO13</f>
        <v>0</v>
      </c>
      <c r="BP97" s="47" t="n">
        <f aca="false">$E97*BP13</f>
        <v>0</v>
      </c>
      <c r="BQ97" s="47" t="n">
        <f aca="false">$E97*BQ13</f>
        <v>0</v>
      </c>
      <c r="BR97" s="47" t="n">
        <f aca="false">$E97*BR13</f>
        <v>0</v>
      </c>
      <c r="BS97" s="47" t="n">
        <f aca="false">$E97*BS13</f>
        <v>0</v>
      </c>
      <c r="BT97" s="47" t="n">
        <f aca="false">$E97*BT13</f>
        <v>0</v>
      </c>
      <c r="BU97" s="47" t="n">
        <f aca="false">$E97*BU13</f>
        <v>0</v>
      </c>
      <c r="BV97" s="47" t="n">
        <f aca="false">$E97*BV13</f>
        <v>0</v>
      </c>
      <c r="BW97" s="47" t="n">
        <f aca="false">$E97*BW13</f>
        <v>0</v>
      </c>
      <c r="BX97" s="47" t="n">
        <f aca="false">$E97*BX13</f>
        <v>0</v>
      </c>
      <c r="BY97" s="47" t="n">
        <f aca="false">$E97*BY13</f>
        <v>0</v>
      </c>
      <c r="BZ97" s="47" t="n">
        <f aca="false">$E97*BZ13</f>
        <v>0</v>
      </c>
      <c r="CA97" s="47" t="n">
        <f aca="false">$E97*CA13</f>
        <v>0</v>
      </c>
      <c r="CB97" s="47" t="n">
        <f aca="false">$E97*CB13</f>
        <v>0</v>
      </c>
      <c r="CC97" s="47" t="n">
        <f aca="false">$E97*CC13</f>
        <v>0</v>
      </c>
      <c r="CD97" s="47" t="n">
        <f aca="false">$E97*CD13</f>
        <v>0</v>
      </c>
      <c r="CE97" s="47" t="n">
        <f aca="false">$E97*CE13</f>
        <v>0</v>
      </c>
      <c r="CF97" s="47" t="n">
        <f aca="false">$E97*CF13</f>
        <v>0</v>
      </c>
      <c r="CG97" s="47" t="n">
        <f aca="false">$E97*CG13</f>
        <v>0</v>
      </c>
      <c r="CH97" s="47" t="n">
        <f aca="false">$E97*CH13</f>
        <v>0</v>
      </c>
      <c r="CI97" s="47" t="n">
        <f aca="false">$E97*CI13</f>
        <v>0</v>
      </c>
      <c r="CJ97" s="47" t="n">
        <f aca="false">$E97*CJ13</f>
        <v>0</v>
      </c>
      <c r="CK97" s="47" t="n">
        <f aca="false">$E97*CK13</f>
        <v>0</v>
      </c>
      <c r="CL97" s="47" t="n">
        <f aca="false">$E97*CL13</f>
        <v>0</v>
      </c>
      <c r="CM97" s="47" t="n">
        <f aca="false">$E97*CM13</f>
        <v>0</v>
      </c>
      <c r="CN97" s="47" t="n">
        <f aca="false">$E97*CN13</f>
        <v>0</v>
      </c>
      <c r="CO97" s="47" t="n">
        <f aca="false">$E97*CO13</f>
        <v>0</v>
      </c>
      <c r="CP97" s="47" t="n">
        <f aca="false">$E97*CP13</f>
        <v>0</v>
      </c>
      <c r="CQ97" s="47" t="n">
        <f aca="false">$E97*CQ13</f>
        <v>0</v>
      </c>
      <c r="CR97" s="47" t="n">
        <f aca="false">$E97*CR13</f>
        <v>0</v>
      </c>
      <c r="CS97" s="47" t="n">
        <f aca="false">$E97*CS13</f>
        <v>0</v>
      </c>
      <c r="CT97" s="47" t="n">
        <f aca="false">$E97*CT13</f>
        <v>0</v>
      </c>
      <c r="CU97" s="47" t="n">
        <f aca="false">$E97*CU13</f>
        <v>0</v>
      </c>
      <c r="CV97" s="47" t="n">
        <f aca="false">$E97*CV13</f>
        <v>0</v>
      </c>
      <c r="CW97" s="47" t="n">
        <f aca="false">$E97*CW13</f>
        <v>0</v>
      </c>
      <c r="CX97" s="47" t="n">
        <f aca="false">$E97*CX13</f>
        <v>0</v>
      </c>
      <c r="CY97" s="47" t="n">
        <f aca="false">$E97*CY13</f>
        <v>0</v>
      </c>
      <c r="CZ97" s="47" t="n">
        <f aca="false">$E97*CZ13</f>
        <v>0</v>
      </c>
      <c r="DA97" s="47" t="n">
        <f aca="false">$E97*DA13</f>
        <v>0</v>
      </c>
      <c r="DB97" s="47" t="n">
        <f aca="false">$E97*DB13</f>
        <v>0</v>
      </c>
      <c r="DC97" s="47" t="n">
        <f aca="false">$E97*DC13</f>
        <v>0</v>
      </c>
      <c r="DD97" s="47" t="n">
        <f aca="false">$E97*DD13</f>
        <v>0</v>
      </c>
      <c r="DE97" s="47" t="n">
        <f aca="false">$E97*DE13</f>
        <v>0</v>
      </c>
      <c r="DF97" s="47" t="n">
        <f aca="false">$E97*DF13</f>
        <v>0</v>
      </c>
      <c r="DG97" s="47" t="n">
        <f aca="false">$E97*DG13</f>
        <v>0</v>
      </c>
      <c r="DH97" s="47" t="n">
        <f aca="false">$E97*DH13</f>
        <v>0</v>
      </c>
      <c r="DI97" s="47" t="n">
        <f aca="false">$E97*DI13</f>
        <v>0</v>
      </c>
      <c r="DJ97" s="47" t="n">
        <f aca="false">$E97*DJ13</f>
        <v>0</v>
      </c>
      <c r="DK97" s="47" t="n">
        <f aca="false">$E97*DK13</f>
        <v>0</v>
      </c>
      <c r="DL97" s="47" t="n">
        <f aca="false">$E97*DL13</f>
        <v>0</v>
      </c>
      <c r="DM97" s="47" t="n">
        <f aca="false">$E97*DM13</f>
        <v>0</v>
      </c>
      <c r="DN97" s="47" t="n">
        <f aca="false">$E97*DN13</f>
        <v>0</v>
      </c>
      <c r="DO97" s="47" t="n">
        <f aca="false">$E97*DO13</f>
        <v>0</v>
      </c>
      <c r="DP97" s="47" t="n">
        <f aca="false">$E97*DP13</f>
        <v>0</v>
      </c>
      <c r="DQ97" s="47" t="n">
        <f aca="false">$E97*DQ13</f>
        <v>0</v>
      </c>
      <c r="DR97" s="47" t="n">
        <f aca="false">$E97*DR13</f>
        <v>0</v>
      </c>
      <c r="DS97" s="47" t="n">
        <f aca="false">$E97*DS13</f>
        <v>0</v>
      </c>
      <c r="DT97" s="47" t="n">
        <f aca="false">$E97*DT13</f>
        <v>0</v>
      </c>
      <c r="DU97" s="47" t="n">
        <f aca="false">$E97*DU13</f>
        <v>0</v>
      </c>
      <c r="DV97" s="47" t="n">
        <f aca="false">$E97*DV13</f>
        <v>0</v>
      </c>
      <c r="DW97" s="47" t="n">
        <f aca="false">$E97*DW13</f>
        <v>0</v>
      </c>
      <c r="DX97" s="47" t="n">
        <f aca="false">$E97*DX13</f>
        <v>0</v>
      </c>
      <c r="DY97" s="47" t="n">
        <f aca="false">$E97*DY13</f>
        <v>0</v>
      </c>
      <c r="DZ97" s="47" t="n">
        <f aca="false">$E97*DZ13</f>
        <v>0</v>
      </c>
      <c r="EA97" s="47" t="n">
        <f aca="false">$E97*EA13</f>
        <v>0</v>
      </c>
      <c r="EB97" s="47" t="n">
        <f aca="false">$E97*EB13</f>
        <v>0</v>
      </c>
      <c r="EC97" s="47" t="n">
        <f aca="false">$E97*EC13</f>
        <v>0</v>
      </c>
      <c r="ED97" s="47" t="n">
        <f aca="false">$E97*ED13</f>
        <v>0</v>
      </c>
      <c r="EE97" s="47" t="n">
        <f aca="false">$E97*EE13</f>
        <v>0</v>
      </c>
      <c r="EF97" s="47" t="n">
        <f aca="false">$E97*EF13</f>
        <v>0</v>
      </c>
      <c r="EG97" s="47" t="n">
        <f aca="false">$E97*EG13</f>
        <v>0</v>
      </c>
      <c r="EH97" s="47" t="n">
        <f aca="false">$E97*EH13</f>
        <v>0</v>
      </c>
      <c r="EI97" s="47" t="n">
        <f aca="false">$E97*EI13</f>
        <v>0</v>
      </c>
      <c r="EJ97" s="47" t="n">
        <f aca="false">$E97*EJ13</f>
        <v>0</v>
      </c>
      <c r="EK97" s="47" t="n">
        <f aca="false">$E97*EK13</f>
        <v>0</v>
      </c>
      <c r="EL97" s="47" t="n">
        <f aca="false">$E97*EL13</f>
        <v>0</v>
      </c>
      <c r="EM97" s="47" t="n">
        <f aca="false">$E97*EM13</f>
        <v>0</v>
      </c>
      <c r="EN97" s="47" t="n">
        <f aca="false">$E97*EN13</f>
        <v>0</v>
      </c>
      <c r="EO97" s="47" t="n">
        <f aca="false">$E97*EO13</f>
        <v>0</v>
      </c>
      <c r="EP97" s="47" t="n">
        <f aca="false">$E97*EP13</f>
        <v>0</v>
      </c>
      <c r="EQ97" s="47" t="n">
        <f aca="false">$E97*EQ13</f>
        <v>0</v>
      </c>
      <c r="ER97" s="47" t="n">
        <f aca="false">$E97*ER13</f>
        <v>0</v>
      </c>
      <c r="ES97" s="47" t="n">
        <f aca="false">$E97*ES13</f>
        <v>0</v>
      </c>
      <c r="ET97" s="47" t="n">
        <f aca="false">$E97*ET13</f>
        <v>0</v>
      </c>
    </row>
    <row r="98" customFormat="false" ht="15" hidden="false" customHeight="false" outlineLevel="0" collapsed="false">
      <c r="C98" s="1" t="s">
        <v>516</v>
      </c>
      <c r="D98" s="12" t="s">
        <v>222</v>
      </c>
      <c r="F98" s="55" t="n">
        <f aca="false">In_Debt_Rate*Months_Per_Period/Months_In_Year</f>
        <v>0.0125</v>
      </c>
      <c r="I98" s="47" t="n">
        <f aca="false">SUM(J98:ET98)</f>
        <v>4043.87147763789</v>
      </c>
      <c r="J98" s="47" t="n">
        <f aca="false">J96*$F98*(J$4&lt;=In_COD)</f>
        <v>0</v>
      </c>
      <c r="K98" s="47" t="n">
        <f aca="false">K96*$F98*(K$4&lt;=In_COD)</f>
        <v>0</v>
      </c>
      <c r="L98" s="47" t="n">
        <f aca="false">L96*$F98*(L$4&lt;=In_COD)</f>
        <v>0</v>
      </c>
      <c r="M98" s="47" t="n">
        <f aca="false">M96*$F98*(M$4&lt;=In_COD)</f>
        <v>0</v>
      </c>
      <c r="N98" s="47" t="n">
        <f aca="false">N96*$F98*(N$4&lt;=In_COD)</f>
        <v>0</v>
      </c>
      <c r="O98" s="47" t="n">
        <f aca="false">O96*$F98*(O$4&lt;=In_COD)</f>
        <v>0</v>
      </c>
      <c r="P98" s="47" t="n">
        <f aca="false">P96*$F98*(P$4&lt;=In_COD)</f>
        <v>0</v>
      </c>
      <c r="Q98" s="47" t="n">
        <f aca="false">Q96*$F98*(Q$4&lt;=In_COD)</f>
        <v>0</v>
      </c>
      <c r="R98" s="47" t="n">
        <f aca="false">R96*$F98*(R$4&lt;=In_COD)</f>
        <v>0</v>
      </c>
      <c r="S98" s="47" t="n">
        <f aca="false">S96*$F98*(S$4&lt;=In_COD)</f>
        <v>0</v>
      </c>
      <c r="T98" s="47" t="n">
        <f aca="false">T96*$F98*(T$4&lt;=In_COD)</f>
        <v>0</v>
      </c>
      <c r="U98" s="47" t="n">
        <f aca="false">U96*$F98*(U$4&lt;=In_COD)</f>
        <v>0</v>
      </c>
      <c r="V98" s="47" t="n">
        <f aca="false">V96*$F98*(V$4&lt;=In_COD)</f>
        <v>0</v>
      </c>
      <c r="W98" s="47" t="n">
        <f aca="false">W96*$F98*(W$4&lt;=In_COD)</f>
        <v>0</v>
      </c>
      <c r="X98" s="47" t="n">
        <f aca="false">X96*$F98*(X$4&lt;=In_COD)</f>
        <v>142.059078509139</v>
      </c>
      <c r="Y98" s="47" t="n">
        <f aca="false">Y96*$F98*(Y$4&lt;=In_COD)</f>
        <v>282.805654662486</v>
      </c>
      <c r="Z98" s="47" t="n">
        <f aca="false">Z96*$F98*(Z$4&lt;=In_COD)</f>
        <v>426.855683436329</v>
      </c>
      <c r="AA98" s="47" t="n">
        <f aca="false">AA96*$F98*(AA$4&lt;=In_COD)</f>
        <v>574.250457988422</v>
      </c>
      <c r="AB98" s="47" t="n">
        <f aca="false">AB96*$F98*(AB$4&lt;=In_COD)</f>
        <v>723.487667222415</v>
      </c>
      <c r="AC98" s="47" t="n">
        <f aca="false">AC96*$F98*(AC$4&lt;=In_COD)</f>
        <v>871.502100734679</v>
      </c>
      <c r="AD98" s="47" t="n">
        <f aca="false">AD96*$F98*(AD$4&lt;=In_COD)</f>
        <v>1022.91083508442</v>
      </c>
      <c r="AE98" s="47" t="n">
        <f aca="false">AE96*$F98*(AE$4&lt;=In_COD)</f>
        <v>0</v>
      </c>
      <c r="AF98" s="47" t="n">
        <f aca="false">AF96*$F98*(AF$4&lt;=In_COD)</f>
        <v>0</v>
      </c>
      <c r="AG98" s="47" t="n">
        <f aca="false">AG96*$F98*(AG$4&lt;=In_COD)</f>
        <v>0</v>
      </c>
      <c r="AH98" s="47" t="n">
        <f aca="false">AH96*$F98*(AH$4&lt;=In_COD)</f>
        <v>0</v>
      </c>
      <c r="AI98" s="47" t="n">
        <f aca="false">AI96*$F98*(AI$4&lt;=In_COD)</f>
        <v>0</v>
      </c>
      <c r="AJ98" s="47" t="n">
        <f aca="false">AJ96*$F98*(AJ$4&lt;=In_COD)</f>
        <v>0</v>
      </c>
      <c r="AK98" s="47" t="n">
        <f aca="false">AK96*$F98*(AK$4&lt;=In_COD)</f>
        <v>0</v>
      </c>
      <c r="AL98" s="47" t="n">
        <f aca="false">AL96*$F98*(AL$4&lt;=In_COD)</f>
        <v>0</v>
      </c>
      <c r="AM98" s="47" t="n">
        <f aca="false">AM96*$F98*(AM$4&lt;=In_COD)</f>
        <v>0</v>
      </c>
      <c r="AN98" s="47" t="n">
        <f aca="false">AN96*$F98*(AN$4&lt;=In_COD)</f>
        <v>0</v>
      </c>
      <c r="AO98" s="47" t="n">
        <f aca="false">AO96*$F98*(AO$4&lt;=In_COD)</f>
        <v>0</v>
      </c>
      <c r="AP98" s="47" t="n">
        <f aca="false">AP96*$F98*(AP$4&lt;=In_COD)</f>
        <v>0</v>
      </c>
      <c r="AQ98" s="47" t="n">
        <f aca="false">AQ96*$F98*(AQ$4&lt;=In_COD)</f>
        <v>0</v>
      </c>
      <c r="AR98" s="47" t="n">
        <f aca="false">AR96*$F98*(AR$4&lt;=In_COD)</f>
        <v>0</v>
      </c>
      <c r="AS98" s="47" t="n">
        <f aca="false">AS96*$F98*(AS$4&lt;=In_COD)</f>
        <v>0</v>
      </c>
      <c r="AT98" s="47" t="n">
        <f aca="false">AT96*$F98*(AT$4&lt;=In_COD)</f>
        <v>0</v>
      </c>
      <c r="AU98" s="47" t="n">
        <f aca="false">AU96*$F98*(AU$4&lt;=In_COD)</f>
        <v>0</v>
      </c>
      <c r="AV98" s="47" t="n">
        <f aca="false">AV96*$F98*(AV$4&lt;=In_COD)</f>
        <v>0</v>
      </c>
      <c r="AW98" s="47" t="n">
        <f aca="false">AW96*$F98*(AW$4&lt;=In_COD)</f>
        <v>0</v>
      </c>
      <c r="AX98" s="47" t="n">
        <f aca="false">AX96*$F98*(AX$4&lt;=In_COD)</f>
        <v>0</v>
      </c>
      <c r="AY98" s="47" t="n">
        <f aca="false">AY96*$F98*(AY$4&lt;=In_COD)</f>
        <v>0</v>
      </c>
      <c r="AZ98" s="47" t="n">
        <f aca="false">AZ96*$F98*(AZ$4&lt;=In_COD)</f>
        <v>0</v>
      </c>
      <c r="BA98" s="47" t="n">
        <f aca="false">BA96*$F98*(BA$4&lt;=In_COD)</f>
        <v>0</v>
      </c>
      <c r="BB98" s="47" t="n">
        <f aca="false">BB96*$F98*(BB$4&lt;=In_COD)</f>
        <v>0</v>
      </c>
      <c r="BC98" s="47" t="n">
        <f aca="false">BC96*$F98*(BC$4&lt;=In_COD)</f>
        <v>0</v>
      </c>
      <c r="BD98" s="47" t="n">
        <f aca="false">BD96*$F98*(BD$4&lt;=In_COD)</f>
        <v>0</v>
      </c>
      <c r="BE98" s="47" t="n">
        <f aca="false">BE96*$F98*(BE$4&lt;=In_COD)</f>
        <v>0</v>
      </c>
      <c r="BF98" s="47" t="n">
        <f aca="false">BF96*$F98*(BF$4&lt;=In_COD)</f>
        <v>0</v>
      </c>
      <c r="BG98" s="47" t="n">
        <f aca="false">BG96*$F98*(BG$4&lt;=In_COD)</f>
        <v>0</v>
      </c>
      <c r="BH98" s="47" t="n">
        <f aca="false">BH96*$F98*(BH$4&lt;=In_COD)</f>
        <v>0</v>
      </c>
      <c r="BI98" s="47" t="n">
        <f aca="false">BI96*$F98*(BI$4&lt;=In_COD)</f>
        <v>0</v>
      </c>
      <c r="BJ98" s="47" t="n">
        <f aca="false">BJ96*$F98*(BJ$4&lt;=In_COD)</f>
        <v>0</v>
      </c>
      <c r="BK98" s="47" t="n">
        <f aca="false">BK96*$F98*(BK$4&lt;=In_COD)</f>
        <v>0</v>
      </c>
      <c r="BL98" s="47" t="n">
        <f aca="false">BL96*$F98*(BL$4&lt;=In_COD)</f>
        <v>0</v>
      </c>
      <c r="BM98" s="47" t="n">
        <f aca="false">BM96*$F98*(BM$4&lt;=In_COD)</f>
        <v>0</v>
      </c>
      <c r="BN98" s="47" t="n">
        <f aca="false">BN96*$F98*(BN$4&lt;=In_COD)</f>
        <v>0</v>
      </c>
      <c r="BO98" s="47" t="n">
        <f aca="false">BO96*$F98*(BO$4&lt;=In_COD)</f>
        <v>0</v>
      </c>
      <c r="BP98" s="47" t="n">
        <f aca="false">BP96*$F98*(BP$4&lt;=In_COD)</f>
        <v>0</v>
      </c>
      <c r="BQ98" s="47" t="n">
        <f aca="false">BQ96*$F98*(BQ$4&lt;=In_COD)</f>
        <v>0</v>
      </c>
      <c r="BR98" s="47" t="n">
        <f aca="false">BR96*$F98*(BR$4&lt;=In_COD)</f>
        <v>0</v>
      </c>
      <c r="BS98" s="47" t="n">
        <f aca="false">BS96*$F98*(BS$4&lt;=In_COD)</f>
        <v>0</v>
      </c>
      <c r="BT98" s="47" t="n">
        <f aca="false">BT96*$F98*(BT$4&lt;=In_COD)</f>
        <v>0</v>
      </c>
      <c r="BU98" s="47" t="n">
        <f aca="false">BU96*$F98*(BU$4&lt;=In_COD)</f>
        <v>0</v>
      </c>
      <c r="BV98" s="47" t="n">
        <f aca="false">BV96*$F98*(BV$4&lt;=In_COD)</f>
        <v>0</v>
      </c>
      <c r="BW98" s="47" t="n">
        <f aca="false">BW96*$F98*(BW$4&lt;=In_COD)</f>
        <v>0</v>
      </c>
      <c r="BX98" s="47" t="n">
        <f aca="false">BX96*$F98*(BX$4&lt;=In_COD)</f>
        <v>0</v>
      </c>
      <c r="BY98" s="47" t="n">
        <f aca="false">BY96*$F98*(BY$4&lt;=In_COD)</f>
        <v>0</v>
      </c>
      <c r="BZ98" s="47" t="n">
        <f aca="false">BZ96*$F98*(BZ$4&lt;=In_COD)</f>
        <v>0</v>
      </c>
      <c r="CA98" s="47" t="n">
        <f aca="false">CA96*$F98*(CA$4&lt;=In_COD)</f>
        <v>0</v>
      </c>
      <c r="CB98" s="47" t="n">
        <f aca="false">CB96*$F98*(CB$4&lt;=In_COD)</f>
        <v>0</v>
      </c>
      <c r="CC98" s="47" t="n">
        <f aca="false">CC96*$F98*(CC$4&lt;=In_COD)</f>
        <v>0</v>
      </c>
      <c r="CD98" s="47" t="n">
        <f aca="false">CD96*$F98*(CD$4&lt;=In_COD)</f>
        <v>0</v>
      </c>
      <c r="CE98" s="47" t="n">
        <f aca="false">CE96*$F98*(CE$4&lt;=In_COD)</f>
        <v>0</v>
      </c>
      <c r="CF98" s="47" t="n">
        <f aca="false">CF96*$F98*(CF$4&lt;=In_COD)</f>
        <v>0</v>
      </c>
      <c r="CG98" s="47" t="n">
        <f aca="false">CG96*$F98*(CG$4&lt;=In_COD)</f>
        <v>0</v>
      </c>
      <c r="CH98" s="47" t="n">
        <f aca="false">CH96*$F98*(CH$4&lt;=In_COD)</f>
        <v>0</v>
      </c>
      <c r="CI98" s="47" t="n">
        <f aca="false">CI96*$F98*(CI$4&lt;=In_COD)</f>
        <v>0</v>
      </c>
      <c r="CJ98" s="47" t="n">
        <f aca="false">CJ96*$F98*(CJ$4&lt;=In_COD)</f>
        <v>0</v>
      </c>
      <c r="CK98" s="47" t="n">
        <f aca="false">CK96*$F98*(CK$4&lt;=In_COD)</f>
        <v>0</v>
      </c>
      <c r="CL98" s="47" t="n">
        <f aca="false">CL96*$F98*(CL$4&lt;=In_COD)</f>
        <v>0</v>
      </c>
      <c r="CM98" s="47" t="n">
        <f aca="false">CM96*$F98*(CM$4&lt;=In_COD)</f>
        <v>0</v>
      </c>
      <c r="CN98" s="47" t="n">
        <f aca="false">CN96*$F98*(CN$4&lt;=In_COD)</f>
        <v>0</v>
      </c>
      <c r="CO98" s="47" t="n">
        <f aca="false">CO96*$F98*(CO$4&lt;=In_COD)</f>
        <v>0</v>
      </c>
      <c r="CP98" s="47" t="n">
        <f aca="false">CP96*$F98*(CP$4&lt;=In_COD)</f>
        <v>0</v>
      </c>
      <c r="CQ98" s="47" t="n">
        <f aca="false">CQ96*$F98*(CQ$4&lt;=In_COD)</f>
        <v>0</v>
      </c>
      <c r="CR98" s="47" t="n">
        <f aca="false">CR96*$F98*(CR$4&lt;=In_COD)</f>
        <v>0</v>
      </c>
      <c r="CS98" s="47" t="n">
        <f aca="false">CS96*$F98*(CS$4&lt;=In_COD)</f>
        <v>0</v>
      </c>
      <c r="CT98" s="47" t="n">
        <f aca="false">CT96*$F98*(CT$4&lt;=In_COD)</f>
        <v>0</v>
      </c>
      <c r="CU98" s="47" t="n">
        <f aca="false">CU96*$F98*(CU$4&lt;=In_COD)</f>
        <v>0</v>
      </c>
      <c r="CV98" s="47" t="n">
        <f aca="false">CV96*$F98*(CV$4&lt;=In_COD)</f>
        <v>0</v>
      </c>
      <c r="CW98" s="47" t="n">
        <f aca="false">CW96*$F98*(CW$4&lt;=In_COD)</f>
        <v>0</v>
      </c>
      <c r="CX98" s="47" t="n">
        <f aca="false">CX96*$F98*(CX$4&lt;=In_COD)</f>
        <v>0</v>
      </c>
      <c r="CY98" s="47" t="n">
        <f aca="false">CY96*$F98*(CY$4&lt;=In_COD)</f>
        <v>0</v>
      </c>
      <c r="CZ98" s="47" t="n">
        <f aca="false">CZ96*$F98*(CZ$4&lt;=In_COD)</f>
        <v>0</v>
      </c>
      <c r="DA98" s="47" t="n">
        <f aca="false">DA96*$F98*(DA$4&lt;=In_COD)</f>
        <v>0</v>
      </c>
      <c r="DB98" s="47" t="n">
        <f aca="false">DB96*$F98*(DB$4&lt;=In_COD)</f>
        <v>0</v>
      </c>
      <c r="DC98" s="47" t="n">
        <f aca="false">DC96*$F98*(DC$4&lt;=In_COD)</f>
        <v>0</v>
      </c>
      <c r="DD98" s="47" t="n">
        <f aca="false">DD96*$F98*(DD$4&lt;=In_COD)</f>
        <v>0</v>
      </c>
      <c r="DE98" s="47" t="n">
        <f aca="false">DE96*$F98*(DE$4&lt;=In_COD)</f>
        <v>0</v>
      </c>
      <c r="DF98" s="47" t="n">
        <f aca="false">DF96*$F98*(DF$4&lt;=In_COD)</f>
        <v>0</v>
      </c>
      <c r="DG98" s="47" t="n">
        <f aca="false">DG96*$F98*(DG$4&lt;=In_COD)</f>
        <v>0</v>
      </c>
      <c r="DH98" s="47" t="n">
        <f aca="false">DH96*$F98*(DH$4&lt;=In_COD)</f>
        <v>0</v>
      </c>
      <c r="DI98" s="47" t="n">
        <f aca="false">DI96*$F98*(DI$4&lt;=In_COD)</f>
        <v>0</v>
      </c>
      <c r="DJ98" s="47" t="n">
        <f aca="false">DJ96*$F98*(DJ$4&lt;=In_COD)</f>
        <v>0</v>
      </c>
      <c r="DK98" s="47" t="n">
        <f aca="false">DK96*$F98*(DK$4&lt;=In_COD)</f>
        <v>0</v>
      </c>
      <c r="DL98" s="47" t="n">
        <f aca="false">DL96*$F98*(DL$4&lt;=In_COD)</f>
        <v>0</v>
      </c>
      <c r="DM98" s="47" t="n">
        <f aca="false">DM96*$F98*(DM$4&lt;=In_COD)</f>
        <v>0</v>
      </c>
      <c r="DN98" s="47" t="n">
        <f aca="false">DN96*$F98*(DN$4&lt;=In_COD)</f>
        <v>0</v>
      </c>
      <c r="DO98" s="47" t="n">
        <f aca="false">DO96*$F98*(DO$4&lt;=In_COD)</f>
        <v>0</v>
      </c>
      <c r="DP98" s="47" t="n">
        <f aca="false">DP96*$F98*(DP$4&lt;=In_COD)</f>
        <v>0</v>
      </c>
      <c r="DQ98" s="47" t="n">
        <f aca="false">DQ96*$F98*(DQ$4&lt;=In_COD)</f>
        <v>0</v>
      </c>
      <c r="DR98" s="47" t="n">
        <f aca="false">DR96*$F98*(DR$4&lt;=In_COD)</f>
        <v>0</v>
      </c>
      <c r="DS98" s="47" t="n">
        <f aca="false">DS96*$F98*(DS$4&lt;=In_COD)</f>
        <v>0</v>
      </c>
      <c r="DT98" s="47" t="n">
        <f aca="false">DT96*$F98*(DT$4&lt;=In_COD)</f>
        <v>0</v>
      </c>
      <c r="DU98" s="47" t="n">
        <f aca="false">DU96*$F98*(DU$4&lt;=In_COD)</f>
        <v>0</v>
      </c>
      <c r="DV98" s="47" t="n">
        <f aca="false">DV96*$F98*(DV$4&lt;=In_COD)</f>
        <v>0</v>
      </c>
      <c r="DW98" s="47" t="n">
        <f aca="false">DW96*$F98*(DW$4&lt;=In_COD)</f>
        <v>0</v>
      </c>
      <c r="DX98" s="47" t="n">
        <f aca="false">DX96*$F98*(DX$4&lt;=In_COD)</f>
        <v>0</v>
      </c>
      <c r="DY98" s="47" t="n">
        <f aca="false">DY96*$F98*(DY$4&lt;=In_COD)</f>
        <v>0</v>
      </c>
      <c r="DZ98" s="47" t="n">
        <f aca="false">DZ96*$F98*(DZ$4&lt;=In_COD)</f>
        <v>0</v>
      </c>
      <c r="EA98" s="47" t="n">
        <f aca="false">EA96*$F98*(EA$4&lt;=In_COD)</f>
        <v>0</v>
      </c>
      <c r="EB98" s="47" t="n">
        <f aca="false">EB96*$F98*(EB$4&lt;=In_COD)</f>
        <v>0</v>
      </c>
      <c r="EC98" s="47" t="n">
        <f aca="false">EC96*$F98*(EC$4&lt;=In_COD)</f>
        <v>0</v>
      </c>
      <c r="ED98" s="47" t="n">
        <f aca="false">ED96*$F98*(ED$4&lt;=In_COD)</f>
        <v>0</v>
      </c>
      <c r="EE98" s="47" t="n">
        <f aca="false">EE96*$F98*(EE$4&lt;=In_COD)</f>
        <v>0</v>
      </c>
      <c r="EF98" s="47" t="n">
        <f aca="false">EF96*$F98*(EF$4&lt;=In_COD)</f>
        <v>0</v>
      </c>
      <c r="EG98" s="47" t="n">
        <f aca="false">EG96*$F98*(EG$4&lt;=In_COD)</f>
        <v>0</v>
      </c>
      <c r="EH98" s="47" t="n">
        <f aca="false">EH96*$F98*(EH$4&lt;=In_COD)</f>
        <v>0</v>
      </c>
      <c r="EI98" s="47" t="n">
        <f aca="false">EI96*$F98*(EI$4&lt;=In_COD)</f>
        <v>0</v>
      </c>
      <c r="EJ98" s="47" t="n">
        <f aca="false">EJ96*$F98*(EJ$4&lt;=In_COD)</f>
        <v>0</v>
      </c>
      <c r="EK98" s="47" t="n">
        <f aca="false">EK96*$F98*(EK$4&lt;=In_COD)</f>
        <v>0</v>
      </c>
      <c r="EL98" s="47" t="n">
        <f aca="false">EL96*$F98*(EL$4&lt;=In_COD)</f>
        <v>0</v>
      </c>
      <c r="EM98" s="47" t="n">
        <f aca="false">EM96*$F98*(EM$4&lt;=In_COD)</f>
        <v>0</v>
      </c>
      <c r="EN98" s="47" t="n">
        <f aca="false">EN96*$F98*(EN$4&lt;=In_COD)</f>
        <v>0</v>
      </c>
      <c r="EO98" s="47" t="n">
        <f aca="false">EO96*$F98*(EO$4&lt;=In_COD)</f>
        <v>0</v>
      </c>
      <c r="EP98" s="47" t="n">
        <f aca="false">EP96*$F98*(EP$4&lt;=In_COD)</f>
        <v>0</v>
      </c>
      <c r="EQ98" s="47" t="n">
        <f aca="false">EQ96*$F98*(EQ$4&lt;=In_COD)</f>
        <v>0</v>
      </c>
      <c r="ER98" s="47" t="n">
        <f aca="false">ER96*$F98*(ER$4&lt;=In_COD)</f>
        <v>0</v>
      </c>
      <c r="ES98" s="47" t="n">
        <f aca="false">ES96*$F98*(ES$4&lt;=In_COD)</f>
        <v>0</v>
      </c>
      <c r="ET98" s="47" t="n">
        <f aca="false">ET96*$F98*(ET$4&lt;=In_COD)</f>
        <v>0</v>
      </c>
    </row>
    <row r="99" customFormat="false" ht="15" hidden="false" customHeight="false" outlineLevel="0" collapsed="false">
      <c r="C99" s="1" t="s">
        <v>517</v>
      </c>
      <c r="D99" s="12" t="s">
        <v>222</v>
      </c>
      <c r="I99" s="47" t="n">
        <f aca="false">SUM(J99:ET99)</f>
        <v>-94220.5039225694</v>
      </c>
      <c r="J99" s="47" t="n">
        <f aca="false">PPMT($F98,1,In_Debt_Tenor*Months_In_Year/Months_Per_Period-SUM($J17:J17)+1,J96)*J17</f>
        <v>0</v>
      </c>
      <c r="K99" s="47" t="n">
        <f aca="false">PPMT($F98,1,In_Debt_Tenor*Months_In_Year/Months_Per_Period-SUM($J17:K17)+1,K96)*K17</f>
        <v>0</v>
      </c>
      <c r="L99" s="47" t="n">
        <f aca="false">PPMT($F98,1,In_Debt_Tenor*Months_In_Year/Months_Per_Period-SUM($J17:L17)+1,L96)*L17</f>
        <v>0</v>
      </c>
      <c r="M99" s="47" t="n">
        <f aca="false">PPMT($F98,1,In_Debt_Tenor*Months_In_Year/Months_Per_Period-SUM($J17:M17)+1,M96)*M17</f>
        <v>0</v>
      </c>
      <c r="N99" s="47" t="n">
        <f aca="false">PPMT($F98,1,In_Debt_Tenor*Months_In_Year/Months_Per_Period-SUM($J17:N17)+1,N96)*N17</f>
        <v>0</v>
      </c>
      <c r="O99" s="47" t="n">
        <f aca="false">PPMT($F98,1,In_Debt_Tenor*Months_In_Year/Months_Per_Period-SUM($J17:O17)+1,O96)*O17</f>
        <v>0</v>
      </c>
      <c r="P99" s="47" t="n">
        <f aca="false">PPMT($F98,1,In_Debt_Tenor*Months_In_Year/Months_Per_Period-SUM($J17:P17)+1,P96)*P17</f>
        <v>0</v>
      </c>
      <c r="Q99" s="47" t="n">
        <f aca="false">PPMT($F98,1,In_Debt_Tenor*Months_In_Year/Months_Per_Period-SUM($J17:Q17)+1,Q96)*Q17</f>
        <v>0</v>
      </c>
      <c r="R99" s="47" t="n">
        <f aca="false">PPMT($F98,1,In_Debt_Tenor*Months_In_Year/Months_Per_Period-SUM($J17:R17)+1,R96)*R17</f>
        <v>0</v>
      </c>
      <c r="S99" s="47" t="n">
        <f aca="false">PPMT($F98,1,In_Debt_Tenor*Months_In_Year/Months_Per_Period-SUM($J17:S17)+1,S96)*S17</f>
        <v>0</v>
      </c>
      <c r="T99" s="47" t="n">
        <f aca="false">PPMT($F98,1,In_Debt_Tenor*Months_In_Year/Months_Per_Period-SUM($J17:T17)+1,T96)*T17</f>
        <v>0</v>
      </c>
      <c r="U99" s="47" t="n">
        <f aca="false">PPMT($F98,1,In_Debt_Tenor*Months_In_Year/Months_Per_Period-SUM($J17:U17)+1,U96)*U17</f>
        <v>0</v>
      </c>
      <c r="V99" s="47" t="n">
        <f aca="false">PPMT($F98,1,In_Debt_Tenor*Months_In_Year/Months_Per_Period-SUM($J17:V17)+1,V96)*V17</f>
        <v>0</v>
      </c>
      <c r="W99" s="47" t="n">
        <f aca="false">PPMT($F98,1,In_Debt_Tenor*Months_In_Year/Months_Per_Period-SUM($J17:W17)+1,W96)*W17</f>
        <v>0</v>
      </c>
      <c r="X99" s="47" t="n">
        <f aca="false">PPMT($F98,1,In_Debt_Tenor*Months_In_Year/Months_Per_Period-SUM($J17:X17)+1,X96)*X17</f>
        <v>-0</v>
      </c>
      <c r="Y99" s="47" t="n">
        <f aca="false">PPMT($F98,1,In_Debt_Tenor*Months_In_Year/Months_Per_Period-SUM($J17:Y17)+1,Y96)*Y17</f>
        <v>-0</v>
      </c>
      <c r="Z99" s="47" t="n">
        <f aca="false">PPMT($F98,1,In_Debt_Tenor*Months_In_Year/Months_Per_Period-SUM($J17:Z17)+1,Z96)*Z17</f>
        <v>-0</v>
      </c>
      <c r="AA99" s="47" t="n">
        <f aca="false">PPMT($F98,1,In_Debt_Tenor*Months_In_Year/Months_Per_Period-SUM($J17:AA17)+1,AA96)*AA17</f>
        <v>-0</v>
      </c>
      <c r="AB99" s="47" t="n">
        <f aca="false">PPMT($F98,1,In_Debt_Tenor*Months_In_Year/Months_Per_Period-SUM($J17:AB17)+1,AB96)*AB17</f>
        <v>-0</v>
      </c>
      <c r="AC99" s="47" t="n">
        <f aca="false">PPMT($F98,1,In_Debt_Tenor*Months_In_Year/Months_Per_Period-SUM($J17:AC17)+1,AC96)*AC17</f>
        <v>-0</v>
      </c>
      <c r="AD99" s="47" t="n">
        <f aca="false">PPMT($F98,1,In_Debt_Tenor*Months_In_Year/Months_Per_Period-SUM($J17:AD17)+1,AD96)*AD17</f>
        <v>-0</v>
      </c>
      <c r="AE99" s="47" t="n">
        <f aca="false">PPMT($F98,1,In_Debt_Tenor*Months_In_Year/Months_Per_Period-SUM($J17:AE17)+1,AE96)*AE17</f>
        <v>-1829.89540535528</v>
      </c>
      <c r="AF99" s="47" t="n">
        <f aca="false">PPMT($F98,1,In_Debt_Tenor*Months_In_Year/Months_Per_Period-SUM($J17:AF17)+1,AF96)*AF17</f>
        <v>-1852.76909792222</v>
      </c>
      <c r="AG99" s="47" t="n">
        <f aca="false">PPMT($F98,1,In_Debt_Tenor*Months_In_Year/Months_Per_Period-SUM($J17:AG17)+1,AG96)*AG17</f>
        <v>-1875.92871164625</v>
      </c>
      <c r="AH99" s="47" t="n">
        <f aca="false">PPMT($F98,1,In_Debt_Tenor*Months_In_Year/Months_Per_Period-SUM($J17:AH17)+1,AH96)*AH17</f>
        <v>-1899.37782054183</v>
      </c>
      <c r="AI99" s="47" t="n">
        <f aca="false">PPMT($F98,1,In_Debt_Tenor*Months_In_Year/Months_Per_Period-SUM($J17:AI17)+1,AI96)*AI17</f>
        <v>-1923.1200432986</v>
      </c>
      <c r="AJ99" s="47" t="n">
        <f aca="false">PPMT($F98,1,In_Debt_Tenor*Months_In_Year/Months_Per_Period-SUM($J17:AJ17)+1,AJ96)*AJ17</f>
        <v>-1947.15904383984</v>
      </c>
      <c r="AK99" s="47" t="n">
        <f aca="false">PPMT($F98,1,In_Debt_Tenor*Months_In_Year/Months_Per_Period-SUM($J17:AK17)+1,AK96)*AK17</f>
        <v>-1971.49853188783</v>
      </c>
      <c r="AL99" s="47" t="n">
        <f aca="false">PPMT($F98,1,In_Debt_Tenor*Months_In_Year/Months_Per_Period-SUM($J17:AL17)+1,AL96)*AL17</f>
        <v>-1996.14226353643</v>
      </c>
      <c r="AM99" s="47" t="n">
        <f aca="false">PPMT($F98,1,In_Debt_Tenor*Months_In_Year/Months_Per_Period-SUM($J17:AM17)+1,AM96)*AM17</f>
        <v>-2021.09404183064</v>
      </c>
      <c r="AN99" s="47" t="n">
        <f aca="false">PPMT($F98,1,In_Debt_Tenor*Months_In_Year/Months_Per_Period-SUM($J17:AN17)+1,AN96)*AN17</f>
        <v>-2046.35771735352</v>
      </c>
      <c r="AO99" s="47" t="n">
        <f aca="false">PPMT($F98,1,In_Debt_Tenor*Months_In_Year/Months_Per_Period-SUM($J17:AO17)+1,AO96)*AO17</f>
        <v>-2071.93718882044</v>
      </c>
      <c r="AP99" s="47" t="n">
        <f aca="false">PPMT($F98,1,In_Debt_Tenor*Months_In_Year/Months_Per_Period-SUM($J17:AP17)+1,AP96)*AP17</f>
        <v>-2097.83640368069</v>
      </c>
      <c r="AQ99" s="47" t="n">
        <f aca="false">PPMT($F98,1,In_Debt_Tenor*Months_In_Year/Months_Per_Period-SUM($J17:AQ17)+1,AQ96)*AQ17</f>
        <v>-2124.0593587267</v>
      </c>
      <c r="AR99" s="47" t="n">
        <f aca="false">PPMT($F98,1,In_Debt_Tenor*Months_In_Year/Months_Per_Period-SUM($J17:AR17)+1,AR96)*AR17</f>
        <v>-2150.61010071079</v>
      </c>
      <c r="AS99" s="47" t="n">
        <f aca="false">PPMT($F98,1,In_Debt_Tenor*Months_In_Year/Months_Per_Period-SUM($J17:AS17)+1,AS96)*AS17</f>
        <v>-2177.49272696967</v>
      </c>
      <c r="AT99" s="47" t="n">
        <f aca="false">PPMT($F98,1,In_Debt_Tenor*Months_In_Year/Months_Per_Period-SUM($J17:AT17)+1,AT96)*AT17</f>
        <v>-2204.71138605679</v>
      </c>
      <c r="AU99" s="47" t="n">
        <f aca="false">PPMT($F98,1,In_Debt_Tenor*Months_In_Year/Months_Per_Period-SUM($J17:AU17)+1,AU96)*AU17</f>
        <v>-2232.2702783825</v>
      </c>
      <c r="AV99" s="47" t="n">
        <f aca="false">PPMT($F98,1,In_Debt_Tenor*Months_In_Year/Months_Per_Period-SUM($J17:AV17)+1,AV96)*AV17</f>
        <v>-2260.17365686228</v>
      </c>
      <c r="AW99" s="47" t="n">
        <f aca="false">PPMT($F98,1,In_Debt_Tenor*Months_In_Year/Months_Per_Period-SUM($J17:AW17)+1,AW96)*AW17</f>
        <v>-2288.42582757306</v>
      </c>
      <c r="AX99" s="47" t="n">
        <f aca="false">PPMT($F98,1,In_Debt_Tenor*Months_In_Year/Months_Per_Period-SUM($J17:AX17)+1,AX96)*AX17</f>
        <v>-2317.03115041772</v>
      </c>
      <c r="AY99" s="47" t="n">
        <f aca="false">PPMT($F98,1,In_Debt_Tenor*Months_In_Year/Months_Per_Period-SUM($J17:AY17)+1,AY96)*AY17</f>
        <v>-2345.99403979795</v>
      </c>
      <c r="AZ99" s="47" t="n">
        <f aca="false">PPMT($F98,1,In_Debt_Tenor*Months_In_Year/Months_Per_Period-SUM($J17:AZ17)+1,AZ96)*AZ17</f>
        <v>-2375.31896529542</v>
      </c>
      <c r="BA99" s="47" t="n">
        <f aca="false">PPMT($F98,1,In_Debt_Tenor*Months_In_Year/Months_Per_Period-SUM($J17:BA17)+1,BA96)*BA17</f>
        <v>-2405.01045236161</v>
      </c>
      <c r="BB99" s="47" t="n">
        <f aca="false">PPMT($F98,1,In_Debt_Tenor*Months_In_Year/Months_Per_Period-SUM($J17:BB17)+1,BB96)*BB17</f>
        <v>-2435.07308301613</v>
      </c>
      <c r="BC99" s="47" t="n">
        <f aca="false">PPMT($F98,1,In_Debt_Tenor*Months_In_Year/Months_Per_Period-SUM($J17:BC17)+1,BC96)*BC17</f>
        <v>-2465.51149655383</v>
      </c>
      <c r="BD99" s="47" t="n">
        <f aca="false">PPMT($F98,1,In_Debt_Tenor*Months_In_Year/Months_Per_Period-SUM($J17:BD17)+1,BD96)*BD17</f>
        <v>-2496.33039026076</v>
      </c>
      <c r="BE99" s="47" t="n">
        <f aca="false">PPMT($F98,1,In_Debt_Tenor*Months_In_Year/Months_Per_Period-SUM($J17:BE17)+1,BE96)*BE17</f>
        <v>-2527.53452013902</v>
      </c>
      <c r="BF99" s="47" t="n">
        <f aca="false">PPMT($F98,1,In_Debt_Tenor*Months_In_Year/Months_Per_Period-SUM($J17:BF17)+1,BF96)*BF17</f>
        <v>-2559.12870164076</v>
      </c>
      <c r="BG99" s="47" t="n">
        <f aca="false">PPMT($F98,1,In_Debt_Tenor*Months_In_Year/Months_Per_Period-SUM($J17:BG17)+1,BG96)*BG17</f>
        <v>-2591.11781041126</v>
      </c>
      <c r="BH99" s="47" t="n">
        <f aca="false">PPMT($F98,1,In_Debt_Tenor*Months_In_Year/Months_Per_Period-SUM($J17:BH17)+1,BH96)*BH17</f>
        <v>-2623.50678304141</v>
      </c>
      <c r="BI99" s="47" t="n">
        <f aca="false">PPMT($F98,1,In_Debt_Tenor*Months_In_Year/Months_Per_Period-SUM($J17:BI17)+1,BI96)*BI17</f>
        <v>-2656.30061782942</v>
      </c>
      <c r="BJ99" s="47" t="n">
        <f aca="false">PPMT($F98,1,In_Debt_Tenor*Months_In_Year/Months_Per_Period-SUM($J17:BJ17)+1,BJ96)*BJ17</f>
        <v>-2689.50437555229</v>
      </c>
      <c r="BK99" s="47" t="n">
        <f aca="false">PPMT($F98,1,In_Debt_Tenor*Months_In_Year/Months_Per_Period-SUM($J17:BK17)+1,BK96)*BK17</f>
        <v>-2723.12318024669</v>
      </c>
      <c r="BL99" s="47" t="n">
        <f aca="false">PPMT($F98,1,In_Debt_Tenor*Months_In_Year/Months_Per_Period-SUM($J17:BL17)+1,BL96)*BL17</f>
        <v>-2757.16221999978</v>
      </c>
      <c r="BM99" s="47" t="n">
        <f aca="false">PPMT($F98,1,In_Debt_Tenor*Months_In_Year/Months_Per_Period-SUM($J17:BM17)+1,BM96)*BM17</f>
        <v>-2791.62674774978</v>
      </c>
      <c r="BN99" s="47" t="n">
        <f aca="false">PPMT($F98,1,In_Debt_Tenor*Months_In_Year/Months_Per_Period-SUM($J17:BN17)+1,BN96)*BN17</f>
        <v>-2826.52208209665</v>
      </c>
      <c r="BO99" s="47" t="n">
        <f aca="false">PPMT($F98,1,In_Debt_Tenor*Months_In_Year/Months_Per_Period-SUM($J17:BO17)+1,BO96)*BO17</f>
        <v>-2861.85360812286</v>
      </c>
      <c r="BP99" s="47" t="n">
        <f aca="false">PPMT($F98,1,In_Debt_Tenor*Months_In_Year/Months_Per_Period-SUM($J17:BP17)+1,BP96)*BP17</f>
        <v>-2897.62677822439</v>
      </c>
      <c r="BQ99" s="47" t="n">
        <f aca="false">PPMT($F98,1,In_Debt_Tenor*Months_In_Year/Months_Per_Period-SUM($J17:BQ17)+1,BQ96)*BQ17</f>
        <v>-2933.8471129522</v>
      </c>
      <c r="BR99" s="47" t="n">
        <f aca="false">PPMT($F98,1,In_Debt_Tenor*Months_In_Year/Months_Per_Period-SUM($J17:BR17)+1,BR96)*BR17</f>
        <v>-2970.5202018641</v>
      </c>
      <c r="BS99" s="47" t="n">
        <f aca="false">PPMT($F98,1,In_Debt_Tenor*Months_In_Year/Months_Per_Period-SUM($J17:BS17)+1,BS96)*BS17</f>
        <v>0</v>
      </c>
      <c r="BT99" s="47" t="n">
        <f aca="false">PPMT($F98,1,In_Debt_Tenor*Months_In_Year/Months_Per_Period-SUM($J17:BT17)+1,BT96)*BT17</f>
        <v>0</v>
      </c>
      <c r="BU99" s="47" t="n">
        <f aca="false">PPMT($F98,1,In_Debt_Tenor*Months_In_Year/Months_Per_Period-SUM($J17:BU17)+1,BU96)*BU17</f>
        <v>0</v>
      </c>
      <c r="BV99" s="47" t="n">
        <f aca="false">PPMT($F98,1,In_Debt_Tenor*Months_In_Year/Months_Per_Period-SUM($J17:BV17)+1,BV96)*BV17</f>
        <v>0</v>
      </c>
      <c r="BW99" s="47" t="n">
        <f aca="false">PPMT($F98,1,In_Debt_Tenor*Months_In_Year/Months_Per_Period-SUM($J17:BW17)+1,BW96)*BW17</f>
        <v>0</v>
      </c>
      <c r="BX99" s="47" t="n">
        <f aca="false">PPMT($F98,1,In_Debt_Tenor*Months_In_Year/Months_Per_Period-SUM($J17:BX17)+1,BX96)*BX17</f>
        <v>0</v>
      </c>
      <c r="BY99" s="47" t="n">
        <f aca="false">PPMT($F98,1,In_Debt_Tenor*Months_In_Year/Months_Per_Period-SUM($J17:BY17)+1,BY96)*BY17</f>
        <v>0</v>
      </c>
      <c r="BZ99" s="47" t="n">
        <f aca="false">PPMT($F98,1,In_Debt_Tenor*Months_In_Year/Months_Per_Period-SUM($J17:BZ17)+1,BZ96)*BZ17</f>
        <v>0</v>
      </c>
      <c r="CA99" s="47" t="n">
        <f aca="false">PPMT($F98,1,In_Debt_Tenor*Months_In_Year/Months_Per_Period-SUM($J17:CA17)+1,CA96)*CA17</f>
        <v>0</v>
      </c>
      <c r="CB99" s="47" t="n">
        <f aca="false">PPMT($F98,1,In_Debt_Tenor*Months_In_Year/Months_Per_Period-SUM($J17:CB17)+1,CB96)*CB17</f>
        <v>0</v>
      </c>
      <c r="CC99" s="47" t="n">
        <f aca="false">PPMT($F98,1,In_Debt_Tenor*Months_In_Year/Months_Per_Period-SUM($J17:CC17)+1,CC96)*CC17</f>
        <v>0</v>
      </c>
      <c r="CD99" s="47" t="n">
        <f aca="false">PPMT($F98,1,In_Debt_Tenor*Months_In_Year/Months_Per_Period-SUM($J17:CD17)+1,CD96)*CD17</f>
        <v>0</v>
      </c>
      <c r="CE99" s="47" t="n">
        <f aca="false">PPMT($F98,1,In_Debt_Tenor*Months_In_Year/Months_Per_Period-SUM($J17:CE17)+1,CE96)*CE17</f>
        <v>0</v>
      </c>
      <c r="CF99" s="47" t="n">
        <f aca="false">PPMT($F98,1,In_Debt_Tenor*Months_In_Year/Months_Per_Period-SUM($J17:CF17)+1,CF96)*CF17</f>
        <v>0</v>
      </c>
      <c r="CG99" s="47" t="n">
        <f aca="false">PPMT($F98,1,In_Debt_Tenor*Months_In_Year/Months_Per_Period-SUM($J17:CG17)+1,CG96)*CG17</f>
        <v>0</v>
      </c>
      <c r="CH99" s="47" t="n">
        <f aca="false">PPMT($F98,1,In_Debt_Tenor*Months_In_Year/Months_Per_Period-SUM($J17:CH17)+1,CH96)*CH17</f>
        <v>0</v>
      </c>
      <c r="CI99" s="47" t="n">
        <f aca="false">PPMT($F98,1,In_Debt_Tenor*Months_In_Year/Months_Per_Period-SUM($J17:CI17)+1,CI96)*CI17</f>
        <v>0</v>
      </c>
      <c r="CJ99" s="47" t="n">
        <f aca="false">PPMT($F98,1,In_Debt_Tenor*Months_In_Year/Months_Per_Period-SUM($J17:CJ17)+1,CJ96)*CJ17</f>
        <v>0</v>
      </c>
      <c r="CK99" s="47" t="n">
        <f aca="false">PPMT($F98,1,In_Debt_Tenor*Months_In_Year/Months_Per_Period-SUM($J17:CK17)+1,CK96)*CK17</f>
        <v>0</v>
      </c>
      <c r="CL99" s="47" t="n">
        <f aca="false">PPMT($F98,1,In_Debt_Tenor*Months_In_Year/Months_Per_Period-SUM($J17:CL17)+1,CL96)*CL17</f>
        <v>0</v>
      </c>
      <c r="CM99" s="47" t="n">
        <f aca="false">PPMT($F98,1,In_Debt_Tenor*Months_In_Year/Months_Per_Period-SUM($J17:CM17)+1,CM96)*CM17</f>
        <v>0</v>
      </c>
      <c r="CN99" s="47" t="n">
        <f aca="false">PPMT($F98,1,In_Debt_Tenor*Months_In_Year/Months_Per_Period-SUM($J17:CN17)+1,CN96)*CN17</f>
        <v>0</v>
      </c>
      <c r="CO99" s="47" t="n">
        <f aca="false">PPMT($F98,1,In_Debt_Tenor*Months_In_Year/Months_Per_Period-SUM($J17:CO17)+1,CO96)*CO17</f>
        <v>0</v>
      </c>
      <c r="CP99" s="47" t="n">
        <f aca="false">PPMT($F98,1,In_Debt_Tenor*Months_In_Year/Months_Per_Period-SUM($J17:CP17)+1,CP96)*CP17</f>
        <v>0</v>
      </c>
      <c r="CQ99" s="47" t="n">
        <f aca="false">PPMT($F98,1,In_Debt_Tenor*Months_In_Year/Months_Per_Period-SUM($J17:CQ17)+1,CQ96)*CQ17</f>
        <v>0</v>
      </c>
      <c r="CR99" s="47" t="n">
        <f aca="false">PPMT($F98,1,In_Debt_Tenor*Months_In_Year/Months_Per_Period-SUM($J17:CR17)+1,CR96)*CR17</f>
        <v>0</v>
      </c>
      <c r="CS99" s="47" t="n">
        <f aca="false">PPMT($F98,1,In_Debt_Tenor*Months_In_Year/Months_Per_Period-SUM($J17:CS17)+1,CS96)*CS17</f>
        <v>0</v>
      </c>
      <c r="CT99" s="47" t="n">
        <f aca="false">PPMT($F98,1,In_Debt_Tenor*Months_In_Year/Months_Per_Period-SUM($J17:CT17)+1,CT96)*CT17</f>
        <v>0</v>
      </c>
      <c r="CU99" s="47" t="n">
        <f aca="false">PPMT($F98,1,In_Debt_Tenor*Months_In_Year/Months_Per_Period-SUM($J17:CU17)+1,CU96)*CU17</f>
        <v>0</v>
      </c>
      <c r="CV99" s="47" t="n">
        <f aca="false">PPMT($F98,1,In_Debt_Tenor*Months_In_Year/Months_Per_Period-SUM($J17:CV17)+1,CV96)*CV17</f>
        <v>0</v>
      </c>
      <c r="CW99" s="47" t="n">
        <f aca="false">PPMT($F98,1,In_Debt_Tenor*Months_In_Year/Months_Per_Period-SUM($J17:CW17)+1,CW96)*CW17</f>
        <v>0</v>
      </c>
      <c r="CX99" s="47" t="n">
        <f aca="false">PPMT($F98,1,In_Debt_Tenor*Months_In_Year/Months_Per_Period-SUM($J17:CX17)+1,CX96)*CX17</f>
        <v>0</v>
      </c>
      <c r="CY99" s="47" t="n">
        <f aca="false">PPMT($F98,1,In_Debt_Tenor*Months_In_Year/Months_Per_Period-SUM($J17:CY17)+1,CY96)*CY17</f>
        <v>0</v>
      </c>
      <c r="CZ99" s="47" t="n">
        <f aca="false">PPMT($F98,1,In_Debt_Tenor*Months_In_Year/Months_Per_Period-SUM($J17:CZ17)+1,CZ96)*CZ17</f>
        <v>0</v>
      </c>
      <c r="DA99" s="47" t="n">
        <f aca="false">PPMT($F98,1,In_Debt_Tenor*Months_In_Year/Months_Per_Period-SUM($J17:DA17)+1,DA96)*DA17</f>
        <v>0</v>
      </c>
      <c r="DB99" s="47" t="n">
        <f aca="false">PPMT($F98,1,In_Debt_Tenor*Months_In_Year/Months_Per_Period-SUM($J17:DB17)+1,DB96)*DB17</f>
        <v>0</v>
      </c>
      <c r="DC99" s="47" t="n">
        <f aca="false">PPMT($F98,1,In_Debt_Tenor*Months_In_Year/Months_Per_Period-SUM($J17:DC17)+1,DC96)*DC17</f>
        <v>0</v>
      </c>
      <c r="DD99" s="47" t="n">
        <f aca="false">PPMT($F98,1,In_Debt_Tenor*Months_In_Year/Months_Per_Period-SUM($J17:DD17)+1,DD96)*DD17</f>
        <v>0</v>
      </c>
      <c r="DE99" s="47" t="n">
        <f aca="false">PPMT($F98,1,In_Debt_Tenor*Months_In_Year/Months_Per_Period-SUM($J17:DE17)+1,DE96)*DE17</f>
        <v>0</v>
      </c>
      <c r="DF99" s="47" t="n">
        <f aca="false">PPMT($F98,1,In_Debt_Tenor*Months_In_Year/Months_Per_Period-SUM($J17:DF17)+1,DF96)*DF17</f>
        <v>0</v>
      </c>
      <c r="DG99" s="47" t="n">
        <f aca="false">PPMT($F98,1,In_Debt_Tenor*Months_In_Year/Months_Per_Period-SUM($J17:DG17)+1,DG96)*DG17</f>
        <v>0</v>
      </c>
      <c r="DH99" s="47" t="n">
        <f aca="false">PPMT($F98,1,In_Debt_Tenor*Months_In_Year/Months_Per_Period-SUM($J17:DH17)+1,DH96)*DH17</f>
        <v>0</v>
      </c>
      <c r="DI99" s="47" t="n">
        <f aca="false">PPMT($F98,1,In_Debt_Tenor*Months_In_Year/Months_Per_Period-SUM($J17:DI17)+1,DI96)*DI17</f>
        <v>0</v>
      </c>
      <c r="DJ99" s="47" t="n">
        <f aca="false">PPMT($F98,1,In_Debt_Tenor*Months_In_Year/Months_Per_Period-SUM($J17:DJ17)+1,DJ96)*DJ17</f>
        <v>0</v>
      </c>
      <c r="DK99" s="47" t="n">
        <f aca="false">PPMT($F98,1,In_Debt_Tenor*Months_In_Year/Months_Per_Period-SUM($J17:DK17)+1,DK96)*DK17</f>
        <v>0</v>
      </c>
      <c r="DL99" s="47" t="n">
        <f aca="false">PPMT($F98,1,In_Debt_Tenor*Months_In_Year/Months_Per_Period-SUM($J17:DL17)+1,DL96)*DL17</f>
        <v>0</v>
      </c>
      <c r="DM99" s="47" t="n">
        <f aca="false">PPMT($F98,1,In_Debt_Tenor*Months_In_Year/Months_Per_Period-SUM($J17:DM17)+1,DM96)*DM17</f>
        <v>0</v>
      </c>
      <c r="DN99" s="47" t="n">
        <f aca="false">PPMT($F98,1,In_Debt_Tenor*Months_In_Year/Months_Per_Period-SUM($J17:DN17)+1,DN96)*DN17</f>
        <v>0</v>
      </c>
      <c r="DO99" s="47" t="n">
        <f aca="false">PPMT($F98,1,In_Debt_Tenor*Months_In_Year/Months_Per_Period-SUM($J17:DO17)+1,DO96)*DO17</f>
        <v>0</v>
      </c>
      <c r="DP99" s="47" t="n">
        <f aca="false">PPMT($F98,1,In_Debt_Tenor*Months_In_Year/Months_Per_Period-SUM($J17:DP17)+1,DP96)*DP17</f>
        <v>0</v>
      </c>
      <c r="DQ99" s="47" t="n">
        <f aca="false">PPMT($F98,1,In_Debt_Tenor*Months_In_Year/Months_Per_Period-SUM($J17:DQ17)+1,DQ96)*DQ17</f>
        <v>0</v>
      </c>
      <c r="DR99" s="47" t="n">
        <f aca="false">PPMT($F98,1,In_Debt_Tenor*Months_In_Year/Months_Per_Period-SUM($J17:DR17)+1,DR96)*DR17</f>
        <v>0</v>
      </c>
      <c r="DS99" s="47" t="n">
        <f aca="false">PPMT($F98,1,In_Debt_Tenor*Months_In_Year/Months_Per_Period-SUM($J17:DS17)+1,DS96)*DS17</f>
        <v>0</v>
      </c>
      <c r="DT99" s="47" t="n">
        <f aca="false">PPMT($F98,1,In_Debt_Tenor*Months_In_Year/Months_Per_Period-SUM($J17:DT17)+1,DT96)*DT17</f>
        <v>0</v>
      </c>
      <c r="DU99" s="47" t="n">
        <f aca="false">PPMT($F98,1,In_Debt_Tenor*Months_In_Year/Months_Per_Period-SUM($J17:DU17)+1,DU96)*DU17</f>
        <v>0</v>
      </c>
      <c r="DV99" s="47" t="n">
        <f aca="false">PPMT($F98,1,In_Debt_Tenor*Months_In_Year/Months_Per_Period-SUM($J17:DV17)+1,DV96)*DV17</f>
        <v>0</v>
      </c>
      <c r="DW99" s="47" t="n">
        <f aca="false">PPMT($F98,1,In_Debt_Tenor*Months_In_Year/Months_Per_Period-SUM($J17:DW17)+1,DW96)*DW17</f>
        <v>0</v>
      </c>
      <c r="DX99" s="47" t="n">
        <f aca="false">PPMT($F98,1,In_Debt_Tenor*Months_In_Year/Months_Per_Period-SUM($J17:DX17)+1,DX96)*DX17</f>
        <v>0</v>
      </c>
      <c r="DY99" s="47" t="n">
        <f aca="false">PPMT($F98,1,In_Debt_Tenor*Months_In_Year/Months_Per_Period-SUM($J17:DY17)+1,DY96)*DY17</f>
        <v>0</v>
      </c>
      <c r="DZ99" s="47" t="n">
        <f aca="false">PPMT($F98,1,In_Debt_Tenor*Months_In_Year/Months_Per_Period-SUM($J17:DZ17)+1,DZ96)*DZ17</f>
        <v>0</v>
      </c>
      <c r="EA99" s="47" t="n">
        <f aca="false">PPMT($F98,1,In_Debt_Tenor*Months_In_Year/Months_Per_Period-SUM($J17:EA17)+1,EA96)*EA17</f>
        <v>0</v>
      </c>
      <c r="EB99" s="47" t="n">
        <f aca="false">PPMT($F98,1,In_Debt_Tenor*Months_In_Year/Months_Per_Period-SUM($J17:EB17)+1,EB96)*EB17</f>
        <v>0</v>
      </c>
      <c r="EC99" s="47" t="n">
        <f aca="false">PPMT($F98,1,In_Debt_Tenor*Months_In_Year/Months_Per_Period-SUM($J17:EC17)+1,EC96)*EC17</f>
        <v>0</v>
      </c>
      <c r="ED99" s="47" t="n">
        <f aca="false">PPMT($F98,1,In_Debt_Tenor*Months_In_Year/Months_Per_Period-SUM($J17:ED17)+1,ED96)*ED17</f>
        <v>0</v>
      </c>
      <c r="EE99" s="47" t="n">
        <f aca="false">PPMT($F98,1,In_Debt_Tenor*Months_In_Year/Months_Per_Period-SUM($J17:EE17)+1,EE96)*EE17</f>
        <v>0</v>
      </c>
      <c r="EF99" s="47" t="n">
        <f aca="false">PPMT($F98,1,In_Debt_Tenor*Months_In_Year/Months_Per_Period-SUM($J17:EF17)+1,EF96)*EF17</f>
        <v>0</v>
      </c>
      <c r="EG99" s="47" t="n">
        <f aca="false">PPMT($F98,1,In_Debt_Tenor*Months_In_Year/Months_Per_Period-SUM($J17:EG17)+1,EG96)*EG17</f>
        <v>0</v>
      </c>
      <c r="EH99" s="47" t="n">
        <f aca="false">PPMT($F98,1,In_Debt_Tenor*Months_In_Year/Months_Per_Period-SUM($J17:EH17)+1,EH96)*EH17</f>
        <v>0</v>
      </c>
      <c r="EI99" s="47" t="n">
        <f aca="false">PPMT($F98,1,In_Debt_Tenor*Months_In_Year/Months_Per_Period-SUM($J17:EI17)+1,EI96)*EI17</f>
        <v>0</v>
      </c>
      <c r="EJ99" s="47" t="n">
        <f aca="false">PPMT($F98,1,In_Debt_Tenor*Months_In_Year/Months_Per_Period-SUM($J17:EJ17)+1,EJ96)*EJ17</f>
        <v>0</v>
      </c>
      <c r="EK99" s="47" t="n">
        <f aca="false">PPMT($F98,1,In_Debt_Tenor*Months_In_Year/Months_Per_Period-SUM($J17:EK17)+1,EK96)*EK17</f>
        <v>0</v>
      </c>
      <c r="EL99" s="47" t="n">
        <f aca="false">PPMT($F98,1,In_Debt_Tenor*Months_In_Year/Months_Per_Period-SUM($J17:EL17)+1,EL96)*EL17</f>
        <v>0</v>
      </c>
      <c r="EM99" s="47" t="n">
        <f aca="false">PPMT($F98,1,In_Debt_Tenor*Months_In_Year/Months_Per_Period-SUM($J17:EM17)+1,EM96)*EM17</f>
        <v>0</v>
      </c>
      <c r="EN99" s="47" t="n">
        <f aca="false">PPMT($F98,1,In_Debt_Tenor*Months_In_Year/Months_Per_Period-SUM($J17:EN17)+1,EN96)*EN17</f>
        <v>0</v>
      </c>
      <c r="EO99" s="47" t="n">
        <f aca="false">PPMT($F98,1,In_Debt_Tenor*Months_In_Year/Months_Per_Period-SUM($J17:EO17)+1,EO96)*EO17</f>
        <v>0</v>
      </c>
      <c r="EP99" s="47" t="n">
        <f aca="false">PPMT($F98,1,In_Debt_Tenor*Months_In_Year/Months_Per_Period-SUM($J17:EP17)+1,EP96)*EP17</f>
        <v>0</v>
      </c>
      <c r="EQ99" s="47" t="n">
        <f aca="false">PPMT($F98,1,In_Debt_Tenor*Months_In_Year/Months_Per_Period-SUM($J17:EQ17)+1,EQ96)*EQ17</f>
        <v>0</v>
      </c>
      <c r="ER99" s="47" t="n">
        <f aca="false">PPMT($F98,1,In_Debt_Tenor*Months_In_Year/Months_Per_Period-SUM($J17:ER17)+1,ER96)*ER17</f>
        <v>0</v>
      </c>
      <c r="ES99" s="47" t="n">
        <f aca="false">PPMT($F98,1,In_Debt_Tenor*Months_In_Year/Months_Per_Period-SUM($J17:ES17)+1,ES96)*ES17</f>
        <v>0</v>
      </c>
      <c r="ET99" s="47" t="n">
        <f aca="false">PPMT($F98,1,In_Debt_Tenor*Months_In_Year/Months_Per_Period-SUM($J17:ET17)+1,ET96)*ET17</f>
        <v>0</v>
      </c>
    </row>
    <row r="100" customFormat="false" ht="15" hidden="false" customHeight="false" outlineLevel="0" collapsed="false">
      <c r="C100" s="31" t="s">
        <v>497</v>
      </c>
      <c r="D100" s="12" t="s">
        <v>222</v>
      </c>
      <c r="I100" s="57"/>
      <c r="J100" s="56" t="n">
        <f aca="false">SUM(J96:J99)</f>
        <v>0</v>
      </c>
      <c r="K100" s="56" t="n">
        <f aca="false">SUM(K96:K99)</f>
        <v>0</v>
      </c>
      <c r="L100" s="56" t="n">
        <f aca="false">SUM(L96:L99)</f>
        <v>0</v>
      </c>
      <c r="M100" s="56" t="n">
        <f aca="false">SUM(M96:M99)</f>
        <v>0</v>
      </c>
      <c r="N100" s="56" t="n">
        <f aca="false">SUM(N96:N99)</f>
        <v>0</v>
      </c>
      <c r="O100" s="56" t="n">
        <f aca="false">SUM(O96:O99)</f>
        <v>0</v>
      </c>
      <c r="P100" s="56" t="n">
        <f aca="false">SUM(P96:P99)</f>
        <v>0</v>
      </c>
      <c r="Q100" s="56" t="n">
        <f aca="false">SUM(Q96:Q99)</f>
        <v>0</v>
      </c>
      <c r="R100" s="56" t="n">
        <f aca="false">SUM(R96:R99)</f>
        <v>0</v>
      </c>
      <c r="S100" s="56" t="n">
        <f aca="false">SUM(S96:S99)</f>
        <v>0</v>
      </c>
      <c r="T100" s="56" t="n">
        <f aca="false">SUM(T96:T99)</f>
        <v>0</v>
      </c>
      <c r="U100" s="56" t="n">
        <f aca="false">SUM(U96:U99)</f>
        <v>0</v>
      </c>
      <c r="V100" s="56" t="n">
        <f aca="false">SUM(V96:V99)</f>
        <v>0</v>
      </c>
      <c r="W100" s="56" t="n">
        <f aca="false">SUM(W96:W99)</f>
        <v>11364.7262807311</v>
      </c>
      <c r="X100" s="56" t="n">
        <f aca="false">SUM(X96:X99)</f>
        <v>22624.4523729989</v>
      </c>
      <c r="Y100" s="56" t="n">
        <f aca="false">SUM(Y96:Y99)</f>
        <v>34148.4546749063</v>
      </c>
      <c r="Z100" s="56" t="n">
        <f aca="false">SUM(Z96:Z99)</f>
        <v>45940.0366390737</v>
      </c>
      <c r="AA100" s="56" t="n">
        <f aca="false">SUM(AA96:AA99)</f>
        <v>57879.0133777932</v>
      </c>
      <c r="AB100" s="56" t="n">
        <f aca="false">SUM(AB96:AB99)</f>
        <v>69720.1680587743</v>
      </c>
      <c r="AC100" s="56" t="n">
        <f aca="false">SUM(AC96:AC99)</f>
        <v>81832.8668067539</v>
      </c>
      <c r="AD100" s="56" t="n">
        <f aca="false">SUM(AD96:AD99)</f>
        <v>94220.5039225694</v>
      </c>
      <c r="AE100" s="56" t="n">
        <f aca="false">SUM(AE96:AE99)</f>
        <v>92390.6085172141</v>
      </c>
      <c r="AF100" s="56" t="n">
        <f aca="false">SUM(AF96:AF99)</f>
        <v>90537.8394192919</v>
      </c>
      <c r="AG100" s="56" t="n">
        <f aca="false">SUM(AG96:AG99)</f>
        <v>88661.9107076456</v>
      </c>
      <c r="AH100" s="56" t="n">
        <f aca="false">SUM(AH96:AH99)</f>
        <v>86762.5328871038</v>
      </c>
      <c r="AI100" s="56" t="n">
        <f aca="false">SUM(AI96:AI99)</f>
        <v>84839.4128438052</v>
      </c>
      <c r="AJ100" s="56" t="n">
        <f aca="false">SUM(AJ96:AJ99)</f>
        <v>82892.2537999654</v>
      </c>
      <c r="AK100" s="56" t="n">
        <f aca="false">SUM(AK96:AK99)</f>
        <v>80920.7552680775</v>
      </c>
      <c r="AL100" s="56" t="n">
        <f aca="false">SUM(AL96:AL99)</f>
        <v>78924.6130045411</v>
      </c>
      <c r="AM100" s="56" t="n">
        <f aca="false">SUM(AM96:AM99)</f>
        <v>76903.5189627105</v>
      </c>
      <c r="AN100" s="56" t="n">
        <f aca="false">SUM(AN96:AN99)</f>
        <v>74857.1612453569</v>
      </c>
      <c r="AO100" s="56" t="n">
        <f aca="false">SUM(AO96:AO99)</f>
        <v>72785.2240565365</v>
      </c>
      <c r="AP100" s="56" t="n">
        <f aca="false">SUM(AP96:AP99)</f>
        <v>70687.3876528558</v>
      </c>
      <c r="AQ100" s="56" t="n">
        <f aca="false">SUM(AQ96:AQ99)</f>
        <v>68563.3282941291</v>
      </c>
      <c r="AR100" s="56" t="n">
        <f aca="false">SUM(AR96:AR99)</f>
        <v>66412.7181934183</v>
      </c>
      <c r="AS100" s="56" t="n">
        <f aca="false">SUM(AS96:AS99)</f>
        <v>64235.2254664487</v>
      </c>
      <c r="AT100" s="56" t="n">
        <f aca="false">SUM(AT96:AT99)</f>
        <v>62030.5140803919</v>
      </c>
      <c r="AU100" s="56" t="n">
        <f aca="false">SUM(AU96:AU99)</f>
        <v>59798.2438020094</v>
      </c>
      <c r="AV100" s="56" t="n">
        <f aca="false">SUM(AV96:AV99)</f>
        <v>57538.0701451471</v>
      </c>
      <c r="AW100" s="56" t="n">
        <f aca="false">SUM(AW96:AW99)</f>
        <v>55249.644317574</v>
      </c>
      <c r="AX100" s="56" t="n">
        <f aca="false">SUM(AX96:AX99)</f>
        <v>52932.6131671563</v>
      </c>
      <c r="AY100" s="56" t="n">
        <f aca="false">SUM(AY96:AY99)</f>
        <v>50586.6191273584</v>
      </c>
      <c r="AZ100" s="56" t="n">
        <f aca="false">SUM(AZ96:AZ99)</f>
        <v>48211.3001620629</v>
      </c>
      <c r="BA100" s="56" t="n">
        <f aca="false">SUM(BA96:BA99)</f>
        <v>45806.2897097013</v>
      </c>
      <c r="BB100" s="56" t="n">
        <f aca="false">SUM(BB96:BB99)</f>
        <v>43371.2166266852</v>
      </c>
      <c r="BC100" s="56" t="n">
        <f aca="false">SUM(BC96:BC99)</f>
        <v>40905.7051301314</v>
      </c>
      <c r="BD100" s="56" t="n">
        <f aca="false">SUM(BD96:BD99)</f>
        <v>38409.3747398706</v>
      </c>
      <c r="BE100" s="56" t="n">
        <f aca="false">SUM(BE96:BE99)</f>
        <v>35881.8402197316</v>
      </c>
      <c r="BF100" s="56" t="n">
        <f aca="false">SUM(BF96:BF99)</f>
        <v>33322.7115180908</v>
      </c>
      <c r="BG100" s="56" t="n">
        <f aca="false">SUM(BG96:BG99)</f>
        <v>30731.5937076796</v>
      </c>
      <c r="BH100" s="56" t="n">
        <f aca="false">SUM(BH96:BH99)</f>
        <v>28108.0869246381</v>
      </c>
      <c r="BI100" s="56" t="n">
        <f aca="false">SUM(BI96:BI99)</f>
        <v>25451.7863068087</v>
      </c>
      <c r="BJ100" s="56" t="n">
        <f aca="false">SUM(BJ96:BJ99)</f>
        <v>22762.2819312564</v>
      </c>
      <c r="BK100" s="56" t="n">
        <f aca="false">SUM(BK96:BK99)</f>
        <v>20039.1587510097</v>
      </c>
      <c r="BL100" s="56" t="n">
        <f aca="false">SUM(BL96:BL99)</f>
        <v>17281.99653101</v>
      </c>
      <c r="BM100" s="56" t="n">
        <f aca="false">SUM(BM96:BM99)</f>
        <v>14490.3697832602</v>
      </c>
      <c r="BN100" s="56" t="n">
        <f aca="false">SUM(BN96:BN99)</f>
        <v>11663.8477011635</v>
      </c>
      <c r="BO100" s="56" t="n">
        <f aca="false">SUM(BO96:BO99)</f>
        <v>8801.99409304069</v>
      </c>
      <c r="BP100" s="56" t="n">
        <f aca="false">SUM(BP96:BP99)</f>
        <v>5904.36731481629</v>
      </c>
      <c r="BQ100" s="56" t="n">
        <f aca="false">SUM(BQ96:BQ99)</f>
        <v>2970.5202018641</v>
      </c>
      <c r="BR100" s="56" t="n">
        <f aca="false">SUM(BR96:BR99)</f>
        <v>0</v>
      </c>
      <c r="BS100" s="56" t="n">
        <f aca="false">SUM(BS96:BS99)</f>
        <v>0</v>
      </c>
      <c r="BT100" s="56" t="n">
        <f aca="false">SUM(BT96:BT99)</f>
        <v>0</v>
      </c>
      <c r="BU100" s="56" t="n">
        <f aca="false">SUM(BU96:BU99)</f>
        <v>0</v>
      </c>
      <c r="BV100" s="56" t="n">
        <f aca="false">SUM(BV96:BV99)</f>
        <v>0</v>
      </c>
      <c r="BW100" s="56" t="n">
        <f aca="false">SUM(BW96:BW99)</f>
        <v>0</v>
      </c>
      <c r="BX100" s="56" t="n">
        <f aca="false">SUM(BX96:BX99)</f>
        <v>0</v>
      </c>
      <c r="BY100" s="56" t="n">
        <f aca="false">SUM(BY96:BY99)</f>
        <v>0</v>
      </c>
      <c r="BZ100" s="56" t="n">
        <f aca="false">SUM(BZ96:BZ99)</f>
        <v>0</v>
      </c>
      <c r="CA100" s="56" t="n">
        <f aca="false">SUM(CA96:CA99)</f>
        <v>0</v>
      </c>
      <c r="CB100" s="56" t="n">
        <f aca="false">SUM(CB96:CB99)</f>
        <v>0</v>
      </c>
      <c r="CC100" s="56" t="n">
        <f aca="false">SUM(CC96:CC99)</f>
        <v>0</v>
      </c>
      <c r="CD100" s="56" t="n">
        <f aca="false">SUM(CD96:CD99)</f>
        <v>0</v>
      </c>
      <c r="CE100" s="56" t="n">
        <f aca="false">SUM(CE96:CE99)</f>
        <v>0</v>
      </c>
      <c r="CF100" s="56" t="n">
        <f aca="false">SUM(CF96:CF99)</f>
        <v>0</v>
      </c>
      <c r="CG100" s="56" t="n">
        <f aca="false">SUM(CG96:CG99)</f>
        <v>0</v>
      </c>
      <c r="CH100" s="56" t="n">
        <f aca="false">SUM(CH96:CH99)</f>
        <v>0</v>
      </c>
      <c r="CI100" s="56" t="n">
        <f aca="false">SUM(CI96:CI99)</f>
        <v>0</v>
      </c>
      <c r="CJ100" s="56" t="n">
        <f aca="false">SUM(CJ96:CJ99)</f>
        <v>0</v>
      </c>
      <c r="CK100" s="56" t="n">
        <f aca="false">SUM(CK96:CK99)</f>
        <v>0</v>
      </c>
      <c r="CL100" s="56" t="n">
        <f aca="false">SUM(CL96:CL99)</f>
        <v>0</v>
      </c>
      <c r="CM100" s="56" t="n">
        <f aca="false">SUM(CM96:CM99)</f>
        <v>0</v>
      </c>
      <c r="CN100" s="56" t="n">
        <f aca="false">SUM(CN96:CN99)</f>
        <v>0</v>
      </c>
      <c r="CO100" s="56" t="n">
        <f aca="false">SUM(CO96:CO99)</f>
        <v>0</v>
      </c>
      <c r="CP100" s="56" t="n">
        <f aca="false">SUM(CP96:CP99)</f>
        <v>0</v>
      </c>
      <c r="CQ100" s="56" t="n">
        <f aca="false">SUM(CQ96:CQ99)</f>
        <v>0</v>
      </c>
      <c r="CR100" s="56" t="n">
        <f aca="false">SUM(CR96:CR99)</f>
        <v>0</v>
      </c>
      <c r="CS100" s="56" t="n">
        <f aca="false">SUM(CS96:CS99)</f>
        <v>0</v>
      </c>
      <c r="CT100" s="56" t="n">
        <f aca="false">SUM(CT96:CT99)</f>
        <v>0</v>
      </c>
      <c r="CU100" s="56" t="n">
        <f aca="false">SUM(CU96:CU99)</f>
        <v>0</v>
      </c>
      <c r="CV100" s="56" t="n">
        <f aca="false">SUM(CV96:CV99)</f>
        <v>0</v>
      </c>
      <c r="CW100" s="56" t="n">
        <f aca="false">SUM(CW96:CW99)</f>
        <v>0</v>
      </c>
      <c r="CX100" s="56" t="n">
        <f aca="false">SUM(CX96:CX99)</f>
        <v>0</v>
      </c>
      <c r="CY100" s="56" t="n">
        <f aca="false">SUM(CY96:CY99)</f>
        <v>0</v>
      </c>
      <c r="CZ100" s="56" t="n">
        <f aca="false">SUM(CZ96:CZ99)</f>
        <v>0</v>
      </c>
      <c r="DA100" s="56" t="n">
        <f aca="false">SUM(DA96:DA99)</f>
        <v>0</v>
      </c>
      <c r="DB100" s="56" t="n">
        <f aca="false">SUM(DB96:DB99)</f>
        <v>0</v>
      </c>
      <c r="DC100" s="56" t="n">
        <f aca="false">SUM(DC96:DC99)</f>
        <v>0</v>
      </c>
      <c r="DD100" s="56" t="n">
        <f aca="false">SUM(DD96:DD99)</f>
        <v>0</v>
      </c>
      <c r="DE100" s="56" t="n">
        <f aca="false">SUM(DE96:DE99)</f>
        <v>0</v>
      </c>
      <c r="DF100" s="56" t="n">
        <f aca="false">SUM(DF96:DF99)</f>
        <v>0</v>
      </c>
      <c r="DG100" s="56" t="n">
        <f aca="false">SUM(DG96:DG99)</f>
        <v>0</v>
      </c>
      <c r="DH100" s="56" t="n">
        <f aca="false">SUM(DH96:DH99)</f>
        <v>0</v>
      </c>
      <c r="DI100" s="56" t="n">
        <f aca="false">SUM(DI96:DI99)</f>
        <v>0</v>
      </c>
      <c r="DJ100" s="56" t="n">
        <f aca="false">SUM(DJ96:DJ99)</f>
        <v>0</v>
      </c>
      <c r="DK100" s="56" t="n">
        <f aca="false">SUM(DK96:DK99)</f>
        <v>0</v>
      </c>
      <c r="DL100" s="56" t="n">
        <f aca="false">SUM(DL96:DL99)</f>
        <v>0</v>
      </c>
      <c r="DM100" s="56" t="n">
        <f aca="false">SUM(DM96:DM99)</f>
        <v>0</v>
      </c>
      <c r="DN100" s="56" t="n">
        <f aca="false">SUM(DN96:DN99)</f>
        <v>0</v>
      </c>
      <c r="DO100" s="56" t="n">
        <f aca="false">SUM(DO96:DO99)</f>
        <v>0</v>
      </c>
      <c r="DP100" s="56" t="n">
        <f aca="false">SUM(DP96:DP99)</f>
        <v>0</v>
      </c>
      <c r="DQ100" s="56" t="n">
        <f aca="false">SUM(DQ96:DQ99)</f>
        <v>0</v>
      </c>
      <c r="DR100" s="56" t="n">
        <f aca="false">SUM(DR96:DR99)</f>
        <v>0</v>
      </c>
      <c r="DS100" s="56" t="n">
        <f aca="false">SUM(DS96:DS99)</f>
        <v>0</v>
      </c>
      <c r="DT100" s="56" t="n">
        <f aca="false">SUM(DT96:DT99)</f>
        <v>0</v>
      </c>
      <c r="DU100" s="56" t="n">
        <f aca="false">SUM(DU96:DU99)</f>
        <v>0</v>
      </c>
      <c r="DV100" s="56" t="n">
        <f aca="false">SUM(DV96:DV99)</f>
        <v>0</v>
      </c>
      <c r="DW100" s="56" t="n">
        <f aca="false">SUM(DW96:DW99)</f>
        <v>0</v>
      </c>
      <c r="DX100" s="56" t="n">
        <f aca="false">SUM(DX96:DX99)</f>
        <v>0</v>
      </c>
      <c r="DY100" s="56" t="n">
        <f aca="false">SUM(DY96:DY99)</f>
        <v>0</v>
      </c>
      <c r="DZ100" s="56" t="n">
        <f aca="false">SUM(DZ96:DZ99)</f>
        <v>0</v>
      </c>
      <c r="EA100" s="56" t="n">
        <f aca="false">SUM(EA96:EA99)</f>
        <v>0</v>
      </c>
      <c r="EB100" s="56" t="n">
        <f aca="false">SUM(EB96:EB99)</f>
        <v>0</v>
      </c>
      <c r="EC100" s="56" t="n">
        <f aca="false">SUM(EC96:EC99)</f>
        <v>0</v>
      </c>
      <c r="ED100" s="56" t="n">
        <f aca="false">SUM(ED96:ED99)</f>
        <v>0</v>
      </c>
      <c r="EE100" s="56" t="n">
        <f aca="false">SUM(EE96:EE99)</f>
        <v>0</v>
      </c>
      <c r="EF100" s="56" t="n">
        <f aca="false">SUM(EF96:EF99)</f>
        <v>0</v>
      </c>
      <c r="EG100" s="56" t="n">
        <f aca="false">SUM(EG96:EG99)</f>
        <v>0</v>
      </c>
      <c r="EH100" s="56" t="n">
        <f aca="false">SUM(EH96:EH99)</f>
        <v>0</v>
      </c>
      <c r="EI100" s="56" t="n">
        <f aca="false">SUM(EI96:EI99)</f>
        <v>0</v>
      </c>
      <c r="EJ100" s="56" t="n">
        <f aca="false">SUM(EJ96:EJ99)</f>
        <v>0</v>
      </c>
      <c r="EK100" s="56" t="n">
        <f aca="false">SUM(EK96:EK99)</f>
        <v>0</v>
      </c>
      <c r="EL100" s="56" t="n">
        <f aca="false">SUM(EL96:EL99)</f>
        <v>0</v>
      </c>
      <c r="EM100" s="56" t="n">
        <f aca="false">SUM(EM96:EM99)</f>
        <v>0</v>
      </c>
      <c r="EN100" s="56" t="n">
        <f aca="false">SUM(EN96:EN99)</f>
        <v>0</v>
      </c>
      <c r="EO100" s="56" t="n">
        <f aca="false">SUM(EO96:EO99)</f>
        <v>0</v>
      </c>
      <c r="EP100" s="56" t="n">
        <f aca="false">SUM(EP96:EP99)</f>
        <v>0</v>
      </c>
      <c r="EQ100" s="56" t="n">
        <f aca="false">SUM(EQ96:EQ99)</f>
        <v>0</v>
      </c>
      <c r="ER100" s="56" t="n">
        <f aca="false">SUM(ER96:ER99)</f>
        <v>0</v>
      </c>
      <c r="ES100" s="56" t="n">
        <f aca="false">SUM(ES96:ES99)</f>
        <v>0</v>
      </c>
      <c r="ET100" s="56" t="n">
        <f aca="false">SUM(ET96:ET99)</f>
        <v>0</v>
      </c>
    </row>
    <row r="101" customFormat="false" ht="15" hidden="false" customHeight="false" outlineLevel="0" collapsed="false">
      <c r="C101" s="1" t="s">
        <v>518</v>
      </c>
      <c r="D101" s="12" t="s">
        <v>222</v>
      </c>
      <c r="I101" s="47" t="n">
        <f aca="false">SUM(J101:ET101)</f>
        <v>-26085.5642529266</v>
      </c>
      <c r="J101" s="47" t="n">
        <f aca="false">-J96*$F98*(J$4&gt;In_COD)</f>
        <v>-0</v>
      </c>
      <c r="K101" s="47" t="n">
        <f aca="false">-K96*$F98*(K$4&gt;In_COD)</f>
        <v>-0</v>
      </c>
      <c r="L101" s="47" t="n">
        <f aca="false">-L96*$F98*(L$4&gt;In_COD)</f>
        <v>-0</v>
      </c>
      <c r="M101" s="47" t="n">
        <f aca="false">-M96*$F98*(M$4&gt;In_COD)</f>
        <v>-0</v>
      </c>
      <c r="N101" s="47" t="n">
        <f aca="false">-N96*$F98*(N$4&gt;In_COD)</f>
        <v>-0</v>
      </c>
      <c r="O101" s="47" t="n">
        <f aca="false">-O96*$F98*(O$4&gt;In_COD)</f>
        <v>-0</v>
      </c>
      <c r="P101" s="47" t="n">
        <f aca="false">-P96*$F98*(P$4&gt;In_COD)</f>
        <v>-0</v>
      </c>
      <c r="Q101" s="47" t="n">
        <f aca="false">-Q96*$F98*(Q$4&gt;In_COD)</f>
        <v>-0</v>
      </c>
      <c r="R101" s="47" t="n">
        <f aca="false">-R96*$F98*(R$4&gt;In_COD)</f>
        <v>-0</v>
      </c>
      <c r="S101" s="47" t="n">
        <f aca="false">-S96*$F98*(S$4&gt;In_COD)</f>
        <v>-0</v>
      </c>
      <c r="T101" s="47" t="n">
        <f aca="false">-T96*$F98*(T$4&gt;In_COD)</f>
        <v>-0</v>
      </c>
      <c r="U101" s="47" t="n">
        <f aca="false">-U96*$F98*(U$4&gt;In_COD)</f>
        <v>-0</v>
      </c>
      <c r="V101" s="47" t="n">
        <f aca="false">-V96*$F98*(V$4&gt;In_COD)</f>
        <v>-0</v>
      </c>
      <c r="W101" s="47" t="n">
        <f aca="false">-W96*$F98*(W$4&gt;In_COD)</f>
        <v>-0</v>
      </c>
      <c r="X101" s="47" t="n">
        <f aca="false">-X96*$F98*(X$4&gt;In_COD)</f>
        <v>-0</v>
      </c>
      <c r="Y101" s="47" t="n">
        <f aca="false">-Y96*$F98*(Y$4&gt;In_COD)</f>
        <v>-0</v>
      </c>
      <c r="Z101" s="47" t="n">
        <f aca="false">-Z96*$F98*(Z$4&gt;In_COD)</f>
        <v>-0</v>
      </c>
      <c r="AA101" s="47" t="n">
        <f aca="false">-AA96*$F98*(AA$4&gt;In_COD)</f>
        <v>-0</v>
      </c>
      <c r="AB101" s="47" t="n">
        <f aca="false">-AB96*$F98*(AB$4&gt;In_COD)</f>
        <v>-0</v>
      </c>
      <c r="AC101" s="47" t="n">
        <f aca="false">-AC96*$F98*(AC$4&gt;In_COD)</f>
        <v>-0</v>
      </c>
      <c r="AD101" s="47" t="n">
        <f aca="false">-AD96*$F98*(AD$4&gt;In_COD)</f>
        <v>-0</v>
      </c>
      <c r="AE101" s="47" t="n">
        <f aca="false">-AE96*$F98*(AE$4&gt;In_COD)</f>
        <v>-1177.75629903212</v>
      </c>
      <c r="AF101" s="47" t="n">
        <f aca="false">-AF96*$F98*(AF$4&gt;In_COD)</f>
        <v>-1154.88260646518</v>
      </c>
      <c r="AG101" s="47" t="n">
        <f aca="false">-AG96*$F98*(AG$4&gt;In_COD)</f>
        <v>-1131.72299274115</v>
      </c>
      <c r="AH101" s="47" t="n">
        <f aca="false">-AH96*$F98*(AH$4&gt;In_COD)</f>
        <v>-1108.27388384557</v>
      </c>
      <c r="AI101" s="47" t="n">
        <f aca="false">-AI96*$F98*(AI$4&gt;In_COD)</f>
        <v>-1084.5316610888</v>
      </c>
      <c r="AJ101" s="47" t="n">
        <f aca="false">-AJ96*$F98*(AJ$4&gt;In_COD)</f>
        <v>-1060.49266054757</v>
      </c>
      <c r="AK101" s="47" t="n">
        <f aca="false">-AK96*$F98*(AK$4&gt;In_COD)</f>
        <v>-1036.15317249957</v>
      </c>
      <c r="AL101" s="47" t="n">
        <f aca="false">-AL96*$F98*(AL$4&gt;In_COD)</f>
        <v>-1011.50944085097</v>
      </c>
      <c r="AM101" s="47" t="n">
        <f aca="false">-AM96*$F98*(AM$4&gt;In_COD)</f>
        <v>-986.557662556764</v>
      </c>
      <c r="AN101" s="47" t="n">
        <f aca="false">-AN96*$F98*(AN$4&gt;In_COD)</f>
        <v>-961.293987033881</v>
      </c>
      <c r="AO101" s="47" t="n">
        <f aca="false">-AO96*$F98*(AO$4&gt;In_COD)</f>
        <v>-935.714515566962</v>
      </c>
      <c r="AP101" s="47" t="n">
        <f aca="false">-AP96*$F98*(AP$4&gt;In_COD)</f>
        <v>-909.815300706707</v>
      </c>
      <c r="AQ101" s="47" t="n">
        <f aca="false">-AQ96*$F98*(AQ$4&gt;In_COD)</f>
        <v>-883.592345660698</v>
      </c>
      <c r="AR101" s="47" t="n">
        <f aca="false">-AR96*$F98*(AR$4&gt;In_COD)</f>
        <v>-857.041603676614</v>
      </c>
      <c r="AS101" s="47" t="n">
        <f aca="false">-AS96*$F98*(AS$4&gt;In_COD)</f>
        <v>-830.158977417729</v>
      </c>
      <c r="AT101" s="47" t="n">
        <f aca="false">-AT96*$F98*(AT$4&gt;In_COD)</f>
        <v>-802.940318330608</v>
      </c>
      <c r="AU101" s="47" t="n">
        <f aca="false">-AU96*$F98*(AU$4&gt;In_COD)</f>
        <v>-775.381426004899</v>
      </c>
      <c r="AV101" s="47" t="n">
        <f aca="false">-AV96*$F98*(AV$4&gt;In_COD)</f>
        <v>-747.478047525117</v>
      </c>
      <c r="AW101" s="47" t="n">
        <f aca="false">-AW96*$F98*(AW$4&gt;In_COD)</f>
        <v>-719.225876814339</v>
      </c>
      <c r="AX101" s="47" t="n">
        <f aca="false">-AX96*$F98*(AX$4&gt;In_COD)</f>
        <v>-690.620553969676</v>
      </c>
      <c r="AY101" s="47" t="n">
        <f aca="false">-AY96*$F98*(AY$4&gt;In_COD)</f>
        <v>-661.657664589454</v>
      </c>
      <c r="AZ101" s="47" t="n">
        <f aca="false">-AZ96*$F98*(AZ$4&gt;In_COD)</f>
        <v>-632.33273909198</v>
      </c>
      <c r="BA101" s="47" t="n">
        <f aca="false">-BA96*$F98*(BA$4&gt;In_COD)</f>
        <v>-602.641252025787</v>
      </c>
      <c r="BB101" s="47" t="n">
        <f aca="false">-BB96*$F98*(BB$4&gt;In_COD)</f>
        <v>-572.578621371267</v>
      </c>
      <c r="BC101" s="47" t="n">
        <f aca="false">-BC96*$F98*(BC$4&gt;In_COD)</f>
        <v>-542.140207833565</v>
      </c>
      <c r="BD101" s="47" t="n">
        <f aca="false">-BD96*$F98*(BD$4&gt;In_COD)</f>
        <v>-511.321314126642</v>
      </c>
      <c r="BE101" s="47" t="n">
        <f aca="false">-BE96*$F98*(BE$4&gt;In_COD)</f>
        <v>-480.117184248382</v>
      </c>
      <c r="BF101" s="47" t="n">
        <f aca="false">-BF96*$F98*(BF$4&gt;In_COD)</f>
        <v>-448.523002746645</v>
      </c>
      <c r="BG101" s="47" t="n">
        <f aca="false">-BG96*$F98*(BG$4&gt;In_COD)</f>
        <v>-416.533893976135</v>
      </c>
      <c r="BH101" s="47" t="n">
        <f aca="false">-BH96*$F98*(BH$4&gt;In_COD)</f>
        <v>-384.144921345995</v>
      </c>
      <c r="BI101" s="47" t="n">
        <f aca="false">-BI96*$F98*(BI$4&gt;In_COD)</f>
        <v>-351.351086557977</v>
      </c>
      <c r="BJ101" s="47" t="n">
        <f aca="false">-BJ96*$F98*(BJ$4&gt;In_COD)</f>
        <v>-318.147328835109</v>
      </c>
      <c r="BK101" s="47" t="n">
        <f aca="false">-BK96*$F98*(BK$4&gt;In_COD)</f>
        <v>-284.528524140706</v>
      </c>
      <c r="BL101" s="47" t="n">
        <f aca="false">-BL96*$F98*(BL$4&gt;In_COD)</f>
        <v>-250.489484387622</v>
      </c>
      <c r="BM101" s="47" t="n">
        <f aca="false">-BM96*$F98*(BM$4&gt;In_COD)</f>
        <v>-216.024956637625</v>
      </c>
      <c r="BN101" s="47" t="n">
        <f aca="false">-BN96*$F98*(BN$4&gt;In_COD)</f>
        <v>-181.129622290752</v>
      </c>
      <c r="BO101" s="47" t="n">
        <f aca="false">-BO96*$F98*(BO$4&gt;In_COD)</f>
        <v>-145.798096264544</v>
      </c>
      <c r="BP101" s="47" t="n">
        <f aca="false">-BP96*$F98*(BP$4&gt;In_COD)</f>
        <v>-110.024926163009</v>
      </c>
      <c r="BQ101" s="47" t="n">
        <f aca="false">-BQ96*$F98*(BQ$4&gt;In_COD)</f>
        <v>-73.8045914352037</v>
      </c>
      <c r="BR101" s="47" t="n">
        <f aca="false">-BR96*$F98*(BR$4&gt;In_COD)</f>
        <v>-37.1315025233012</v>
      </c>
      <c r="BS101" s="47" t="n">
        <f aca="false">-BS96*$F98*(BS$4&gt;In_COD)</f>
        <v>-0</v>
      </c>
      <c r="BT101" s="47" t="n">
        <f aca="false">-BT96*$F98*(BT$4&gt;In_COD)</f>
        <v>-0</v>
      </c>
      <c r="BU101" s="47" t="n">
        <f aca="false">-BU96*$F98*(BU$4&gt;In_COD)</f>
        <v>-0</v>
      </c>
      <c r="BV101" s="47" t="n">
        <f aca="false">-BV96*$F98*(BV$4&gt;In_COD)</f>
        <v>-0</v>
      </c>
      <c r="BW101" s="47" t="n">
        <f aca="false">-BW96*$F98*(BW$4&gt;In_COD)</f>
        <v>-0</v>
      </c>
      <c r="BX101" s="47" t="n">
        <f aca="false">-BX96*$F98*(BX$4&gt;In_COD)</f>
        <v>-0</v>
      </c>
      <c r="BY101" s="47" t="n">
        <f aca="false">-BY96*$F98*(BY$4&gt;In_COD)</f>
        <v>-0</v>
      </c>
      <c r="BZ101" s="47" t="n">
        <f aca="false">-BZ96*$F98*(BZ$4&gt;In_COD)</f>
        <v>-0</v>
      </c>
      <c r="CA101" s="47" t="n">
        <f aca="false">-CA96*$F98*(CA$4&gt;In_COD)</f>
        <v>-0</v>
      </c>
      <c r="CB101" s="47" t="n">
        <f aca="false">-CB96*$F98*(CB$4&gt;In_COD)</f>
        <v>-0</v>
      </c>
      <c r="CC101" s="47" t="n">
        <f aca="false">-CC96*$F98*(CC$4&gt;In_COD)</f>
        <v>-0</v>
      </c>
      <c r="CD101" s="47" t="n">
        <f aca="false">-CD96*$F98*(CD$4&gt;In_COD)</f>
        <v>-0</v>
      </c>
      <c r="CE101" s="47" t="n">
        <f aca="false">-CE96*$F98*(CE$4&gt;In_COD)</f>
        <v>-0</v>
      </c>
      <c r="CF101" s="47" t="n">
        <f aca="false">-CF96*$F98*(CF$4&gt;In_COD)</f>
        <v>-0</v>
      </c>
      <c r="CG101" s="47" t="n">
        <f aca="false">-CG96*$F98*(CG$4&gt;In_COD)</f>
        <v>-0</v>
      </c>
      <c r="CH101" s="47" t="n">
        <f aca="false">-CH96*$F98*(CH$4&gt;In_COD)</f>
        <v>-0</v>
      </c>
      <c r="CI101" s="47" t="n">
        <f aca="false">-CI96*$F98*(CI$4&gt;In_COD)</f>
        <v>-0</v>
      </c>
      <c r="CJ101" s="47" t="n">
        <f aca="false">-CJ96*$F98*(CJ$4&gt;In_COD)</f>
        <v>-0</v>
      </c>
      <c r="CK101" s="47" t="n">
        <f aca="false">-CK96*$F98*(CK$4&gt;In_COD)</f>
        <v>-0</v>
      </c>
      <c r="CL101" s="47" t="n">
        <f aca="false">-CL96*$F98*(CL$4&gt;In_COD)</f>
        <v>-0</v>
      </c>
      <c r="CM101" s="47" t="n">
        <f aca="false">-CM96*$F98*(CM$4&gt;In_COD)</f>
        <v>-0</v>
      </c>
      <c r="CN101" s="47" t="n">
        <f aca="false">-CN96*$F98*(CN$4&gt;In_COD)</f>
        <v>-0</v>
      </c>
      <c r="CO101" s="47" t="n">
        <f aca="false">-CO96*$F98*(CO$4&gt;In_COD)</f>
        <v>-0</v>
      </c>
      <c r="CP101" s="47" t="n">
        <f aca="false">-CP96*$F98*(CP$4&gt;In_COD)</f>
        <v>-0</v>
      </c>
      <c r="CQ101" s="47" t="n">
        <f aca="false">-CQ96*$F98*(CQ$4&gt;In_COD)</f>
        <v>-0</v>
      </c>
      <c r="CR101" s="47" t="n">
        <f aca="false">-CR96*$F98*(CR$4&gt;In_COD)</f>
        <v>-0</v>
      </c>
      <c r="CS101" s="47" t="n">
        <f aca="false">-CS96*$F98*(CS$4&gt;In_COD)</f>
        <v>-0</v>
      </c>
      <c r="CT101" s="47" t="n">
        <f aca="false">-CT96*$F98*(CT$4&gt;In_COD)</f>
        <v>-0</v>
      </c>
      <c r="CU101" s="47" t="n">
        <f aca="false">-CU96*$F98*(CU$4&gt;In_COD)</f>
        <v>-0</v>
      </c>
      <c r="CV101" s="47" t="n">
        <f aca="false">-CV96*$F98*(CV$4&gt;In_COD)</f>
        <v>-0</v>
      </c>
      <c r="CW101" s="47" t="n">
        <f aca="false">-CW96*$F98*(CW$4&gt;In_COD)</f>
        <v>-0</v>
      </c>
      <c r="CX101" s="47" t="n">
        <f aca="false">-CX96*$F98*(CX$4&gt;In_COD)</f>
        <v>-0</v>
      </c>
      <c r="CY101" s="47" t="n">
        <f aca="false">-CY96*$F98*(CY$4&gt;In_COD)</f>
        <v>-0</v>
      </c>
      <c r="CZ101" s="47" t="n">
        <f aca="false">-CZ96*$F98*(CZ$4&gt;In_COD)</f>
        <v>-0</v>
      </c>
      <c r="DA101" s="47" t="n">
        <f aca="false">-DA96*$F98*(DA$4&gt;In_COD)</f>
        <v>-0</v>
      </c>
      <c r="DB101" s="47" t="n">
        <f aca="false">-DB96*$F98*(DB$4&gt;In_COD)</f>
        <v>-0</v>
      </c>
      <c r="DC101" s="47" t="n">
        <f aca="false">-DC96*$F98*(DC$4&gt;In_COD)</f>
        <v>-0</v>
      </c>
      <c r="DD101" s="47" t="n">
        <f aca="false">-DD96*$F98*(DD$4&gt;In_COD)</f>
        <v>-0</v>
      </c>
      <c r="DE101" s="47" t="n">
        <f aca="false">-DE96*$F98*(DE$4&gt;In_COD)</f>
        <v>-0</v>
      </c>
      <c r="DF101" s="47" t="n">
        <f aca="false">-DF96*$F98*(DF$4&gt;In_COD)</f>
        <v>-0</v>
      </c>
      <c r="DG101" s="47" t="n">
        <f aca="false">-DG96*$F98*(DG$4&gt;In_COD)</f>
        <v>-0</v>
      </c>
      <c r="DH101" s="47" t="n">
        <f aca="false">-DH96*$F98*(DH$4&gt;In_COD)</f>
        <v>-0</v>
      </c>
      <c r="DI101" s="47" t="n">
        <f aca="false">-DI96*$F98*(DI$4&gt;In_COD)</f>
        <v>-0</v>
      </c>
      <c r="DJ101" s="47" t="n">
        <f aca="false">-DJ96*$F98*(DJ$4&gt;In_COD)</f>
        <v>-0</v>
      </c>
      <c r="DK101" s="47" t="n">
        <f aca="false">-DK96*$F98*(DK$4&gt;In_COD)</f>
        <v>-0</v>
      </c>
      <c r="DL101" s="47" t="n">
        <f aca="false">-DL96*$F98*(DL$4&gt;In_COD)</f>
        <v>-0</v>
      </c>
      <c r="DM101" s="47" t="n">
        <f aca="false">-DM96*$F98*(DM$4&gt;In_COD)</f>
        <v>-0</v>
      </c>
      <c r="DN101" s="47" t="n">
        <f aca="false">-DN96*$F98*(DN$4&gt;In_COD)</f>
        <v>-0</v>
      </c>
      <c r="DO101" s="47" t="n">
        <f aca="false">-DO96*$F98*(DO$4&gt;In_COD)</f>
        <v>-0</v>
      </c>
      <c r="DP101" s="47" t="n">
        <f aca="false">-DP96*$F98*(DP$4&gt;In_COD)</f>
        <v>-0</v>
      </c>
      <c r="DQ101" s="47" t="n">
        <f aca="false">-DQ96*$F98*(DQ$4&gt;In_COD)</f>
        <v>-0</v>
      </c>
      <c r="DR101" s="47" t="n">
        <f aca="false">-DR96*$F98*(DR$4&gt;In_COD)</f>
        <v>-0</v>
      </c>
      <c r="DS101" s="47" t="n">
        <f aca="false">-DS96*$F98*(DS$4&gt;In_COD)</f>
        <v>-0</v>
      </c>
      <c r="DT101" s="47" t="n">
        <f aca="false">-DT96*$F98*(DT$4&gt;In_COD)</f>
        <v>-0</v>
      </c>
      <c r="DU101" s="47" t="n">
        <f aca="false">-DU96*$F98*(DU$4&gt;In_COD)</f>
        <v>-0</v>
      </c>
      <c r="DV101" s="47" t="n">
        <f aca="false">-DV96*$F98*(DV$4&gt;In_COD)</f>
        <v>-0</v>
      </c>
      <c r="DW101" s="47" t="n">
        <f aca="false">-DW96*$F98*(DW$4&gt;In_COD)</f>
        <v>-0</v>
      </c>
      <c r="DX101" s="47" t="n">
        <f aca="false">-DX96*$F98*(DX$4&gt;In_COD)</f>
        <v>-0</v>
      </c>
      <c r="DY101" s="47" t="n">
        <f aca="false">-DY96*$F98*(DY$4&gt;In_COD)</f>
        <v>-0</v>
      </c>
      <c r="DZ101" s="47" t="n">
        <f aca="false">-DZ96*$F98*(DZ$4&gt;In_COD)</f>
        <v>-0</v>
      </c>
      <c r="EA101" s="47" t="n">
        <f aca="false">-EA96*$F98*(EA$4&gt;In_COD)</f>
        <v>-0</v>
      </c>
      <c r="EB101" s="47" t="n">
        <f aca="false">-EB96*$F98*(EB$4&gt;In_COD)</f>
        <v>-0</v>
      </c>
      <c r="EC101" s="47" t="n">
        <f aca="false">-EC96*$F98*(EC$4&gt;In_COD)</f>
        <v>-0</v>
      </c>
      <c r="ED101" s="47" t="n">
        <f aca="false">-ED96*$F98*(ED$4&gt;In_COD)</f>
        <v>-0</v>
      </c>
      <c r="EE101" s="47" t="n">
        <f aca="false">-EE96*$F98*(EE$4&gt;In_COD)</f>
        <v>-0</v>
      </c>
      <c r="EF101" s="47" t="n">
        <f aca="false">-EF96*$F98*(EF$4&gt;In_COD)</f>
        <v>-0</v>
      </c>
      <c r="EG101" s="47" t="n">
        <f aca="false">-EG96*$F98*(EG$4&gt;In_COD)</f>
        <v>-0</v>
      </c>
      <c r="EH101" s="47" t="n">
        <f aca="false">-EH96*$F98*(EH$4&gt;In_COD)</f>
        <v>-0</v>
      </c>
      <c r="EI101" s="47" t="n">
        <f aca="false">-EI96*$F98*(EI$4&gt;In_COD)</f>
        <v>-0</v>
      </c>
      <c r="EJ101" s="47" t="n">
        <f aca="false">-EJ96*$F98*(EJ$4&gt;In_COD)</f>
        <v>-0</v>
      </c>
      <c r="EK101" s="47" t="n">
        <f aca="false">-EK96*$F98*(EK$4&gt;In_COD)</f>
        <v>-0</v>
      </c>
      <c r="EL101" s="47" t="n">
        <f aca="false">-EL96*$F98*(EL$4&gt;In_COD)</f>
        <v>-0</v>
      </c>
      <c r="EM101" s="47" t="n">
        <f aca="false">-EM96*$F98*(EM$4&gt;In_COD)</f>
        <v>-0</v>
      </c>
      <c r="EN101" s="47" t="n">
        <f aca="false">-EN96*$F98*(EN$4&gt;In_COD)</f>
        <v>-0</v>
      </c>
      <c r="EO101" s="47" t="n">
        <f aca="false">-EO96*$F98*(EO$4&gt;In_COD)</f>
        <v>-0</v>
      </c>
      <c r="EP101" s="47" t="n">
        <f aca="false">-EP96*$F98*(EP$4&gt;In_COD)</f>
        <v>-0</v>
      </c>
      <c r="EQ101" s="47" t="n">
        <f aca="false">-EQ96*$F98*(EQ$4&gt;In_COD)</f>
        <v>-0</v>
      </c>
      <c r="ER101" s="47" t="n">
        <f aca="false">-ER96*$F98*(ER$4&gt;In_COD)</f>
        <v>-0</v>
      </c>
      <c r="ES101" s="47" t="n">
        <f aca="false">-ES96*$F98*(ES$4&gt;In_COD)</f>
        <v>-0</v>
      </c>
      <c r="ET101" s="47" t="n">
        <f aca="false">-ET96*$F98*(ET$4&gt;In_COD)</f>
        <v>-0</v>
      </c>
    </row>
    <row r="102" customFormat="false" ht="15" hidden="false" customHeight="false" outlineLevel="0" collapsed="false">
      <c r="C102" s="1" t="s">
        <v>365</v>
      </c>
      <c r="D102" s="12" t="s">
        <v>222</v>
      </c>
      <c r="I102" s="47" t="n">
        <f aca="false">SUM(J102:ET102)</f>
        <v>-1578.0910677863</v>
      </c>
      <c r="J102" s="47" t="n">
        <f aca="false">-In_Upfront_Fee*$E97*(J96=0)*(J97&gt;0)</f>
        <v>-0</v>
      </c>
      <c r="K102" s="47" t="n">
        <f aca="false">-In_Upfront_Fee*$E97*(K96=0)*(K97&gt;0)</f>
        <v>-0</v>
      </c>
      <c r="L102" s="47" t="n">
        <f aca="false">-In_Upfront_Fee*$E97*(L96=0)*(L97&gt;0)</f>
        <v>-0</v>
      </c>
      <c r="M102" s="47" t="n">
        <f aca="false">-In_Upfront_Fee*$E97*(M96=0)*(M97&gt;0)</f>
        <v>-0</v>
      </c>
      <c r="N102" s="47" t="n">
        <f aca="false">-In_Upfront_Fee*$E97*(N96=0)*(N97&gt;0)</f>
        <v>-0</v>
      </c>
      <c r="O102" s="47" t="n">
        <f aca="false">-In_Upfront_Fee*$E97*(O96=0)*(O97&gt;0)</f>
        <v>-0</v>
      </c>
      <c r="P102" s="47" t="n">
        <f aca="false">-In_Upfront_Fee*$E97*(P96=0)*(P97&gt;0)</f>
        <v>-0</v>
      </c>
      <c r="Q102" s="47" t="n">
        <f aca="false">-In_Upfront_Fee*$E97*(Q96=0)*(Q97&gt;0)</f>
        <v>-0</v>
      </c>
      <c r="R102" s="47" t="n">
        <f aca="false">-In_Upfront_Fee*$E97*(R96=0)*(R97&gt;0)</f>
        <v>-0</v>
      </c>
      <c r="S102" s="47" t="n">
        <f aca="false">-In_Upfront_Fee*$E97*(S96=0)*(S97&gt;0)</f>
        <v>-0</v>
      </c>
      <c r="T102" s="47" t="n">
        <f aca="false">-In_Upfront_Fee*$E97*(T96=0)*(T97&gt;0)</f>
        <v>-0</v>
      </c>
      <c r="U102" s="47" t="n">
        <f aca="false">-In_Upfront_Fee*$E97*(U96=0)*(U97&gt;0)</f>
        <v>-0</v>
      </c>
      <c r="V102" s="47" t="n">
        <f aca="false">-In_Upfront_Fee*$E97*(V96=0)*(V97&gt;0)</f>
        <v>-0</v>
      </c>
      <c r="W102" s="47" t="n">
        <f aca="false">-In_Upfront_Fee*$E97*(W96=0)*(W97&gt;0)</f>
        <v>-1578.0910677863</v>
      </c>
      <c r="X102" s="47" t="n">
        <f aca="false">-In_Upfront_Fee*$E97*(X96=0)*(X97&gt;0)</f>
        <v>-0</v>
      </c>
      <c r="Y102" s="47" t="n">
        <f aca="false">-In_Upfront_Fee*$E97*(Y96=0)*(Y97&gt;0)</f>
        <v>-0</v>
      </c>
      <c r="Z102" s="47" t="n">
        <f aca="false">-In_Upfront_Fee*$E97*(Z96=0)*(Z97&gt;0)</f>
        <v>-0</v>
      </c>
      <c r="AA102" s="47" t="n">
        <f aca="false">-In_Upfront_Fee*$E97*(AA96=0)*(AA97&gt;0)</f>
        <v>-0</v>
      </c>
      <c r="AB102" s="47" t="n">
        <f aca="false">-In_Upfront_Fee*$E97*(AB96=0)*(AB97&gt;0)</f>
        <v>-0</v>
      </c>
      <c r="AC102" s="47" t="n">
        <f aca="false">-In_Upfront_Fee*$E97*(AC96=0)*(AC97&gt;0)</f>
        <v>-0</v>
      </c>
      <c r="AD102" s="47" t="n">
        <f aca="false">-In_Upfront_Fee*$E97*(AD96=0)*(AD97&gt;0)</f>
        <v>-0</v>
      </c>
      <c r="AE102" s="47" t="n">
        <f aca="false">-In_Upfront_Fee*$E97*(AE96=0)*(AE97&gt;0)</f>
        <v>-0</v>
      </c>
      <c r="AF102" s="47" t="n">
        <f aca="false">-In_Upfront_Fee*$E97*(AF96=0)*(AF97&gt;0)</f>
        <v>-0</v>
      </c>
      <c r="AG102" s="47" t="n">
        <f aca="false">-In_Upfront_Fee*$E97*(AG96=0)*(AG97&gt;0)</f>
        <v>-0</v>
      </c>
      <c r="AH102" s="47" t="n">
        <f aca="false">-In_Upfront_Fee*$E97*(AH96=0)*(AH97&gt;0)</f>
        <v>-0</v>
      </c>
      <c r="AI102" s="47" t="n">
        <f aca="false">-In_Upfront_Fee*$E97*(AI96=0)*(AI97&gt;0)</f>
        <v>-0</v>
      </c>
      <c r="AJ102" s="47" t="n">
        <f aca="false">-In_Upfront_Fee*$E97*(AJ96=0)*(AJ97&gt;0)</f>
        <v>-0</v>
      </c>
      <c r="AK102" s="47" t="n">
        <f aca="false">-In_Upfront_Fee*$E97*(AK96=0)*(AK97&gt;0)</f>
        <v>-0</v>
      </c>
      <c r="AL102" s="47" t="n">
        <f aca="false">-In_Upfront_Fee*$E97*(AL96=0)*(AL97&gt;0)</f>
        <v>-0</v>
      </c>
      <c r="AM102" s="47" t="n">
        <f aca="false">-In_Upfront_Fee*$E97*(AM96=0)*(AM97&gt;0)</f>
        <v>-0</v>
      </c>
      <c r="AN102" s="47" t="n">
        <f aca="false">-In_Upfront_Fee*$E97*(AN96=0)*(AN97&gt;0)</f>
        <v>-0</v>
      </c>
      <c r="AO102" s="47" t="n">
        <f aca="false">-In_Upfront_Fee*$E97*(AO96=0)*(AO97&gt;0)</f>
        <v>-0</v>
      </c>
      <c r="AP102" s="47" t="n">
        <f aca="false">-In_Upfront_Fee*$E97*(AP96=0)*(AP97&gt;0)</f>
        <v>-0</v>
      </c>
      <c r="AQ102" s="47" t="n">
        <f aca="false">-In_Upfront_Fee*$E97*(AQ96=0)*(AQ97&gt;0)</f>
        <v>-0</v>
      </c>
      <c r="AR102" s="47" t="n">
        <f aca="false">-In_Upfront_Fee*$E97*(AR96=0)*(AR97&gt;0)</f>
        <v>-0</v>
      </c>
      <c r="AS102" s="47" t="n">
        <f aca="false">-In_Upfront_Fee*$E97*(AS96=0)*(AS97&gt;0)</f>
        <v>-0</v>
      </c>
      <c r="AT102" s="47" t="n">
        <f aca="false">-In_Upfront_Fee*$E97*(AT96=0)*(AT97&gt;0)</f>
        <v>-0</v>
      </c>
      <c r="AU102" s="47" t="n">
        <f aca="false">-In_Upfront_Fee*$E97*(AU96=0)*(AU97&gt;0)</f>
        <v>-0</v>
      </c>
      <c r="AV102" s="47" t="n">
        <f aca="false">-In_Upfront_Fee*$E97*(AV96=0)*(AV97&gt;0)</f>
        <v>-0</v>
      </c>
      <c r="AW102" s="47" t="n">
        <f aca="false">-In_Upfront_Fee*$E97*(AW96=0)*(AW97&gt;0)</f>
        <v>-0</v>
      </c>
      <c r="AX102" s="47" t="n">
        <f aca="false">-In_Upfront_Fee*$E97*(AX96=0)*(AX97&gt;0)</f>
        <v>-0</v>
      </c>
      <c r="AY102" s="47" t="n">
        <f aca="false">-In_Upfront_Fee*$E97*(AY96=0)*(AY97&gt;0)</f>
        <v>-0</v>
      </c>
      <c r="AZ102" s="47" t="n">
        <f aca="false">-In_Upfront_Fee*$E97*(AZ96=0)*(AZ97&gt;0)</f>
        <v>-0</v>
      </c>
      <c r="BA102" s="47" t="n">
        <f aca="false">-In_Upfront_Fee*$E97*(BA96=0)*(BA97&gt;0)</f>
        <v>-0</v>
      </c>
      <c r="BB102" s="47" t="n">
        <f aca="false">-In_Upfront_Fee*$E97*(BB96=0)*(BB97&gt;0)</f>
        <v>-0</v>
      </c>
      <c r="BC102" s="47" t="n">
        <f aca="false">-In_Upfront_Fee*$E97*(BC96=0)*(BC97&gt;0)</f>
        <v>-0</v>
      </c>
      <c r="BD102" s="47" t="n">
        <f aca="false">-In_Upfront_Fee*$E97*(BD96=0)*(BD97&gt;0)</f>
        <v>-0</v>
      </c>
      <c r="BE102" s="47" t="n">
        <f aca="false">-In_Upfront_Fee*$E97*(BE96=0)*(BE97&gt;0)</f>
        <v>-0</v>
      </c>
      <c r="BF102" s="47" t="n">
        <f aca="false">-In_Upfront_Fee*$E97*(BF96=0)*(BF97&gt;0)</f>
        <v>-0</v>
      </c>
      <c r="BG102" s="47" t="n">
        <f aca="false">-In_Upfront_Fee*$E97*(BG96=0)*(BG97&gt;0)</f>
        <v>-0</v>
      </c>
      <c r="BH102" s="47" t="n">
        <f aca="false">-In_Upfront_Fee*$E97*(BH96=0)*(BH97&gt;0)</f>
        <v>-0</v>
      </c>
      <c r="BI102" s="47" t="n">
        <f aca="false">-In_Upfront_Fee*$E97*(BI96=0)*(BI97&gt;0)</f>
        <v>-0</v>
      </c>
      <c r="BJ102" s="47" t="n">
        <f aca="false">-In_Upfront_Fee*$E97*(BJ96=0)*(BJ97&gt;0)</f>
        <v>-0</v>
      </c>
      <c r="BK102" s="47" t="n">
        <f aca="false">-In_Upfront_Fee*$E97*(BK96=0)*(BK97&gt;0)</f>
        <v>-0</v>
      </c>
      <c r="BL102" s="47" t="n">
        <f aca="false">-In_Upfront_Fee*$E97*(BL96=0)*(BL97&gt;0)</f>
        <v>-0</v>
      </c>
      <c r="BM102" s="47" t="n">
        <f aca="false">-In_Upfront_Fee*$E97*(BM96=0)*(BM97&gt;0)</f>
        <v>-0</v>
      </c>
      <c r="BN102" s="47" t="n">
        <f aca="false">-In_Upfront_Fee*$E97*(BN96=0)*(BN97&gt;0)</f>
        <v>-0</v>
      </c>
      <c r="BO102" s="47" t="n">
        <f aca="false">-In_Upfront_Fee*$E97*(BO96=0)*(BO97&gt;0)</f>
        <v>-0</v>
      </c>
      <c r="BP102" s="47" t="n">
        <f aca="false">-In_Upfront_Fee*$E97*(BP96=0)*(BP97&gt;0)</f>
        <v>-0</v>
      </c>
      <c r="BQ102" s="47" t="n">
        <f aca="false">-In_Upfront_Fee*$E97*(BQ96=0)*(BQ97&gt;0)</f>
        <v>-0</v>
      </c>
      <c r="BR102" s="47" t="n">
        <f aca="false">-In_Upfront_Fee*$E97*(BR96=0)*(BR97&gt;0)</f>
        <v>-0</v>
      </c>
      <c r="BS102" s="47" t="n">
        <f aca="false">-In_Upfront_Fee*$E97*(BS96=0)*(BS97&gt;0)</f>
        <v>-0</v>
      </c>
      <c r="BT102" s="47" t="n">
        <f aca="false">-In_Upfront_Fee*$E97*(BT96=0)*(BT97&gt;0)</f>
        <v>-0</v>
      </c>
      <c r="BU102" s="47" t="n">
        <f aca="false">-In_Upfront_Fee*$E97*(BU96=0)*(BU97&gt;0)</f>
        <v>-0</v>
      </c>
      <c r="BV102" s="47" t="n">
        <f aca="false">-In_Upfront_Fee*$E97*(BV96=0)*(BV97&gt;0)</f>
        <v>-0</v>
      </c>
      <c r="BW102" s="47" t="n">
        <f aca="false">-In_Upfront_Fee*$E97*(BW96=0)*(BW97&gt;0)</f>
        <v>-0</v>
      </c>
      <c r="BX102" s="47" t="n">
        <f aca="false">-In_Upfront_Fee*$E97*(BX96=0)*(BX97&gt;0)</f>
        <v>-0</v>
      </c>
      <c r="BY102" s="47" t="n">
        <f aca="false">-In_Upfront_Fee*$E97*(BY96=0)*(BY97&gt;0)</f>
        <v>-0</v>
      </c>
      <c r="BZ102" s="47" t="n">
        <f aca="false">-In_Upfront_Fee*$E97*(BZ96=0)*(BZ97&gt;0)</f>
        <v>-0</v>
      </c>
      <c r="CA102" s="47" t="n">
        <f aca="false">-In_Upfront_Fee*$E97*(CA96=0)*(CA97&gt;0)</f>
        <v>-0</v>
      </c>
      <c r="CB102" s="47" t="n">
        <f aca="false">-In_Upfront_Fee*$E97*(CB96=0)*(CB97&gt;0)</f>
        <v>-0</v>
      </c>
      <c r="CC102" s="47" t="n">
        <f aca="false">-In_Upfront_Fee*$E97*(CC96=0)*(CC97&gt;0)</f>
        <v>-0</v>
      </c>
      <c r="CD102" s="47" t="n">
        <f aca="false">-In_Upfront_Fee*$E97*(CD96=0)*(CD97&gt;0)</f>
        <v>-0</v>
      </c>
      <c r="CE102" s="47" t="n">
        <f aca="false">-In_Upfront_Fee*$E97*(CE96=0)*(CE97&gt;0)</f>
        <v>-0</v>
      </c>
      <c r="CF102" s="47" t="n">
        <f aca="false">-In_Upfront_Fee*$E97*(CF96=0)*(CF97&gt;0)</f>
        <v>-0</v>
      </c>
      <c r="CG102" s="47" t="n">
        <f aca="false">-In_Upfront_Fee*$E97*(CG96=0)*(CG97&gt;0)</f>
        <v>-0</v>
      </c>
      <c r="CH102" s="47" t="n">
        <f aca="false">-In_Upfront_Fee*$E97*(CH96=0)*(CH97&gt;0)</f>
        <v>-0</v>
      </c>
      <c r="CI102" s="47" t="n">
        <f aca="false">-In_Upfront_Fee*$E97*(CI96=0)*(CI97&gt;0)</f>
        <v>-0</v>
      </c>
      <c r="CJ102" s="47" t="n">
        <f aca="false">-In_Upfront_Fee*$E97*(CJ96=0)*(CJ97&gt;0)</f>
        <v>-0</v>
      </c>
      <c r="CK102" s="47" t="n">
        <f aca="false">-In_Upfront_Fee*$E97*(CK96=0)*(CK97&gt;0)</f>
        <v>-0</v>
      </c>
      <c r="CL102" s="47" t="n">
        <f aca="false">-In_Upfront_Fee*$E97*(CL96=0)*(CL97&gt;0)</f>
        <v>-0</v>
      </c>
      <c r="CM102" s="47" t="n">
        <f aca="false">-In_Upfront_Fee*$E97*(CM96=0)*(CM97&gt;0)</f>
        <v>-0</v>
      </c>
      <c r="CN102" s="47" t="n">
        <f aca="false">-In_Upfront_Fee*$E97*(CN96=0)*(CN97&gt;0)</f>
        <v>-0</v>
      </c>
      <c r="CO102" s="47" t="n">
        <f aca="false">-In_Upfront_Fee*$E97*(CO96=0)*(CO97&gt;0)</f>
        <v>-0</v>
      </c>
      <c r="CP102" s="47" t="n">
        <f aca="false">-In_Upfront_Fee*$E97*(CP96=0)*(CP97&gt;0)</f>
        <v>-0</v>
      </c>
      <c r="CQ102" s="47" t="n">
        <f aca="false">-In_Upfront_Fee*$E97*(CQ96=0)*(CQ97&gt;0)</f>
        <v>-0</v>
      </c>
      <c r="CR102" s="47" t="n">
        <f aca="false">-In_Upfront_Fee*$E97*(CR96=0)*(CR97&gt;0)</f>
        <v>-0</v>
      </c>
      <c r="CS102" s="47" t="n">
        <f aca="false">-In_Upfront_Fee*$E97*(CS96=0)*(CS97&gt;0)</f>
        <v>-0</v>
      </c>
      <c r="CT102" s="47" t="n">
        <f aca="false">-In_Upfront_Fee*$E97*(CT96=0)*(CT97&gt;0)</f>
        <v>-0</v>
      </c>
      <c r="CU102" s="47" t="n">
        <f aca="false">-In_Upfront_Fee*$E97*(CU96=0)*(CU97&gt;0)</f>
        <v>-0</v>
      </c>
      <c r="CV102" s="47" t="n">
        <f aca="false">-In_Upfront_Fee*$E97*(CV96=0)*(CV97&gt;0)</f>
        <v>-0</v>
      </c>
      <c r="CW102" s="47" t="n">
        <f aca="false">-In_Upfront_Fee*$E97*(CW96=0)*(CW97&gt;0)</f>
        <v>-0</v>
      </c>
      <c r="CX102" s="47" t="n">
        <f aca="false">-In_Upfront_Fee*$E97*(CX96=0)*(CX97&gt;0)</f>
        <v>-0</v>
      </c>
      <c r="CY102" s="47" t="n">
        <f aca="false">-In_Upfront_Fee*$E97*(CY96=0)*(CY97&gt;0)</f>
        <v>-0</v>
      </c>
      <c r="CZ102" s="47" t="n">
        <f aca="false">-In_Upfront_Fee*$E97*(CZ96=0)*(CZ97&gt;0)</f>
        <v>-0</v>
      </c>
      <c r="DA102" s="47" t="n">
        <f aca="false">-In_Upfront_Fee*$E97*(DA96=0)*(DA97&gt;0)</f>
        <v>-0</v>
      </c>
      <c r="DB102" s="47" t="n">
        <f aca="false">-In_Upfront_Fee*$E97*(DB96=0)*(DB97&gt;0)</f>
        <v>-0</v>
      </c>
      <c r="DC102" s="47" t="n">
        <f aca="false">-In_Upfront_Fee*$E97*(DC96=0)*(DC97&gt;0)</f>
        <v>-0</v>
      </c>
      <c r="DD102" s="47" t="n">
        <f aca="false">-In_Upfront_Fee*$E97*(DD96=0)*(DD97&gt;0)</f>
        <v>-0</v>
      </c>
      <c r="DE102" s="47" t="n">
        <f aca="false">-In_Upfront_Fee*$E97*(DE96=0)*(DE97&gt;0)</f>
        <v>-0</v>
      </c>
      <c r="DF102" s="47" t="n">
        <f aca="false">-In_Upfront_Fee*$E97*(DF96=0)*(DF97&gt;0)</f>
        <v>-0</v>
      </c>
      <c r="DG102" s="47" t="n">
        <f aca="false">-In_Upfront_Fee*$E97*(DG96=0)*(DG97&gt;0)</f>
        <v>-0</v>
      </c>
      <c r="DH102" s="47" t="n">
        <f aca="false">-In_Upfront_Fee*$E97*(DH96=0)*(DH97&gt;0)</f>
        <v>-0</v>
      </c>
      <c r="DI102" s="47" t="n">
        <f aca="false">-In_Upfront_Fee*$E97*(DI96=0)*(DI97&gt;0)</f>
        <v>-0</v>
      </c>
      <c r="DJ102" s="47" t="n">
        <f aca="false">-In_Upfront_Fee*$E97*(DJ96=0)*(DJ97&gt;0)</f>
        <v>-0</v>
      </c>
      <c r="DK102" s="47" t="n">
        <f aca="false">-In_Upfront_Fee*$E97*(DK96=0)*(DK97&gt;0)</f>
        <v>-0</v>
      </c>
      <c r="DL102" s="47" t="n">
        <f aca="false">-In_Upfront_Fee*$E97*(DL96=0)*(DL97&gt;0)</f>
        <v>-0</v>
      </c>
      <c r="DM102" s="47" t="n">
        <f aca="false">-In_Upfront_Fee*$E97*(DM96=0)*(DM97&gt;0)</f>
        <v>-0</v>
      </c>
      <c r="DN102" s="47" t="n">
        <f aca="false">-In_Upfront_Fee*$E97*(DN96=0)*(DN97&gt;0)</f>
        <v>-0</v>
      </c>
      <c r="DO102" s="47" t="n">
        <f aca="false">-In_Upfront_Fee*$E97*(DO96=0)*(DO97&gt;0)</f>
        <v>-0</v>
      </c>
      <c r="DP102" s="47" t="n">
        <f aca="false">-In_Upfront_Fee*$E97*(DP96=0)*(DP97&gt;0)</f>
        <v>-0</v>
      </c>
      <c r="DQ102" s="47" t="n">
        <f aca="false">-In_Upfront_Fee*$E97*(DQ96=0)*(DQ97&gt;0)</f>
        <v>-0</v>
      </c>
      <c r="DR102" s="47" t="n">
        <f aca="false">-In_Upfront_Fee*$E97*(DR96=0)*(DR97&gt;0)</f>
        <v>-0</v>
      </c>
      <c r="DS102" s="47" t="n">
        <f aca="false">-In_Upfront_Fee*$E97*(DS96=0)*(DS97&gt;0)</f>
        <v>-0</v>
      </c>
      <c r="DT102" s="47" t="n">
        <f aca="false">-In_Upfront_Fee*$E97*(DT96=0)*(DT97&gt;0)</f>
        <v>-0</v>
      </c>
      <c r="DU102" s="47" t="n">
        <f aca="false">-In_Upfront_Fee*$E97*(DU96=0)*(DU97&gt;0)</f>
        <v>-0</v>
      </c>
      <c r="DV102" s="47" t="n">
        <f aca="false">-In_Upfront_Fee*$E97*(DV96=0)*(DV97&gt;0)</f>
        <v>-0</v>
      </c>
      <c r="DW102" s="47" t="n">
        <f aca="false">-In_Upfront_Fee*$E97*(DW96=0)*(DW97&gt;0)</f>
        <v>-0</v>
      </c>
      <c r="DX102" s="47" t="n">
        <f aca="false">-In_Upfront_Fee*$E97*(DX96=0)*(DX97&gt;0)</f>
        <v>-0</v>
      </c>
      <c r="DY102" s="47" t="n">
        <f aca="false">-In_Upfront_Fee*$E97*(DY96=0)*(DY97&gt;0)</f>
        <v>-0</v>
      </c>
      <c r="DZ102" s="47" t="n">
        <f aca="false">-In_Upfront_Fee*$E97*(DZ96=0)*(DZ97&gt;0)</f>
        <v>-0</v>
      </c>
      <c r="EA102" s="47" t="n">
        <f aca="false">-In_Upfront_Fee*$E97*(EA96=0)*(EA97&gt;0)</f>
        <v>-0</v>
      </c>
      <c r="EB102" s="47" t="n">
        <f aca="false">-In_Upfront_Fee*$E97*(EB96=0)*(EB97&gt;0)</f>
        <v>-0</v>
      </c>
      <c r="EC102" s="47" t="n">
        <f aca="false">-In_Upfront_Fee*$E97*(EC96=0)*(EC97&gt;0)</f>
        <v>-0</v>
      </c>
      <c r="ED102" s="47" t="n">
        <f aca="false">-In_Upfront_Fee*$E97*(ED96=0)*(ED97&gt;0)</f>
        <v>-0</v>
      </c>
      <c r="EE102" s="47" t="n">
        <f aca="false">-In_Upfront_Fee*$E97*(EE96=0)*(EE97&gt;0)</f>
        <v>-0</v>
      </c>
      <c r="EF102" s="47" t="n">
        <f aca="false">-In_Upfront_Fee*$E97*(EF96=0)*(EF97&gt;0)</f>
        <v>-0</v>
      </c>
      <c r="EG102" s="47" t="n">
        <f aca="false">-In_Upfront_Fee*$E97*(EG96=0)*(EG97&gt;0)</f>
        <v>-0</v>
      </c>
      <c r="EH102" s="47" t="n">
        <f aca="false">-In_Upfront_Fee*$E97*(EH96=0)*(EH97&gt;0)</f>
        <v>-0</v>
      </c>
      <c r="EI102" s="47" t="n">
        <f aca="false">-In_Upfront_Fee*$E97*(EI96=0)*(EI97&gt;0)</f>
        <v>-0</v>
      </c>
      <c r="EJ102" s="47" t="n">
        <f aca="false">-In_Upfront_Fee*$E97*(EJ96=0)*(EJ97&gt;0)</f>
        <v>-0</v>
      </c>
      <c r="EK102" s="47" t="n">
        <f aca="false">-In_Upfront_Fee*$E97*(EK96=0)*(EK97&gt;0)</f>
        <v>-0</v>
      </c>
      <c r="EL102" s="47" t="n">
        <f aca="false">-In_Upfront_Fee*$E97*(EL96=0)*(EL97&gt;0)</f>
        <v>-0</v>
      </c>
      <c r="EM102" s="47" t="n">
        <f aca="false">-In_Upfront_Fee*$E97*(EM96=0)*(EM97&gt;0)</f>
        <v>-0</v>
      </c>
      <c r="EN102" s="47" t="n">
        <f aca="false">-In_Upfront_Fee*$E97*(EN96=0)*(EN97&gt;0)</f>
        <v>-0</v>
      </c>
      <c r="EO102" s="47" t="n">
        <f aca="false">-In_Upfront_Fee*$E97*(EO96=0)*(EO97&gt;0)</f>
        <v>-0</v>
      </c>
      <c r="EP102" s="47" t="n">
        <f aca="false">-In_Upfront_Fee*$E97*(EP96=0)*(EP97&gt;0)</f>
        <v>-0</v>
      </c>
      <c r="EQ102" s="47" t="n">
        <f aca="false">-In_Upfront_Fee*$E97*(EQ96=0)*(EQ97&gt;0)</f>
        <v>-0</v>
      </c>
      <c r="ER102" s="47" t="n">
        <f aca="false">-In_Upfront_Fee*$E97*(ER96=0)*(ER97&gt;0)</f>
        <v>-0</v>
      </c>
      <c r="ES102" s="47" t="n">
        <f aca="false">-In_Upfront_Fee*$E97*(ES96=0)*(ES97&gt;0)</f>
        <v>-0</v>
      </c>
      <c r="ET102" s="47" t="n">
        <f aca="false">-In_Upfront_Fee*$E97*(ET96=0)*(ET97&gt;0)</f>
        <v>-0</v>
      </c>
    </row>
    <row r="103" customFormat="false" ht="15" hidden="false" customHeight="false" outlineLevel="0" collapsed="false">
      <c r="C103" s="1" t="s">
        <v>519</v>
      </c>
      <c r="D103" s="12" t="s">
        <v>222</v>
      </c>
      <c r="I103" s="47" t="n">
        <f aca="false">SUM(J103:ET103)</f>
        <v>-913.046779829394</v>
      </c>
      <c r="J103" s="47" t="n">
        <f aca="false">-In_Commitment_Fee*($E97-SUM($J97:J97)+J97)*J$6*(J13&gt;0)</f>
        <v>-0</v>
      </c>
      <c r="K103" s="47" t="n">
        <f aca="false">-In_Commitment_Fee*($E97-SUM($J97:K97)+K97)*K$6*(K13&gt;0)</f>
        <v>-0</v>
      </c>
      <c r="L103" s="47" t="n">
        <f aca="false">-In_Commitment_Fee*($E97-SUM($J97:L97)+L97)*L$6*(L13&gt;0)</f>
        <v>-0</v>
      </c>
      <c r="M103" s="47" t="n">
        <f aca="false">-In_Commitment_Fee*($E97-SUM($J97:M97)+M97)*M$6*(M13&gt;0)</f>
        <v>-0</v>
      </c>
      <c r="N103" s="47" t="n">
        <f aca="false">-In_Commitment_Fee*($E97-SUM($J97:N97)+N97)*N$6*(N13&gt;0)</f>
        <v>-0</v>
      </c>
      <c r="O103" s="47" t="n">
        <f aca="false">-In_Commitment_Fee*($E97-SUM($J97:O97)+O97)*O$6*(O13&gt;0)</f>
        <v>-0</v>
      </c>
      <c r="P103" s="47" t="n">
        <f aca="false">-In_Commitment_Fee*($E97-SUM($J97:P97)+P97)*P$6*(P13&gt;0)</f>
        <v>-0</v>
      </c>
      <c r="Q103" s="47" t="n">
        <f aca="false">-In_Commitment_Fee*($E97-SUM($J97:Q97)+Q97)*Q$6*(Q13&gt;0)</f>
        <v>-0</v>
      </c>
      <c r="R103" s="47" t="n">
        <f aca="false">-In_Commitment_Fee*($E97-SUM($J97:R97)+R97)*R$6*(R13&gt;0)</f>
        <v>-0</v>
      </c>
      <c r="S103" s="47" t="n">
        <f aca="false">-In_Commitment_Fee*($E97-SUM($J97:S97)+S97)*S$6*(S13&gt;0)</f>
        <v>-0</v>
      </c>
      <c r="T103" s="47" t="n">
        <f aca="false">-In_Commitment_Fee*($E97-SUM($J97:T97)+T97)*T$6*(T13&gt;0)</f>
        <v>-0</v>
      </c>
      <c r="U103" s="47" t="n">
        <f aca="false">-In_Commitment_Fee*($E97-SUM($J97:U97)+U97)*U$6*(U13&gt;0)</f>
        <v>-0</v>
      </c>
      <c r="V103" s="47" t="n">
        <f aca="false">-In_Commitment_Fee*($E97-SUM($J97:V97)+V97)*V$6*(V13&gt;0)</f>
        <v>-0</v>
      </c>
      <c r="W103" s="47" t="n">
        <f aca="false">-In_Commitment_Fee*($E97-SUM($J97:W97)+W97)*W$6*(W13&gt;0)</f>
        <v>-204.56507305316</v>
      </c>
      <c r="X103" s="47" t="n">
        <f aca="false">-In_Commitment_Fee*($E97-SUM($J97:X97)+X97)*X$6*(X13&gt;0)</f>
        <v>-174.897654775349</v>
      </c>
      <c r="Y103" s="47" t="n">
        <f aca="false">-In_Commitment_Fee*($E97-SUM($J97:Y97)+Y97)*Y$6*(Y13&gt;0)</f>
        <v>-151.894744833457</v>
      </c>
      <c r="Z103" s="47" t="n">
        <f aca="false">-In_Commitment_Fee*($E97-SUM($J97:Z97)+Z97)*Z$6*(Z13&gt;0)</f>
        <v>-128.063340253827</v>
      </c>
      <c r="AA103" s="47" t="n">
        <f aca="false">-In_Commitment_Fee*($E97-SUM($J97:AA97)+AA97)*AA$6*(AA13&gt;0)</f>
        <v>-102.28253652658</v>
      </c>
      <c r="AB103" s="47" t="n">
        <f aca="false">-In_Commitment_Fee*($E97-SUM($J97:AB97)+AB97)*AB$6*(AB13&gt;0)</f>
        <v>-74.8386516515207</v>
      </c>
      <c r="AC103" s="47" t="n">
        <f aca="false">-In_Commitment_Fee*($E97-SUM($J97:AC97)+AC97)*AC$6*(AC13&gt;0)</f>
        <v>-50.723975008253</v>
      </c>
      <c r="AD103" s="47" t="n">
        <f aca="false">-In_Commitment_Fee*($E97-SUM($J97:AD97)+AD97)*AD$6*(AD13&gt;0)</f>
        <v>-25.7808037272475</v>
      </c>
      <c r="AE103" s="47" t="n">
        <f aca="false">-In_Commitment_Fee*($E97-SUM($J97:AE97)+AE97)*AE$6*(AE13&gt;0)</f>
        <v>-0</v>
      </c>
      <c r="AF103" s="47" t="n">
        <f aca="false">-In_Commitment_Fee*($E97-SUM($J97:AF97)+AF97)*AF$6*(AF13&gt;0)</f>
        <v>-0</v>
      </c>
      <c r="AG103" s="47" t="n">
        <f aca="false">-In_Commitment_Fee*($E97-SUM($J97:AG97)+AG97)*AG$6*(AG13&gt;0)</f>
        <v>-0</v>
      </c>
      <c r="AH103" s="47" t="n">
        <f aca="false">-In_Commitment_Fee*($E97-SUM($J97:AH97)+AH97)*AH$6*(AH13&gt;0)</f>
        <v>-0</v>
      </c>
      <c r="AI103" s="47" t="n">
        <f aca="false">-In_Commitment_Fee*($E97-SUM($J97:AI97)+AI97)*AI$6*(AI13&gt;0)</f>
        <v>-0</v>
      </c>
      <c r="AJ103" s="47" t="n">
        <f aca="false">-In_Commitment_Fee*($E97-SUM($J97:AJ97)+AJ97)*AJ$6*(AJ13&gt;0)</f>
        <v>-0</v>
      </c>
      <c r="AK103" s="47" t="n">
        <f aca="false">-In_Commitment_Fee*($E97-SUM($J97:AK97)+AK97)*AK$6*(AK13&gt;0)</f>
        <v>-0</v>
      </c>
      <c r="AL103" s="47" t="n">
        <f aca="false">-In_Commitment_Fee*($E97-SUM($J97:AL97)+AL97)*AL$6*(AL13&gt;0)</f>
        <v>-0</v>
      </c>
      <c r="AM103" s="47" t="n">
        <f aca="false">-In_Commitment_Fee*($E97-SUM($J97:AM97)+AM97)*AM$6*(AM13&gt;0)</f>
        <v>-0</v>
      </c>
      <c r="AN103" s="47" t="n">
        <f aca="false">-In_Commitment_Fee*($E97-SUM($J97:AN97)+AN97)*AN$6*(AN13&gt;0)</f>
        <v>-0</v>
      </c>
      <c r="AO103" s="47" t="n">
        <f aca="false">-In_Commitment_Fee*($E97-SUM($J97:AO97)+AO97)*AO$6*(AO13&gt;0)</f>
        <v>-0</v>
      </c>
      <c r="AP103" s="47" t="n">
        <f aca="false">-In_Commitment_Fee*($E97-SUM($J97:AP97)+AP97)*AP$6*(AP13&gt;0)</f>
        <v>-0</v>
      </c>
      <c r="AQ103" s="47" t="n">
        <f aca="false">-In_Commitment_Fee*($E97-SUM($J97:AQ97)+AQ97)*AQ$6*(AQ13&gt;0)</f>
        <v>-0</v>
      </c>
      <c r="AR103" s="47" t="n">
        <f aca="false">-In_Commitment_Fee*($E97-SUM($J97:AR97)+AR97)*AR$6*(AR13&gt;0)</f>
        <v>-0</v>
      </c>
      <c r="AS103" s="47" t="n">
        <f aca="false">-In_Commitment_Fee*($E97-SUM($J97:AS97)+AS97)*AS$6*(AS13&gt;0)</f>
        <v>-0</v>
      </c>
      <c r="AT103" s="47" t="n">
        <f aca="false">-In_Commitment_Fee*($E97-SUM($J97:AT97)+AT97)*AT$6*(AT13&gt;0)</f>
        <v>-0</v>
      </c>
      <c r="AU103" s="47" t="n">
        <f aca="false">-In_Commitment_Fee*($E97-SUM($J97:AU97)+AU97)*AU$6*(AU13&gt;0)</f>
        <v>-0</v>
      </c>
      <c r="AV103" s="47" t="n">
        <f aca="false">-In_Commitment_Fee*($E97-SUM($J97:AV97)+AV97)*AV$6*(AV13&gt;0)</f>
        <v>-0</v>
      </c>
      <c r="AW103" s="47" t="n">
        <f aca="false">-In_Commitment_Fee*($E97-SUM($J97:AW97)+AW97)*AW$6*(AW13&gt;0)</f>
        <v>-0</v>
      </c>
      <c r="AX103" s="47" t="n">
        <f aca="false">-In_Commitment_Fee*($E97-SUM($J97:AX97)+AX97)*AX$6*(AX13&gt;0)</f>
        <v>-0</v>
      </c>
      <c r="AY103" s="47" t="n">
        <f aca="false">-In_Commitment_Fee*($E97-SUM($J97:AY97)+AY97)*AY$6*(AY13&gt;0)</f>
        <v>-0</v>
      </c>
      <c r="AZ103" s="47" t="n">
        <f aca="false">-In_Commitment_Fee*($E97-SUM($J97:AZ97)+AZ97)*AZ$6*(AZ13&gt;0)</f>
        <v>-0</v>
      </c>
      <c r="BA103" s="47" t="n">
        <f aca="false">-In_Commitment_Fee*($E97-SUM($J97:BA97)+BA97)*BA$6*(BA13&gt;0)</f>
        <v>-0</v>
      </c>
      <c r="BB103" s="47" t="n">
        <f aca="false">-In_Commitment_Fee*($E97-SUM($J97:BB97)+BB97)*BB$6*(BB13&gt;0)</f>
        <v>-0</v>
      </c>
      <c r="BC103" s="47" t="n">
        <f aca="false">-In_Commitment_Fee*($E97-SUM($J97:BC97)+BC97)*BC$6*(BC13&gt;0)</f>
        <v>-0</v>
      </c>
      <c r="BD103" s="47" t="n">
        <f aca="false">-In_Commitment_Fee*($E97-SUM($J97:BD97)+BD97)*BD$6*(BD13&gt;0)</f>
        <v>-0</v>
      </c>
      <c r="BE103" s="47" t="n">
        <f aca="false">-In_Commitment_Fee*($E97-SUM($J97:BE97)+BE97)*BE$6*(BE13&gt;0)</f>
        <v>-0</v>
      </c>
      <c r="BF103" s="47" t="n">
        <f aca="false">-In_Commitment_Fee*($E97-SUM($J97:BF97)+BF97)*BF$6*(BF13&gt;0)</f>
        <v>-0</v>
      </c>
      <c r="BG103" s="47" t="n">
        <f aca="false">-In_Commitment_Fee*($E97-SUM($J97:BG97)+BG97)*BG$6*(BG13&gt;0)</f>
        <v>-0</v>
      </c>
      <c r="BH103" s="47" t="n">
        <f aca="false">-In_Commitment_Fee*($E97-SUM($J97:BH97)+BH97)*BH$6*(BH13&gt;0)</f>
        <v>-0</v>
      </c>
      <c r="BI103" s="47" t="n">
        <f aca="false">-In_Commitment_Fee*($E97-SUM($J97:BI97)+BI97)*BI$6*(BI13&gt;0)</f>
        <v>-0</v>
      </c>
      <c r="BJ103" s="47" t="n">
        <f aca="false">-In_Commitment_Fee*($E97-SUM($J97:BJ97)+BJ97)*BJ$6*(BJ13&gt;0)</f>
        <v>-0</v>
      </c>
      <c r="BK103" s="47" t="n">
        <f aca="false">-In_Commitment_Fee*($E97-SUM($J97:BK97)+BK97)*BK$6*(BK13&gt;0)</f>
        <v>-0</v>
      </c>
      <c r="BL103" s="47" t="n">
        <f aca="false">-In_Commitment_Fee*($E97-SUM($J97:BL97)+BL97)*BL$6*(BL13&gt;0)</f>
        <v>-0</v>
      </c>
      <c r="BM103" s="47" t="n">
        <f aca="false">-In_Commitment_Fee*($E97-SUM($J97:BM97)+BM97)*BM$6*(BM13&gt;0)</f>
        <v>-0</v>
      </c>
      <c r="BN103" s="47" t="n">
        <f aca="false">-In_Commitment_Fee*($E97-SUM($J97:BN97)+BN97)*BN$6*(BN13&gt;0)</f>
        <v>-0</v>
      </c>
      <c r="BO103" s="47" t="n">
        <f aca="false">-In_Commitment_Fee*($E97-SUM($J97:BO97)+BO97)*BO$6*(BO13&gt;0)</f>
        <v>-0</v>
      </c>
      <c r="BP103" s="47" t="n">
        <f aca="false">-In_Commitment_Fee*($E97-SUM($J97:BP97)+BP97)*BP$6*(BP13&gt;0)</f>
        <v>-0</v>
      </c>
      <c r="BQ103" s="47" t="n">
        <f aca="false">-In_Commitment_Fee*($E97-SUM($J97:BQ97)+BQ97)*BQ$6*(BQ13&gt;0)</f>
        <v>-0</v>
      </c>
      <c r="BR103" s="47" t="n">
        <f aca="false">-In_Commitment_Fee*($E97-SUM($J97:BR97)+BR97)*BR$6*(BR13&gt;0)</f>
        <v>-0</v>
      </c>
      <c r="BS103" s="47" t="n">
        <f aca="false">-In_Commitment_Fee*($E97-SUM($J97:BS97)+BS97)*BS$6*(BS13&gt;0)</f>
        <v>-0</v>
      </c>
      <c r="BT103" s="47" t="n">
        <f aca="false">-In_Commitment_Fee*($E97-SUM($J97:BT97)+BT97)*BT$6*(BT13&gt;0)</f>
        <v>-0</v>
      </c>
      <c r="BU103" s="47" t="n">
        <f aca="false">-In_Commitment_Fee*($E97-SUM($J97:BU97)+BU97)*BU$6*(BU13&gt;0)</f>
        <v>-0</v>
      </c>
      <c r="BV103" s="47" t="n">
        <f aca="false">-In_Commitment_Fee*($E97-SUM($J97:BV97)+BV97)*BV$6*(BV13&gt;0)</f>
        <v>-0</v>
      </c>
      <c r="BW103" s="47" t="n">
        <f aca="false">-In_Commitment_Fee*($E97-SUM($J97:BW97)+BW97)*BW$6*(BW13&gt;0)</f>
        <v>-0</v>
      </c>
      <c r="BX103" s="47" t="n">
        <f aca="false">-In_Commitment_Fee*($E97-SUM($J97:BX97)+BX97)*BX$6*(BX13&gt;0)</f>
        <v>-0</v>
      </c>
      <c r="BY103" s="47" t="n">
        <f aca="false">-In_Commitment_Fee*($E97-SUM($J97:BY97)+BY97)*BY$6*(BY13&gt;0)</f>
        <v>-0</v>
      </c>
      <c r="BZ103" s="47" t="n">
        <f aca="false">-In_Commitment_Fee*($E97-SUM($J97:BZ97)+BZ97)*BZ$6*(BZ13&gt;0)</f>
        <v>-0</v>
      </c>
      <c r="CA103" s="47" t="n">
        <f aca="false">-In_Commitment_Fee*($E97-SUM($J97:CA97)+CA97)*CA$6*(CA13&gt;0)</f>
        <v>-0</v>
      </c>
      <c r="CB103" s="47" t="n">
        <f aca="false">-In_Commitment_Fee*($E97-SUM($J97:CB97)+CB97)*CB$6*(CB13&gt;0)</f>
        <v>-0</v>
      </c>
      <c r="CC103" s="47" t="n">
        <f aca="false">-In_Commitment_Fee*($E97-SUM($J97:CC97)+CC97)*CC$6*(CC13&gt;0)</f>
        <v>-0</v>
      </c>
      <c r="CD103" s="47" t="n">
        <f aca="false">-In_Commitment_Fee*($E97-SUM($J97:CD97)+CD97)*CD$6*(CD13&gt;0)</f>
        <v>-0</v>
      </c>
      <c r="CE103" s="47" t="n">
        <f aca="false">-In_Commitment_Fee*($E97-SUM($J97:CE97)+CE97)*CE$6*(CE13&gt;0)</f>
        <v>-0</v>
      </c>
      <c r="CF103" s="47" t="n">
        <f aca="false">-In_Commitment_Fee*($E97-SUM($J97:CF97)+CF97)*CF$6*(CF13&gt;0)</f>
        <v>-0</v>
      </c>
      <c r="CG103" s="47" t="n">
        <f aca="false">-In_Commitment_Fee*($E97-SUM($J97:CG97)+CG97)*CG$6*(CG13&gt;0)</f>
        <v>-0</v>
      </c>
      <c r="CH103" s="47" t="n">
        <f aca="false">-In_Commitment_Fee*($E97-SUM($J97:CH97)+CH97)*CH$6*(CH13&gt;0)</f>
        <v>-0</v>
      </c>
      <c r="CI103" s="47" t="n">
        <f aca="false">-In_Commitment_Fee*($E97-SUM($J97:CI97)+CI97)*CI$6*(CI13&gt;0)</f>
        <v>-0</v>
      </c>
      <c r="CJ103" s="47" t="n">
        <f aca="false">-In_Commitment_Fee*($E97-SUM($J97:CJ97)+CJ97)*CJ$6*(CJ13&gt;0)</f>
        <v>-0</v>
      </c>
      <c r="CK103" s="47" t="n">
        <f aca="false">-In_Commitment_Fee*($E97-SUM($J97:CK97)+CK97)*CK$6*(CK13&gt;0)</f>
        <v>-0</v>
      </c>
      <c r="CL103" s="47" t="n">
        <f aca="false">-In_Commitment_Fee*($E97-SUM($J97:CL97)+CL97)*CL$6*(CL13&gt;0)</f>
        <v>-0</v>
      </c>
      <c r="CM103" s="47" t="n">
        <f aca="false">-In_Commitment_Fee*($E97-SUM($J97:CM97)+CM97)*CM$6*(CM13&gt;0)</f>
        <v>-0</v>
      </c>
      <c r="CN103" s="47" t="n">
        <f aca="false">-In_Commitment_Fee*($E97-SUM($J97:CN97)+CN97)*CN$6*(CN13&gt;0)</f>
        <v>-0</v>
      </c>
      <c r="CO103" s="47" t="n">
        <f aca="false">-In_Commitment_Fee*($E97-SUM($J97:CO97)+CO97)*CO$6*(CO13&gt;0)</f>
        <v>-0</v>
      </c>
      <c r="CP103" s="47" t="n">
        <f aca="false">-In_Commitment_Fee*($E97-SUM($J97:CP97)+CP97)*CP$6*(CP13&gt;0)</f>
        <v>-0</v>
      </c>
      <c r="CQ103" s="47" t="n">
        <f aca="false">-In_Commitment_Fee*($E97-SUM($J97:CQ97)+CQ97)*CQ$6*(CQ13&gt;0)</f>
        <v>-0</v>
      </c>
      <c r="CR103" s="47" t="n">
        <f aca="false">-In_Commitment_Fee*($E97-SUM($J97:CR97)+CR97)*CR$6*(CR13&gt;0)</f>
        <v>-0</v>
      </c>
      <c r="CS103" s="47" t="n">
        <f aca="false">-In_Commitment_Fee*($E97-SUM($J97:CS97)+CS97)*CS$6*(CS13&gt;0)</f>
        <v>-0</v>
      </c>
      <c r="CT103" s="47" t="n">
        <f aca="false">-In_Commitment_Fee*($E97-SUM($J97:CT97)+CT97)*CT$6*(CT13&gt;0)</f>
        <v>-0</v>
      </c>
      <c r="CU103" s="47" t="n">
        <f aca="false">-In_Commitment_Fee*($E97-SUM($J97:CU97)+CU97)*CU$6*(CU13&gt;0)</f>
        <v>-0</v>
      </c>
      <c r="CV103" s="47" t="n">
        <f aca="false">-In_Commitment_Fee*($E97-SUM($J97:CV97)+CV97)*CV$6*(CV13&gt;0)</f>
        <v>-0</v>
      </c>
      <c r="CW103" s="47" t="n">
        <f aca="false">-In_Commitment_Fee*($E97-SUM($J97:CW97)+CW97)*CW$6*(CW13&gt;0)</f>
        <v>-0</v>
      </c>
      <c r="CX103" s="47" t="n">
        <f aca="false">-In_Commitment_Fee*($E97-SUM($J97:CX97)+CX97)*CX$6*(CX13&gt;0)</f>
        <v>-0</v>
      </c>
      <c r="CY103" s="47" t="n">
        <f aca="false">-In_Commitment_Fee*($E97-SUM($J97:CY97)+CY97)*CY$6*(CY13&gt;0)</f>
        <v>-0</v>
      </c>
      <c r="CZ103" s="47" t="n">
        <f aca="false">-In_Commitment_Fee*($E97-SUM($J97:CZ97)+CZ97)*CZ$6*(CZ13&gt;0)</f>
        <v>-0</v>
      </c>
      <c r="DA103" s="47" t="n">
        <f aca="false">-In_Commitment_Fee*($E97-SUM($J97:DA97)+DA97)*DA$6*(DA13&gt;0)</f>
        <v>-0</v>
      </c>
      <c r="DB103" s="47" t="n">
        <f aca="false">-In_Commitment_Fee*($E97-SUM($J97:DB97)+DB97)*DB$6*(DB13&gt;0)</f>
        <v>-0</v>
      </c>
      <c r="DC103" s="47" t="n">
        <f aca="false">-In_Commitment_Fee*($E97-SUM($J97:DC97)+DC97)*DC$6*(DC13&gt;0)</f>
        <v>-0</v>
      </c>
      <c r="DD103" s="47" t="n">
        <f aca="false">-In_Commitment_Fee*($E97-SUM($J97:DD97)+DD97)*DD$6*(DD13&gt;0)</f>
        <v>-0</v>
      </c>
      <c r="DE103" s="47" t="n">
        <f aca="false">-In_Commitment_Fee*($E97-SUM($J97:DE97)+DE97)*DE$6*(DE13&gt;0)</f>
        <v>-0</v>
      </c>
      <c r="DF103" s="47" t="n">
        <f aca="false">-In_Commitment_Fee*($E97-SUM($J97:DF97)+DF97)*DF$6*(DF13&gt;0)</f>
        <v>-0</v>
      </c>
      <c r="DG103" s="47" t="n">
        <f aca="false">-In_Commitment_Fee*($E97-SUM($J97:DG97)+DG97)*DG$6*(DG13&gt;0)</f>
        <v>-0</v>
      </c>
      <c r="DH103" s="47" t="n">
        <f aca="false">-In_Commitment_Fee*($E97-SUM($J97:DH97)+DH97)*DH$6*(DH13&gt;0)</f>
        <v>-0</v>
      </c>
      <c r="DI103" s="47" t="n">
        <f aca="false">-In_Commitment_Fee*($E97-SUM($J97:DI97)+DI97)*DI$6*(DI13&gt;0)</f>
        <v>-0</v>
      </c>
      <c r="DJ103" s="47" t="n">
        <f aca="false">-In_Commitment_Fee*($E97-SUM($J97:DJ97)+DJ97)*DJ$6*(DJ13&gt;0)</f>
        <v>-0</v>
      </c>
      <c r="DK103" s="47" t="n">
        <f aca="false">-In_Commitment_Fee*($E97-SUM($J97:DK97)+DK97)*DK$6*(DK13&gt;0)</f>
        <v>-0</v>
      </c>
      <c r="DL103" s="47" t="n">
        <f aca="false">-In_Commitment_Fee*($E97-SUM($J97:DL97)+DL97)*DL$6*(DL13&gt;0)</f>
        <v>-0</v>
      </c>
      <c r="DM103" s="47" t="n">
        <f aca="false">-In_Commitment_Fee*($E97-SUM($J97:DM97)+DM97)*DM$6*(DM13&gt;0)</f>
        <v>-0</v>
      </c>
      <c r="DN103" s="47" t="n">
        <f aca="false">-In_Commitment_Fee*($E97-SUM($J97:DN97)+DN97)*DN$6*(DN13&gt;0)</f>
        <v>-0</v>
      </c>
      <c r="DO103" s="47" t="n">
        <f aca="false">-In_Commitment_Fee*($E97-SUM($J97:DO97)+DO97)*DO$6*(DO13&gt;0)</f>
        <v>-0</v>
      </c>
      <c r="DP103" s="47" t="n">
        <f aca="false">-In_Commitment_Fee*($E97-SUM($J97:DP97)+DP97)*DP$6*(DP13&gt;0)</f>
        <v>-0</v>
      </c>
      <c r="DQ103" s="47" t="n">
        <f aca="false">-In_Commitment_Fee*($E97-SUM($J97:DQ97)+DQ97)*DQ$6*(DQ13&gt;0)</f>
        <v>-0</v>
      </c>
      <c r="DR103" s="47" t="n">
        <f aca="false">-In_Commitment_Fee*($E97-SUM($J97:DR97)+DR97)*DR$6*(DR13&gt;0)</f>
        <v>-0</v>
      </c>
      <c r="DS103" s="47" t="n">
        <f aca="false">-In_Commitment_Fee*($E97-SUM($J97:DS97)+DS97)*DS$6*(DS13&gt;0)</f>
        <v>-0</v>
      </c>
      <c r="DT103" s="47" t="n">
        <f aca="false">-In_Commitment_Fee*($E97-SUM($J97:DT97)+DT97)*DT$6*(DT13&gt;0)</f>
        <v>-0</v>
      </c>
      <c r="DU103" s="47" t="n">
        <f aca="false">-In_Commitment_Fee*($E97-SUM($J97:DU97)+DU97)*DU$6*(DU13&gt;0)</f>
        <v>-0</v>
      </c>
      <c r="DV103" s="47" t="n">
        <f aca="false">-In_Commitment_Fee*($E97-SUM($J97:DV97)+DV97)*DV$6*(DV13&gt;0)</f>
        <v>-0</v>
      </c>
      <c r="DW103" s="47" t="n">
        <f aca="false">-In_Commitment_Fee*($E97-SUM($J97:DW97)+DW97)*DW$6*(DW13&gt;0)</f>
        <v>-0</v>
      </c>
      <c r="DX103" s="47" t="n">
        <f aca="false">-In_Commitment_Fee*($E97-SUM($J97:DX97)+DX97)*DX$6*(DX13&gt;0)</f>
        <v>-0</v>
      </c>
      <c r="DY103" s="47" t="n">
        <f aca="false">-In_Commitment_Fee*($E97-SUM($J97:DY97)+DY97)*DY$6*(DY13&gt;0)</f>
        <v>-0</v>
      </c>
      <c r="DZ103" s="47" t="n">
        <f aca="false">-In_Commitment_Fee*($E97-SUM($J97:DZ97)+DZ97)*DZ$6*(DZ13&gt;0)</f>
        <v>-0</v>
      </c>
      <c r="EA103" s="47" t="n">
        <f aca="false">-In_Commitment_Fee*($E97-SUM($J97:EA97)+EA97)*EA$6*(EA13&gt;0)</f>
        <v>-0</v>
      </c>
      <c r="EB103" s="47" t="n">
        <f aca="false">-In_Commitment_Fee*($E97-SUM($J97:EB97)+EB97)*EB$6*(EB13&gt;0)</f>
        <v>-0</v>
      </c>
      <c r="EC103" s="47" t="n">
        <f aca="false">-In_Commitment_Fee*($E97-SUM($J97:EC97)+EC97)*EC$6*(EC13&gt;0)</f>
        <v>-0</v>
      </c>
      <c r="ED103" s="47" t="n">
        <f aca="false">-In_Commitment_Fee*($E97-SUM($J97:ED97)+ED97)*ED$6*(ED13&gt;0)</f>
        <v>-0</v>
      </c>
      <c r="EE103" s="47" t="n">
        <f aca="false">-In_Commitment_Fee*($E97-SUM($J97:EE97)+EE97)*EE$6*(EE13&gt;0)</f>
        <v>-0</v>
      </c>
      <c r="EF103" s="47" t="n">
        <f aca="false">-In_Commitment_Fee*($E97-SUM($J97:EF97)+EF97)*EF$6*(EF13&gt;0)</f>
        <v>-0</v>
      </c>
      <c r="EG103" s="47" t="n">
        <f aca="false">-In_Commitment_Fee*($E97-SUM($J97:EG97)+EG97)*EG$6*(EG13&gt;0)</f>
        <v>-0</v>
      </c>
      <c r="EH103" s="47" t="n">
        <f aca="false">-In_Commitment_Fee*($E97-SUM($J97:EH97)+EH97)*EH$6*(EH13&gt;0)</f>
        <v>-0</v>
      </c>
      <c r="EI103" s="47" t="n">
        <f aca="false">-In_Commitment_Fee*($E97-SUM($J97:EI97)+EI97)*EI$6*(EI13&gt;0)</f>
        <v>-0</v>
      </c>
      <c r="EJ103" s="47" t="n">
        <f aca="false">-In_Commitment_Fee*($E97-SUM($J97:EJ97)+EJ97)*EJ$6*(EJ13&gt;0)</f>
        <v>-0</v>
      </c>
      <c r="EK103" s="47" t="n">
        <f aca="false">-In_Commitment_Fee*($E97-SUM($J97:EK97)+EK97)*EK$6*(EK13&gt;0)</f>
        <v>-0</v>
      </c>
      <c r="EL103" s="47" t="n">
        <f aca="false">-In_Commitment_Fee*($E97-SUM($J97:EL97)+EL97)*EL$6*(EL13&gt;0)</f>
        <v>-0</v>
      </c>
      <c r="EM103" s="47" t="n">
        <f aca="false">-In_Commitment_Fee*($E97-SUM($J97:EM97)+EM97)*EM$6*(EM13&gt;0)</f>
        <v>-0</v>
      </c>
      <c r="EN103" s="47" t="n">
        <f aca="false">-In_Commitment_Fee*($E97-SUM($J97:EN97)+EN97)*EN$6*(EN13&gt;0)</f>
        <v>-0</v>
      </c>
      <c r="EO103" s="47" t="n">
        <f aca="false">-In_Commitment_Fee*($E97-SUM($J97:EO97)+EO97)*EO$6*(EO13&gt;0)</f>
        <v>-0</v>
      </c>
      <c r="EP103" s="47" t="n">
        <f aca="false">-In_Commitment_Fee*($E97-SUM($J97:EP97)+EP97)*EP$6*(EP13&gt;0)</f>
        <v>-0</v>
      </c>
      <c r="EQ103" s="47" t="n">
        <f aca="false">-In_Commitment_Fee*($E97-SUM($J97:EQ97)+EQ97)*EQ$6*(EQ13&gt;0)</f>
        <v>-0</v>
      </c>
      <c r="ER103" s="47" t="n">
        <f aca="false">-In_Commitment_Fee*($E97-SUM($J97:ER97)+ER97)*ER$6*(ER13&gt;0)</f>
        <v>-0</v>
      </c>
      <c r="ES103" s="47" t="n">
        <f aca="false">-In_Commitment_Fee*($E97-SUM($J97:ES97)+ES97)*ES$6*(ES13&gt;0)</f>
        <v>-0</v>
      </c>
      <c r="ET103" s="47" t="n">
        <f aca="false">-In_Commitment_Fee*($E97-SUM($J97:ET97)+ET97)*ET$6*(ET13&gt;0)</f>
        <v>-0</v>
      </c>
    </row>
    <row r="104" customFormat="false" ht="15" hidden="false" customHeight="false" outlineLevel="0" collapsed="false">
      <c r="C104" s="31" t="s">
        <v>520</v>
      </c>
      <c r="D104" s="12" t="s">
        <v>222</v>
      </c>
      <c r="I104" s="56" t="n">
        <f aca="false">SUM(J104:ET104)</f>
        <v>-152785.525255835</v>
      </c>
      <c r="J104" s="56" t="n">
        <f aca="false">J93+J53+J94+J102+J103</f>
        <v>-0</v>
      </c>
      <c r="K104" s="56" t="n">
        <f aca="false">K93+K53+K94+K102+K103</f>
        <v>-0</v>
      </c>
      <c r="L104" s="56" t="n">
        <f aca="false">L93+L53+L94+L102+L103</f>
        <v>-0</v>
      </c>
      <c r="M104" s="56" t="n">
        <f aca="false">M93+M53+M94+M102+M103</f>
        <v>-0</v>
      </c>
      <c r="N104" s="56" t="n">
        <f aca="false">N93+N53+N94+N102+N103</f>
        <v>-0</v>
      </c>
      <c r="O104" s="56" t="n">
        <f aca="false">O93+O53+O94+O102+O103</f>
        <v>-0</v>
      </c>
      <c r="P104" s="56" t="n">
        <f aca="false">P93+P53+P94+P102+P103</f>
        <v>-0</v>
      </c>
      <c r="Q104" s="56" t="n">
        <f aca="false">Q93+Q53+Q94+Q102+Q103</f>
        <v>-0</v>
      </c>
      <c r="R104" s="56" t="n">
        <f aca="false">R93+R53+R94+R102+R103</f>
        <v>-0</v>
      </c>
      <c r="S104" s="56" t="n">
        <f aca="false">S93+S53+S94+S102+S103</f>
        <v>-0</v>
      </c>
      <c r="T104" s="56" t="n">
        <f aca="false">T93+T53+T94+T102+T103</f>
        <v>-20179.3874082192</v>
      </c>
      <c r="U104" s="56" t="n">
        <f aca="false">U93+U53+U94+U102+U103</f>
        <v>-0</v>
      </c>
      <c r="V104" s="56" t="n">
        <f aca="false">V93+V53+V94+V102+V103</f>
        <v>-0</v>
      </c>
      <c r="W104" s="56" t="n">
        <f aca="false">W93+W53+W94+W102+W103</f>
        <v>-17550.5739490586</v>
      </c>
      <c r="X104" s="56" t="n">
        <f aca="false">X93+X53+X94+X102+X103</f>
        <v>-15600.0346410767</v>
      </c>
      <c r="Y104" s="56" t="n">
        <f aca="false">Y93+Y53+Y94+Y102+Y103</f>
        <v>-15748.4221420937</v>
      </c>
      <c r="Z104" s="56" t="n">
        <f aca="false">Z93+Z53+Z94+Z102+Z103</f>
        <v>-15895.981148473</v>
      </c>
      <c r="AA104" s="56" t="n">
        <f aca="false">AA93+AA53+AA94+AA102+AA103</f>
        <v>-15870.2003447458</v>
      </c>
      <c r="AB104" s="56" t="n">
        <f aca="false">AB93+AB53+AB94+AB102+AB103</f>
        <v>-15499.9756379529</v>
      </c>
      <c r="AC104" s="56" t="n">
        <f aca="false">AC93+AC53+AC94+AC102+AC103</f>
        <v>-15647.2513722685</v>
      </c>
      <c r="AD104" s="56" t="n">
        <f aca="false">AD93+AD53+AD94+AD102+AD103</f>
        <v>-20793.6986119464</v>
      </c>
      <c r="AE104" s="56" t="n">
        <f aca="false">AE93+AE53+AE94+AE102+AE103</f>
        <v>-0</v>
      </c>
      <c r="AF104" s="56" t="n">
        <f aca="false">AF93+AF53+AF94+AF102+AF103</f>
        <v>-0</v>
      </c>
      <c r="AG104" s="56" t="n">
        <f aca="false">AG93+AG53+AG94+AG102+AG103</f>
        <v>-0</v>
      </c>
      <c r="AH104" s="56" t="n">
        <f aca="false">AH93+AH53+AH94+AH102+AH103</f>
        <v>-0</v>
      </c>
      <c r="AI104" s="56" t="n">
        <f aca="false">AI93+AI53+AI94+AI102+AI103</f>
        <v>-0</v>
      </c>
      <c r="AJ104" s="56" t="n">
        <f aca="false">AJ93+AJ53+AJ94+AJ102+AJ103</f>
        <v>-0</v>
      </c>
      <c r="AK104" s="56" t="n">
        <f aca="false">AK93+AK53+AK94+AK102+AK103</f>
        <v>-0</v>
      </c>
      <c r="AL104" s="56" t="n">
        <f aca="false">AL93+AL53+AL94+AL102+AL103</f>
        <v>-0</v>
      </c>
      <c r="AM104" s="56" t="n">
        <f aca="false">AM93+AM53+AM94+AM102+AM103</f>
        <v>-0</v>
      </c>
      <c r="AN104" s="56" t="n">
        <f aca="false">AN93+AN53+AN94+AN102+AN103</f>
        <v>-0</v>
      </c>
      <c r="AO104" s="56" t="n">
        <f aca="false">AO93+AO53+AO94+AO102+AO103</f>
        <v>-0</v>
      </c>
      <c r="AP104" s="56" t="n">
        <f aca="false">AP93+AP53+AP94+AP102+AP103</f>
        <v>-0</v>
      </c>
      <c r="AQ104" s="56" t="n">
        <f aca="false">AQ93+AQ53+AQ94+AQ102+AQ103</f>
        <v>-0</v>
      </c>
      <c r="AR104" s="56" t="n">
        <f aca="false">AR93+AR53+AR94+AR102+AR103</f>
        <v>-0</v>
      </c>
      <c r="AS104" s="56" t="n">
        <f aca="false">AS93+AS53+AS94+AS102+AS103</f>
        <v>-0</v>
      </c>
      <c r="AT104" s="56" t="n">
        <f aca="false">AT93+AT53+AT94+AT102+AT103</f>
        <v>-0</v>
      </c>
      <c r="AU104" s="56" t="n">
        <f aca="false">AU93+AU53+AU94+AU102+AU103</f>
        <v>-0</v>
      </c>
      <c r="AV104" s="56" t="n">
        <f aca="false">AV93+AV53+AV94+AV102+AV103</f>
        <v>-0</v>
      </c>
      <c r="AW104" s="56" t="n">
        <f aca="false">AW93+AW53+AW94+AW102+AW103</f>
        <v>-0</v>
      </c>
      <c r="AX104" s="56" t="n">
        <f aca="false">AX93+AX53+AX94+AX102+AX103</f>
        <v>-0</v>
      </c>
      <c r="AY104" s="56" t="n">
        <f aca="false">AY93+AY53+AY94+AY102+AY103</f>
        <v>-0</v>
      </c>
      <c r="AZ104" s="56" t="n">
        <f aca="false">AZ93+AZ53+AZ94+AZ102+AZ103</f>
        <v>-0</v>
      </c>
      <c r="BA104" s="56" t="n">
        <f aca="false">BA93+BA53+BA94+BA102+BA103</f>
        <v>-0</v>
      </c>
      <c r="BB104" s="56" t="n">
        <f aca="false">BB93+BB53+BB94+BB102+BB103</f>
        <v>-0</v>
      </c>
      <c r="BC104" s="56" t="n">
        <f aca="false">BC93+BC53+BC94+BC102+BC103</f>
        <v>-0</v>
      </c>
      <c r="BD104" s="56" t="n">
        <f aca="false">BD93+BD53+BD94+BD102+BD103</f>
        <v>-0</v>
      </c>
      <c r="BE104" s="56" t="n">
        <f aca="false">BE93+BE53+BE94+BE102+BE103</f>
        <v>-0</v>
      </c>
      <c r="BF104" s="56" t="n">
        <f aca="false">BF93+BF53+BF94+BF102+BF103</f>
        <v>-0</v>
      </c>
      <c r="BG104" s="56" t="n">
        <f aca="false">BG93+BG53+BG94+BG102+BG103</f>
        <v>-0</v>
      </c>
      <c r="BH104" s="56" t="n">
        <f aca="false">BH93+BH53+BH94+BH102+BH103</f>
        <v>-0</v>
      </c>
      <c r="BI104" s="56" t="n">
        <f aca="false">BI93+BI53+BI94+BI102+BI103</f>
        <v>-0</v>
      </c>
      <c r="BJ104" s="56" t="n">
        <f aca="false">BJ93+BJ53+BJ94+BJ102+BJ103</f>
        <v>-0</v>
      </c>
      <c r="BK104" s="56" t="n">
        <f aca="false">BK93+BK53+BK94+BK102+BK103</f>
        <v>-0</v>
      </c>
      <c r="BL104" s="56" t="n">
        <f aca="false">BL93+BL53+BL94+BL102+BL103</f>
        <v>-0</v>
      </c>
      <c r="BM104" s="56" t="n">
        <f aca="false">BM93+BM53+BM94+BM102+BM103</f>
        <v>-0</v>
      </c>
      <c r="BN104" s="56" t="n">
        <f aca="false">BN93+BN53+BN94+BN102+BN103</f>
        <v>-0</v>
      </c>
      <c r="BO104" s="56" t="n">
        <f aca="false">BO93+BO53+BO94+BO102+BO103</f>
        <v>-0</v>
      </c>
      <c r="BP104" s="56" t="n">
        <f aca="false">BP93+BP53+BP94+BP102+BP103</f>
        <v>-0</v>
      </c>
      <c r="BQ104" s="56" t="n">
        <f aca="false">BQ93+BQ53+BQ94+BQ102+BQ103</f>
        <v>-0</v>
      </c>
      <c r="BR104" s="56" t="n">
        <f aca="false">BR93+BR53+BR94+BR102+BR103</f>
        <v>-0</v>
      </c>
      <c r="BS104" s="56" t="n">
        <f aca="false">BS93+BS53+BS94+BS102+BS103</f>
        <v>-0</v>
      </c>
      <c r="BT104" s="56" t="n">
        <f aca="false">BT93+BT53+BT94+BT102+BT103</f>
        <v>-0</v>
      </c>
      <c r="BU104" s="56" t="n">
        <f aca="false">BU93+BU53+BU94+BU102+BU103</f>
        <v>-0</v>
      </c>
      <c r="BV104" s="56" t="n">
        <f aca="false">BV93+BV53+BV94+BV102+BV103</f>
        <v>-0</v>
      </c>
      <c r="BW104" s="56" t="n">
        <f aca="false">BW93+BW53+BW94+BW102+BW103</f>
        <v>-0</v>
      </c>
      <c r="BX104" s="56" t="n">
        <f aca="false">BX93+BX53+BX94+BX102+BX103</f>
        <v>-0</v>
      </c>
      <c r="BY104" s="56" t="n">
        <f aca="false">BY93+BY53+BY94+BY102+BY103</f>
        <v>-0</v>
      </c>
      <c r="BZ104" s="56" t="n">
        <f aca="false">BZ93+BZ53+BZ94+BZ102+BZ103</f>
        <v>-0</v>
      </c>
      <c r="CA104" s="56" t="n">
        <f aca="false">CA93+CA53+CA94+CA102+CA103</f>
        <v>-0</v>
      </c>
      <c r="CB104" s="56" t="n">
        <f aca="false">CB93+CB53+CB94+CB102+CB103</f>
        <v>-0</v>
      </c>
      <c r="CC104" s="56" t="n">
        <f aca="false">CC93+CC53+CC94+CC102+CC103</f>
        <v>-0</v>
      </c>
      <c r="CD104" s="56" t="n">
        <f aca="false">CD93+CD53+CD94+CD102+CD103</f>
        <v>-0</v>
      </c>
      <c r="CE104" s="56" t="n">
        <f aca="false">CE93+CE53+CE94+CE102+CE103</f>
        <v>-0</v>
      </c>
      <c r="CF104" s="56" t="n">
        <f aca="false">CF93+CF53+CF94+CF102+CF103</f>
        <v>-0</v>
      </c>
      <c r="CG104" s="56" t="n">
        <f aca="false">CG93+CG53+CG94+CG102+CG103</f>
        <v>-0</v>
      </c>
      <c r="CH104" s="56" t="n">
        <f aca="false">CH93+CH53+CH94+CH102+CH103</f>
        <v>-0</v>
      </c>
      <c r="CI104" s="56" t="n">
        <f aca="false">CI93+CI53+CI94+CI102+CI103</f>
        <v>-0</v>
      </c>
      <c r="CJ104" s="56" t="n">
        <f aca="false">CJ93+CJ53+CJ94+CJ102+CJ103</f>
        <v>-0</v>
      </c>
      <c r="CK104" s="56" t="n">
        <f aca="false">CK93+CK53+CK94+CK102+CK103</f>
        <v>-0</v>
      </c>
      <c r="CL104" s="56" t="n">
        <f aca="false">CL93+CL53+CL94+CL102+CL103</f>
        <v>-0</v>
      </c>
      <c r="CM104" s="56" t="n">
        <f aca="false">CM93+CM53+CM94+CM102+CM103</f>
        <v>-0</v>
      </c>
      <c r="CN104" s="56" t="n">
        <f aca="false">CN93+CN53+CN94+CN102+CN103</f>
        <v>-0</v>
      </c>
      <c r="CO104" s="56" t="n">
        <f aca="false">CO93+CO53+CO94+CO102+CO103</f>
        <v>-0</v>
      </c>
      <c r="CP104" s="56" t="n">
        <f aca="false">CP93+CP53+CP94+CP102+CP103</f>
        <v>-0</v>
      </c>
      <c r="CQ104" s="56" t="n">
        <f aca="false">CQ93+CQ53+CQ94+CQ102+CQ103</f>
        <v>-0</v>
      </c>
      <c r="CR104" s="56" t="n">
        <f aca="false">CR93+CR53+CR94+CR102+CR103</f>
        <v>-0</v>
      </c>
      <c r="CS104" s="56" t="n">
        <f aca="false">CS93+CS53+CS94+CS102+CS103</f>
        <v>-0</v>
      </c>
      <c r="CT104" s="56" t="n">
        <f aca="false">CT93+CT53+CT94+CT102+CT103</f>
        <v>-0</v>
      </c>
      <c r="CU104" s="56" t="n">
        <f aca="false">CU93+CU53+CU94+CU102+CU103</f>
        <v>-0</v>
      </c>
      <c r="CV104" s="56" t="n">
        <f aca="false">CV93+CV53+CV94+CV102+CV103</f>
        <v>-0</v>
      </c>
      <c r="CW104" s="56" t="n">
        <f aca="false">CW93+CW53+CW94+CW102+CW103</f>
        <v>-0</v>
      </c>
      <c r="CX104" s="56" t="n">
        <f aca="false">CX93+CX53+CX94+CX102+CX103</f>
        <v>-0</v>
      </c>
      <c r="CY104" s="56" t="n">
        <f aca="false">CY93+CY53+CY94+CY102+CY103</f>
        <v>-0</v>
      </c>
      <c r="CZ104" s="56" t="n">
        <f aca="false">CZ93+CZ53+CZ94+CZ102+CZ103</f>
        <v>-0</v>
      </c>
      <c r="DA104" s="56" t="n">
        <f aca="false">DA93+DA53+DA94+DA102+DA103</f>
        <v>-0</v>
      </c>
      <c r="DB104" s="56" t="n">
        <f aca="false">DB93+DB53+DB94+DB102+DB103</f>
        <v>-0</v>
      </c>
      <c r="DC104" s="56" t="n">
        <f aca="false">DC93+DC53+DC94+DC102+DC103</f>
        <v>-0</v>
      </c>
      <c r="DD104" s="56" t="n">
        <f aca="false">DD93+DD53+DD94+DD102+DD103</f>
        <v>-0</v>
      </c>
      <c r="DE104" s="56" t="n">
        <f aca="false">DE93+DE53+DE94+DE102+DE103</f>
        <v>-0</v>
      </c>
      <c r="DF104" s="56" t="n">
        <f aca="false">DF93+DF53+DF94+DF102+DF103</f>
        <v>-0</v>
      </c>
      <c r="DG104" s="56" t="n">
        <f aca="false">DG93+DG53+DG94+DG102+DG103</f>
        <v>-0</v>
      </c>
      <c r="DH104" s="56" t="n">
        <f aca="false">DH93+DH53+DH94+DH102+DH103</f>
        <v>-0</v>
      </c>
      <c r="DI104" s="56" t="n">
        <f aca="false">DI93+DI53+DI94+DI102+DI103</f>
        <v>-0</v>
      </c>
      <c r="DJ104" s="56" t="n">
        <f aca="false">DJ93+DJ53+DJ94+DJ102+DJ103</f>
        <v>-0</v>
      </c>
      <c r="DK104" s="56" t="n">
        <f aca="false">DK93+DK53+DK94+DK102+DK103</f>
        <v>-0</v>
      </c>
      <c r="DL104" s="56" t="n">
        <f aca="false">DL93+DL53+DL94+DL102+DL103</f>
        <v>-0</v>
      </c>
      <c r="DM104" s="56" t="n">
        <f aca="false">DM93+DM53+DM94+DM102+DM103</f>
        <v>-0</v>
      </c>
      <c r="DN104" s="56" t="n">
        <f aca="false">DN93+DN53+DN94+DN102+DN103</f>
        <v>-0</v>
      </c>
      <c r="DO104" s="56" t="n">
        <f aca="false">DO93+DO53+DO94+DO102+DO103</f>
        <v>-0</v>
      </c>
      <c r="DP104" s="56" t="n">
        <f aca="false">DP93+DP53+DP94+DP102+DP103</f>
        <v>-0</v>
      </c>
      <c r="DQ104" s="56" t="n">
        <f aca="false">DQ93+DQ53+DQ94+DQ102+DQ103</f>
        <v>-0</v>
      </c>
      <c r="DR104" s="56" t="n">
        <f aca="false">DR93+DR53+DR94+DR102+DR103</f>
        <v>-0</v>
      </c>
      <c r="DS104" s="56" t="n">
        <f aca="false">DS93+DS53+DS94+DS102+DS103</f>
        <v>-0</v>
      </c>
      <c r="DT104" s="56" t="n">
        <f aca="false">DT93+DT53+DT94+DT102+DT103</f>
        <v>-0</v>
      </c>
      <c r="DU104" s="56" t="n">
        <f aca="false">DU93+DU53+DU94+DU102+DU103</f>
        <v>-0</v>
      </c>
      <c r="DV104" s="56" t="n">
        <f aca="false">DV93+DV53+DV94+DV102+DV103</f>
        <v>-0</v>
      </c>
      <c r="DW104" s="56" t="n">
        <f aca="false">DW93+DW53+DW94+DW102+DW103</f>
        <v>-0</v>
      </c>
      <c r="DX104" s="56" t="n">
        <f aca="false">DX93+DX53+DX94+DX102+DX103</f>
        <v>-0</v>
      </c>
      <c r="DY104" s="56" t="n">
        <f aca="false">DY93+DY53+DY94+DY102+DY103</f>
        <v>-0</v>
      </c>
      <c r="DZ104" s="56" t="n">
        <f aca="false">DZ93+DZ53+DZ94+DZ102+DZ103</f>
        <v>-0</v>
      </c>
      <c r="EA104" s="56" t="n">
        <f aca="false">EA93+EA53+EA94+EA102+EA103</f>
        <v>-0</v>
      </c>
      <c r="EB104" s="56" t="n">
        <f aca="false">EB93+EB53+EB94+EB102+EB103</f>
        <v>-0</v>
      </c>
      <c r="EC104" s="56" t="n">
        <f aca="false">EC93+EC53+EC94+EC102+EC103</f>
        <v>-0</v>
      </c>
      <c r="ED104" s="56" t="n">
        <f aca="false">ED93+ED53+ED94+ED102+ED103</f>
        <v>-0</v>
      </c>
      <c r="EE104" s="56" t="n">
        <f aca="false">EE93+EE53+EE94+EE102+EE103</f>
        <v>-0</v>
      </c>
      <c r="EF104" s="56" t="n">
        <f aca="false">EF93+EF53+EF94+EF102+EF103</f>
        <v>-0</v>
      </c>
      <c r="EG104" s="56" t="n">
        <f aca="false">EG93+EG53+EG94+EG102+EG103</f>
        <v>-0</v>
      </c>
      <c r="EH104" s="56" t="n">
        <f aca="false">EH93+EH53+EH94+EH102+EH103</f>
        <v>-0</v>
      </c>
      <c r="EI104" s="56" t="n">
        <f aca="false">EI93+EI53+EI94+EI102+EI103</f>
        <v>-0</v>
      </c>
      <c r="EJ104" s="56" t="n">
        <f aca="false">EJ93+EJ53+EJ94+EJ102+EJ103</f>
        <v>-0</v>
      </c>
      <c r="EK104" s="56" t="n">
        <f aca="false">EK93+EK53+EK94+EK102+EK103</f>
        <v>-0</v>
      </c>
      <c r="EL104" s="56" t="n">
        <f aca="false">EL93+EL53+EL94+EL102+EL103</f>
        <v>-0</v>
      </c>
      <c r="EM104" s="56" t="n">
        <f aca="false">EM93+EM53+EM94+EM102+EM103</f>
        <v>-0</v>
      </c>
      <c r="EN104" s="56" t="n">
        <f aca="false">EN93+EN53+EN94+EN102+EN103</f>
        <v>-0</v>
      </c>
      <c r="EO104" s="56" t="n">
        <f aca="false">EO93+EO53+EO94+EO102+EO103</f>
        <v>-0</v>
      </c>
      <c r="EP104" s="56" t="n">
        <f aca="false">EP93+EP53+EP94+EP102+EP103</f>
        <v>-0</v>
      </c>
      <c r="EQ104" s="56" t="n">
        <f aca="false">EQ93+EQ53+EQ94+EQ102+EQ103</f>
        <v>-0</v>
      </c>
      <c r="ER104" s="56" t="n">
        <f aca="false">ER93+ER53+ER94+ER102+ER103</f>
        <v>-0</v>
      </c>
      <c r="ES104" s="56" t="n">
        <f aca="false">ES93+ES53+ES94+ES102+ES103</f>
        <v>-0</v>
      </c>
      <c r="ET104" s="56" t="n">
        <f aca="false">ET93+ET53+ET94+ET102+ET103</f>
        <v>-0</v>
      </c>
    </row>
    <row r="106" customFormat="false" ht="15" hidden="false" customHeight="false" outlineLevel="0" collapsed="false">
      <c r="A106" s="10" t="s">
        <v>13</v>
      </c>
      <c r="B106" s="10"/>
      <c r="C106" s="10" t="s">
        <v>331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</row>
    <row r="107" customFormat="false" ht="15" hidden="false" customHeight="false" outlineLevel="0" collapsed="false">
      <c r="C107" s="1" t="s">
        <v>521</v>
      </c>
      <c r="D107" s="12" t="s">
        <v>180</v>
      </c>
      <c r="J107" s="42" t="n">
        <f aca="false">ROUNDUP(YEARFRAC(In_COD,J$4),0)*(J$4&gt;In_COD)</f>
        <v>0</v>
      </c>
      <c r="K107" s="42" t="n">
        <f aca="false">ROUNDUP(YEARFRAC(In_COD,K$4),0)*(K$4&gt;In_COD)</f>
        <v>0</v>
      </c>
      <c r="L107" s="42" t="n">
        <f aca="false">ROUNDUP(YEARFRAC(In_COD,L$4),0)*(L$4&gt;In_COD)</f>
        <v>0</v>
      </c>
      <c r="M107" s="42" t="n">
        <f aca="false">ROUNDUP(YEARFRAC(In_COD,M$4),0)*(M$4&gt;In_COD)</f>
        <v>0</v>
      </c>
      <c r="N107" s="42" t="n">
        <f aca="false">ROUNDUP(YEARFRAC(In_COD,N$4),0)*(N$4&gt;In_COD)</f>
        <v>0</v>
      </c>
      <c r="O107" s="42" t="n">
        <f aca="false">ROUNDUP(YEARFRAC(In_COD,O$4),0)*(O$4&gt;In_COD)</f>
        <v>0</v>
      </c>
      <c r="P107" s="42" t="n">
        <f aca="false">ROUNDUP(YEARFRAC(In_COD,P$4),0)*(P$4&gt;In_COD)</f>
        <v>0</v>
      </c>
      <c r="Q107" s="42" t="n">
        <f aca="false">ROUNDUP(YEARFRAC(In_COD,Q$4),0)*(Q$4&gt;In_COD)</f>
        <v>0</v>
      </c>
      <c r="R107" s="42" t="n">
        <f aca="false">ROUNDUP(YEARFRAC(In_COD,R$4),0)*(R$4&gt;In_COD)</f>
        <v>0</v>
      </c>
      <c r="S107" s="42" t="n">
        <f aca="false">ROUNDUP(YEARFRAC(In_COD,S$4),0)*(S$4&gt;In_COD)</f>
        <v>0</v>
      </c>
      <c r="T107" s="42" t="n">
        <f aca="false">ROUNDUP(YEARFRAC(In_COD,T$4),0)*(T$4&gt;In_COD)</f>
        <v>0</v>
      </c>
      <c r="U107" s="42" t="n">
        <f aca="false">ROUNDUP(YEARFRAC(In_COD,U$4),0)*(U$4&gt;In_COD)</f>
        <v>0</v>
      </c>
      <c r="V107" s="42" t="n">
        <f aca="false">ROUNDUP(YEARFRAC(In_COD,V$4),0)*(V$4&gt;In_COD)</f>
        <v>0</v>
      </c>
      <c r="W107" s="42" t="n">
        <f aca="false">ROUNDUP(YEARFRAC(In_COD,W$4),0)*(W$4&gt;In_COD)</f>
        <v>0</v>
      </c>
      <c r="X107" s="42" t="n">
        <f aca="false">ROUNDUP(YEARFRAC(In_COD,X$4),0)*(X$4&gt;In_COD)</f>
        <v>0</v>
      </c>
      <c r="Y107" s="42" t="n">
        <f aca="false">ROUNDUP(YEARFRAC(In_COD,Y$4),0)*(Y$4&gt;In_COD)</f>
        <v>0</v>
      </c>
      <c r="Z107" s="42" t="n">
        <f aca="false">ROUNDUP(YEARFRAC(In_COD,Z$4),0)*(Z$4&gt;In_COD)</f>
        <v>0</v>
      </c>
      <c r="AA107" s="42" t="n">
        <f aca="false">ROUNDUP(YEARFRAC(In_COD,AA$4),0)*(AA$4&gt;In_COD)</f>
        <v>0</v>
      </c>
      <c r="AB107" s="42" t="n">
        <f aca="false">ROUNDUP(YEARFRAC(In_COD,AB$4),0)*(AB$4&gt;In_COD)</f>
        <v>0</v>
      </c>
      <c r="AC107" s="42" t="n">
        <f aca="false">ROUNDUP(YEARFRAC(In_COD,AC$4),0)*(AC$4&gt;In_COD)</f>
        <v>0</v>
      </c>
      <c r="AD107" s="42" t="n">
        <f aca="false">ROUNDUP(YEARFRAC(In_COD,AD$4),0)*(AD$4&gt;In_COD)</f>
        <v>0</v>
      </c>
      <c r="AE107" s="42" t="n">
        <f aca="false">ROUNDUP(YEARFRAC(In_COD,AE$4),0)*(AE$4&gt;In_COD)</f>
        <v>1</v>
      </c>
      <c r="AF107" s="42" t="n">
        <f aca="false">ROUNDUP(YEARFRAC(In_COD,AF$4),0)*(AF$4&gt;In_COD)</f>
        <v>1</v>
      </c>
      <c r="AG107" s="42" t="n">
        <f aca="false">ROUNDUP(YEARFRAC(In_COD,AG$4),0)*(AG$4&gt;In_COD)</f>
        <v>1</v>
      </c>
      <c r="AH107" s="42" t="n">
        <f aca="false">ROUNDUP(YEARFRAC(In_COD,AH$4),0)*(AH$4&gt;In_COD)</f>
        <v>1</v>
      </c>
      <c r="AI107" s="42" t="n">
        <f aca="false">ROUNDUP(YEARFRAC(In_COD,AI$4),0)*(AI$4&gt;In_COD)</f>
        <v>2</v>
      </c>
      <c r="AJ107" s="42" t="n">
        <f aca="false">ROUNDUP(YEARFRAC(In_COD,AJ$4),0)*(AJ$4&gt;In_COD)</f>
        <v>2</v>
      </c>
      <c r="AK107" s="42" t="n">
        <f aca="false">ROUNDUP(YEARFRAC(In_COD,AK$4),0)*(AK$4&gt;In_COD)</f>
        <v>2</v>
      </c>
      <c r="AL107" s="42" t="n">
        <f aca="false">ROUNDUP(YEARFRAC(In_COD,AL$4),0)*(AL$4&gt;In_COD)</f>
        <v>2</v>
      </c>
      <c r="AM107" s="42" t="n">
        <f aca="false">ROUNDUP(YEARFRAC(In_COD,AM$4),0)*(AM$4&gt;In_COD)</f>
        <v>3</v>
      </c>
      <c r="AN107" s="42" t="n">
        <f aca="false">ROUNDUP(YEARFRAC(In_COD,AN$4),0)*(AN$4&gt;In_COD)</f>
        <v>3</v>
      </c>
      <c r="AO107" s="42" t="n">
        <f aca="false">ROUNDUP(YEARFRAC(In_COD,AO$4),0)*(AO$4&gt;In_COD)</f>
        <v>3</v>
      </c>
      <c r="AP107" s="42" t="n">
        <f aca="false">ROUNDUP(YEARFRAC(In_COD,AP$4),0)*(AP$4&gt;In_COD)</f>
        <v>3</v>
      </c>
      <c r="AQ107" s="42" t="n">
        <f aca="false">ROUNDUP(YEARFRAC(In_COD,AQ$4),0)*(AQ$4&gt;In_COD)</f>
        <v>4</v>
      </c>
      <c r="AR107" s="42" t="n">
        <f aca="false">ROUNDUP(YEARFRAC(In_COD,AR$4),0)*(AR$4&gt;In_COD)</f>
        <v>4</v>
      </c>
      <c r="AS107" s="42" t="n">
        <f aca="false">ROUNDUP(YEARFRAC(In_COD,AS$4),0)*(AS$4&gt;In_COD)</f>
        <v>4</v>
      </c>
      <c r="AT107" s="42" t="n">
        <f aca="false">ROUNDUP(YEARFRAC(In_COD,AT$4),0)*(AT$4&gt;In_COD)</f>
        <v>4</v>
      </c>
      <c r="AU107" s="42" t="n">
        <f aca="false">ROUNDUP(YEARFRAC(In_COD,AU$4),0)*(AU$4&gt;In_COD)</f>
        <v>5</v>
      </c>
      <c r="AV107" s="42" t="n">
        <f aca="false">ROUNDUP(YEARFRAC(In_COD,AV$4),0)*(AV$4&gt;In_COD)</f>
        <v>5</v>
      </c>
      <c r="AW107" s="42" t="n">
        <f aca="false">ROUNDUP(YEARFRAC(In_COD,AW$4),0)*(AW$4&gt;In_COD)</f>
        <v>5</v>
      </c>
      <c r="AX107" s="42" t="n">
        <f aca="false">ROUNDUP(YEARFRAC(In_COD,AX$4),0)*(AX$4&gt;In_COD)</f>
        <v>5</v>
      </c>
      <c r="AY107" s="42" t="n">
        <f aca="false">ROUNDUP(YEARFRAC(In_COD,AY$4),0)*(AY$4&gt;In_COD)</f>
        <v>6</v>
      </c>
      <c r="AZ107" s="42" t="n">
        <f aca="false">ROUNDUP(YEARFRAC(In_COD,AZ$4),0)*(AZ$4&gt;In_COD)</f>
        <v>6</v>
      </c>
      <c r="BA107" s="42" t="n">
        <f aca="false">ROUNDUP(YEARFRAC(In_COD,BA$4),0)*(BA$4&gt;In_COD)</f>
        <v>6</v>
      </c>
      <c r="BB107" s="42" t="n">
        <f aca="false">ROUNDUP(YEARFRAC(In_COD,BB$4),0)*(BB$4&gt;In_COD)</f>
        <v>6</v>
      </c>
      <c r="BC107" s="42" t="n">
        <f aca="false">ROUNDUP(YEARFRAC(In_COD,BC$4),0)*(BC$4&gt;In_COD)</f>
        <v>7</v>
      </c>
      <c r="BD107" s="42" t="n">
        <f aca="false">ROUNDUP(YEARFRAC(In_COD,BD$4),0)*(BD$4&gt;In_COD)</f>
        <v>7</v>
      </c>
      <c r="BE107" s="42" t="n">
        <f aca="false">ROUNDUP(YEARFRAC(In_COD,BE$4),0)*(BE$4&gt;In_COD)</f>
        <v>7</v>
      </c>
      <c r="BF107" s="42" t="n">
        <f aca="false">ROUNDUP(YEARFRAC(In_COD,BF$4),0)*(BF$4&gt;In_COD)</f>
        <v>7</v>
      </c>
      <c r="BG107" s="42" t="n">
        <f aca="false">ROUNDUP(YEARFRAC(In_COD,BG$4),0)*(BG$4&gt;In_COD)</f>
        <v>8</v>
      </c>
      <c r="BH107" s="42" t="n">
        <f aca="false">ROUNDUP(YEARFRAC(In_COD,BH$4),0)*(BH$4&gt;In_COD)</f>
        <v>8</v>
      </c>
      <c r="BI107" s="42" t="n">
        <f aca="false">ROUNDUP(YEARFRAC(In_COD,BI$4),0)*(BI$4&gt;In_COD)</f>
        <v>8</v>
      </c>
      <c r="BJ107" s="42" t="n">
        <f aca="false">ROUNDUP(YEARFRAC(In_COD,BJ$4),0)*(BJ$4&gt;In_COD)</f>
        <v>8</v>
      </c>
      <c r="BK107" s="42" t="n">
        <f aca="false">ROUNDUP(YEARFRAC(In_COD,BK$4),0)*(BK$4&gt;In_COD)</f>
        <v>9</v>
      </c>
      <c r="BL107" s="42" t="n">
        <f aca="false">ROUNDUP(YEARFRAC(In_COD,BL$4),0)*(BL$4&gt;In_COD)</f>
        <v>9</v>
      </c>
      <c r="BM107" s="42" t="n">
        <f aca="false">ROUNDUP(YEARFRAC(In_COD,BM$4),0)*(BM$4&gt;In_COD)</f>
        <v>9</v>
      </c>
      <c r="BN107" s="42" t="n">
        <f aca="false">ROUNDUP(YEARFRAC(In_COD,BN$4),0)*(BN$4&gt;In_COD)</f>
        <v>9</v>
      </c>
      <c r="BO107" s="42" t="n">
        <f aca="false">ROUNDUP(YEARFRAC(In_COD,BO$4),0)*(BO$4&gt;In_COD)</f>
        <v>10</v>
      </c>
      <c r="BP107" s="42" t="n">
        <f aca="false">ROUNDUP(YEARFRAC(In_COD,BP$4),0)*(BP$4&gt;In_COD)</f>
        <v>10</v>
      </c>
      <c r="BQ107" s="42" t="n">
        <f aca="false">ROUNDUP(YEARFRAC(In_COD,BQ$4),0)*(BQ$4&gt;In_COD)</f>
        <v>10</v>
      </c>
      <c r="BR107" s="42" t="n">
        <f aca="false">ROUNDUP(YEARFRAC(In_COD,BR$4),0)*(BR$4&gt;In_COD)</f>
        <v>10</v>
      </c>
      <c r="BS107" s="42" t="n">
        <f aca="false">ROUNDUP(YEARFRAC(In_COD,BS$4),0)*(BS$4&gt;In_COD)</f>
        <v>11</v>
      </c>
      <c r="BT107" s="42" t="n">
        <f aca="false">ROUNDUP(YEARFRAC(In_COD,BT$4),0)*(BT$4&gt;In_COD)</f>
        <v>11</v>
      </c>
      <c r="BU107" s="42" t="n">
        <f aca="false">ROUNDUP(YEARFRAC(In_COD,BU$4),0)*(BU$4&gt;In_COD)</f>
        <v>11</v>
      </c>
      <c r="BV107" s="42" t="n">
        <f aca="false">ROUNDUP(YEARFRAC(In_COD,BV$4),0)*(BV$4&gt;In_COD)</f>
        <v>11</v>
      </c>
      <c r="BW107" s="42" t="n">
        <f aca="false">ROUNDUP(YEARFRAC(In_COD,BW$4),0)*(BW$4&gt;In_COD)</f>
        <v>12</v>
      </c>
      <c r="BX107" s="42" t="n">
        <f aca="false">ROUNDUP(YEARFRAC(In_COD,BX$4),0)*(BX$4&gt;In_COD)</f>
        <v>12</v>
      </c>
      <c r="BY107" s="42" t="n">
        <f aca="false">ROUNDUP(YEARFRAC(In_COD,BY$4),0)*(BY$4&gt;In_COD)</f>
        <v>12</v>
      </c>
      <c r="BZ107" s="42" t="n">
        <f aca="false">ROUNDUP(YEARFRAC(In_COD,BZ$4),0)*(BZ$4&gt;In_COD)</f>
        <v>12</v>
      </c>
      <c r="CA107" s="42" t="n">
        <f aca="false">ROUNDUP(YEARFRAC(In_COD,CA$4),0)*(CA$4&gt;In_COD)</f>
        <v>13</v>
      </c>
      <c r="CB107" s="42" t="n">
        <f aca="false">ROUNDUP(YEARFRAC(In_COD,CB$4),0)*(CB$4&gt;In_COD)</f>
        <v>13</v>
      </c>
      <c r="CC107" s="42" t="n">
        <f aca="false">ROUNDUP(YEARFRAC(In_COD,CC$4),0)*(CC$4&gt;In_COD)</f>
        <v>13</v>
      </c>
      <c r="CD107" s="42" t="n">
        <f aca="false">ROUNDUP(YEARFRAC(In_COD,CD$4),0)*(CD$4&gt;In_COD)</f>
        <v>13</v>
      </c>
      <c r="CE107" s="42" t="n">
        <f aca="false">ROUNDUP(YEARFRAC(In_COD,CE$4),0)*(CE$4&gt;In_COD)</f>
        <v>14</v>
      </c>
      <c r="CF107" s="42" t="n">
        <f aca="false">ROUNDUP(YEARFRAC(In_COD,CF$4),0)*(CF$4&gt;In_COD)</f>
        <v>14</v>
      </c>
      <c r="CG107" s="42" t="n">
        <f aca="false">ROUNDUP(YEARFRAC(In_COD,CG$4),0)*(CG$4&gt;In_COD)</f>
        <v>14</v>
      </c>
      <c r="CH107" s="42" t="n">
        <f aca="false">ROUNDUP(YEARFRAC(In_COD,CH$4),0)*(CH$4&gt;In_COD)</f>
        <v>14</v>
      </c>
      <c r="CI107" s="42" t="n">
        <f aca="false">ROUNDUP(YEARFRAC(In_COD,CI$4),0)*(CI$4&gt;In_COD)</f>
        <v>15</v>
      </c>
      <c r="CJ107" s="42" t="n">
        <f aca="false">ROUNDUP(YEARFRAC(In_COD,CJ$4),0)*(CJ$4&gt;In_COD)</f>
        <v>15</v>
      </c>
      <c r="CK107" s="42" t="n">
        <f aca="false">ROUNDUP(YEARFRAC(In_COD,CK$4),0)*(CK$4&gt;In_COD)</f>
        <v>15</v>
      </c>
      <c r="CL107" s="42" t="n">
        <f aca="false">ROUNDUP(YEARFRAC(In_COD,CL$4),0)*(CL$4&gt;In_COD)</f>
        <v>15</v>
      </c>
      <c r="CM107" s="42" t="n">
        <f aca="false">ROUNDUP(YEARFRAC(In_COD,CM$4),0)*(CM$4&gt;In_COD)</f>
        <v>16</v>
      </c>
      <c r="CN107" s="42" t="n">
        <f aca="false">ROUNDUP(YEARFRAC(In_COD,CN$4),0)*(CN$4&gt;In_COD)</f>
        <v>16</v>
      </c>
      <c r="CO107" s="42" t="n">
        <f aca="false">ROUNDUP(YEARFRAC(In_COD,CO$4),0)*(CO$4&gt;In_COD)</f>
        <v>16</v>
      </c>
      <c r="CP107" s="42" t="n">
        <f aca="false">ROUNDUP(YEARFRAC(In_COD,CP$4),0)*(CP$4&gt;In_COD)</f>
        <v>16</v>
      </c>
      <c r="CQ107" s="42" t="n">
        <f aca="false">ROUNDUP(YEARFRAC(In_COD,CQ$4),0)*(CQ$4&gt;In_COD)</f>
        <v>17</v>
      </c>
      <c r="CR107" s="42" t="n">
        <f aca="false">ROUNDUP(YEARFRAC(In_COD,CR$4),0)*(CR$4&gt;In_COD)</f>
        <v>17</v>
      </c>
      <c r="CS107" s="42" t="n">
        <f aca="false">ROUNDUP(YEARFRAC(In_COD,CS$4),0)*(CS$4&gt;In_COD)</f>
        <v>17</v>
      </c>
      <c r="CT107" s="42" t="n">
        <f aca="false">ROUNDUP(YEARFRAC(In_COD,CT$4),0)*(CT$4&gt;In_COD)</f>
        <v>17</v>
      </c>
      <c r="CU107" s="42" t="n">
        <f aca="false">ROUNDUP(YEARFRAC(In_COD,CU$4),0)*(CU$4&gt;In_COD)</f>
        <v>18</v>
      </c>
      <c r="CV107" s="42" t="n">
        <f aca="false">ROUNDUP(YEARFRAC(In_COD,CV$4),0)*(CV$4&gt;In_COD)</f>
        <v>18</v>
      </c>
      <c r="CW107" s="42" t="n">
        <f aca="false">ROUNDUP(YEARFRAC(In_COD,CW$4),0)*(CW$4&gt;In_COD)</f>
        <v>18</v>
      </c>
      <c r="CX107" s="42" t="n">
        <f aca="false">ROUNDUP(YEARFRAC(In_COD,CX$4),0)*(CX$4&gt;In_COD)</f>
        <v>18</v>
      </c>
      <c r="CY107" s="42" t="n">
        <f aca="false">ROUNDUP(YEARFRAC(In_COD,CY$4),0)*(CY$4&gt;In_COD)</f>
        <v>19</v>
      </c>
      <c r="CZ107" s="42" t="n">
        <f aca="false">ROUNDUP(YEARFRAC(In_COD,CZ$4),0)*(CZ$4&gt;In_COD)</f>
        <v>19</v>
      </c>
      <c r="DA107" s="42" t="n">
        <f aca="false">ROUNDUP(YEARFRAC(In_COD,DA$4),0)*(DA$4&gt;In_COD)</f>
        <v>19</v>
      </c>
      <c r="DB107" s="42" t="n">
        <f aca="false">ROUNDUP(YEARFRAC(In_COD,DB$4),0)*(DB$4&gt;In_COD)</f>
        <v>19</v>
      </c>
      <c r="DC107" s="42" t="n">
        <f aca="false">ROUNDUP(YEARFRAC(In_COD,DC$4),0)*(DC$4&gt;In_COD)</f>
        <v>20</v>
      </c>
      <c r="DD107" s="42" t="n">
        <f aca="false">ROUNDUP(YEARFRAC(In_COD,DD$4),0)*(DD$4&gt;In_COD)</f>
        <v>20</v>
      </c>
      <c r="DE107" s="42" t="n">
        <f aca="false">ROUNDUP(YEARFRAC(In_COD,DE$4),0)*(DE$4&gt;In_COD)</f>
        <v>20</v>
      </c>
      <c r="DF107" s="42" t="n">
        <f aca="false">ROUNDUP(YEARFRAC(In_COD,DF$4),0)*(DF$4&gt;In_COD)</f>
        <v>20</v>
      </c>
      <c r="DG107" s="42" t="n">
        <f aca="false">ROUNDUP(YEARFRAC(In_COD,DG$4),0)*(DG$4&gt;In_COD)</f>
        <v>21</v>
      </c>
      <c r="DH107" s="42" t="n">
        <f aca="false">ROUNDUP(YEARFRAC(In_COD,DH$4),0)*(DH$4&gt;In_COD)</f>
        <v>21</v>
      </c>
      <c r="DI107" s="42" t="n">
        <f aca="false">ROUNDUP(YEARFRAC(In_COD,DI$4),0)*(DI$4&gt;In_COD)</f>
        <v>21</v>
      </c>
      <c r="DJ107" s="42" t="n">
        <f aca="false">ROUNDUP(YEARFRAC(In_COD,DJ$4),0)*(DJ$4&gt;In_COD)</f>
        <v>21</v>
      </c>
      <c r="DK107" s="42" t="n">
        <f aca="false">ROUNDUP(YEARFRAC(In_COD,DK$4),0)*(DK$4&gt;In_COD)</f>
        <v>22</v>
      </c>
      <c r="DL107" s="42" t="n">
        <f aca="false">ROUNDUP(YEARFRAC(In_COD,DL$4),0)*(DL$4&gt;In_COD)</f>
        <v>22</v>
      </c>
      <c r="DM107" s="42" t="n">
        <f aca="false">ROUNDUP(YEARFRAC(In_COD,DM$4),0)*(DM$4&gt;In_COD)</f>
        <v>22</v>
      </c>
      <c r="DN107" s="42" t="n">
        <f aca="false">ROUNDUP(YEARFRAC(In_COD,DN$4),0)*(DN$4&gt;In_COD)</f>
        <v>22</v>
      </c>
      <c r="DO107" s="42" t="n">
        <f aca="false">ROUNDUP(YEARFRAC(In_COD,DO$4),0)*(DO$4&gt;In_COD)</f>
        <v>23</v>
      </c>
      <c r="DP107" s="42" t="n">
        <f aca="false">ROUNDUP(YEARFRAC(In_COD,DP$4),0)*(DP$4&gt;In_COD)</f>
        <v>23</v>
      </c>
      <c r="DQ107" s="42" t="n">
        <f aca="false">ROUNDUP(YEARFRAC(In_COD,DQ$4),0)*(DQ$4&gt;In_COD)</f>
        <v>23</v>
      </c>
      <c r="DR107" s="42" t="n">
        <f aca="false">ROUNDUP(YEARFRAC(In_COD,DR$4),0)*(DR$4&gt;In_COD)</f>
        <v>23</v>
      </c>
      <c r="DS107" s="42" t="n">
        <f aca="false">ROUNDUP(YEARFRAC(In_COD,DS$4),0)*(DS$4&gt;In_COD)</f>
        <v>24</v>
      </c>
      <c r="DT107" s="42" t="n">
        <f aca="false">ROUNDUP(YEARFRAC(In_COD,DT$4),0)*(DT$4&gt;In_COD)</f>
        <v>24</v>
      </c>
      <c r="DU107" s="42" t="n">
        <f aca="false">ROUNDUP(YEARFRAC(In_COD,DU$4),0)*(DU$4&gt;In_COD)</f>
        <v>24</v>
      </c>
      <c r="DV107" s="42" t="n">
        <f aca="false">ROUNDUP(YEARFRAC(In_COD,DV$4),0)*(DV$4&gt;In_COD)</f>
        <v>24</v>
      </c>
      <c r="DW107" s="42" t="n">
        <f aca="false">ROUNDUP(YEARFRAC(In_COD,DW$4),0)*(DW$4&gt;In_COD)</f>
        <v>25</v>
      </c>
      <c r="DX107" s="42" t="n">
        <f aca="false">ROUNDUP(YEARFRAC(In_COD,DX$4),0)*(DX$4&gt;In_COD)</f>
        <v>25</v>
      </c>
      <c r="DY107" s="42" t="n">
        <f aca="false">ROUNDUP(YEARFRAC(In_COD,DY$4),0)*(DY$4&gt;In_COD)</f>
        <v>25</v>
      </c>
      <c r="DZ107" s="42" t="n">
        <f aca="false">ROUNDUP(YEARFRAC(In_COD,DZ$4),0)*(DZ$4&gt;In_COD)</f>
        <v>25</v>
      </c>
      <c r="EA107" s="42" t="n">
        <f aca="false">ROUNDUP(YEARFRAC(In_COD,EA$4),0)*(EA$4&gt;In_COD)</f>
        <v>26</v>
      </c>
      <c r="EB107" s="42" t="n">
        <f aca="false">ROUNDUP(YEARFRAC(In_COD,EB$4),0)*(EB$4&gt;In_COD)</f>
        <v>26</v>
      </c>
      <c r="EC107" s="42" t="n">
        <f aca="false">ROUNDUP(YEARFRAC(In_COD,EC$4),0)*(EC$4&gt;In_COD)</f>
        <v>26</v>
      </c>
      <c r="ED107" s="42" t="n">
        <f aca="false">ROUNDUP(YEARFRAC(In_COD,ED$4),0)*(ED$4&gt;In_COD)</f>
        <v>26</v>
      </c>
      <c r="EE107" s="42" t="n">
        <f aca="false">ROUNDUP(YEARFRAC(In_COD,EE$4),0)*(EE$4&gt;In_COD)</f>
        <v>27</v>
      </c>
      <c r="EF107" s="42" t="n">
        <f aca="false">ROUNDUP(YEARFRAC(In_COD,EF$4),0)*(EF$4&gt;In_COD)</f>
        <v>27</v>
      </c>
      <c r="EG107" s="42" t="n">
        <f aca="false">ROUNDUP(YEARFRAC(In_COD,EG$4),0)*(EG$4&gt;In_COD)</f>
        <v>27</v>
      </c>
      <c r="EH107" s="42" t="n">
        <f aca="false">ROUNDUP(YEARFRAC(In_COD,EH$4),0)*(EH$4&gt;In_COD)</f>
        <v>27</v>
      </c>
      <c r="EI107" s="42" t="n">
        <f aca="false">ROUNDUP(YEARFRAC(In_COD,EI$4),0)*(EI$4&gt;In_COD)</f>
        <v>28</v>
      </c>
      <c r="EJ107" s="42" t="n">
        <f aca="false">ROUNDUP(YEARFRAC(In_COD,EJ$4),0)*(EJ$4&gt;In_COD)</f>
        <v>28</v>
      </c>
      <c r="EK107" s="42" t="n">
        <f aca="false">ROUNDUP(YEARFRAC(In_COD,EK$4),0)*(EK$4&gt;In_COD)</f>
        <v>28</v>
      </c>
      <c r="EL107" s="42" t="n">
        <f aca="false">ROUNDUP(YEARFRAC(In_COD,EL$4),0)*(EL$4&gt;In_COD)</f>
        <v>28</v>
      </c>
      <c r="EM107" s="42" t="n">
        <f aca="false">ROUNDUP(YEARFRAC(In_COD,EM$4),0)*(EM$4&gt;In_COD)</f>
        <v>29</v>
      </c>
      <c r="EN107" s="42" t="n">
        <f aca="false">ROUNDUP(YEARFRAC(In_COD,EN$4),0)*(EN$4&gt;In_COD)</f>
        <v>29</v>
      </c>
      <c r="EO107" s="42" t="n">
        <f aca="false">ROUNDUP(YEARFRAC(In_COD,EO$4),0)*(EO$4&gt;In_COD)</f>
        <v>29</v>
      </c>
      <c r="EP107" s="42" t="n">
        <f aca="false">ROUNDUP(YEARFRAC(In_COD,EP$4),0)*(EP$4&gt;In_COD)</f>
        <v>29</v>
      </c>
      <c r="EQ107" s="42" t="n">
        <f aca="false">ROUNDUP(YEARFRAC(In_COD,EQ$4),0)*(EQ$4&gt;In_COD)</f>
        <v>30</v>
      </c>
      <c r="ER107" s="42" t="n">
        <f aca="false">ROUNDUP(YEARFRAC(In_COD,ER$4),0)*(ER$4&gt;In_COD)</f>
        <v>30</v>
      </c>
      <c r="ES107" s="42" t="n">
        <f aca="false">ROUNDUP(YEARFRAC(In_COD,ES$4),0)*(ES$4&gt;In_COD)</f>
        <v>30</v>
      </c>
      <c r="ET107" s="42" t="n">
        <f aca="false">ROUNDUP(YEARFRAC(In_COD,ET$4),0)*(ET$4&gt;In_COD)</f>
        <v>30</v>
      </c>
    </row>
    <row r="108" customFormat="false" ht="15" hidden="false" customHeight="false" outlineLevel="0" collapsed="false">
      <c r="C108" s="1" t="s">
        <v>522</v>
      </c>
      <c r="D108" s="12" t="s">
        <v>442</v>
      </c>
      <c r="J108" s="54" t="n">
        <f aca="false">(1+In_Opex_Esc)^(J$7-YEAR(In_COD))</f>
        <v>0.883854287609517</v>
      </c>
      <c r="K108" s="54" t="n">
        <f aca="false">(1+In_Opex_Esc)^(K$7-YEAR(In_COD))</f>
        <v>0.883854287609517</v>
      </c>
      <c r="L108" s="54" t="n">
        <f aca="false">(1+In_Opex_Esc)^(L$7-YEAR(In_COD))</f>
        <v>0.905950644799755</v>
      </c>
      <c r="M108" s="54" t="n">
        <f aca="false">(1+In_Opex_Esc)^(M$7-YEAR(In_COD))</f>
        <v>0.905950644799755</v>
      </c>
      <c r="N108" s="54" t="n">
        <f aca="false">(1+In_Opex_Esc)^(N$7-YEAR(In_COD))</f>
        <v>0.905950644799755</v>
      </c>
      <c r="O108" s="54" t="n">
        <f aca="false">(1+In_Opex_Esc)^(O$7-YEAR(In_COD))</f>
        <v>0.905950644799755</v>
      </c>
      <c r="P108" s="54" t="n">
        <f aca="false">(1+In_Opex_Esc)^(P$7-YEAR(In_COD))</f>
        <v>0.928599410919749</v>
      </c>
      <c r="Q108" s="54" t="n">
        <f aca="false">(1+In_Opex_Esc)^(Q$7-YEAR(In_COD))</f>
        <v>0.928599410919749</v>
      </c>
      <c r="R108" s="54" t="n">
        <f aca="false">(1+In_Opex_Esc)^(R$7-YEAR(In_COD))</f>
        <v>0.928599410919749</v>
      </c>
      <c r="S108" s="54" t="n">
        <f aca="false">(1+In_Opex_Esc)^(S$7-YEAR(In_COD))</f>
        <v>0.928599410919749</v>
      </c>
      <c r="T108" s="54" t="n">
        <f aca="false">(1+In_Opex_Esc)^(T$7-YEAR(In_COD))</f>
        <v>0.951814396192743</v>
      </c>
      <c r="U108" s="54" t="n">
        <f aca="false">(1+In_Opex_Esc)^(U$7-YEAR(In_COD))</f>
        <v>0.951814396192743</v>
      </c>
      <c r="V108" s="54" t="n">
        <f aca="false">(1+In_Opex_Esc)^(V$7-YEAR(In_COD))</f>
        <v>0.951814396192743</v>
      </c>
      <c r="W108" s="54" t="n">
        <f aca="false">(1+In_Opex_Esc)^(W$7-YEAR(In_COD))</f>
        <v>0.951814396192743</v>
      </c>
      <c r="X108" s="54" t="n">
        <f aca="false">(1+In_Opex_Esc)^(X$7-YEAR(In_COD))</f>
        <v>0.975609756097561</v>
      </c>
      <c r="Y108" s="54" t="n">
        <f aca="false">(1+In_Opex_Esc)^(Y$7-YEAR(In_COD))</f>
        <v>0.975609756097561</v>
      </c>
      <c r="Z108" s="54" t="n">
        <f aca="false">(1+In_Opex_Esc)^(Z$7-YEAR(In_COD))</f>
        <v>0.975609756097561</v>
      </c>
      <c r="AA108" s="54" t="n">
        <f aca="false">(1+In_Opex_Esc)^(AA$7-YEAR(In_COD))</f>
        <v>0.975609756097561</v>
      </c>
      <c r="AB108" s="54" t="n">
        <f aca="false">(1+In_Opex_Esc)^(AB$7-YEAR(In_COD))</f>
        <v>1</v>
      </c>
      <c r="AC108" s="54" t="n">
        <f aca="false">(1+In_Opex_Esc)^(AC$7-YEAR(In_COD))</f>
        <v>1</v>
      </c>
      <c r="AD108" s="54" t="n">
        <f aca="false">(1+In_Opex_Esc)^(AD$7-YEAR(In_COD))</f>
        <v>1</v>
      </c>
      <c r="AE108" s="54" t="n">
        <f aca="false">(1+In_Opex_Esc)^(AE$7-YEAR(In_COD))</f>
        <v>1</v>
      </c>
      <c r="AF108" s="54" t="n">
        <f aca="false">(1+In_Opex_Esc)^(AF$7-YEAR(In_COD))</f>
        <v>1.025</v>
      </c>
      <c r="AG108" s="54" t="n">
        <f aca="false">(1+In_Opex_Esc)^(AG$7-YEAR(In_COD))</f>
        <v>1.025</v>
      </c>
      <c r="AH108" s="54" t="n">
        <f aca="false">(1+In_Opex_Esc)^(AH$7-YEAR(In_COD))</f>
        <v>1.025</v>
      </c>
      <c r="AI108" s="54" t="n">
        <f aca="false">(1+In_Opex_Esc)^(AI$7-YEAR(In_COD))</f>
        <v>1.025</v>
      </c>
      <c r="AJ108" s="54" t="n">
        <f aca="false">(1+In_Opex_Esc)^(AJ$7-YEAR(In_COD))</f>
        <v>1.050625</v>
      </c>
      <c r="AK108" s="54" t="n">
        <f aca="false">(1+In_Opex_Esc)^(AK$7-YEAR(In_COD))</f>
        <v>1.050625</v>
      </c>
      <c r="AL108" s="54" t="n">
        <f aca="false">(1+In_Opex_Esc)^(AL$7-YEAR(In_COD))</f>
        <v>1.050625</v>
      </c>
      <c r="AM108" s="54" t="n">
        <f aca="false">(1+In_Opex_Esc)^(AM$7-YEAR(In_COD))</f>
        <v>1.050625</v>
      </c>
      <c r="AN108" s="54" t="n">
        <f aca="false">(1+In_Opex_Esc)^(AN$7-YEAR(In_COD))</f>
        <v>1.076890625</v>
      </c>
      <c r="AO108" s="54" t="n">
        <f aca="false">(1+In_Opex_Esc)^(AO$7-YEAR(In_COD))</f>
        <v>1.076890625</v>
      </c>
      <c r="AP108" s="54" t="n">
        <f aca="false">(1+In_Opex_Esc)^(AP$7-YEAR(In_COD))</f>
        <v>1.076890625</v>
      </c>
      <c r="AQ108" s="54" t="n">
        <f aca="false">(1+In_Opex_Esc)^(AQ$7-YEAR(In_COD))</f>
        <v>1.076890625</v>
      </c>
      <c r="AR108" s="54" t="n">
        <f aca="false">(1+In_Opex_Esc)^(AR$7-YEAR(In_COD))</f>
        <v>1.103812890625</v>
      </c>
      <c r="AS108" s="54" t="n">
        <f aca="false">(1+In_Opex_Esc)^(AS$7-YEAR(In_COD))</f>
        <v>1.103812890625</v>
      </c>
      <c r="AT108" s="54" t="n">
        <f aca="false">(1+In_Opex_Esc)^(AT$7-YEAR(In_COD))</f>
        <v>1.103812890625</v>
      </c>
      <c r="AU108" s="54" t="n">
        <f aca="false">(1+In_Opex_Esc)^(AU$7-YEAR(In_COD))</f>
        <v>1.103812890625</v>
      </c>
      <c r="AV108" s="54" t="n">
        <f aca="false">(1+In_Opex_Esc)^(AV$7-YEAR(In_COD))</f>
        <v>1.13140821289062</v>
      </c>
      <c r="AW108" s="54" t="n">
        <f aca="false">(1+In_Opex_Esc)^(AW$7-YEAR(In_COD))</f>
        <v>1.13140821289062</v>
      </c>
      <c r="AX108" s="54" t="n">
        <f aca="false">(1+In_Opex_Esc)^(AX$7-YEAR(In_COD))</f>
        <v>1.13140821289062</v>
      </c>
      <c r="AY108" s="54" t="n">
        <f aca="false">(1+In_Opex_Esc)^(AY$7-YEAR(In_COD))</f>
        <v>1.13140821289062</v>
      </c>
      <c r="AZ108" s="54" t="n">
        <f aca="false">(1+In_Opex_Esc)^(AZ$7-YEAR(In_COD))</f>
        <v>1.15969341821289</v>
      </c>
      <c r="BA108" s="54" t="n">
        <f aca="false">(1+In_Opex_Esc)^(BA$7-YEAR(In_COD))</f>
        <v>1.15969341821289</v>
      </c>
      <c r="BB108" s="54" t="n">
        <f aca="false">(1+In_Opex_Esc)^(BB$7-YEAR(In_COD))</f>
        <v>1.15969341821289</v>
      </c>
      <c r="BC108" s="54" t="n">
        <f aca="false">(1+In_Opex_Esc)^(BC$7-YEAR(In_COD))</f>
        <v>1.15969341821289</v>
      </c>
      <c r="BD108" s="54" t="n">
        <f aca="false">(1+In_Opex_Esc)^(BD$7-YEAR(In_COD))</f>
        <v>1.18868575366821</v>
      </c>
      <c r="BE108" s="54" t="n">
        <f aca="false">(1+In_Opex_Esc)^(BE$7-YEAR(In_COD))</f>
        <v>1.18868575366821</v>
      </c>
      <c r="BF108" s="54" t="n">
        <f aca="false">(1+In_Opex_Esc)^(BF$7-YEAR(In_COD))</f>
        <v>1.18868575366821</v>
      </c>
      <c r="BG108" s="54" t="n">
        <f aca="false">(1+In_Opex_Esc)^(BG$7-YEAR(In_COD))</f>
        <v>1.18868575366821</v>
      </c>
      <c r="BH108" s="54" t="n">
        <f aca="false">(1+In_Opex_Esc)^(BH$7-YEAR(In_COD))</f>
        <v>1.21840289750992</v>
      </c>
      <c r="BI108" s="54" t="n">
        <f aca="false">(1+In_Opex_Esc)^(BI$7-YEAR(In_COD))</f>
        <v>1.21840289750992</v>
      </c>
      <c r="BJ108" s="54" t="n">
        <f aca="false">(1+In_Opex_Esc)^(BJ$7-YEAR(In_COD))</f>
        <v>1.21840289750992</v>
      </c>
      <c r="BK108" s="54" t="n">
        <f aca="false">(1+In_Opex_Esc)^(BK$7-YEAR(In_COD))</f>
        <v>1.21840289750992</v>
      </c>
      <c r="BL108" s="54" t="n">
        <f aca="false">(1+In_Opex_Esc)^(BL$7-YEAR(In_COD))</f>
        <v>1.24886296994767</v>
      </c>
      <c r="BM108" s="54" t="n">
        <f aca="false">(1+In_Opex_Esc)^(BM$7-YEAR(In_COD))</f>
        <v>1.24886296994767</v>
      </c>
      <c r="BN108" s="54" t="n">
        <f aca="false">(1+In_Opex_Esc)^(BN$7-YEAR(In_COD))</f>
        <v>1.24886296994767</v>
      </c>
      <c r="BO108" s="54" t="n">
        <f aca="false">(1+In_Opex_Esc)^(BO$7-YEAR(In_COD))</f>
        <v>1.24886296994767</v>
      </c>
      <c r="BP108" s="54" t="n">
        <f aca="false">(1+In_Opex_Esc)^(BP$7-YEAR(In_COD))</f>
        <v>1.28008454419636</v>
      </c>
      <c r="BQ108" s="54" t="n">
        <f aca="false">(1+In_Opex_Esc)^(BQ$7-YEAR(In_COD))</f>
        <v>1.28008454419636</v>
      </c>
      <c r="BR108" s="54" t="n">
        <f aca="false">(1+In_Opex_Esc)^(BR$7-YEAR(In_COD))</f>
        <v>1.28008454419636</v>
      </c>
      <c r="BS108" s="54" t="n">
        <f aca="false">(1+In_Opex_Esc)^(BS$7-YEAR(In_COD))</f>
        <v>1.28008454419636</v>
      </c>
      <c r="BT108" s="54" t="n">
        <f aca="false">(1+In_Opex_Esc)^(BT$7-YEAR(In_COD))</f>
        <v>1.31208665780127</v>
      </c>
      <c r="BU108" s="54" t="n">
        <f aca="false">(1+In_Opex_Esc)^(BU$7-YEAR(In_COD))</f>
        <v>1.31208665780127</v>
      </c>
      <c r="BV108" s="54" t="n">
        <f aca="false">(1+In_Opex_Esc)^(BV$7-YEAR(In_COD))</f>
        <v>1.31208665780127</v>
      </c>
      <c r="BW108" s="54" t="n">
        <f aca="false">(1+In_Opex_Esc)^(BW$7-YEAR(In_COD))</f>
        <v>1.31208665780127</v>
      </c>
      <c r="BX108" s="54" t="n">
        <f aca="false">(1+In_Opex_Esc)^(BX$7-YEAR(In_COD))</f>
        <v>1.3448888242463</v>
      </c>
      <c r="BY108" s="54" t="n">
        <f aca="false">(1+In_Opex_Esc)^(BY$7-YEAR(In_COD))</f>
        <v>1.3448888242463</v>
      </c>
      <c r="BZ108" s="54" t="n">
        <f aca="false">(1+In_Opex_Esc)^(BZ$7-YEAR(In_COD))</f>
        <v>1.3448888242463</v>
      </c>
      <c r="CA108" s="54" t="n">
        <f aca="false">(1+In_Opex_Esc)^(CA$7-YEAR(In_COD))</f>
        <v>1.3448888242463</v>
      </c>
      <c r="CB108" s="54" t="n">
        <f aca="false">(1+In_Opex_Esc)^(CB$7-YEAR(In_COD))</f>
        <v>1.37851104485245</v>
      </c>
      <c r="CC108" s="54" t="n">
        <f aca="false">(1+In_Opex_Esc)^(CC$7-YEAR(In_COD))</f>
        <v>1.37851104485245</v>
      </c>
      <c r="CD108" s="54" t="n">
        <f aca="false">(1+In_Opex_Esc)^(CD$7-YEAR(In_COD))</f>
        <v>1.37851104485245</v>
      </c>
      <c r="CE108" s="54" t="n">
        <f aca="false">(1+In_Opex_Esc)^(CE$7-YEAR(In_COD))</f>
        <v>1.37851104485245</v>
      </c>
      <c r="CF108" s="54" t="n">
        <f aca="false">(1+In_Opex_Esc)^(CF$7-YEAR(In_COD))</f>
        <v>1.41297382097377</v>
      </c>
      <c r="CG108" s="54" t="n">
        <f aca="false">(1+In_Opex_Esc)^(CG$7-YEAR(In_COD))</f>
        <v>1.41297382097377</v>
      </c>
      <c r="CH108" s="54" t="n">
        <f aca="false">(1+In_Opex_Esc)^(CH$7-YEAR(In_COD))</f>
        <v>1.41297382097377</v>
      </c>
      <c r="CI108" s="54" t="n">
        <f aca="false">(1+In_Opex_Esc)^(CI$7-YEAR(In_COD))</f>
        <v>1.41297382097377</v>
      </c>
      <c r="CJ108" s="54" t="n">
        <f aca="false">(1+In_Opex_Esc)^(CJ$7-YEAR(In_COD))</f>
        <v>1.44829816649811</v>
      </c>
      <c r="CK108" s="54" t="n">
        <f aca="false">(1+In_Opex_Esc)^(CK$7-YEAR(In_COD))</f>
        <v>1.44829816649811</v>
      </c>
      <c r="CL108" s="54" t="n">
        <f aca="false">(1+In_Opex_Esc)^(CL$7-YEAR(In_COD))</f>
        <v>1.44829816649811</v>
      </c>
      <c r="CM108" s="54" t="n">
        <f aca="false">(1+In_Opex_Esc)^(CM$7-YEAR(In_COD))</f>
        <v>1.44829816649811</v>
      </c>
      <c r="CN108" s="54" t="n">
        <f aca="false">(1+In_Opex_Esc)^(CN$7-YEAR(In_COD))</f>
        <v>1.48450562066056</v>
      </c>
      <c r="CO108" s="54" t="n">
        <f aca="false">(1+In_Opex_Esc)^(CO$7-YEAR(In_COD))</f>
        <v>1.48450562066056</v>
      </c>
      <c r="CP108" s="54" t="n">
        <f aca="false">(1+In_Opex_Esc)^(CP$7-YEAR(In_COD))</f>
        <v>1.48450562066056</v>
      </c>
      <c r="CQ108" s="54" t="n">
        <f aca="false">(1+In_Opex_Esc)^(CQ$7-YEAR(In_COD))</f>
        <v>1.48450562066056</v>
      </c>
      <c r="CR108" s="54" t="n">
        <f aca="false">(1+In_Opex_Esc)^(CR$7-YEAR(In_COD))</f>
        <v>1.52161826117708</v>
      </c>
      <c r="CS108" s="54" t="n">
        <f aca="false">(1+In_Opex_Esc)^(CS$7-YEAR(In_COD))</f>
        <v>1.52161826117708</v>
      </c>
      <c r="CT108" s="54" t="n">
        <f aca="false">(1+In_Opex_Esc)^(CT$7-YEAR(In_COD))</f>
        <v>1.52161826117708</v>
      </c>
      <c r="CU108" s="54" t="n">
        <f aca="false">(1+In_Opex_Esc)^(CU$7-YEAR(In_COD))</f>
        <v>1.52161826117708</v>
      </c>
      <c r="CV108" s="54" t="n">
        <f aca="false">(1+In_Opex_Esc)^(CV$7-YEAR(In_COD))</f>
        <v>1.5596587177065</v>
      </c>
      <c r="CW108" s="54" t="n">
        <f aca="false">(1+In_Opex_Esc)^(CW$7-YEAR(In_COD))</f>
        <v>1.5596587177065</v>
      </c>
      <c r="CX108" s="54" t="n">
        <f aca="false">(1+In_Opex_Esc)^(CX$7-YEAR(In_COD))</f>
        <v>1.5596587177065</v>
      </c>
      <c r="CY108" s="54" t="n">
        <f aca="false">(1+In_Opex_Esc)^(CY$7-YEAR(In_COD))</f>
        <v>1.5596587177065</v>
      </c>
      <c r="CZ108" s="54" t="n">
        <f aca="false">(1+In_Opex_Esc)^(CZ$7-YEAR(In_COD))</f>
        <v>1.59865018564917</v>
      </c>
      <c r="DA108" s="54" t="n">
        <f aca="false">(1+In_Opex_Esc)^(DA$7-YEAR(In_COD))</f>
        <v>1.59865018564917</v>
      </c>
      <c r="DB108" s="54" t="n">
        <f aca="false">(1+In_Opex_Esc)^(DB$7-YEAR(In_COD))</f>
        <v>1.59865018564917</v>
      </c>
      <c r="DC108" s="54" t="n">
        <f aca="false">(1+In_Opex_Esc)^(DC$7-YEAR(In_COD))</f>
        <v>1.59865018564917</v>
      </c>
      <c r="DD108" s="54" t="n">
        <f aca="false">(1+In_Opex_Esc)^(DD$7-YEAR(In_COD))</f>
        <v>1.63861644029039</v>
      </c>
      <c r="DE108" s="54" t="n">
        <f aca="false">(1+In_Opex_Esc)^(DE$7-YEAR(In_COD))</f>
        <v>1.63861644029039</v>
      </c>
      <c r="DF108" s="54" t="n">
        <f aca="false">(1+In_Opex_Esc)^(DF$7-YEAR(In_COD))</f>
        <v>1.63861644029039</v>
      </c>
      <c r="DG108" s="54" t="n">
        <f aca="false">(1+In_Opex_Esc)^(DG$7-YEAR(In_COD))</f>
        <v>1.63861644029039</v>
      </c>
      <c r="DH108" s="54" t="n">
        <f aca="false">(1+In_Opex_Esc)^(DH$7-YEAR(In_COD))</f>
        <v>1.67958185129765</v>
      </c>
      <c r="DI108" s="54" t="n">
        <f aca="false">(1+In_Opex_Esc)^(DI$7-YEAR(In_COD))</f>
        <v>1.67958185129765</v>
      </c>
      <c r="DJ108" s="54" t="n">
        <f aca="false">(1+In_Opex_Esc)^(DJ$7-YEAR(In_COD))</f>
        <v>1.67958185129765</v>
      </c>
      <c r="DK108" s="54" t="n">
        <f aca="false">(1+In_Opex_Esc)^(DK$7-YEAR(In_COD))</f>
        <v>1.67958185129765</v>
      </c>
      <c r="DL108" s="54" t="n">
        <f aca="false">(1+In_Opex_Esc)^(DL$7-YEAR(In_COD))</f>
        <v>1.7215713975801</v>
      </c>
      <c r="DM108" s="54" t="n">
        <f aca="false">(1+In_Opex_Esc)^(DM$7-YEAR(In_COD))</f>
        <v>1.7215713975801</v>
      </c>
      <c r="DN108" s="54" t="n">
        <f aca="false">(1+In_Opex_Esc)^(DN$7-YEAR(In_COD))</f>
        <v>1.7215713975801</v>
      </c>
      <c r="DO108" s="54" t="n">
        <f aca="false">(1+In_Opex_Esc)^(DO$7-YEAR(In_COD))</f>
        <v>1.7215713975801</v>
      </c>
      <c r="DP108" s="54" t="n">
        <f aca="false">(1+In_Opex_Esc)^(DP$7-YEAR(In_COD))</f>
        <v>1.7646106825196</v>
      </c>
      <c r="DQ108" s="54" t="n">
        <f aca="false">(1+In_Opex_Esc)^(DQ$7-YEAR(In_COD))</f>
        <v>1.7646106825196</v>
      </c>
      <c r="DR108" s="54" t="n">
        <f aca="false">(1+In_Opex_Esc)^(DR$7-YEAR(In_COD))</f>
        <v>1.7646106825196</v>
      </c>
      <c r="DS108" s="54" t="n">
        <f aca="false">(1+In_Opex_Esc)^(DS$7-YEAR(In_COD))</f>
        <v>1.7646106825196</v>
      </c>
      <c r="DT108" s="54" t="n">
        <f aca="false">(1+In_Opex_Esc)^(DT$7-YEAR(In_COD))</f>
        <v>1.80872594958259</v>
      </c>
      <c r="DU108" s="54" t="n">
        <f aca="false">(1+In_Opex_Esc)^(DU$7-YEAR(In_COD))</f>
        <v>1.80872594958259</v>
      </c>
      <c r="DV108" s="54" t="n">
        <f aca="false">(1+In_Opex_Esc)^(DV$7-YEAR(In_COD))</f>
        <v>1.80872594958259</v>
      </c>
      <c r="DW108" s="54" t="n">
        <f aca="false">(1+In_Opex_Esc)^(DW$7-YEAR(In_COD))</f>
        <v>1.80872594958259</v>
      </c>
      <c r="DX108" s="54" t="n">
        <f aca="false">(1+In_Opex_Esc)^(DX$7-YEAR(In_COD))</f>
        <v>1.85394409832215</v>
      </c>
      <c r="DY108" s="54" t="n">
        <f aca="false">(1+In_Opex_Esc)^(DY$7-YEAR(In_COD))</f>
        <v>1.85394409832215</v>
      </c>
      <c r="DZ108" s="54" t="n">
        <f aca="false">(1+In_Opex_Esc)^(DZ$7-YEAR(In_COD))</f>
        <v>1.85394409832215</v>
      </c>
      <c r="EA108" s="54" t="n">
        <f aca="false">(1+In_Opex_Esc)^(EA$7-YEAR(In_COD))</f>
        <v>1.85394409832215</v>
      </c>
      <c r="EB108" s="54" t="n">
        <f aca="false">(1+In_Opex_Esc)^(EB$7-YEAR(In_COD))</f>
        <v>1.90029270078021</v>
      </c>
      <c r="EC108" s="54" t="n">
        <f aca="false">(1+In_Opex_Esc)^(EC$7-YEAR(In_COD))</f>
        <v>1.90029270078021</v>
      </c>
      <c r="ED108" s="54" t="n">
        <f aca="false">(1+In_Opex_Esc)^(ED$7-YEAR(In_COD))</f>
        <v>1.90029270078021</v>
      </c>
      <c r="EE108" s="54" t="n">
        <f aca="false">(1+In_Opex_Esc)^(EE$7-YEAR(In_COD))</f>
        <v>1.90029270078021</v>
      </c>
      <c r="EF108" s="54" t="n">
        <f aca="false">(1+In_Opex_Esc)^(EF$7-YEAR(In_COD))</f>
        <v>1.94780001829971</v>
      </c>
      <c r="EG108" s="54" t="n">
        <f aca="false">(1+In_Opex_Esc)^(EG$7-YEAR(In_COD))</f>
        <v>1.94780001829971</v>
      </c>
      <c r="EH108" s="54" t="n">
        <f aca="false">(1+In_Opex_Esc)^(EH$7-YEAR(In_COD))</f>
        <v>1.94780001829971</v>
      </c>
      <c r="EI108" s="54" t="n">
        <f aca="false">(1+In_Opex_Esc)^(EI$7-YEAR(In_COD))</f>
        <v>1.94780001829971</v>
      </c>
      <c r="EJ108" s="54" t="n">
        <f aca="false">(1+In_Opex_Esc)^(EJ$7-YEAR(In_COD))</f>
        <v>1.9964950187572</v>
      </c>
      <c r="EK108" s="54" t="n">
        <f aca="false">(1+In_Opex_Esc)^(EK$7-YEAR(In_COD))</f>
        <v>1.9964950187572</v>
      </c>
      <c r="EL108" s="54" t="n">
        <f aca="false">(1+In_Opex_Esc)^(EL$7-YEAR(In_COD))</f>
        <v>1.9964950187572</v>
      </c>
      <c r="EM108" s="54" t="n">
        <f aca="false">(1+In_Opex_Esc)^(EM$7-YEAR(In_COD))</f>
        <v>1.9964950187572</v>
      </c>
      <c r="EN108" s="54" t="n">
        <f aca="false">(1+In_Opex_Esc)^(EN$7-YEAR(In_COD))</f>
        <v>2.04640739422613</v>
      </c>
      <c r="EO108" s="54" t="n">
        <f aca="false">(1+In_Opex_Esc)^(EO$7-YEAR(In_COD))</f>
        <v>2.04640739422613</v>
      </c>
      <c r="EP108" s="54" t="n">
        <f aca="false">(1+In_Opex_Esc)^(EP$7-YEAR(In_COD))</f>
        <v>2.04640739422613</v>
      </c>
      <c r="EQ108" s="54" t="n">
        <f aca="false">(1+In_Opex_Esc)^(EQ$7-YEAR(In_COD))</f>
        <v>2.04640739422613</v>
      </c>
      <c r="ER108" s="54" t="n">
        <f aca="false">(1+In_Opex_Esc)^(ER$7-YEAR(In_COD))</f>
        <v>2.09756757908179</v>
      </c>
      <c r="ES108" s="54" t="n">
        <f aca="false">(1+In_Opex_Esc)^(ES$7-YEAR(In_COD))</f>
        <v>2.09756757908179</v>
      </c>
      <c r="ET108" s="54" t="n">
        <f aca="false">(1+In_Opex_Esc)^(ET$7-YEAR(In_COD))</f>
        <v>2.09756757908179</v>
      </c>
    </row>
    <row r="109" customFormat="false" ht="15" hidden="false" customHeight="false" outlineLevel="0" collapsed="false">
      <c r="C109" s="1" t="s">
        <v>523</v>
      </c>
      <c r="D109" s="12" t="s">
        <v>32</v>
      </c>
      <c r="J109" s="29" t="n">
        <f aca="false">In_PPA_Price*(1+In_PPA_Esc)^(J$7-YEAR(In_COD))</f>
        <v>85.6319118846074</v>
      </c>
      <c r="K109" s="29" t="n">
        <f aca="false">In_PPA_Price*(1+In_PPA_Esc)^(K$7-YEAR(In_COD))</f>
        <v>85.6319118846074</v>
      </c>
      <c r="L109" s="29" t="n">
        <f aca="false">In_PPA_Price*(1+In_PPA_Esc)^(L$7-YEAR(In_COD))</f>
        <v>86.4882310034535</v>
      </c>
      <c r="M109" s="29" t="n">
        <f aca="false">In_PPA_Price*(1+In_PPA_Esc)^(M$7-YEAR(In_COD))</f>
        <v>86.4882310034535</v>
      </c>
      <c r="N109" s="29" t="n">
        <f aca="false">In_PPA_Price*(1+In_PPA_Esc)^(N$7-YEAR(In_COD))</f>
        <v>86.4882310034535</v>
      </c>
      <c r="O109" s="29" t="n">
        <f aca="false">In_PPA_Price*(1+In_PPA_Esc)^(O$7-YEAR(In_COD))</f>
        <v>86.4882310034535</v>
      </c>
      <c r="P109" s="29" t="n">
        <f aca="false">In_PPA_Price*(1+In_PPA_Esc)^(P$7-YEAR(In_COD))</f>
        <v>87.353113313488</v>
      </c>
      <c r="Q109" s="29" t="n">
        <f aca="false">In_PPA_Price*(1+In_PPA_Esc)^(Q$7-YEAR(In_COD))</f>
        <v>87.353113313488</v>
      </c>
      <c r="R109" s="29" t="n">
        <f aca="false">In_PPA_Price*(1+In_PPA_Esc)^(R$7-YEAR(In_COD))</f>
        <v>87.353113313488</v>
      </c>
      <c r="S109" s="29" t="n">
        <f aca="false">In_PPA_Price*(1+In_PPA_Esc)^(S$7-YEAR(In_COD))</f>
        <v>87.353113313488</v>
      </c>
      <c r="T109" s="29" t="n">
        <f aca="false">In_PPA_Price*(1+In_PPA_Esc)^(T$7-YEAR(In_COD))</f>
        <v>88.2266444466229</v>
      </c>
      <c r="U109" s="29" t="n">
        <f aca="false">In_PPA_Price*(1+In_PPA_Esc)^(U$7-YEAR(In_COD))</f>
        <v>88.2266444466229</v>
      </c>
      <c r="V109" s="29" t="n">
        <f aca="false">In_PPA_Price*(1+In_PPA_Esc)^(V$7-YEAR(In_COD))</f>
        <v>88.2266444466229</v>
      </c>
      <c r="W109" s="29" t="n">
        <f aca="false">In_PPA_Price*(1+In_PPA_Esc)^(W$7-YEAR(In_COD))</f>
        <v>88.2266444466229</v>
      </c>
      <c r="X109" s="29" t="n">
        <f aca="false">In_PPA_Price*(1+In_PPA_Esc)^(X$7-YEAR(In_COD))</f>
        <v>89.1089108910891</v>
      </c>
      <c r="Y109" s="29" t="n">
        <f aca="false">In_PPA_Price*(1+In_PPA_Esc)^(Y$7-YEAR(In_COD))</f>
        <v>89.1089108910891</v>
      </c>
      <c r="Z109" s="29" t="n">
        <f aca="false">In_PPA_Price*(1+In_PPA_Esc)^(Z$7-YEAR(In_COD))</f>
        <v>89.1089108910891</v>
      </c>
      <c r="AA109" s="29" t="n">
        <f aca="false">In_PPA_Price*(1+In_PPA_Esc)^(AA$7-YEAR(In_COD))</f>
        <v>89.1089108910891</v>
      </c>
      <c r="AB109" s="29" t="n">
        <f aca="false">In_PPA_Price*(1+In_PPA_Esc)^(AB$7-YEAR(In_COD))</f>
        <v>90</v>
      </c>
      <c r="AC109" s="29" t="n">
        <f aca="false">In_PPA_Price*(1+In_PPA_Esc)^(AC$7-YEAR(In_COD))</f>
        <v>90</v>
      </c>
      <c r="AD109" s="29" t="n">
        <f aca="false">In_PPA_Price*(1+In_PPA_Esc)^(AD$7-YEAR(In_COD))</f>
        <v>90</v>
      </c>
      <c r="AE109" s="29" t="n">
        <f aca="false">In_PPA_Price*(1+In_PPA_Esc)^(AE$7-YEAR(In_COD))</f>
        <v>90</v>
      </c>
      <c r="AF109" s="29" t="n">
        <f aca="false">In_PPA_Price*(1+In_PPA_Esc)^(AF$7-YEAR(In_COD))</f>
        <v>90.9</v>
      </c>
      <c r="AG109" s="29" t="n">
        <f aca="false">In_PPA_Price*(1+In_PPA_Esc)^(AG$7-YEAR(In_COD))</f>
        <v>90.9</v>
      </c>
      <c r="AH109" s="29" t="n">
        <f aca="false">In_PPA_Price*(1+In_PPA_Esc)^(AH$7-YEAR(In_COD))</f>
        <v>90.9</v>
      </c>
      <c r="AI109" s="29" t="n">
        <f aca="false">In_PPA_Price*(1+In_PPA_Esc)^(AI$7-YEAR(In_COD))</f>
        <v>90.9</v>
      </c>
      <c r="AJ109" s="29" t="n">
        <f aca="false">In_PPA_Price*(1+In_PPA_Esc)^(AJ$7-YEAR(In_COD))</f>
        <v>91.809</v>
      </c>
      <c r="AK109" s="29" t="n">
        <f aca="false">In_PPA_Price*(1+In_PPA_Esc)^(AK$7-YEAR(In_COD))</f>
        <v>91.809</v>
      </c>
      <c r="AL109" s="29" t="n">
        <f aca="false">In_PPA_Price*(1+In_PPA_Esc)^(AL$7-YEAR(In_COD))</f>
        <v>91.809</v>
      </c>
      <c r="AM109" s="29" t="n">
        <f aca="false">In_PPA_Price*(1+In_PPA_Esc)^(AM$7-YEAR(In_COD))</f>
        <v>91.809</v>
      </c>
      <c r="AN109" s="29" t="n">
        <f aca="false">In_PPA_Price*(1+In_PPA_Esc)^(AN$7-YEAR(In_COD))</f>
        <v>92.72709</v>
      </c>
      <c r="AO109" s="29" t="n">
        <f aca="false">In_PPA_Price*(1+In_PPA_Esc)^(AO$7-YEAR(In_COD))</f>
        <v>92.72709</v>
      </c>
      <c r="AP109" s="29" t="n">
        <f aca="false">In_PPA_Price*(1+In_PPA_Esc)^(AP$7-YEAR(In_COD))</f>
        <v>92.72709</v>
      </c>
      <c r="AQ109" s="29" t="n">
        <f aca="false">In_PPA_Price*(1+In_PPA_Esc)^(AQ$7-YEAR(In_COD))</f>
        <v>92.72709</v>
      </c>
      <c r="AR109" s="29" t="n">
        <f aca="false">In_PPA_Price*(1+In_PPA_Esc)^(AR$7-YEAR(In_COD))</f>
        <v>93.6543609</v>
      </c>
      <c r="AS109" s="29" t="n">
        <f aca="false">In_PPA_Price*(1+In_PPA_Esc)^(AS$7-YEAR(In_COD))</f>
        <v>93.6543609</v>
      </c>
      <c r="AT109" s="29" t="n">
        <f aca="false">In_PPA_Price*(1+In_PPA_Esc)^(AT$7-YEAR(In_COD))</f>
        <v>93.6543609</v>
      </c>
      <c r="AU109" s="29" t="n">
        <f aca="false">In_PPA_Price*(1+In_PPA_Esc)^(AU$7-YEAR(In_COD))</f>
        <v>93.6543609</v>
      </c>
      <c r="AV109" s="29" t="n">
        <f aca="false">In_PPA_Price*(1+In_PPA_Esc)^(AV$7-YEAR(In_COD))</f>
        <v>94.590904509</v>
      </c>
      <c r="AW109" s="29" t="n">
        <f aca="false">In_PPA_Price*(1+In_PPA_Esc)^(AW$7-YEAR(In_COD))</f>
        <v>94.590904509</v>
      </c>
      <c r="AX109" s="29" t="n">
        <f aca="false">In_PPA_Price*(1+In_PPA_Esc)^(AX$7-YEAR(In_COD))</f>
        <v>94.590904509</v>
      </c>
      <c r="AY109" s="29" t="n">
        <f aca="false">In_PPA_Price*(1+In_PPA_Esc)^(AY$7-YEAR(In_COD))</f>
        <v>94.590904509</v>
      </c>
      <c r="AZ109" s="29" t="n">
        <f aca="false">In_PPA_Price*(1+In_PPA_Esc)^(AZ$7-YEAR(In_COD))</f>
        <v>95.53681355409</v>
      </c>
      <c r="BA109" s="29" t="n">
        <f aca="false">In_PPA_Price*(1+In_PPA_Esc)^(BA$7-YEAR(In_COD))</f>
        <v>95.53681355409</v>
      </c>
      <c r="BB109" s="29" t="n">
        <f aca="false">In_PPA_Price*(1+In_PPA_Esc)^(BB$7-YEAR(In_COD))</f>
        <v>95.53681355409</v>
      </c>
      <c r="BC109" s="29" t="n">
        <f aca="false">In_PPA_Price*(1+In_PPA_Esc)^(BC$7-YEAR(In_COD))</f>
        <v>95.53681355409</v>
      </c>
      <c r="BD109" s="29" t="n">
        <f aca="false">In_PPA_Price*(1+In_PPA_Esc)^(BD$7-YEAR(In_COD))</f>
        <v>96.4921816896309</v>
      </c>
      <c r="BE109" s="29" t="n">
        <f aca="false">In_PPA_Price*(1+In_PPA_Esc)^(BE$7-YEAR(In_COD))</f>
        <v>96.4921816896309</v>
      </c>
      <c r="BF109" s="29" t="n">
        <f aca="false">In_PPA_Price*(1+In_PPA_Esc)^(BF$7-YEAR(In_COD))</f>
        <v>96.4921816896309</v>
      </c>
      <c r="BG109" s="29" t="n">
        <f aca="false">In_PPA_Price*(1+In_PPA_Esc)^(BG$7-YEAR(In_COD))</f>
        <v>96.4921816896309</v>
      </c>
      <c r="BH109" s="29" t="n">
        <f aca="false">In_PPA_Price*(1+In_PPA_Esc)^(BH$7-YEAR(In_COD))</f>
        <v>97.4571035065272</v>
      </c>
      <c r="BI109" s="29" t="n">
        <f aca="false">In_PPA_Price*(1+In_PPA_Esc)^(BI$7-YEAR(In_COD))</f>
        <v>97.4571035065272</v>
      </c>
      <c r="BJ109" s="29" t="n">
        <f aca="false">In_PPA_Price*(1+In_PPA_Esc)^(BJ$7-YEAR(In_COD))</f>
        <v>97.4571035065272</v>
      </c>
      <c r="BK109" s="29" t="n">
        <f aca="false">In_PPA_Price*(1+In_PPA_Esc)^(BK$7-YEAR(In_COD))</f>
        <v>97.4571035065272</v>
      </c>
      <c r="BL109" s="29" t="n">
        <f aca="false">In_PPA_Price*(1+In_PPA_Esc)^(BL$7-YEAR(In_COD))</f>
        <v>98.4316745415925</v>
      </c>
      <c r="BM109" s="29" t="n">
        <f aca="false">In_PPA_Price*(1+In_PPA_Esc)^(BM$7-YEAR(In_COD))</f>
        <v>98.4316745415925</v>
      </c>
      <c r="BN109" s="29" t="n">
        <f aca="false">In_PPA_Price*(1+In_PPA_Esc)^(BN$7-YEAR(In_COD))</f>
        <v>98.4316745415925</v>
      </c>
      <c r="BO109" s="29" t="n">
        <f aca="false">In_PPA_Price*(1+In_PPA_Esc)^(BO$7-YEAR(In_COD))</f>
        <v>98.4316745415925</v>
      </c>
      <c r="BP109" s="29" t="n">
        <f aca="false">In_PPA_Price*(1+In_PPA_Esc)^(BP$7-YEAR(In_COD))</f>
        <v>99.4159912870084</v>
      </c>
      <c r="BQ109" s="29" t="n">
        <f aca="false">In_PPA_Price*(1+In_PPA_Esc)^(BQ$7-YEAR(In_COD))</f>
        <v>99.4159912870084</v>
      </c>
      <c r="BR109" s="29" t="n">
        <f aca="false">In_PPA_Price*(1+In_PPA_Esc)^(BR$7-YEAR(In_COD))</f>
        <v>99.4159912870084</v>
      </c>
      <c r="BS109" s="29" t="n">
        <f aca="false">In_PPA_Price*(1+In_PPA_Esc)^(BS$7-YEAR(In_COD))</f>
        <v>99.4159912870084</v>
      </c>
      <c r="BT109" s="29" t="n">
        <f aca="false">In_PPA_Price*(1+In_PPA_Esc)^(BT$7-YEAR(In_COD))</f>
        <v>100.410151199878</v>
      </c>
      <c r="BU109" s="29" t="n">
        <f aca="false">In_PPA_Price*(1+In_PPA_Esc)^(BU$7-YEAR(In_COD))</f>
        <v>100.410151199878</v>
      </c>
      <c r="BV109" s="29" t="n">
        <f aca="false">In_PPA_Price*(1+In_PPA_Esc)^(BV$7-YEAR(In_COD))</f>
        <v>100.410151199878</v>
      </c>
      <c r="BW109" s="29" t="n">
        <f aca="false">In_PPA_Price*(1+In_PPA_Esc)^(BW$7-YEAR(In_COD))</f>
        <v>100.410151199878</v>
      </c>
      <c r="BX109" s="29" t="n">
        <f aca="false">In_PPA_Price*(1+In_PPA_Esc)^(BX$7-YEAR(In_COD))</f>
        <v>101.414252711877</v>
      </c>
      <c r="BY109" s="29" t="n">
        <f aca="false">In_PPA_Price*(1+In_PPA_Esc)^(BY$7-YEAR(In_COD))</f>
        <v>101.414252711877</v>
      </c>
      <c r="BZ109" s="29" t="n">
        <f aca="false">In_PPA_Price*(1+In_PPA_Esc)^(BZ$7-YEAR(In_COD))</f>
        <v>101.414252711877</v>
      </c>
      <c r="CA109" s="29" t="n">
        <f aca="false">In_PPA_Price*(1+In_PPA_Esc)^(CA$7-YEAR(In_COD))</f>
        <v>101.414252711877</v>
      </c>
      <c r="CB109" s="29" t="n">
        <f aca="false">In_PPA_Price*(1+In_PPA_Esc)^(CB$7-YEAR(In_COD))</f>
        <v>102.428395238996</v>
      </c>
      <c r="CC109" s="29" t="n">
        <f aca="false">In_PPA_Price*(1+In_PPA_Esc)^(CC$7-YEAR(In_COD))</f>
        <v>102.428395238996</v>
      </c>
      <c r="CD109" s="29" t="n">
        <f aca="false">In_PPA_Price*(1+In_PPA_Esc)^(CD$7-YEAR(In_COD))</f>
        <v>102.428395238996</v>
      </c>
      <c r="CE109" s="29" t="n">
        <f aca="false">In_PPA_Price*(1+In_PPA_Esc)^(CE$7-YEAR(In_COD))</f>
        <v>102.428395238996</v>
      </c>
      <c r="CF109" s="29" t="n">
        <f aca="false">In_PPA_Price*(1+In_PPA_Esc)^(CF$7-YEAR(In_COD))</f>
        <v>103.452679191386</v>
      </c>
      <c r="CG109" s="29" t="n">
        <f aca="false">In_PPA_Price*(1+In_PPA_Esc)^(CG$7-YEAR(In_COD))</f>
        <v>103.452679191386</v>
      </c>
      <c r="CH109" s="29" t="n">
        <f aca="false">In_PPA_Price*(1+In_PPA_Esc)^(CH$7-YEAR(In_COD))</f>
        <v>103.452679191386</v>
      </c>
      <c r="CI109" s="29" t="n">
        <f aca="false">In_PPA_Price*(1+In_PPA_Esc)^(CI$7-YEAR(In_COD))</f>
        <v>103.452679191386</v>
      </c>
      <c r="CJ109" s="29" t="n">
        <f aca="false">In_PPA_Price*(1+In_PPA_Esc)^(CJ$7-YEAR(In_COD))</f>
        <v>104.4872059833</v>
      </c>
      <c r="CK109" s="29" t="n">
        <f aca="false">In_PPA_Price*(1+In_PPA_Esc)^(CK$7-YEAR(In_COD))</f>
        <v>104.4872059833</v>
      </c>
      <c r="CL109" s="29" t="n">
        <f aca="false">In_PPA_Price*(1+In_PPA_Esc)^(CL$7-YEAR(In_COD))</f>
        <v>104.4872059833</v>
      </c>
      <c r="CM109" s="29" t="n">
        <f aca="false">In_PPA_Price*(1+In_PPA_Esc)^(CM$7-YEAR(In_COD))</f>
        <v>104.4872059833</v>
      </c>
      <c r="CN109" s="29" t="n">
        <f aca="false">In_PPA_Price*(1+In_PPA_Esc)^(CN$7-YEAR(In_COD))</f>
        <v>105.532078043133</v>
      </c>
      <c r="CO109" s="29" t="n">
        <f aca="false">In_PPA_Price*(1+In_PPA_Esc)^(CO$7-YEAR(In_COD))</f>
        <v>105.532078043133</v>
      </c>
      <c r="CP109" s="29" t="n">
        <f aca="false">In_PPA_Price*(1+In_PPA_Esc)^(CP$7-YEAR(In_COD))</f>
        <v>105.532078043133</v>
      </c>
      <c r="CQ109" s="29" t="n">
        <f aca="false">In_PPA_Price*(1+In_PPA_Esc)^(CQ$7-YEAR(In_COD))</f>
        <v>105.532078043133</v>
      </c>
      <c r="CR109" s="29" t="n">
        <f aca="false">In_PPA_Price*(1+In_PPA_Esc)^(CR$7-YEAR(In_COD))</f>
        <v>106.587398823564</v>
      </c>
      <c r="CS109" s="29" t="n">
        <f aca="false">In_PPA_Price*(1+In_PPA_Esc)^(CS$7-YEAR(In_COD))</f>
        <v>106.587398823564</v>
      </c>
      <c r="CT109" s="29" t="n">
        <f aca="false">In_PPA_Price*(1+In_PPA_Esc)^(CT$7-YEAR(In_COD))</f>
        <v>106.587398823564</v>
      </c>
      <c r="CU109" s="29" t="n">
        <f aca="false">In_PPA_Price*(1+In_PPA_Esc)^(CU$7-YEAR(In_COD))</f>
        <v>106.587398823564</v>
      </c>
      <c r="CV109" s="29" t="n">
        <f aca="false">In_PPA_Price*(1+In_PPA_Esc)^(CV$7-YEAR(In_COD))</f>
        <v>107.6532728118</v>
      </c>
      <c r="CW109" s="29" t="n">
        <f aca="false">In_PPA_Price*(1+In_PPA_Esc)^(CW$7-YEAR(In_COD))</f>
        <v>107.6532728118</v>
      </c>
      <c r="CX109" s="29" t="n">
        <f aca="false">In_PPA_Price*(1+In_PPA_Esc)^(CX$7-YEAR(In_COD))</f>
        <v>107.6532728118</v>
      </c>
      <c r="CY109" s="29" t="n">
        <f aca="false">In_PPA_Price*(1+In_PPA_Esc)^(CY$7-YEAR(In_COD))</f>
        <v>107.6532728118</v>
      </c>
      <c r="CZ109" s="29" t="n">
        <f aca="false">In_PPA_Price*(1+In_PPA_Esc)^(CZ$7-YEAR(In_COD))</f>
        <v>108.729805539918</v>
      </c>
      <c r="DA109" s="29" t="n">
        <f aca="false">In_PPA_Price*(1+In_PPA_Esc)^(DA$7-YEAR(In_COD))</f>
        <v>108.729805539918</v>
      </c>
      <c r="DB109" s="29" t="n">
        <f aca="false">In_PPA_Price*(1+In_PPA_Esc)^(DB$7-YEAR(In_COD))</f>
        <v>108.729805539918</v>
      </c>
      <c r="DC109" s="29" t="n">
        <f aca="false">In_PPA_Price*(1+In_PPA_Esc)^(DC$7-YEAR(In_COD))</f>
        <v>108.729805539918</v>
      </c>
      <c r="DD109" s="29" t="n">
        <f aca="false">In_PPA_Price*(1+In_PPA_Esc)^(DD$7-YEAR(In_COD))</f>
        <v>109.817103595317</v>
      </c>
      <c r="DE109" s="29" t="n">
        <f aca="false">In_PPA_Price*(1+In_PPA_Esc)^(DE$7-YEAR(In_COD))</f>
        <v>109.817103595317</v>
      </c>
      <c r="DF109" s="29" t="n">
        <f aca="false">In_PPA_Price*(1+In_PPA_Esc)^(DF$7-YEAR(In_COD))</f>
        <v>109.817103595317</v>
      </c>
      <c r="DG109" s="29" t="n">
        <f aca="false">In_PPA_Price*(1+In_PPA_Esc)^(DG$7-YEAR(In_COD))</f>
        <v>109.817103595317</v>
      </c>
      <c r="DH109" s="29" t="n">
        <f aca="false">In_PPA_Price*(1+In_PPA_Esc)^(DH$7-YEAR(In_COD))</f>
        <v>110.91527463127</v>
      </c>
      <c r="DI109" s="29" t="n">
        <f aca="false">In_PPA_Price*(1+In_PPA_Esc)^(DI$7-YEAR(In_COD))</f>
        <v>110.91527463127</v>
      </c>
      <c r="DJ109" s="29" t="n">
        <f aca="false">In_PPA_Price*(1+In_PPA_Esc)^(DJ$7-YEAR(In_COD))</f>
        <v>110.91527463127</v>
      </c>
      <c r="DK109" s="29" t="n">
        <f aca="false">In_PPA_Price*(1+In_PPA_Esc)^(DK$7-YEAR(In_COD))</f>
        <v>110.91527463127</v>
      </c>
      <c r="DL109" s="29" t="n">
        <f aca="false">In_PPA_Price*(1+In_PPA_Esc)^(DL$7-YEAR(In_COD))</f>
        <v>112.024427377583</v>
      </c>
      <c r="DM109" s="29" t="n">
        <f aca="false">In_PPA_Price*(1+In_PPA_Esc)^(DM$7-YEAR(In_COD))</f>
        <v>112.024427377583</v>
      </c>
      <c r="DN109" s="29" t="n">
        <f aca="false">In_PPA_Price*(1+In_PPA_Esc)^(DN$7-YEAR(In_COD))</f>
        <v>112.024427377583</v>
      </c>
      <c r="DO109" s="29" t="n">
        <f aca="false">In_PPA_Price*(1+In_PPA_Esc)^(DO$7-YEAR(In_COD))</f>
        <v>112.024427377583</v>
      </c>
      <c r="DP109" s="29" t="n">
        <f aca="false">In_PPA_Price*(1+In_PPA_Esc)^(DP$7-YEAR(In_COD))</f>
        <v>113.144671651359</v>
      </c>
      <c r="DQ109" s="29" t="n">
        <f aca="false">In_PPA_Price*(1+In_PPA_Esc)^(DQ$7-YEAR(In_COD))</f>
        <v>113.144671651359</v>
      </c>
      <c r="DR109" s="29" t="n">
        <f aca="false">In_PPA_Price*(1+In_PPA_Esc)^(DR$7-YEAR(In_COD))</f>
        <v>113.144671651359</v>
      </c>
      <c r="DS109" s="29" t="n">
        <f aca="false">In_PPA_Price*(1+In_PPA_Esc)^(DS$7-YEAR(In_COD))</f>
        <v>113.144671651359</v>
      </c>
      <c r="DT109" s="29" t="n">
        <f aca="false">In_PPA_Price*(1+In_PPA_Esc)^(DT$7-YEAR(In_COD))</f>
        <v>114.276118367872</v>
      </c>
      <c r="DU109" s="29" t="n">
        <f aca="false">In_PPA_Price*(1+In_PPA_Esc)^(DU$7-YEAR(In_COD))</f>
        <v>114.276118367872</v>
      </c>
      <c r="DV109" s="29" t="n">
        <f aca="false">In_PPA_Price*(1+In_PPA_Esc)^(DV$7-YEAR(In_COD))</f>
        <v>114.276118367872</v>
      </c>
      <c r="DW109" s="29" t="n">
        <f aca="false">In_PPA_Price*(1+In_PPA_Esc)^(DW$7-YEAR(In_COD))</f>
        <v>114.276118367872</v>
      </c>
      <c r="DX109" s="29" t="n">
        <f aca="false">In_PPA_Price*(1+In_PPA_Esc)^(DX$7-YEAR(In_COD))</f>
        <v>115.418879551551</v>
      </c>
      <c r="DY109" s="29" t="n">
        <f aca="false">In_PPA_Price*(1+In_PPA_Esc)^(DY$7-YEAR(In_COD))</f>
        <v>115.418879551551</v>
      </c>
      <c r="DZ109" s="29" t="n">
        <f aca="false">In_PPA_Price*(1+In_PPA_Esc)^(DZ$7-YEAR(In_COD))</f>
        <v>115.418879551551</v>
      </c>
      <c r="EA109" s="29" t="n">
        <f aca="false">In_PPA_Price*(1+In_PPA_Esc)^(EA$7-YEAR(In_COD))</f>
        <v>115.418879551551</v>
      </c>
      <c r="EB109" s="29" t="n">
        <f aca="false">In_PPA_Price*(1+In_PPA_Esc)^(EB$7-YEAR(In_COD))</f>
        <v>116.573068347067</v>
      </c>
      <c r="EC109" s="29" t="n">
        <f aca="false">In_PPA_Price*(1+In_PPA_Esc)^(EC$7-YEAR(In_COD))</f>
        <v>116.573068347067</v>
      </c>
      <c r="ED109" s="29" t="n">
        <f aca="false">In_PPA_Price*(1+In_PPA_Esc)^(ED$7-YEAR(In_COD))</f>
        <v>116.573068347067</v>
      </c>
      <c r="EE109" s="29" t="n">
        <f aca="false">In_PPA_Price*(1+In_PPA_Esc)^(EE$7-YEAR(In_COD))</f>
        <v>116.573068347067</v>
      </c>
      <c r="EF109" s="29" t="n">
        <f aca="false">In_PPA_Price*(1+In_PPA_Esc)^(EF$7-YEAR(In_COD))</f>
        <v>117.738799030537</v>
      </c>
      <c r="EG109" s="29" t="n">
        <f aca="false">In_PPA_Price*(1+In_PPA_Esc)^(EG$7-YEAR(In_COD))</f>
        <v>117.738799030537</v>
      </c>
      <c r="EH109" s="29" t="n">
        <f aca="false">In_PPA_Price*(1+In_PPA_Esc)^(EH$7-YEAR(In_COD))</f>
        <v>117.738799030537</v>
      </c>
      <c r="EI109" s="29" t="n">
        <f aca="false">In_PPA_Price*(1+In_PPA_Esc)^(EI$7-YEAR(In_COD))</f>
        <v>117.738799030537</v>
      </c>
      <c r="EJ109" s="29" t="n">
        <f aca="false">In_PPA_Price*(1+In_PPA_Esc)^(EJ$7-YEAR(In_COD))</f>
        <v>118.916187020843</v>
      </c>
      <c r="EK109" s="29" t="n">
        <f aca="false">In_PPA_Price*(1+In_PPA_Esc)^(EK$7-YEAR(In_COD))</f>
        <v>118.916187020843</v>
      </c>
      <c r="EL109" s="29" t="n">
        <f aca="false">In_PPA_Price*(1+In_PPA_Esc)^(EL$7-YEAR(In_COD))</f>
        <v>118.916187020843</v>
      </c>
      <c r="EM109" s="29" t="n">
        <f aca="false">In_PPA_Price*(1+In_PPA_Esc)^(EM$7-YEAR(In_COD))</f>
        <v>118.916187020843</v>
      </c>
      <c r="EN109" s="29" t="n">
        <f aca="false">In_PPA_Price*(1+In_PPA_Esc)^(EN$7-YEAR(In_COD))</f>
        <v>120.105348891051</v>
      </c>
      <c r="EO109" s="29" t="n">
        <f aca="false">In_PPA_Price*(1+In_PPA_Esc)^(EO$7-YEAR(In_COD))</f>
        <v>120.105348891051</v>
      </c>
      <c r="EP109" s="29" t="n">
        <f aca="false">In_PPA_Price*(1+In_PPA_Esc)^(EP$7-YEAR(In_COD))</f>
        <v>120.105348891051</v>
      </c>
      <c r="EQ109" s="29" t="n">
        <f aca="false">In_PPA_Price*(1+In_PPA_Esc)^(EQ$7-YEAR(In_COD))</f>
        <v>120.105348891051</v>
      </c>
      <c r="ER109" s="29" t="n">
        <f aca="false">In_PPA_Price*(1+In_PPA_Esc)^(ER$7-YEAR(In_COD))</f>
        <v>121.306402379962</v>
      </c>
      <c r="ES109" s="29" t="n">
        <f aca="false">In_PPA_Price*(1+In_PPA_Esc)^(ES$7-YEAR(In_COD))</f>
        <v>121.306402379962</v>
      </c>
      <c r="ET109" s="29" t="n">
        <f aca="false">In_PPA_Price*(1+In_PPA_Esc)^(ET$7-YEAR(In_COD))</f>
        <v>121.306402379962</v>
      </c>
    </row>
    <row r="110" customFormat="false" ht="15" hidden="false" customHeight="false" outlineLevel="0" collapsed="false">
      <c r="C110" s="1" t="s">
        <v>524</v>
      </c>
      <c r="D110" s="12" t="s">
        <v>458</v>
      </c>
      <c r="I110" s="47" t="n">
        <f aca="false">SUM(J110:ET110)</f>
        <v>6931492.24461103</v>
      </c>
      <c r="J110" s="47" t="n">
        <f aca="false">$F24*In_P50_Hours*(1-In_Curtailment)*(1-$E27)*(1-In_Degradation)^(J107-1)*J15*J$6</f>
        <v>0</v>
      </c>
      <c r="K110" s="47" t="n">
        <f aca="false">$F24*In_P50_Hours*(1-In_Curtailment)*(1-$E27)*(1-In_Degradation)^(K107-1)*K15*K$6</f>
        <v>0</v>
      </c>
      <c r="L110" s="47" t="n">
        <f aca="false">$F24*In_P50_Hours*(1-In_Curtailment)*(1-$E27)*(1-In_Degradation)^(L107-1)*L15*L$6</f>
        <v>0</v>
      </c>
      <c r="M110" s="47" t="n">
        <f aca="false">$F24*In_P50_Hours*(1-In_Curtailment)*(1-$E27)*(1-In_Degradation)^(M107-1)*M15*M$6</f>
        <v>0</v>
      </c>
      <c r="N110" s="47" t="n">
        <f aca="false">$F24*In_P50_Hours*(1-In_Curtailment)*(1-$E27)*(1-In_Degradation)^(N107-1)*N15*N$6</f>
        <v>0</v>
      </c>
      <c r="O110" s="47" t="n">
        <f aca="false">$F24*In_P50_Hours*(1-In_Curtailment)*(1-$E27)*(1-In_Degradation)^(O107-1)*O15*O$6</f>
        <v>0</v>
      </c>
      <c r="P110" s="47" t="n">
        <f aca="false">$F24*In_P50_Hours*(1-In_Curtailment)*(1-$E27)*(1-In_Degradation)^(P107-1)*P15*P$6</f>
        <v>0</v>
      </c>
      <c r="Q110" s="47" t="n">
        <f aca="false">$F24*In_P50_Hours*(1-In_Curtailment)*(1-$E27)*(1-In_Degradation)^(Q107-1)*Q15*Q$6</f>
        <v>0</v>
      </c>
      <c r="R110" s="47" t="n">
        <f aca="false">$F24*In_P50_Hours*(1-In_Curtailment)*(1-$E27)*(1-In_Degradation)^(R107-1)*R15*R$6</f>
        <v>0</v>
      </c>
      <c r="S110" s="47" t="n">
        <f aca="false">$F24*In_P50_Hours*(1-In_Curtailment)*(1-$E27)*(1-In_Degradation)^(S107-1)*S15*S$6</f>
        <v>0</v>
      </c>
      <c r="T110" s="47" t="n">
        <f aca="false">$F24*In_P50_Hours*(1-In_Curtailment)*(1-$E27)*(1-In_Degradation)^(T107-1)*T15*T$6</f>
        <v>0</v>
      </c>
      <c r="U110" s="47" t="n">
        <f aca="false">$F24*In_P50_Hours*(1-In_Curtailment)*(1-$E27)*(1-In_Degradation)^(U107-1)*U15*U$6</f>
        <v>0</v>
      </c>
      <c r="V110" s="47" t="n">
        <f aca="false">$F24*In_P50_Hours*(1-In_Curtailment)*(1-$E27)*(1-In_Degradation)^(V107-1)*V15*V$6</f>
        <v>0</v>
      </c>
      <c r="W110" s="47" t="n">
        <f aca="false">$F24*In_P50_Hours*(1-In_Curtailment)*(1-$E27)*(1-In_Degradation)^(W107-1)*W15*W$6</f>
        <v>0</v>
      </c>
      <c r="X110" s="47" t="n">
        <f aca="false">$F24*In_P50_Hours*(1-In_Curtailment)*(1-$E27)*(1-In_Degradation)^(X107-1)*X15*X$6</f>
        <v>0</v>
      </c>
      <c r="Y110" s="47" t="n">
        <f aca="false">$F24*In_P50_Hours*(1-In_Curtailment)*(1-$E27)*(1-In_Degradation)^(Y107-1)*Y15*Y$6</f>
        <v>0</v>
      </c>
      <c r="Z110" s="47" t="n">
        <f aca="false">$F24*In_P50_Hours*(1-In_Curtailment)*(1-$E27)*(1-In_Degradation)^(Z107-1)*Z15*Z$6</f>
        <v>0</v>
      </c>
      <c r="AA110" s="47" t="n">
        <f aca="false">$F24*In_P50_Hours*(1-In_Curtailment)*(1-$E27)*(1-In_Degradation)^(AA107-1)*AA15*AA$6</f>
        <v>0</v>
      </c>
      <c r="AB110" s="47" t="n">
        <f aca="false">$F24*In_P50_Hours*(1-In_Curtailment)*(1-$E27)*(1-In_Degradation)^(AB107-1)*AB15*AB$6</f>
        <v>0</v>
      </c>
      <c r="AC110" s="47" t="n">
        <f aca="false">$F24*In_P50_Hours*(1-In_Curtailment)*(1-$E27)*(1-In_Degradation)^(AC107-1)*AC15*AC$6</f>
        <v>0</v>
      </c>
      <c r="AD110" s="47" t="n">
        <f aca="false">$F24*In_P50_Hours*(1-In_Curtailment)*(1-$E27)*(1-In_Degradation)^(AD107-1)*AD15*AD$6</f>
        <v>0</v>
      </c>
      <c r="AE110" s="47" t="n">
        <f aca="false">$F24*In_P50_Hours*(1-In_Curtailment)*(1-$E27)*(1-In_Degradation)^(AE107-1)*AE15*AE$6</f>
        <v>60765.3698630137</v>
      </c>
      <c r="AF110" s="47" t="n">
        <f aca="false">$F24*In_P50_Hours*(1-In_Curtailment)*(1-$E27)*(1-In_Degradation)^(AF107-1)*AF15*AF$6</f>
        <v>60104.8767123288</v>
      </c>
      <c r="AG110" s="47" t="n">
        <f aca="false">$F24*In_P50_Hours*(1-In_Curtailment)*(1-$E27)*(1-In_Degradation)^(AG107-1)*AG15*AG$6</f>
        <v>60104.8767123288</v>
      </c>
      <c r="AH110" s="47" t="n">
        <f aca="false">$F24*In_P50_Hours*(1-In_Curtailment)*(1-$E27)*(1-In_Degradation)^(AH107-1)*AH15*AH$6</f>
        <v>60765.3698630137</v>
      </c>
      <c r="AI110" s="47" t="n">
        <f aca="false">$F24*In_P50_Hours*(1-In_Curtailment)*(1-$E27)*(1-In_Degradation)^(AI107-1)*AI15*AI$6</f>
        <v>60583.0737534247</v>
      </c>
      <c r="AJ110" s="47" t="n">
        <f aca="false">$F24*In_P50_Hours*(1-In_Curtailment)*(1-$E27)*(1-In_Degradation)^(AJ107-1)*AJ15*AJ$6</f>
        <v>59266.0504109589</v>
      </c>
      <c r="AK110" s="47" t="n">
        <f aca="false">$F24*In_P50_Hours*(1-In_Curtailment)*(1-$E27)*(1-In_Degradation)^(AK107-1)*AK15*AK$6</f>
        <v>59924.5620821918</v>
      </c>
      <c r="AL110" s="47" t="n">
        <f aca="false">$F24*In_P50_Hours*(1-In_Curtailment)*(1-$E27)*(1-In_Degradation)^(AL107-1)*AL15*AL$6</f>
        <v>60583.0737534247</v>
      </c>
      <c r="AM110" s="47" t="n">
        <f aca="false">$F24*In_P50_Hours*(1-In_Curtailment)*(1-$E27)*(1-In_Degradation)^(AM107-1)*AM15*AM$6</f>
        <v>60401.3245321644</v>
      </c>
      <c r="AN110" s="47" t="n">
        <f aca="false">$F24*In_P50_Hours*(1-In_Curtailment)*(1-$E27)*(1-In_Degradation)^(AN107-1)*AN15*AN$6</f>
        <v>59088.252259726</v>
      </c>
      <c r="AO110" s="47" t="n">
        <f aca="false">$F24*In_P50_Hours*(1-In_Curtailment)*(1-$E27)*(1-In_Degradation)^(AO107-1)*AO15*AO$6</f>
        <v>59744.7883959452</v>
      </c>
      <c r="AP110" s="47" t="n">
        <f aca="false">$F24*In_P50_Hours*(1-In_Curtailment)*(1-$E27)*(1-In_Degradation)^(AP107-1)*AP15*AP$6</f>
        <v>60401.3245321644</v>
      </c>
      <c r="AQ110" s="47" t="n">
        <f aca="false">$F24*In_P50_Hours*(1-In_Curtailment)*(1-$E27)*(1-In_Degradation)^(AQ107-1)*AQ15*AQ$6</f>
        <v>60220.1205585679</v>
      </c>
      <c r="AR110" s="47" t="n">
        <f aca="false">$F24*In_P50_Hours*(1-In_Curtailment)*(1-$E27)*(1-In_Degradation)^(AR107-1)*AR15*AR$6</f>
        <v>58910.9875029468</v>
      </c>
      <c r="AS110" s="47" t="n">
        <f aca="false">$F24*In_P50_Hours*(1-In_Curtailment)*(1-$E27)*(1-In_Degradation)^(AS107-1)*AS15*AS$6</f>
        <v>59565.5540307574</v>
      </c>
      <c r="AT110" s="47" t="n">
        <f aca="false">$F24*In_P50_Hours*(1-In_Curtailment)*(1-$E27)*(1-In_Degradation)^(AT107-1)*AT15*AT$6</f>
        <v>60220.1205585679</v>
      </c>
      <c r="AU110" s="47" t="n">
        <f aca="false">$F24*In_P50_Hours*(1-In_Curtailment)*(1-$E27)*(1-In_Degradation)^(AU107-1)*AU15*AU$6</f>
        <v>60039.4601968922</v>
      </c>
      <c r="AV110" s="47" t="n">
        <f aca="false">$F24*In_P50_Hours*(1-In_Curtailment)*(1-$E27)*(1-In_Degradation)^(AV107-1)*AV15*AV$6</f>
        <v>59386.8573686651</v>
      </c>
      <c r="AW110" s="47" t="n">
        <f aca="false">$F24*In_P50_Hours*(1-In_Curtailment)*(1-$E27)*(1-In_Degradation)^(AW107-1)*AW15*AW$6</f>
        <v>59386.8573686651</v>
      </c>
      <c r="AX110" s="47" t="n">
        <f aca="false">$F24*In_P50_Hours*(1-In_Curtailment)*(1-$E27)*(1-In_Degradation)^(AX107-1)*AX15*AX$6</f>
        <v>60039.4601968922</v>
      </c>
      <c r="AY110" s="47" t="n">
        <f aca="false">$F24*In_P50_Hours*(1-In_Curtailment)*(1-$E27)*(1-In_Degradation)^(AY107-1)*AY15*AY$6</f>
        <v>59859.3418163015</v>
      </c>
      <c r="AZ110" s="47" t="n">
        <f aca="false">$F24*In_P50_Hours*(1-In_Curtailment)*(1-$E27)*(1-In_Degradation)^(AZ107-1)*AZ15*AZ$6</f>
        <v>58558.0517768167</v>
      </c>
      <c r="BA110" s="47" t="n">
        <f aca="false">$F24*In_P50_Hours*(1-In_Curtailment)*(1-$E27)*(1-In_Degradation)^(BA107-1)*BA15*BA$6</f>
        <v>59208.6967965591</v>
      </c>
      <c r="BB110" s="47" t="n">
        <f aca="false">$F24*In_P50_Hours*(1-In_Curtailment)*(1-$E27)*(1-In_Degradation)^(BB107-1)*BB15*BB$6</f>
        <v>59859.3418163015</v>
      </c>
      <c r="BC110" s="47" t="n">
        <f aca="false">$F24*In_P50_Hours*(1-In_Curtailment)*(1-$E27)*(1-In_Degradation)^(BC107-1)*BC15*BC$6</f>
        <v>59679.7637908526</v>
      </c>
      <c r="BD110" s="47" t="n">
        <f aca="false">$F24*In_P50_Hours*(1-In_Curtailment)*(1-$E27)*(1-In_Degradation)^(BD107-1)*BD15*BD$6</f>
        <v>58382.3776214862</v>
      </c>
      <c r="BE110" s="47" t="n">
        <f aca="false">$F24*In_P50_Hours*(1-In_Curtailment)*(1-$E27)*(1-In_Degradation)^(BE107-1)*BE15*BE$6</f>
        <v>59031.0707061694</v>
      </c>
      <c r="BF110" s="47" t="n">
        <f aca="false">$F24*In_P50_Hours*(1-In_Curtailment)*(1-$E27)*(1-In_Degradation)^(BF107-1)*BF15*BF$6</f>
        <v>59679.7637908526</v>
      </c>
      <c r="BG110" s="47" t="n">
        <f aca="false">$F24*In_P50_Hours*(1-In_Curtailment)*(1-$E27)*(1-In_Degradation)^(BG107-1)*BG15*BG$6</f>
        <v>59500.7244994801</v>
      </c>
      <c r="BH110" s="47" t="n">
        <f aca="false">$F24*In_P50_Hours*(1-In_Curtailment)*(1-$E27)*(1-In_Degradation)^(BH107-1)*BH15*BH$6</f>
        <v>58207.2304886218</v>
      </c>
      <c r="BI110" s="47" t="n">
        <f aca="false">$F24*In_P50_Hours*(1-In_Curtailment)*(1-$E27)*(1-In_Degradation)^(BI107-1)*BI15*BI$6</f>
        <v>58853.9774940509</v>
      </c>
      <c r="BJ110" s="47" t="n">
        <f aca="false">$F24*In_P50_Hours*(1-In_Curtailment)*(1-$E27)*(1-In_Degradation)^(BJ107-1)*BJ15*BJ$6</f>
        <v>59500.7244994801</v>
      </c>
      <c r="BK110" s="47" t="n">
        <f aca="false">$F24*In_P50_Hours*(1-In_Curtailment)*(1-$E27)*(1-In_Degradation)^(BK107-1)*BK15*BK$6</f>
        <v>59322.2223259816</v>
      </c>
      <c r="BL110" s="47" t="n">
        <f aca="false">$F24*In_P50_Hours*(1-In_Curtailment)*(1-$E27)*(1-In_Degradation)^(BL107-1)*BL15*BL$6</f>
        <v>58677.4155615688</v>
      </c>
      <c r="BM110" s="47" t="n">
        <f aca="false">$F24*In_P50_Hours*(1-In_Curtailment)*(1-$E27)*(1-In_Degradation)^(BM107-1)*BM15*BM$6</f>
        <v>58677.4155615688</v>
      </c>
      <c r="BN110" s="47" t="n">
        <f aca="false">$F24*In_P50_Hours*(1-In_Curtailment)*(1-$E27)*(1-In_Degradation)^(BN107-1)*BN15*BN$6</f>
        <v>59322.2223259816</v>
      </c>
      <c r="BO110" s="47" t="n">
        <f aca="false">$F24*In_P50_Hours*(1-In_Curtailment)*(1-$E27)*(1-In_Degradation)^(BO107-1)*BO15*BO$6</f>
        <v>59144.2556590037</v>
      </c>
      <c r="BP110" s="47" t="n">
        <f aca="false">$F24*In_P50_Hours*(1-In_Curtailment)*(1-$E27)*(1-In_Degradation)^(BP107-1)*BP15*BP$6</f>
        <v>57858.5109707644</v>
      </c>
      <c r="BQ110" s="47" t="n">
        <f aca="false">$F24*In_P50_Hours*(1-In_Curtailment)*(1-$E27)*(1-In_Degradation)^(BQ107-1)*BQ15*BQ$6</f>
        <v>58501.3833148841</v>
      </c>
      <c r="BR110" s="47" t="n">
        <f aca="false">$F24*In_P50_Hours*(1-In_Curtailment)*(1-$E27)*(1-In_Degradation)^(BR107-1)*BR15*BR$6</f>
        <v>59144.2556590037</v>
      </c>
      <c r="BS110" s="47" t="n">
        <f aca="false">$F24*In_P50_Hours*(1-In_Curtailment)*(1-$E27)*(1-In_Degradation)^(BS107-1)*BS15*BS$6</f>
        <v>58966.8228920267</v>
      </c>
      <c r="BT110" s="47" t="n">
        <f aca="false">$F24*In_P50_Hours*(1-In_Curtailment)*(1-$E27)*(1-In_Degradation)^(BT107-1)*BT15*BT$6</f>
        <v>57684.9354378522</v>
      </c>
      <c r="BU110" s="47" t="n">
        <f aca="false">$F24*In_P50_Hours*(1-In_Curtailment)*(1-$E27)*(1-In_Degradation)^(BU107-1)*BU15*BU$6</f>
        <v>58325.8791649394</v>
      </c>
      <c r="BV110" s="47" t="n">
        <f aca="false">$F24*In_P50_Hours*(1-In_Curtailment)*(1-$E27)*(1-In_Degradation)^(BV107-1)*BV15*BV$6</f>
        <v>58966.8228920267</v>
      </c>
      <c r="BW110" s="47" t="n">
        <f aca="false">$F24*In_P50_Hours*(1-In_Curtailment)*(1-$E27)*(1-In_Degradation)^(BW107-1)*BW15*BW$6</f>
        <v>58789.9224233506</v>
      </c>
      <c r="BX110" s="47" t="n">
        <f aca="false">$F24*In_P50_Hours*(1-In_Curtailment)*(1-$E27)*(1-In_Degradation)^(BX107-1)*BX15*BX$6</f>
        <v>57511.8806315386</v>
      </c>
      <c r="BY110" s="47" t="n">
        <f aca="false">$F24*In_P50_Hours*(1-In_Curtailment)*(1-$E27)*(1-In_Degradation)^(BY107-1)*BY15*BY$6</f>
        <v>58150.9015274446</v>
      </c>
      <c r="BZ110" s="47" t="n">
        <f aca="false">$F24*In_P50_Hours*(1-In_Curtailment)*(1-$E27)*(1-In_Degradation)^(BZ107-1)*BZ15*BZ$6</f>
        <v>58789.9224233506</v>
      </c>
      <c r="CA110" s="47" t="n">
        <f aca="false">$F24*In_P50_Hours*(1-In_Curtailment)*(1-$E27)*(1-In_Degradation)^(CA107-1)*CA15*CA$6</f>
        <v>58613.5526560805</v>
      </c>
      <c r="CB110" s="47" t="n">
        <f aca="false">$F24*In_P50_Hours*(1-In_Curtailment)*(1-$E27)*(1-In_Degradation)^(CB107-1)*CB15*CB$6</f>
        <v>57976.4488228623</v>
      </c>
      <c r="CC110" s="47" t="n">
        <f aca="false">$F24*In_P50_Hours*(1-In_Curtailment)*(1-$E27)*(1-In_Degradation)^(CC107-1)*CC15*CC$6</f>
        <v>57976.4488228623</v>
      </c>
      <c r="CD110" s="47" t="n">
        <f aca="false">$F24*In_P50_Hours*(1-In_Curtailment)*(1-$E27)*(1-In_Degradation)^(CD107-1)*CD15*CD$6</f>
        <v>58613.5526560805</v>
      </c>
      <c r="CE110" s="47" t="n">
        <f aca="false">$F24*In_P50_Hours*(1-In_Curtailment)*(1-$E27)*(1-In_Degradation)^(CE107-1)*CE15*CE$6</f>
        <v>58437.7119981123</v>
      </c>
      <c r="CF110" s="47" t="n">
        <f aca="false">$F24*In_P50_Hours*(1-In_Curtailment)*(1-$E27)*(1-In_Degradation)^(CF107-1)*CF15*CF$6</f>
        <v>57167.326954675</v>
      </c>
      <c r="CG110" s="47" t="n">
        <f aca="false">$F24*In_P50_Hours*(1-In_Curtailment)*(1-$E27)*(1-In_Degradation)^(CG107-1)*CG15*CG$6</f>
        <v>57802.5194763937</v>
      </c>
      <c r="CH110" s="47" t="n">
        <f aca="false">$F24*In_P50_Hours*(1-In_Curtailment)*(1-$E27)*(1-In_Degradation)^(CH107-1)*CH15*CH$6</f>
        <v>58437.7119981123</v>
      </c>
      <c r="CI110" s="47" t="n">
        <f aca="false">$F24*In_P50_Hours*(1-In_Curtailment)*(1-$E27)*(1-In_Degradation)^(CI107-1)*CI15*CI$6</f>
        <v>58262.398862118</v>
      </c>
      <c r="CJ110" s="47" t="n">
        <f aca="false">$F24*In_P50_Hours*(1-In_Curtailment)*(1-$E27)*(1-In_Degradation)^(CJ107-1)*CJ15*CJ$6</f>
        <v>56995.824973811</v>
      </c>
      <c r="CK110" s="47" t="n">
        <f aca="false">$F24*In_P50_Hours*(1-In_Curtailment)*(1-$E27)*(1-In_Degradation)^(CK107-1)*CK15*CK$6</f>
        <v>57629.1119179645</v>
      </c>
      <c r="CL110" s="47" t="n">
        <f aca="false">$F24*In_P50_Hours*(1-In_Curtailment)*(1-$E27)*(1-In_Degradation)^(CL107-1)*CL15*CL$6</f>
        <v>58262.398862118</v>
      </c>
      <c r="CM110" s="47" t="n">
        <f aca="false">$F24*In_P50_Hours*(1-In_Curtailment)*(1-$E27)*(1-In_Degradation)^(CM107-1)*CM15*CM$6</f>
        <v>58087.6116655316</v>
      </c>
      <c r="CN110" s="47" t="n">
        <f aca="false">$F24*In_P50_Hours*(1-In_Curtailment)*(1-$E27)*(1-In_Degradation)^(CN107-1)*CN15*CN$6</f>
        <v>56824.8374988896</v>
      </c>
      <c r="CO110" s="47" t="n">
        <f aca="false">$F24*In_P50_Hours*(1-In_Curtailment)*(1-$E27)*(1-In_Degradation)^(CO107-1)*CO15*CO$6</f>
        <v>57456.2245822106</v>
      </c>
      <c r="CP110" s="47" t="n">
        <f aca="false">$F24*In_P50_Hours*(1-In_Curtailment)*(1-$E27)*(1-In_Degradation)^(CP107-1)*CP15*CP$6</f>
        <v>58087.6116655316</v>
      </c>
      <c r="CQ110" s="47" t="n">
        <f aca="false">$F24*In_P50_Hours*(1-In_Curtailment)*(1-$E27)*(1-In_Degradation)^(CQ107-1)*CQ15*CQ$6</f>
        <v>57913.348830535</v>
      </c>
      <c r="CR110" s="47" t="n">
        <f aca="false">$F24*In_P50_Hours*(1-In_Curtailment)*(1-$E27)*(1-In_Degradation)^(CR107-1)*CR15*CR$6</f>
        <v>57283.855908464</v>
      </c>
      <c r="CS110" s="47" t="n">
        <f aca="false">$F24*In_P50_Hours*(1-In_Curtailment)*(1-$E27)*(1-In_Degradation)^(CS107-1)*CS15*CS$6</f>
        <v>57283.855908464</v>
      </c>
      <c r="CT110" s="47" t="n">
        <f aca="false">$F24*In_P50_Hours*(1-In_Curtailment)*(1-$E27)*(1-In_Degradation)^(CT107-1)*CT15*CT$6</f>
        <v>57913.348830535</v>
      </c>
      <c r="CU110" s="47" t="n">
        <f aca="false">$F24*In_P50_Hours*(1-In_Curtailment)*(1-$E27)*(1-In_Degradation)^(CU107-1)*CU15*CU$6</f>
        <v>57739.6087840434</v>
      </c>
      <c r="CV110" s="47" t="n">
        <f aca="false">$F24*In_P50_Hours*(1-In_Curtailment)*(1-$E27)*(1-In_Degradation)^(CV107-1)*CV15*CV$6</f>
        <v>56484.3998974337</v>
      </c>
      <c r="CW110" s="47" t="n">
        <f aca="false">$F24*In_P50_Hours*(1-In_Curtailment)*(1-$E27)*(1-In_Degradation)^(CW107-1)*CW15*CW$6</f>
        <v>57112.0043407386</v>
      </c>
      <c r="CX110" s="47" t="n">
        <f aca="false">$F24*In_P50_Hours*(1-In_Curtailment)*(1-$E27)*(1-In_Degradation)^(CX107-1)*CX15*CX$6</f>
        <v>57739.6087840434</v>
      </c>
      <c r="CY110" s="47" t="n">
        <f aca="false">$F24*In_P50_Hours*(1-In_Curtailment)*(1-$E27)*(1-In_Degradation)^(CY107-1)*CY15*CY$6</f>
        <v>57566.3899576913</v>
      </c>
      <c r="CZ110" s="47" t="n">
        <f aca="false">$F24*In_P50_Hours*(1-In_Curtailment)*(1-$E27)*(1-In_Degradation)^(CZ107-1)*CZ15*CZ$6</f>
        <v>56314.9466977414</v>
      </c>
      <c r="DA110" s="47" t="n">
        <f aca="false">$F24*In_P50_Hours*(1-In_Curtailment)*(1-$E27)*(1-In_Degradation)^(DA107-1)*DA15*DA$6</f>
        <v>56940.6683277164</v>
      </c>
      <c r="DB110" s="47" t="n">
        <f aca="false">$F24*In_P50_Hours*(1-In_Curtailment)*(1-$E27)*(1-In_Degradation)^(DB107-1)*DB15*DB$6</f>
        <v>57566.3899576913</v>
      </c>
      <c r="DC110" s="47" t="n">
        <f aca="false">$F24*In_P50_Hours*(1-In_Curtailment)*(1-$E27)*(1-In_Degradation)^(DC107-1)*DC15*DC$6</f>
        <v>57393.6907878182</v>
      </c>
      <c r="DD110" s="47" t="n">
        <f aca="false">$F24*In_P50_Hours*(1-In_Curtailment)*(1-$E27)*(1-In_Degradation)^(DD107-1)*DD15*DD$6</f>
        <v>56146.0018576482</v>
      </c>
      <c r="DE110" s="47" t="n">
        <f aca="false">$F24*In_P50_Hours*(1-In_Curtailment)*(1-$E27)*(1-In_Degradation)^(DE107-1)*DE15*DE$6</f>
        <v>56769.8463227332</v>
      </c>
      <c r="DF110" s="47" t="n">
        <f aca="false">$F24*In_P50_Hours*(1-In_Curtailment)*(1-$E27)*(1-In_Degradation)^(DF107-1)*DF15*DF$6</f>
        <v>57393.6907878182</v>
      </c>
      <c r="DG110" s="47" t="n">
        <f aca="false">$F24*In_P50_Hours*(1-In_Curtailment)*(1-$E27)*(1-In_Degradation)^(DG107-1)*DG15*DG$6</f>
        <v>57221.5097154547</v>
      </c>
      <c r="DH110" s="47" t="n">
        <f aca="false">$F24*In_P50_Hours*(1-In_Curtailment)*(1-$E27)*(1-In_Degradation)^(DH107-1)*DH15*DH$6</f>
        <v>56599.536783765</v>
      </c>
      <c r="DI110" s="47" t="n">
        <f aca="false">$F24*In_P50_Hours*(1-In_Curtailment)*(1-$E27)*(1-In_Degradation)^(DI107-1)*DI15*DI$6</f>
        <v>56599.536783765</v>
      </c>
      <c r="DJ110" s="47" t="n">
        <f aca="false">$F24*In_P50_Hours*(1-In_Curtailment)*(1-$E27)*(1-In_Degradation)^(DJ107-1)*DJ15*DJ$6</f>
        <v>57221.5097154547</v>
      </c>
      <c r="DK110" s="47" t="n">
        <f aca="false">$F24*In_P50_Hours*(1-In_Curtailment)*(1-$E27)*(1-In_Degradation)^(DK107-1)*DK15*DK$6</f>
        <v>57049.8451863084</v>
      </c>
      <c r="DL110" s="47" t="n">
        <f aca="false">$F24*In_P50_Hours*(1-In_Curtailment)*(1-$E27)*(1-In_Degradation)^(DL107-1)*DL15*DL$6</f>
        <v>55809.6311605191</v>
      </c>
      <c r="DM110" s="47" t="n">
        <f aca="false">$F24*In_P50_Hours*(1-In_Curtailment)*(1-$E27)*(1-In_Degradation)^(DM107-1)*DM15*DM$6</f>
        <v>56429.7381734137</v>
      </c>
      <c r="DN110" s="47" t="n">
        <f aca="false">$F24*In_P50_Hours*(1-In_Curtailment)*(1-$E27)*(1-In_Degradation)^(DN107-1)*DN15*DN$6</f>
        <v>57049.8451863084</v>
      </c>
      <c r="DO110" s="47" t="n">
        <f aca="false">$F24*In_P50_Hours*(1-In_Curtailment)*(1-$E27)*(1-In_Degradation)^(DO107-1)*DO15*DO$6</f>
        <v>56878.6956507494</v>
      </c>
      <c r="DP110" s="47" t="n">
        <f aca="false">$F24*In_P50_Hours*(1-In_Curtailment)*(1-$E27)*(1-In_Degradation)^(DP107-1)*DP15*DP$6</f>
        <v>55642.2022670375</v>
      </c>
      <c r="DQ110" s="47" t="n">
        <f aca="false">$F24*In_P50_Hours*(1-In_Curtailment)*(1-$E27)*(1-In_Degradation)^(DQ107-1)*DQ15*DQ$6</f>
        <v>56260.4489588935</v>
      </c>
      <c r="DR110" s="47" t="n">
        <f aca="false">$F24*In_P50_Hours*(1-In_Curtailment)*(1-$E27)*(1-In_Degradation)^(DR107-1)*DR15*DR$6</f>
        <v>56878.6956507494</v>
      </c>
      <c r="DS110" s="47" t="n">
        <f aca="false">$F24*In_P50_Hours*(1-In_Curtailment)*(1-$E27)*(1-In_Degradation)^(DS107-1)*DS15*DS$6</f>
        <v>56708.0595637972</v>
      </c>
      <c r="DT110" s="47" t="n">
        <f aca="false">$F24*In_P50_Hours*(1-In_Curtailment)*(1-$E27)*(1-In_Degradation)^(DT107-1)*DT15*DT$6</f>
        <v>55475.2756602364</v>
      </c>
      <c r="DU110" s="47" t="n">
        <f aca="false">$F24*In_P50_Hours*(1-In_Curtailment)*(1-$E27)*(1-In_Degradation)^(DU107-1)*DU15*DU$6</f>
        <v>56091.6676120168</v>
      </c>
      <c r="DV110" s="47" t="n">
        <f aca="false">$F24*In_P50_Hours*(1-In_Curtailment)*(1-$E27)*(1-In_Degradation)^(DV107-1)*DV15*DV$6</f>
        <v>56708.0595637972</v>
      </c>
      <c r="DW110" s="47" t="n">
        <f aca="false">$F24*In_P50_Hours*(1-In_Curtailment)*(1-$E27)*(1-In_Degradation)^(DW107-1)*DW15*DW$6</f>
        <v>56537.9353851058</v>
      </c>
      <c r="DX110" s="47" t="n">
        <f aca="false">$F24*In_P50_Hours*(1-In_Curtailment)*(1-$E27)*(1-In_Degradation)^(DX107-1)*DX15*DX$6</f>
        <v>55923.3926091807</v>
      </c>
      <c r="DY110" s="47" t="n">
        <f aca="false">$F24*In_P50_Hours*(1-In_Curtailment)*(1-$E27)*(1-In_Degradation)^(DY107-1)*DY15*DY$6</f>
        <v>55923.3926091807</v>
      </c>
      <c r="DZ110" s="47" t="n">
        <f aca="false">$F24*In_P50_Hours*(1-In_Curtailment)*(1-$E27)*(1-In_Degradation)^(DZ107-1)*DZ15*DZ$6</f>
        <v>56537.9353851058</v>
      </c>
      <c r="EA110" s="47" t="n">
        <f aca="false">$F24*In_P50_Hours*(1-In_Curtailment)*(1-$E27)*(1-In_Degradation)^(EA107-1)*EA15*EA$6</f>
        <v>56368.3215789505</v>
      </c>
      <c r="EB110" s="47" t="n">
        <f aca="false">$F24*In_P50_Hours*(1-In_Curtailment)*(1-$E27)*(1-In_Degradation)^(EB107-1)*EB15*EB$6</f>
        <v>55142.9232837559</v>
      </c>
      <c r="EC110" s="47" t="n">
        <f aca="false">$F24*In_P50_Hours*(1-In_Curtailment)*(1-$E27)*(1-In_Degradation)^(EC107-1)*EC15*EC$6</f>
        <v>55755.6224313532</v>
      </c>
      <c r="ED110" s="47" t="n">
        <f aca="false">$F24*In_P50_Hours*(1-In_Curtailment)*(1-$E27)*(1-In_Degradation)^(ED107-1)*ED15*ED$6</f>
        <v>56368.3215789505</v>
      </c>
      <c r="EE110" s="47" t="n">
        <f aca="false">$F24*In_P50_Hours*(1-In_Curtailment)*(1-$E27)*(1-In_Degradation)^(EE107-1)*EE15*EE$6</f>
        <v>56199.2166142136</v>
      </c>
      <c r="EF110" s="47" t="n">
        <f aca="false">$F24*In_P50_Hours*(1-In_Curtailment)*(1-$E27)*(1-In_Degradation)^(EF107-1)*EF15*EF$6</f>
        <v>54977.4945139046</v>
      </c>
      <c r="EG110" s="47" t="n">
        <f aca="false">$F24*In_P50_Hours*(1-In_Curtailment)*(1-$E27)*(1-In_Degradation)^(EG107-1)*EG15*EG$6</f>
        <v>55588.3555640591</v>
      </c>
      <c r="EH110" s="47" t="n">
        <f aca="false">$F24*In_P50_Hours*(1-In_Curtailment)*(1-$E27)*(1-In_Degradation)^(EH107-1)*EH15*EH$6</f>
        <v>56199.2166142136</v>
      </c>
      <c r="EI110" s="47" t="n">
        <f aca="false">$F24*In_P50_Hours*(1-In_Curtailment)*(1-$E27)*(1-In_Degradation)^(EI107-1)*EI15*EI$6</f>
        <v>56030.618964371</v>
      </c>
      <c r="EJ110" s="47" t="n">
        <f aca="false">$F24*In_P50_Hours*(1-In_Curtailment)*(1-$E27)*(1-In_Degradation)^(EJ107-1)*EJ15*EJ$6</f>
        <v>54812.5620303629</v>
      </c>
      <c r="EK110" s="47" t="n">
        <f aca="false">$F24*In_P50_Hours*(1-In_Curtailment)*(1-$E27)*(1-In_Degradation)^(EK107-1)*EK15*EK$6</f>
        <v>55421.590497367</v>
      </c>
      <c r="EL110" s="47" t="n">
        <f aca="false">$F24*In_P50_Hours*(1-In_Curtailment)*(1-$E27)*(1-In_Degradation)^(EL107-1)*EL15*EL$6</f>
        <v>56030.618964371</v>
      </c>
      <c r="EM110" s="47" t="n">
        <f aca="false">$F24*In_P50_Hours*(1-In_Curtailment)*(1-$E27)*(1-In_Degradation)^(EM107-1)*EM15*EM$6</f>
        <v>55862.5271074779</v>
      </c>
      <c r="EN110" s="47" t="n">
        <f aca="false">$F24*In_P50_Hours*(1-In_Curtailment)*(1-$E27)*(1-In_Degradation)^(EN107-1)*EN15*EN$6</f>
        <v>55255.3257258749</v>
      </c>
      <c r="EO110" s="47" t="n">
        <f aca="false">$F24*In_P50_Hours*(1-In_Curtailment)*(1-$E27)*(1-In_Degradation)^(EO107-1)*EO15*EO$6</f>
        <v>55255.3257258749</v>
      </c>
      <c r="EP110" s="47" t="n">
        <f aca="false">$F24*In_P50_Hours*(1-In_Curtailment)*(1-$E27)*(1-In_Degradation)^(EP107-1)*EP15*EP$6</f>
        <v>55862.5271074779</v>
      </c>
      <c r="EQ110" s="47" t="n">
        <f aca="false">$F24*In_P50_Hours*(1-In_Curtailment)*(1-$E27)*(1-In_Degradation)^(EQ107-1)*EQ15*EQ$6</f>
        <v>55694.9395261554</v>
      </c>
      <c r="ER110" s="47" t="n">
        <f aca="false">$F24*In_P50_Hours*(1-In_Curtailment)*(1-$E27)*(1-In_Degradation)^(ER107-1)*ER15*ER$6</f>
        <v>54484.179971239</v>
      </c>
      <c r="ES110" s="47" t="n">
        <f aca="false">$F24*In_P50_Hours*(1-In_Curtailment)*(1-$E27)*(1-In_Degradation)^(ES107-1)*ES15*ES$6</f>
        <v>55089.5597486972</v>
      </c>
      <c r="ET110" s="47" t="n">
        <f aca="false">$F24*In_P50_Hours*(1-In_Curtailment)*(1-$E27)*(1-In_Degradation)^(ET107-1)*ET15*ET$6</f>
        <v>55694.9395261554</v>
      </c>
    </row>
    <row r="111" customFormat="false" ht="15" hidden="false" customHeight="false" outlineLevel="0" collapsed="false">
      <c r="C111" s="1" t="s">
        <v>525</v>
      </c>
      <c r="D111" s="12" t="s">
        <v>222</v>
      </c>
      <c r="I111" s="47" t="n">
        <f aca="false">SUM(J111:ET111)</f>
        <v>727113.739439716</v>
      </c>
      <c r="J111" s="47" t="n">
        <f aca="false">J110*J109/Thousand</f>
        <v>0</v>
      </c>
      <c r="K111" s="47" t="n">
        <f aca="false">K110*K109/Thousand</f>
        <v>0</v>
      </c>
      <c r="L111" s="47" t="n">
        <f aca="false">L110*L109/Thousand</f>
        <v>0</v>
      </c>
      <c r="M111" s="47" t="n">
        <f aca="false">M110*M109/Thousand</f>
        <v>0</v>
      </c>
      <c r="N111" s="47" t="n">
        <f aca="false">N110*N109/Thousand</f>
        <v>0</v>
      </c>
      <c r="O111" s="47" t="n">
        <f aca="false">O110*O109/Thousand</f>
        <v>0</v>
      </c>
      <c r="P111" s="47" t="n">
        <f aca="false">P110*P109/Thousand</f>
        <v>0</v>
      </c>
      <c r="Q111" s="47" t="n">
        <f aca="false">Q110*Q109/Thousand</f>
        <v>0</v>
      </c>
      <c r="R111" s="47" t="n">
        <f aca="false">R110*R109/Thousand</f>
        <v>0</v>
      </c>
      <c r="S111" s="47" t="n">
        <f aca="false">S110*S109/Thousand</f>
        <v>0</v>
      </c>
      <c r="T111" s="47" t="n">
        <f aca="false">T110*T109/Thousand</f>
        <v>0</v>
      </c>
      <c r="U111" s="47" t="n">
        <f aca="false">U110*U109/Thousand</f>
        <v>0</v>
      </c>
      <c r="V111" s="47" t="n">
        <f aca="false">V110*V109/Thousand</f>
        <v>0</v>
      </c>
      <c r="W111" s="47" t="n">
        <f aca="false">W110*W109/Thousand</f>
        <v>0</v>
      </c>
      <c r="X111" s="47" t="n">
        <f aca="false">X110*X109/Thousand</f>
        <v>0</v>
      </c>
      <c r="Y111" s="47" t="n">
        <f aca="false">Y110*Y109/Thousand</f>
        <v>0</v>
      </c>
      <c r="Z111" s="47" t="n">
        <f aca="false">Z110*Z109/Thousand</f>
        <v>0</v>
      </c>
      <c r="AA111" s="47" t="n">
        <f aca="false">AA110*AA109/Thousand</f>
        <v>0</v>
      </c>
      <c r="AB111" s="47" t="n">
        <f aca="false">AB110*AB109/Thousand</f>
        <v>0</v>
      </c>
      <c r="AC111" s="47" t="n">
        <f aca="false">AC110*AC109/Thousand</f>
        <v>0</v>
      </c>
      <c r="AD111" s="47" t="n">
        <f aca="false">AD110*AD109/Thousand</f>
        <v>0</v>
      </c>
      <c r="AE111" s="47" t="n">
        <f aca="false">AE110*AE109/Thousand</f>
        <v>5468.88328767123</v>
      </c>
      <c r="AF111" s="47" t="n">
        <f aca="false">AF110*AF109/Thousand</f>
        <v>5463.53329315069</v>
      </c>
      <c r="AG111" s="47" t="n">
        <f aca="false">AG110*AG109/Thousand</f>
        <v>5463.53329315069</v>
      </c>
      <c r="AH111" s="47" t="n">
        <f aca="false">AH110*AH109/Thousand</f>
        <v>5523.57212054795</v>
      </c>
      <c r="AI111" s="47" t="n">
        <f aca="false">AI110*AI109/Thousand</f>
        <v>5507.0014041863</v>
      </c>
      <c r="AJ111" s="47" t="n">
        <f aca="false">AJ110*AJ109/Thousand</f>
        <v>5441.15682217973</v>
      </c>
      <c r="AK111" s="47" t="n">
        <f aca="false">AK110*AK109/Thousand</f>
        <v>5501.61412020395</v>
      </c>
      <c r="AL111" s="47" t="n">
        <f aca="false">AL110*AL109/Thousand</f>
        <v>5562.07141822817</v>
      </c>
      <c r="AM111" s="47" t="n">
        <f aca="false">AM110*AM109/Thousand</f>
        <v>5545.38520397348</v>
      </c>
      <c r="AN111" s="47" t="n">
        <f aca="false">AN110*AN109/Thousand</f>
        <v>5479.08168523032</v>
      </c>
      <c r="AO111" s="47" t="n">
        <f aca="false">AO110*AO109/Thousand</f>
        <v>5539.96037062177</v>
      </c>
      <c r="AP111" s="47" t="n">
        <f aca="false">AP110*AP109/Thousand</f>
        <v>5600.83905601322</v>
      </c>
      <c r="AQ111" s="47" t="n">
        <f aca="false">AQ110*AQ109/Thousand</f>
        <v>5584.03653884518</v>
      </c>
      <c r="AR111" s="47" t="n">
        <f aca="false">AR110*AR109/Thousand</f>
        <v>5517.27088457637</v>
      </c>
      <c r="AS111" s="47" t="n">
        <f aca="false">AS110*AS109/Thousand</f>
        <v>5578.573894405</v>
      </c>
      <c r="AT111" s="47" t="n">
        <f aca="false">AT110*AT109/Thousand</f>
        <v>5639.87690423363</v>
      </c>
      <c r="AU111" s="47" t="n">
        <f aca="false">AU110*AU109/Thousand</f>
        <v>5622.95727352093</v>
      </c>
      <c r="AV111" s="47" t="n">
        <f aca="false">AV110*AV109/Thousand</f>
        <v>5617.456554449</v>
      </c>
      <c r="AW111" s="47" t="n">
        <f aca="false">AW110*AW109/Thousand</f>
        <v>5617.456554449</v>
      </c>
      <c r="AX111" s="47" t="n">
        <f aca="false">AX110*AX109/Thousand</f>
        <v>5679.18684625614</v>
      </c>
      <c r="AY111" s="47" t="n">
        <f aca="false">AY110*AY109/Thousand</f>
        <v>5662.14928571737</v>
      </c>
      <c r="AZ111" s="47" t="n">
        <f aca="false">AZ110*AZ109/Thousand</f>
        <v>5594.44967469249</v>
      </c>
      <c r="BA111" s="47" t="n">
        <f aca="false">BA110*BA109/Thousand</f>
        <v>5656.61022663352</v>
      </c>
      <c r="BB111" s="47" t="n">
        <f aca="false">BB110*BB109/Thousand</f>
        <v>5718.77077857454</v>
      </c>
      <c r="BC111" s="47" t="n">
        <f aca="false">BC110*BC109/Thousand</f>
        <v>5701.61446623882</v>
      </c>
      <c r="BD111" s="47" t="n">
        <f aca="false">BD110*BD109/Thousand</f>
        <v>5633.44298892509</v>
      </c>
      <c r="BE111" s="47" t="n">
        <f aca="false">BE110*BE109/Thousand</f>
        <v>5696.03679991315</v>
      </c>
      <c r="BF111" s="47" t="n">
        <f aca="false">BF110*BF109/Thousand</f>
        <v>5758.63061090121</v>
      </c>
      <c r="BG111" s="47" t="n">
        <f aca="false">BG110*BG109/Thousand</f>
        <v>5741.3547190685</v>
      </c>
      <c r="BH111" s="47" t="n">
        <f aca="false">BH110*BH109/Thousand</f>
        <v>5672.7080865579</v>
      </c>
      <c r="BI111" s="47" t="n">
        <f aca="false">BI110*BI109/Thousand</f>
        <v>5735.73817640854</v>
      </c>
      <c r="BJ111" s="47" t="n">
        <f aca="false">BJ110*BJ109/Thousand</f>
        <v>5798.76826625919</v>
      </c>
      <c r="BK111" s="47" t="n">
        <f aca="false">BK110*BK109/Thousand</f>
        <v>5781.37196146041</v>
      </c>
      <c r="BL111" s="47" t="n">
        <f aca="false">BL110*BL109/Thousand</f>
        <v>5775.71627149811</v>
      </c>
      <c r="BM111" s="47" t="n">
        <f aca="false">BM110*BM109/Thousand</f>
        <v>5775.71627149811</v>
      </c>
      <c r="BN111" s="47" t="n">
        <f aca="false">BN110*BN109/Thousand</f>
        <v>5839.18568107501</v>
      </c>
      <c r="BO111" s="47" t="n">
        <f aca="false">BO110*BO109/Thousand</f>
        <v>5821.66812403179</v>
      </c>
      <c r="BP111" s="47" t="n">
        <f aca="false">BP110*BP109/Thousand</f>
        <v>5752.0612225488</v>
      </c>
      <c r="BQ111" s="47" t="n">
        <f aca="false">BQ110*BQ109/Thousand</f>
        <v>5815.97301391045</v>
      </c>
      <c r="BR111" s="47" t="n">
        <f aca="false">BR110*BR109/Thousand</f>
        <v>5879.88480527211</v>
      </c>
      <c r="BS111" s="47" t="n">
        <f aca="false">BS110*BS109/Thousand</f>
        <v>5862.24515085629</v>
      </c>
      <c r="BT111" s="47" t="n">
        <f aca="false">BT110*BT109/Thousand</f>
        <v>5792.15308926996</v>
      </c>
      <c r="BU111" s="47" t="n">
        <f aca="false">BU110*BU109/Thousand</f>
        <v>5856.51034581741</v>
      </c>
      <c r="BV111" s="47" t="n">
        <f aca="false">BV110*BV109/Thousand</f>
        <v>5920.86760236485</v>
      </c>
      <c r="BW111" s="47" t="n">
        <f aca="false">BW110*BW109/Thousand</f>
        <v>5903.10499955776</v>
      </c>
      <c r="BX111" s="47" t="n">
        <f aca="false">BX110*BX109/Thousand</f>
        <v>5832.52439630218</v>
      </c>
      <c r="BY111" s="47" t="n">
        <f aca="false">BY110*BY109/Thousand</f>
        <v>5897.33022292776</v>
      </c>
      <c r="BZ111" s="47" t="n">
        <f aca="false">BZ110*BZ109/Thousand</f>
        <v>5962.13604955334</v>
      </c>
      <c r="CA111" s="47" t="n">
        <f aca="false">CA110*CA109/Thousand</f>
        <v>5944.24964140468</v>
      </c>
      <c r="CB111" s="47" t="n">
        <f aca="false">CB110*CB109/Thousand</f>
        <v>5938.43461458156</v>
      </c>
      <c r="CC111" s="47" t="n">
        <f aca="false">CC110*CC109/Thousand</f>
        <v>5938.43461458156</v>
      </c>
      <c r="CD111" s="47" t="n">
        <f aca="false">CD110*CD109/Thousand</f>
        <v>6003.69213781872</v>
      </c>
      <c r="CE111" s="47" t="n">
        <f aca="false">CE110*CE109/Thousand</f>
        <v>5985.68106140527</v>
      </c>
      <c r="CF111" s="47" t="n">
        <f aca="false">CF110*CF109/Thousand</f>
        <v>5914.11313567107</v>
      </c>
      <c r="CG111" s="47" t="n">
        <f aca="false">CG110*CG109/Thousand</f>
        <v>5979.8255038452</v>
      </c>
      <c r="CH111" s="47" t="n">
        <f aca="false">CH110*CH109/Thousand</f>
        <v>6045.53787201932</v>
      </c>
      <c r="CI111" s="47" t="n">
        <f aca="false">CI110*CI109/Thousand</f>
        <v>6027.40125840326</v>
      </c>
      <c r="CJ111" s="47" t="n">
        <f aca="false">CJ110*CJ109/Thousand</f>
        <v>5955.3345042267</v>
      </c>
      <c r="CK111" s="47" t="n">
        <f aca="false">CK110*CK109/Thousand</f>
        <v>6021.504887607</v>
      </c>
      <c r="CL111" s="47" t="n">
        <f aca="false">CL110*CL109/Thousand</f>
        <v>6087.67527098729</v>
      </c>
      <c r="CM111" s="47" t="n">
        <f aca="false">CM110*CM109/Thousand</f>
        <v>6069.41224517433</v>
      </c>
      <c r="CN111" s="47" t="n">
        <f aca="false">CN110*CN109/Thousand</f>
        <v>5996.84318572116</v>
      </c>
      <c r="CO111" s="47" t="n">
        <f aca="false">CO110*CO109/Thousand</f>
        <v>6063.47477667362</v>
      </c>
      <c r="CP111" s="47" t="n">
        <f aca="false">CP110*CP109/Thousand</f>
        <v>6130.10636762608</v>
      </c>
      <c r="CQ111" s="47" t="n">
        <f aca="false">CQ110*CQ109/Thousand</f>
        <v>6111.7160485232</v>
      </c>
      <c r="CR111" s="47" t="n">
        <f aca="false">CR110*CR109/Thousand</f>
        <v>6105.73719586703</v>
      </c>
      <c r="CS111" s="47" t="n">
        <f aca="false">CS110*CS109/Thousand</f>
        <v>6105.73719586703</v>
      </c>
      <c r="CT111" s="47" t="n">
        <f aca="false">CT110*CT109/Thousand</f>
        <v>6172.83320900843</v>
      </c>
      <c r="CU111" s="47" t="n">
        <f aca="false">CU110*CU109/Thousand</f>
        <v>6154.3147093814</v>
      </c>
      <c r="CV111" s="47" t="n">
        <f aca="false">CV110*CV109/Thousand</f>
        <v>6080.73051176923</v>
      </c>
      <c r="CW111" s="47" t="n">
        <f aca="false">CW110*CW109/Thousand</f>
        <v>6148.29418412223</v>
      </c>
      <c r="CX111" s="47" t="n">
        <f aca="false">CX110*CX109/Thousand</f>
        <v>6215.85785647522</v>
      </c>
      <c r="CY111" s="47" t="n">
        <f aca="false">CY110*CY109/Thousand</f>
        <v>6197.21028290579</v>
      </c>
      <c r="CZ111" s="47" t="n">
        <f aca="false">CZ110*CZ109/Thousand</f>
        <v>6123.11320343627</v>
      </c>
      <c r="DA111" s="47" t="n">
        <f aca="false">DA110*DA109/Thousand</f>
        <v>6191.14779458556</v>
      </c>
      <c r="DB111" s="47" t="n">
        <f aca="false">DB110*DB109/Thousand</f>
        <v>6259.18238573485</v>
      </c>
      <c r="DC111" s="47" t="n">
        <f aca="false">DC110*DC109/Thousand</f>
        <v>6240.40483857765</v>
      </c>
      <c r="DD111" s="47" t="n">
        <f aca="false">DD110*DD109/Thousand</f>
        <v>6165.79130246422</v>
      </c>
      <c r="DE111" s="47" t="n">
        <f aca="false">DE110*DE109/Thousand</f>
        <v>6234.30009471382</v>
      </c>
      <c r="DF111" s="47" t="n">
        <f aca="false">DF110*DF109/Thousand</f>
        <v>6302.80888696342</v>
      </c>
      <c r="DG111" s="47" t="n">
        <f aca="false">DG110*DG109/Thousand</f>
        <v>6283.90046030253</v>
      </c>
      <c r="DH111" s="47" t="n">
        <f aca="false">DH110*DH109/Thousand</f>
        <v>6277.75316637398</v>
      </c>
      <c r="DI111" s="47" t="n">
        <f aca="false">DI110*DI109/Thousand</f>
        <v>6277.75316637398</v>
      </c>
      <c r="DJ111" s="47" t="n">
        <f aca="false">DJ110*DJ109/Thousand</f>
        <v>6346.73946490556</v>
      </c>
      <c r="DK111" s="47" t="n">
        <f aca="false">DK110*DK109/Thousand</f>
        <v>6327.69924651084</v>
      </c>
      <c r="DL111" s="47" t="n">
        <f aca="false">DL110*DL109/Thousand</f>
        <v>6252.04197291125</v>
      </c>
      <c r="DM111" s="47" t="n">
        <f aca="false">DM110*DM109/Thousand</f>
        <v>6321.5091059436</v>
      </c>
      <c r="DN111" s="47" t="n">
        <f aca="false">DN110*DN109/Thousand</f>
        <v>6390.97623897595</v>
      </c>
      <c r="DO111" s="47" t="n">
        <f aca="false">DO110*DO109/Thousand</f>
        <v>6371.80331025902</v>
      </c>
      <c r="DP111" s="47" t="n">
        <f aca="false">DP110*DP109/Thousand</f>
        <v>6295.61870546244</v>
      </c>
      <c r="DQ111" s="47" t="n">
        <f aca="false">DQ110*DQ109/Thousand</f>
        <v>6365.57002441203</v>
      </c>
      <c r="DR111" s="47" t="n">
        <f aca="false">DR110*DR109/Thousand</f>
        <v>6435.52134336161</v>
      </c>
      <c r="DS111" s="47" t="n">
        <f aca="false">DS110*DS109/Thousand</f>
        <v>6416.21477933153</v>
      </c>
      <c r="DT111" s="47" t="n">
        <f aca="false">DT110*DT109/Thousand</f>
        <v>6339.49916783952</v>
      </c>
      <c r="DU111" s="47" t="n">
        <f aca="false">DU110*DU109/Thousand</f>
        <v>6409.93804748218</v>
      </c>
      <c r="DV111" s="47" t="n">
        <f aca="false">DV110*DV109/Thousand</f>
        <v>6480.37692712484</v>
      </c>
      <c r="DW111" s="47" t="n">
        <f aca="false">DW110*DW109/Thousand</f>
        <v>6460.93579634347</v>
      </c>
      <c r="DX111" s="47" t="n">
        <f aca="false">DX110*DX109/Thousand</f>
        <v>6454.61531567313</v>
      </c>
      <c r="DY111" s="47" t="n">
        <f aca="false">DY110*DY109/Thousand</f>
        <v>6454.61531567313</v>
      </c>
      <c r="DZ111" s="47" t="n">
        <f aca="false">DZ110*DZ109/Thousand</f>
        <v>6525.5451543069</v>
      </c>
      <c r="EA111" s="47" t="n">
        <f aca="false">EA110*EA109/Thousand</f>
        <v>6505.96851884398</v>
      </c>
      <c r="EB111" s="47" t="n">
        <f aca="false">EB110*EB109/Thousand</f>
        <v>6428.17976481433</v>
      </c>
      <c r="EC111" s="47" t="n">
        <f aca="false">EC110*EC109/Thousand</f>
        <v>6499.60398442337</v>
      </c>
      <c r="ED111" s="47" t="n">
        <f aca="false">ED110*ED109/Thousand</f>
        <v>6571.02820403242</v>
      </c>
      <c r="EE111" s="47" t="n">
        <f aca="false">EE110*EE109/Thousand</f>
        <v>6551.31511942033</v>
      </c>
      <c r="EF111" s="47" t="n">
        <f aca="false">EF110*EF109/Thousand</f>
        <v>6472.98417777508</v>
      </c>
      <c r="EG111" s="47" t="n">
        <f aca="false">EG110*EG109/Thousand</f>
        <v>6544.90622419481</v>
      </c>
      <c r="EH111" s="47" t="n">
        <f aca="false">EH110*EH109/Thousand</f>
        <v>6616.82827061453</v>
      </c>
      <c r="EI111" s="47" t="n">
        <f aca="false">EI110*EI109/Thousand</f>
        <v>6596.97778580269</v>
      </c>
      <c r="EJ111" s="47" t="n">
        <f aca="false">EJ110*EJ109/Thousand</f>
        <v>6518.10087749417</v>
      </c>
      <c r="EK111" s="47" t="n">
        <f aca="false">EK110*EK109/Thousand</f>
        <v>6590.52422057744</v>
      </c>
      <c r="EL111" s="47" t="n">
        <f aca="false">EL110*EL109/Thousand</f>
        <v>6662.94756366071</v>
      </c>
      <c r="EM111" s="47" t="n">
        <f aca="false">EM110*EM109/Thousand</f>
        <v>6642.95872096973</v>
      </c>
      <c r="EN111" s="47" t="n">
        <f aca="false">EN110*EN109/Thousand</f>
        <v>6636.46017439487</v>
      </c>
      <c r="EO111" s="47" t="n">
        <f aca="false">EO110*EO109/Thousand</f>
        <v>6636.46017439487</v>
      </c>
      <c r="EP111" s="47" t="n">
        <f aca="false">EP110*EP109/Thousand</f>
        <v>6709.38830817943</v>
      </c>
      <c r="EQ111" s="47" t="n">
        <f aca="false">EQ110*EQ109/Thousand</f>
        <v>6689.26014325489</v>
      </c>
      <c r="ER111" s="47" t="n">
        <f aca="false">ER110*ER109/Thousand</f>
        <v>6609.27985893336</v>
      </c>
      <c r="ES111" s="47" t="n">
        <f aca="false">ES110*ES109/Thousand</f>
        <v>6682.7163018104</v>
      </c>
      <c r="ET111" s="47" t="n">
        <f aca="false">ET110*ET109/Thousand</f>
        <v>6756.15274468744</v>
      </c>
    </row>
    <row r="112" customFormat="false" ht="15" hidden="false" customHeight="false" outlineLevel="0" collapsed="false">
      <c r="C112" s="1" t="s">
        <v>526</v>
      </c>
      <c r="D112" s="12" t="s">
        <v>222</v>
      </c>
      <c r="I112" s="47" t="n">
        <f aca="false">SUM(J112:ET112)</f>
        <v>-51382.5373327149</v>
      </c>
      <c r="J112" s="47" t="n">
        <f aca="false">-In_Var_Opex*J110*J108/Thousand</f>
        <v>-0</v>
      </c>
      <c r="K112" s="47" t="n">
        <f aca="false">-In_Var_Opex*K110*K108/Thousand</f>
        <v>-0</v>
      </c>
      <c r="L112" s="47" t="n">
        <f aca="false">-In_Var_Opex*L110*L108/Thousand</f>
        <v>-0</v>
      </c>
      <c r="M112" s="47" t="n">
        <f aca="false">-In_Var_Opex*M110*M108/Thousand</f>
        <v>-0</v>
      </c>
      <c r="N112" s="47" t="n">
        <f aca="false">-In_Var_Opex*N110*N108/Thousand</f>
        <v>-0</v>
      </c>
      <c r="O112" s="47" t="n">
        <f aca="false">-In_Var_Opex*O110*O108/Thousand</f>
        <v>-0</v>
      </c>
      <c r="P112" s="47" t="n">
        <f aca="false">-In_Var_Opex*P110*P108/Thousand</f>
        <v>-0</v>
      </c>
      <c r="Q112" s="47" t="n">
        <f aca="false">-In_Var_Opex*Q110*Q108/Thousand</f>
        <v>-0</v>
      </c>
      <c r="R112" s="47" t="n">
        <f aca="false">-In_Var_Opex*R110*R108/Thousand</f>
        <v>-0</v>
      </c>
      <c r="S112" s="47" t="n">
        <f aca="false">-In_Var_Opex*S110*S108/Thousand</f>
        <v>-0</v>
      </c>
      <c r="T112" s="47" t="n">
        <f aca="false">-In_Var_Opex*T110*T108/Thousand</f>
        <v>-0</v>
      </c>
      <c r="U112" s="47" t="n">
        <f aca="false">-In_Var_Opex*U110*U108/Thousand</f>
        <v>-0</v>
      </c>
      <c r="V112" s="47" t="n">
        <f aca="false">-In_Var_Opex*V110*V108/Thousand</f>
        <v>-0</v>
      </c>
      <c r="W112" s="47" t="n">
        <f aca="false">-In_Var_Opex*W110*W108/Thousand</f>
        <v>-0</v>
      </c>
      <c r="X112" s="47" t="n">
        <f aca="false">-In_Var_Opex*X110*X108/Thousand</f>
        <v>-0</v>
      </c>
      <c r="Y112" s="47" t="n">
        <f aca="false">-In_Var_Opex*Y110*Y108/Thousand</f>
        <v>-0</v>
      </c>
      <c r="Z112" s="47" t="n">
        <f aca="false">-In_Var_Opex*Z110*Z108/Thousand</f>
        <v>-0</v>
      </c>
      <c r="AA112" s="47" t="n">
        <f aca="false">-In_Var_Opex*AA110*AA108/Thousand</f>
        <v>-0</v>
      </c>
      <c r="AB112" s="47" t="n">
        <f aca="false">-In_Var_Opex*AB110*AB108/Thousand</f>
        <v>-0</v>
      </c>
      <c r="AC112" s="47" t="n">
        <f aca="false">-In_Var_Opex*AC110*AC108/Thousand</f>
        <v>-0</v>
      </c>
      <c r="AD112" s="47" t="n">
        <f aca="false">-In_Var_Opex*AD110*AD108/Thousand</f>
        <v>-0</v>
      </c>
      <c r="AE112" s="47" t="n">
        <f aca="false">-In_Var_Opex*AE110*AE108/Thousand</f>
        <v>-303.826849315069</v>
      </c>
      <c r="AF112" s="47" t="n">
        <f aca="false">-In_Var_Opex*AF110*AF108/Thousand</f>
        <v>-308.037493150685</v>
      </c>
      <c r="AG112" s="47" t="n">
        <f aca="false">-In_Var_Opex*AG110*AG108/Thousand</f>
        <v>-308.037493150685</v>
      </c>
      <c r="AH112" s="47" t="n">
        <f aca="false">-In_Var_Opex*AH110*AH108/Thousand</f>
        <v>-311.422520547945</v>
      </c>
      <c r="AI112" s="47" t="n">
        <f aca="false">-In_Var_Opex*AI110*AI108/Thousand</f>
        <v>-310.488252986301</v>
      </c>
      <c r="AJ112" s="47" t="n">
        <f aca="false">-In_Var_Opex*AJ110*AJ108/Thousand</f>
        <v>-311.331971065068</v>
      </c>
      <c r="AK112" s="47" t="n">
        <f aca="false">-In_Var_Opex*AK110*AK108/Thousand</f>
        <v>-314.791215188014</v>
      </c>
      <c r="AL112" s="47" t="n">
        <f aca="false">-In_Var_Opex*AL110*AL108/Thousand</f>
        <v>-318.250459310959</v>
      </c>
      <c r="AM112" s="47" t="n">
        <f aca="false">-In_Var_Opex*AM110*AM108/Thousand</f>
        <v>-317.295707933026</v>
      </c>
      <c r="AN112" s="47" t="n">
        <f aca="false">-In_Var_Opex*AN110*AN108/Thousand</f>
        <v>-318.15792453067</v>
      </c>
      <c r="AO112" s="47" t="n">
        <f aca="false">-In_Var_Opex*AO110*AO108/Thousand</f>
        <v>-321.693012581011</v>
      </c>
      <c r="AP112" s="47" t="n">
        <f aca="false">-In_Var_Opex*AP110*AP108/Thousand</f>
        <v>-325.228100631352</v>
      </c>
      <c r="AQ112" s="47" t="n">
        <f aca="false">-In_Var_Opex*AQ110*AQ108/Thousand</f>
        <v>-324.252416329458</v>
      </c>
      <c r="AR112" s="47" t="n">
        <f aca="false">-In_Var_Opex*AR110*AR108/Thousand</f>
        <v>-325.133537026005</v>
      </c>
      <c r="AS112" s="47" t="n">
        <f aca="false">-In_Var_Opex*AS110*AS108/Thousand</f>
        <v>-328.746131881849</v>
      </c>
      <c r="AT112" s="47" t="n">
        <f aca="false">-In_Var_Opex*AT110*AT108/Thousand</f>
        <v>-332.358726737694</v>
      </c>
      <c r="AU112" s="47" t="n">
        <f aca="false">-In_Var_Opex*AU110*AU108/Thousand</f>
        <v>-331.361650557481</v>
      </c>
      <c r="AV112" s="47" t="n">
        <f aca="false">-In_Var_Opex*AV110*AV108/Thousand</f>
        <v>-335.953890823359</v>
      </c>
      <c r="AW112" s="47" t="n">
        <f aca="false">-In_Var_Opex*AW110*AW108/Thousand</f>
        <v>-335.953890823359</v>
      </c>
      <c r="AX112" s="47" t="n">
        <f aca="false">-In_Var_Opex*AX110*AX108/Thousand</f>
        <v>-339.645691821418</v>
      </c>
      <c r="AY112" s="47" t="n">
        <f aca="false">-In_Var_Opex*AY110*AY108/Thousand</f>
        <v>-338.626754745954</v>
      </c>
      <c r="AZ112" s="47" t="n">
        <f aca="false">-In_Var_Opex*AZ110*AZ108/Thousand</f>
        <v>-339.54693614472</v>
      </c>
      <c r="BA112" s="47" t="n">
        <f aca="false">-In_Var_Opex*BA110*BA108/Thousand</f>
        <v>-343.319679879661</v>
      </c>
      <c r="BB112" s="47" t="n">
        <f aca="false">-In_Var_Opex*BB110*BB108/Thousand</f>
        <v>-347.092423614602</v>
      </c>
      <c r="BC112" s="47" t="n">
        <f aca="false">-In_Var_Opex*BC110*BC108/Thousand</f>
        <v>-346.051146343759</v>
      </c>
      <c r="BD112" s="47" t="n">
        <f aca="false">-In_Var_Opex*BD110*BD108/Thousand</f>
        <v>-346.991502719693</v>
      </c>
      <c r="BE112" s="47" t="n">
        <f aca="false">-In_Var_Opex*BE110*BE108/Thousand</f>
        <v>-350.846963861023</v>
      </c>
      <c r="BF112" s="47" t="n">
        <f aca="false">-In_Var_Opex*BF110*BF108/Thousand</f>
        <v>-354.702425002353</v>
      </c>
      <c r="BG112" s="47" t="n">
        <f aca="false">-In_Var_Opex*BG110*BG108/Thousand</f>
        <v>-353.638317727346</v>
      </c>
      <c r="BH112" s="47" t="n">
        <f aca="false">-In_Var_Opex*BH110*BH108/Thousand</f>
        <v>-354.599291416822</v>
      </c>
      <c r="BI112" s="47" t="n">
        <f aca="false">-In_Var_Opex*BI110*BI108/Thousand</f>
        <v>-358.539283543675</v>
      </c>
      <c r="BJ112" s="47" t="n">
        <f aca="false">-In_Var_Opex*BJ110*BJ108/Thousand</f>
        <v>-362.479275670529</v>
      </c>
      <c r="BK112" s="47" t="n">
        <f aca="false">-In_Var_Opex*BK110*BK108/Thousand</f>
        <v>-361.391837843517</v>
      </c>
      <c r="BL112" s="47" t="n">
        <f aca="false">-In_Var_Opex*BL110*BL108/Thousand</f>
        <v>-366.400257335371</v>
      </c>
      <c r="BM112" s="47" t="n">
        <f aca="false">-In_Var_Opex*BM110*BM108/Thousand</f>
        <v>-366.400257335371</v>
      </c>
      <c r="BN112" s="47" t="n">
        <f aca="false">-In_Var_Opex*BN110*BN108/Thousand</f>
        <v>-370.426633789605</v>
      </c>
      <c r="BO112" s="47" t="n">
        <f aca="false">-In_Var_Opex*BO110*BO108/Thousand</f>
        <v>-369.315353888237</v>
      </c>
      <c r="BP112" s="47" t="n">
        <f aca="false">-In_Var_Opex*BP110*BP108/Thousand</f>
        <v>-370.318928219455</v>
      </c>
      <c r="BQ112" s="47" t="n">
        <f aca="false">-In_Var_Opex*BQ110*BQ108/Thousand</f>
        <v>-374.433582977449</v>
      </c>
      <c r="BR112" s="47" t="n">
        <f aca="false">-In_Var_Opex*BR110*BR108/Thousand</f>
        <v>-378.548237735442</v>
      </c>
      <c r="BS112" s="47" t="n">
        <f aca="false">-In_Var_Opex*BS110*BS108/Thousand</f>
        <v>-377.412593022236</v>
      </c>
      <c r="BT112" s="47" t="n">
        <f aca="false">-In_Var_Opex*BT110*BT108/Thousand</f>
        <v>-378.438170720666</v>
      </c>
      <c r="BU112" s="47" t="n">
        <f aca="false">-In_Var_Opex*BU110*BU108/Thousand</f>
        <v>-382.643039284229</v>
      </c>
      <c r="BV112" s="47" t="n">
        <f aca="false">-In_Var_Opex*BV110*BV108/Thousand</f>
        <v>-386.847907847792</v>
      </c>
      <c r="BW112" s="47" t="n">
        <f aca="false">-In_Var_Opex*BW110*BW108/Thousand</f>
        <v>-385.687364124249</v>
      </c>
      <c r="BX112" s="47" t="n">
        <f aca="false">-In_Var_Opex*BX110*BX108/Thousand</f>
        <v>-386.735427613717</v>
      </c>
      <c r="BY112" s="47" t="n">
        <f aca="false">-In_Var_Opex*BY110*BY108/Thousand</f>
        <v>-391.032487920536</v>
      </c>
      <c r="BZ112" s="47" t="n">
        <f aca="false">-In_Var_Opex*BZ110*BZ108/Thousand</f>
        <v>-395.329548227355</v>
      </c>
      <c r="CA112" s="47" t="n">
        <f aca="false">-In_Var_Opex*CA110*CA108/Thousand</f>
        <v>-394.143559582673</v>
      </c>
      <c r="CB112" s="47" t="n">
        <f aca="false">-In_Var_Opex*CB110*CB108/Thousand</f>
        <v>-399.605875218193</v>
      </c>
      <c r="CC112" s="47" t="n">
        <f aca="false">-In_Var_Opex*CC110*CC108/Thousand</f>
        <v>-399.605875218193</v>
      </c>
      <c r="CD112" s="47" t="n">
        <f aca="false">-In_Var_Opex*CD110*CD108/Thousand</f>
        <v>-403.99714857224</v>
      </c>
      <c r="CE112" s="47" t="n">
        <f aca="false">-In_Var_Opex*CE110*CE108/Thousand</f>
        <v>-402.785157126523</v>
      </c>
      <c r="CF112" s="47" t="n">
        <f aca="false">-In_Var_Opex*CF110*CF108/Thousand</f>
        <v>-403.879682010019</v>
      </c>
      <c r="CG112" s="47" t="n">
        <f aca="false">-In_Var_Opex*CG110*CG108/Thousand</f>
        <v>-408.367234032352</v>
      </c>
      <c r="CH112" s="47" t="n">
        <f aca="false">-In_Var_Opex*CH110*CH108/Thousand</f>
        <v>-412.854786054686</v>
      </c>
      <c r="CI112" s="47" t="n">
        <f aca="false">-In_Var_Opex*CI110*CI108/Thousand</f>
        <v>-411.616221696522</v>
      </c>
      <c r="CJ112" s="47" t="n">
        <f aca="false">-In_Var_Opex*CJ110*CJ108/Thousand</f>
        <v>-412.734744038088</v>
      </c>
      <c r="CK112" s="47" t="n">
        <f aca="false">-In_Var_Opex*CK110*CK108/Thousand</f>
        <v>-417.320685638512</v>
      </c>
      <c r="CL112" s="47" t="n">
        <f aca="false">-In_Var_Opex*CL110*CL108/Thousand</f>
        <v>-421.906627238935</v>
      </c>
      <c r="CM112" s="47" t="n">
        <f aca="false">-In_Var_Opex*CM110*CM108/Thousand</f>
        <v>-420.640907357218</v>
      </c>
      <c r="CN112" s="47" t="n">
        <f aca="false">-In_Var_Opex*CN110*CN108/Thousand</f>
        <v>-421.783953301123</v>
      </c>
      <c r="CO112" s="47" t="n">
        <f aca="false">-In_Var_Opex*CO110*CO108/Thousand</f>
        <v>-426.470441671136</v>
      </c>
      <c r="CP112" s="47" t="n">
        <f aca="false">-In_Var_Opex*CP110*CP108/Thousand</f>
        <v>-431.156930041149</v>
      </c>
      <c r="CQ112" s="47" t="n">
        <f aca="false">-In_Var_Opex*CQ110*CQ108/Thousand</f>
        <v>-429.863459251025</v>
      </c>
      <c r="CR112" s="47" t="n">
        <f aca="false">-In_Var_Opex*CR110*CR108/Thousand</f>
        <v>-435.820806104776</v>
      </c>
      <c r="CS112" s="47" t="n">
        <f aca="false">-In_Var_Opex*CS110*CS108/Thousand</f>
        <v>-435.820806104776</v>
      </c>
      <c r="CT112" s="47" t="n">
        <f aca="false">-In_Var_Opex*CT110*CT108/Thousand</f>
        <v>-440.610045732301</v>
      </c>
      <c r="CU112" s="47" t="n">
        <f aca="false">-In_Var_Opex*CU110*CU108/Thousand</f>
        <v>-439.288215595104</v>
      </c>
      <c r="CV112" s="47" t="n">
        <f aca="false">-In_Var_Opex*CV110*CV108/Thousand</f>
        <v>-440.481933572264</v>
      </c>
      <c r="CW112" s="47" t="n">
        <f aca="false">-In_Var_Opex*CW110*CW108/Thousand</f>
        <v>-445.376177278623</v>
      </c>
      <c r="CX112" s="47" t="n">
        <f aca="false">-In_Var_Opex*CX110*CX108/Thousand</f>
        <v>-450.270420984981</v>
      </c>
      <c r="CY112" s="47" t="n">
        <f aca="false">-In_Var_Opex*CY110*CY108/Thousand</f>
        <v>-448.919609722026</v>
      </c>
      <c r="CZ112" s="47" t="n">
        <f aca="false">-In_Var_Opex*CZ110*CZ108/Thousand</f>
        <v>-450.139499965836</v>
      </c>
      <c r="DA112" s="47" t="n">
        <f aca="false">-In_Var_Opex*DA110*DA108/Thousand</f>
        <v>-455.141049965457</v>
      </c>
      <c r="DB112" s="47" t="n">
        <f aca="false">-In_Var_Opex*DB110*DB108/Thousand</f>
        <v>-460.142599965077</v>
      </c>
      <c r="DC112" s="47" t="n">
        <f aca="false">-In_Var_Opex*DC110*DC108/Thousand</f>
        <v>-458.762172165182</v>
      </c>
      <c r="DD112" s="47" t="n">
        <f aca="false">-In_Var_Opex*DD110*DD108/Thousand</f>
        <v>-460.008808502587</v>
      </c>
      <c r="DE112" s="47" t="n">
        <f aca="false">-In_Var_Opex*DE110*DE108/Thousand</f>
        <v>-465.120017485949</v>
      </c>
      <c r="DF112" s="47" t="n">
        <f aca="false">-In_Var_Opex*DF110*DF108/Thousand</f>
        <v>-470.231226469311</v>
      </c>
      <c r="DG112" s="47" t="n">
        <f aca="false">-In_Var_Opex*DG110*DG108/Thousand</f>
        <v>-468.820532789903</v>
      </c>
      <c r="DH112" s="47" t="n">
        <f aca="false">-In_Var_Opex*DH110*DH108/Thousand</f>
        <v>-475.317773869328</v>
      </c>
      <c r="DI112" s="47" t="n">
        <f aca="false">-In_Var_Opex*DI110*DI108/Thousand</f>
        <v>-475.317773869328</v>
      </c>
      <c r="DJ112" s="47" t="n">
        <f aca="false">-In_Var_Opex*DJ110*DJ108/Thousand</f>
        <v>-480.541046109651</v>
      </c>
      <c r="DK112" s="47" t="n">
        <f aca="false">-In_Var_Opex*DK110*DK108/Thousand</f>
        <v>-479.099422971322</v>
      </c>
      <c r="DL112" s="47" t="n">
        <f aca="false">-In_Var_Opex*DL110*DL108/Thousand</f>
        <v>-480.401323577222</v>
      </c>
      <c r="DM112" s="47" t="n">
        <f aca="false">-In_Var_Opex*DM110*DM108/Thousand</f>
        <v>-485.739116061413</v>
      </c>
      <c r="DN112" s="47" t="n">
        <f aca="false">-In_Var_Opex*DN110*DN108/Thousand</f>
        <v>-491.076908545605</v>
      </c>
      <c r="DO112" s="47" t="n">
        <f aca="false">-In_Var_Opex*DO110*DO108/Thousand</f>
        <v>-489.603677819968</v>
      </c>
      <c r="DP112" s="47" t="n">
        <f aca="false">-In_Var_Opex*DP110*DP108/Thousand</f>
        <v>-490.934122596653</v>
      </c>
      <c r="DQ112" s="47" t="n">
        <f aca="false">-In_Var_Opex*DQ110*DQ108/Thousand</f>
        <v>-496.38894618106</v>
      </c>
      <c r="DR112" s="47" t="n">
        <f aca="false">-In_Var_Opex*DR110*DR108/Thousand</f>
        <v>-501.843769765467</v>
      </c>
      <c r="DS112" s="47" t="n">
        <f aca="false">-In_Var_Opex*DS110*DS108/Thousand</f>
        <v>-500.338238456171</v>
      </c>
      <c r="DT112" s="47" t="n">
        <f aca="false">-In_Var_Opex*DT110*DT108/Thousand</f>
        <v>-501.697853234584</v>
      </c>
      <c r="DU112" s="47" t="n">
        <f aca="false">-In_Var_Opex*DU110*DU108/Thousand</f>
        <v>-507.27227382608</v>
      </c>
      <c r="DV112" s="47" t="n">
        <f aca="false">-In_Var_Opex*DV110*DV108/Thousand</f>
        <v>-512.846694417575</v>
      </c>
      <c r="DW112" s="47" t="n">
        <f aca="false">-In_Var_Opex*DW110*DW108/Thousand</f>
        <v>-511.308154334322</v>
      </c>
      <c r="DX112" s="47" t="n">
        <f aca="false">-In_Var_Opex*DX110*DX108/Thousand</f>
        <v>-518.394218429716</v>
      </c>
      <c r="DY112" s="47" t="n">
        <f aca="false">-In_Var_Opex*DY110*DY108/Thousand</f>
        <v>-518.394218429716</v>
      </c>
      <c r="DZ112" s="47" t="n">
        <f aca="false">-In_Var_Opex*DZ110*DZ108/Thousand</f>
        <v>-524.09085819268</v>
      </c>
      <c r="EA112" s="47" t="n">
        <f aca="false">-In_Var_Opex*EA110*EA108/Thousand</f>
        <v>-522.518585618102</v>
      </c>
      <c r="EB112" s="47" t="n">
        <f aca="false">-In_Var_Opex*EB110*EB108/Thousand</f>
        <v>-523.938473079021</v>
      </c>
      <c r="EC112" s="47" t="n">
        <f aca="false">-In_Var_Opex*EC110*EC108/Thousand</f>
        <v>-529.760011668788</v>
      </c>
      <c r="ED112" s="47" t="n">
        <f aca="false">-In_Var_Opex*ED110*ED108/Thousand</f>
        <v>-535.581550258555</v>
      </c>
      <c r="EE112" s="47" t="n">
        <f aca="false">-In_Var_Opex*EE110*EE108/Thousand</f>
        <v>-533.974805607779</v>
      </c>
      <c r="EF112" s="47" t="n">
        <f aca="false">-In_Var_Opex*EF110*EF108/Thousand</f>
        <v>-535.425824101278</v>
      </c>
      <c r="EG112" s="47" t="n">
        <f aca="false">-In_Var_Opex*EG110*EG108/Thousand</f>
        <v>-541.374999924626</v>
      </c>
      <c r="EH112" s="47" t="n">
        <f aca="false">-In_Var_Opex*EH110*EH108/Thousand</f>
        <v>-547.324175747974</v>
      </c>
      <c r="EI112" s="47" t="n">
        <f aca="false">-In_Var_Opex*EI110*EI108/Thousand</f>
        <v>-545.68220322073</v>
      </c>
      <c r="EJ112" s="47" t="n">
        <f aca="false">-In_Var_Opex*EJ110*EJ108/Thousand</f>
        <v>-547.165035294699</v>
      </c>
      <c r="EK112" s="47" t="n">
        <f aca="false">-In_Var_Opex*EK110*EK108/Thousand</f>
        <v>-553.244646797973</v>
      </c>
      <c r="EL112" s="47" t="n">
        <f aca="false">-In_Var_Opex*EL110*EL108/Thousand</f>
        <v>-559.324258301248</v>
      </c>
      <c r="EM112" s="47" t="n">
        <f aca="false">-In_Var_Opex*EM110*EM108/Thousand</f>
        <v>-557.646285526344</v>
      </c>
      <c r="EN112" s="47" t="n">
        <f aca="false">-In_Var_Opex*EN110*EN108/Thousand</f>
        <v>-565.374535679019</v>
      </c>
      <c r="EO112" s="47" t="n">
        <f aca="false">-In_Var_Opex*EO110*EO108/Thousand</f>
        <v>-565.374535679019</v>
      </c>
      <c r="EP112" s="47" t="n">
        <f aca="false">-In_Var_Opex*EP110*EP108/Thousand</f>
        <v>-571.587442664503</v>
      </c>
      <c r="EQ112" s="47" t="n">
        <f aca="false">-In_Var_Opex*EQ110*EQ108/Thousand</f>
        <v>-569.872680336509</v>
      </c>
      <c r="ER112" s="47" t="n">
        <f aca="false">-In_Var_Opex*ER110*ER108/Thousand</f>
        <v>-571.421247402641</v>
      </c>
      <c r="ES112" s="47" t="n">
        <f aca="false">-In_Var_Opex*ES110*ES108/Thousand</f>
        <v>-577.770372373781</v>
      </c>
      <c r="ET112" s="47" t="n">
        <f aca="false">-In_Var_Opex*ET110*ET108/Thousand</f>
        <v>-584.119497344922</v>
      </c>
    </row>
    <row r="113" customFormat="false" ht="15" hidden="false" customHeight="false" outlineLevel="0" collapsed="false">
      <c r="C113" s="1" t="s">
        <v>527</v>
      </c>
      <c r="D113" s="12" t="s">
        <v>222</v>
      </c>
      <c r="I113" s="47" t="n">
        <f aca="false">SUM(J113:ET113)</f>
        <v>-105177.037405926</v>
      </c>
      <c r="J113" s="47" t="n">
        <f aca="false">-(In_Fixed_Opex*$F24+In_Admin)*J108*J15*J$6</f>
        <v>-0</v>
      </c>
      <c r="K113" s="47" t="n">
        <f aca="false">-(In_Fixed_Opex*$F24+In_Admin)*K108*K15*K$6</f>
        <v>-0</v>
      </c>
      <c r="L113" s="47" t="n">
        <f aca="false">-(In_Fixed_Opex*$F24+In_Admin)*L108*L15*L$6</f>
        <v>-0</v>
      </c>
      <c r="M113" s="47" t="n">
        <f aca="false">-(In_Fixed_Opex*$F24+In_Admin)*M108*M15*M$6</f>
        <v>-0</v>
      </c>
      <c r="N113" s="47" t="n">
        <f aca="false">-(In_Fixed_Opex*$F24+In_Admin)*N108*N15*N$6</f>
        <v>-0</v>
      </c>
      <c r="O113" s="47" t="n">
        <f aca="false">-(In_Fixed_Opex*$F24+In_Admin)*O108*O15*O$6</f>
        <v>-0</v>
      </c>
      <c r="P113" s="47" t="n">
        <f aca="false">-(In_Fixed_Opex*$F24+In_Admin)*P108*P15*P$6</f>
        <v>-0</v>
      </c>
      <c r="Q113" s="47" t="n">
        <f aca="false">-(In_Fixed_Opex*$F24+In_Admin)*Q108*Q15*Q$6</f>
        <v>-0</v>
      </c>
      <c r="R113" s="47" t="n">
        <f aca="false">-(In_Fixed_Opex*$F24+In_Admin)*R108*R15*R$6</f>
        <v>-0</v>
      </c>
      <c r="S113" s="47" t="n">
        <f aca="false">-(In_Fixed_Opex*$F24+In_Admin)*S108*S15*S$6</f>
        <v>-0</v>
      </c>
      <c r="T113" s="47" t="n">
        <f aca="false">-(In_Fixed_Opex*$F24+In_Admin)*T108*T15*T$6</f>
        <v>-0</v>
      </c>
      <c r="U113" s="47" t="n">
        <f aca="false">-(In_Fixed_Opex*$F24+In_Admin)*U108*U15*U$6</f>
        <v>-0</v>
      </c>
      <c r="V113" s="47" t="n">
        <f aca="false">-(In_Fixed_Opex*$F24+In_Admin)*V108*V15*V$6</f>
        <v>-0</v>
      </c>
      <c r="W113" s="47" t="n">
        <f aca="false">-(In_Fixed_Opex*$F24+In_Admin)*W108*W15*W$6</f>
        <v>-0</v>
      </c>
      <c r="X113" s="47" t="n">
        <f aca="false">-(In_Fixed_Opex*$F24+In_Admin)*X108*X15*X$6</f>
        <v>-0</v>
      </c>
      <c r="Y113" s="47" t="n">
        <f aca="false">-(In_Fixed_Opex*$F24+In_Admin)*Y108*Y15*Y$6</f>
        <v>-0</v>
      </c>
      <c r="Z113" s="47" t="n">
        <f aca="false">-(In_Fixed_Opex*$F24+In_Admin)*Z108*Z15*Z$6</f>
        <v>-0</v>
      </c>
      <c r="AA113" s="47" t="n">
        <f aca="false">-(In_Fixed_Opex*$F24+In_Admin)*AA108*AA15*AA$6</f>
        <v>-0</v>
      </c>
      <c r="AB113" s="47" t="n">
        <f aca="false">-(In_Fixed_Opex*$F24+In_Admin)*AB108*AB15*AB$6</f>
        <v>-0</v>
      </c>
      <c r="AC113" s="47" t="n">
        <f aca="false">-(In_Fixed_Opex*$F24+In_Admin)*AC108*AC15*AC$6</f>
        <v>-0</v>
      </c>
      <c r="AD113" s="47" t="n">
        <f aca="false">-(In_Fixed_Opex*$F24+In_Admin)*AD108*AD15*AD$6</f>
        <v>-0</v>
      </c>
      <c r="AE113" s="47" t="n">
        <f aca="false">-(In_Fixed_Opex*$F24+In_Admin)*AE108*AE15*AE$6</f>
        <v>-592.328767123288</v>
      </c>
      <c r="AF113" s="47" t="n">
        <f aca="false">-(In_Fixed_Opex*$F24+In_Admin)*AF108*AF15*AF$6</f>
        <v>-600.537671232877</v>
      </c>
      <c r="AG113" s="47" t="n">
        <f aca="false">-(In_Fixed_Opex*$F24+In_Admin)*AG108*AG15*AG$6</f>
        <v>-600.537671232877</v>
      </c>
      <c r="AH113" s="47" t="n">
        <f aca="false">-(In_Fixed_Opex*$F24+In_Admin)*AH108*AH15*AH$6</f>
        <v>-607.13698630137</v>
      </c>
      <c r="AI113" s="47" t="n">
        <f aca="false">-(In_Fixed_Opex*$F24+In_Admin)*AI108*AI15*AI$6</f>
        <v>-607.13698630137</v>
      </c>
      <c r="AJ113" s="47" t="n">
        <f aca="false">-(In_Fixed_Opex*$F24+In_Admin)*AJ108*AJ15*AJ$6</f>
        <v>-608.786815068493</v>
      </c>
      <c r="AK113" s="47" t="n">
        <f aca="false">-(In_Fixed_Opex*$F24+In_Admin)*AK108*AK15*AK$6</f>
        <v>-615.551113013699</v>
      </c>
      <c r="AL113" s="47" t="n">
        <f aca="false">-(In_Fixed_Opex*$F24+In_Admin)*AL108*AL15*AL$6</f>
        <v>-622.315410958904</v>
      </c>
      <c r="AM113" s="47" t="n">
        <f aca="false">-(In_Fixed_Opex*$F24+In_Admin)*AM108*AM15*AM$6</f>
        <v>-622.315410958904</v>
      </c>
      <c r="AN113" s="47" t="n">
        <f aca="false">-(In_Fixed_Opex*$F24+In_Admin)*AN108*AN15*AN$6</f>
        <v>-624.006485445205</v>
      </c>
      <c r="AO113" s="47" t="n">
        <f aca="false">-(In_Fixed_Opex*$F24+In_Admin)*AO108*AO15*AO$6</f>
        <v>-630.939890839041</v>
      </c>
      <c r="AP113" s="47" t="n">
        <f aca="false">-(In_Fixed_Opex*$F24+In_Admin)*AP108*AP15*AP$6</f>
        <v>-637.873296232877</v>
      </c>
      <c r="AQ113" s="47" t="n">
        <f aca="false">-(In_Fixed_Opex*$F24+In_Admin)*AQ108*AQ15*AQ$6</f>
        <v>-637.873296232877</v>
      </c>
      <c r="AR113" s="47" t="n">
        <f aca="false">-(In_Fixed_Opex*$F24+In_Admin)*AR108*AR15*AR$6</f>
        <v>-639.606647581335</v>
      </c>
      <c r="AS113" s="47" t="n">
        <f aca="false">-(In_Fixed_Opex*$F24+In_Admin)*AS108*AS15*AS$6</f>
        <v>-646.713388110017</v>
      </c>
      <c r="AT113" s="47" t="n">
        <f aca="false">-(In_Fixed_Opex*$F24+In_Admin)*AT108*AT15*AT$6</f>
        <v>-653.820128638698</v>
      </c>
      <c r="AU113" s="47" t="n">
        <f aca="false">-(In_Fixed_Opex*$F24+In_Admin)*AU108*AU15*AU$6</f>
        <v>-653.820128638698</v>
      </c>
      <c r="AV113" s="47" t="n">
        <f aca="false">-(In_Fixed_Opex*$F24+In_Admin)*AV108*AV15*AV$6</f>
        <v>-662.881222812767</v>
      </c>
      <c r="AW113" s="47" t="n">
        <f aca="false">-(In_Fixed_Opex*$F24+In_Admin)*AW108*AW15*AW$6</f>
        <v>-662.881222812767</v>
      </c>
      <c r="AX113" s="47" t="n">
        <f aca="false">-(In_Fixed_Opex*$F24+In_Admin)*AX108*AX15*AX$6</f>
        <v>-670.165631854666</v>
      </c>
      <c r="AY113" s="47" t="n">
        <f aca="false">-(In_Fixed_Opex*$F24+In_Admin)*AY108*AY15*AY$6</f>
        <v>-670.165631854666</v>
      </c>
      <c r="AZ113" s="47" t="n">
        <f aca="false">-(In_Fixed_Opex*$F24+In_Admin)*AZ108*AZ15*AZ$6</f>
        <v>-671.98673411514</v>
      </c>
      <c r="BA113" s="47" t="n">
        <f aca="false">-(In_Fixed_Opex*$F24+In_Admin)*BA108*BA15*BA$6</f>
        <v>-679.453253383086</v>
      </c>
      <c r="BB113" s="47" t="n">
        <f aca="false">-(In_Fixed_Opex*$F24+In_Admin)*BB108*BB15*BB$6</f>
        <v>-686.919772651032</v>
      </c>
      <c r="BC113" s="47" t="n">
        <f aca="false">-(In_Fixed_Opex*$F24+In_Admin)*BC108*BC15*BC$6</f>
        <v>-686.919772651032</v>
      </c>
      <c r="BD113" s="47" t="n">
        <f aca="false">-(In_Fixed_Opex*$F24+In_Admin)*BD108*BD15*BD$6</f>
        <v>-688.786402468019</v>
      </c>
      <c r="BE113" s="47" t="n">
        <f aca="false">-(In_Fixed_Opex*$F24+In_Admin)*BE108*BE15*BE$6</f>
        <v>-696.439584717664</v>
      </c>
      <c r="BF113" s="47" t="n">
        <f aca="false">-(In_Fixed_Opex*$F24+In_Admin)*BF108*BF15*BF$6</f>
        <v>-704.092766967308</v>
      </c>
      <c r="BG113" s="47" t="n">
        <f aca="false">-(In_Fixed_Opex*$F24+In_Admin)*BG108*BG15*BG$6</f>
        <v>-704.092766967308</v>
      </c>
      <c r="BH113" s="47" t="n">
        <f aca="false">-(In_Fixed_Opex*$F24+In_Admin)*BH108*BH15*BH$6</f>
        <v>-706.006062529719</v>
      </c>
      <c r="BI113" s="47" t="n">
        <f aca="false">-(In_Fixed_Opex*$F24+In_Admin)*BI108*BI15*BI$6</f>
        <v>-713.850574335605</v>
      </c>
      <c r="BJ113" s="47" t="n">
        <f aca="false">-(In_Fixed_Opex*$F24+In_Admin)*BJ108*BJ15*BJ$6</f>
        <v>-721.695086141491</v>
      </c>
      <c r="BK113" s="47" t="n">
        <f aca="false">-(In_Fixed_Opex*$F24+In_Admin)*BK108*BK15*BK$6</f>
        <v>-721.695086141491</v>
      </c>
      <c r="BL113" s="47" t="n">
        <f aca="false">-(In_Fixed_Opex*$F24+In_Admin)*BL108*BL15*BL$6</f>
        <v>-731.696838693995</v>
      </c>
      <c r="BM113" s="47" t="n">
        <f aca="false">-(In_Fixed_Opex*$F24+In_Admin)*BM108*BM15*BM$6</f>
        <v>-731.696838693995</v>
      </c>
      <c r="BN113" s="47" t="n">
        <f aca="false">-(In_Fixed_Opex*$F24+In_Admin)*BN108*BN15*BN$6</f>
        <v>-739.737463295028</v>
      </c>
      <c r="BO113" s="47" t="n">
        <f aca="false">-(In_Fixed_Opex*$F24+In_Admin)*BO108*BO15*BO$6</f>
        <v>-739.737463295028</v>
      </c>
      <c r="BP113" s="47" t="n">
        <f aca="false">-(In_Fixed_Opex*$F24+In_Admin)*BP108*BP15*BP$6</f>
        <v>-741.747619445286</v>
      </c>
      <c r="BQ113" s="47" t="n">
        <f aca="false">-(In_Fixed_Opex*$F24+In_Admin)*BQ108*BQ15*BQ$6</f>
        <v>-749.989259661345</v>
      </c>
      <c r="BR113" s="47" t="n">
        <f aca="false">-(In_Fixed_Opex*$F24+In_Admin)*BR108*BR15*BR$6</f>
        <v>-758.230899877404</v>
      </c>
      <c r="BS113" s="47" t="n">
        <f aca="false">-(In_Fixed_Opex*$F24+In_Admin)*BS108*BS15*BS$6</f>
        <v>-758.230899877404</v>
      </c>
      <c r="BT113" s="47" t="n">
        <f aca="false">-(In_Fixed_Opex*$F24+In_Admin)*BT108*BT15*BT$6</f>
        <v>-760.291309931418</v>
      </c>
      <c r="BU113" s="47" t="n">
        <f aca="false">-(In_Fixed_Opex*$F24+In_Admin)*BU108*BU15*BU$6</f>
        <v>-768.738991152879</v>
      </c>
      <c r="BV113" s="47" t="n">
        <f aca="false">-(In_Fixed_Opex*$F24+In_Admin)*BV108*BV15*BV$6</f>
        <v>-777.186672374339</v>
      </c>
      <c r="BW113" s="47" t="n">
        <f aca="false">-(In_Fixed_Opex*$F24+In_Admin)*BW108*BW15*BW$6</f>
        <v>-777.186672374339</v>
      </c>
      <c r="BX113" s="47" t="n">
        <f aca="false">-(In_Fixed_Opex*$F24+In_Admin)*BX108*BX15*BX$6</f>
        <v>-779.298592679704</v>
      </c>
      <c r="BY113" s="47" t="n">
        <f aca="false">-(In_Fixed_Opex*$F24+In_Admin)*BY108*BY15*BY$6</f>
        <v>-787.9574659317</v>
      </c>
      <c r="BZ113" s="47" t="n">
        <f aca="false">-(In_Fixed_Opex*$F24+In_Admin)*BZ108*BZ15*BZ$6</f>
        <v>-796.616339183697</v>
      </c>
      <c r="CA113" s="47" t="n">
        <f aca="false">-(In_Fixed_Opex*$F24+In_Admin)*CA108*CA15*CA$6</f>
        <v>-796.616339183697</v>
      </c>
      <c r="CB113" s="47" t="n">
        <f aca="false">-(In_Fixed_Opex*$F24+In_Admin)*CB108*CB15*CB$6</f>
        <v>-807.656402579993</v>
      </c>
      <c r="CC113" s="47" t="n">
        <f aca="false">-(In_Fixed_Opex*$F24+In_Admin)*CC108*CC15*CC$6</f>
        <v>-807.656402579993</v>
      </c>
      <c r="CD113" s="47" t="n">
        <f aca="false">-(In_Fixed_Opex*$F24+In_Admin)*CD108*CD15*CD$6</f>
        <v>-816.53174766329</v>
      </c>
      <c r="CE113" s="47" t="n">
        <f aca="false">-(In_Fixed_Opex*$F24+In_Admin)*CE108*CE15*CE$6</f>
        <v>-816.53174766329</v>
      </c>
      <c r="CF113" s="47" t="n">
        <f aca="false">-(In_Fixed_Opex*$F24+In_Admin)*CF108*CF15*CF$6</f>
        <v>-818.750583934114</v>
      </c>
      <c r="CG113" s="47" t="n">
        <f aca="false">-(In_Fixed_Opex*$F24+In_Admin)*CG108*CG15*CG$6</f>
        <v>-827.847812644493</v>
      </c>
      <c r="CH113" s="47" t="n">
        <f aca="false">-(In_Fixed_Opex*$F24+In_Admin)*CH108*CH15*CH$6</f>
        <v>-836.945041354872</v>
      </c>
      <c r="CI113" s="47" t="n">
        <f aca="false">-(In_Fixed_Opex*$F24+In_Admin)*CI108*CI15*CI$6</f>
        <v>-836.945041354872</v>
      </c>
      <c r="CJ113" s="47" t="n">
        <f aca="false">-(In_Fixed_Opex*$F24+In_Admin)*CJ108*CJ15*CJ$6</f>
        <v>-839.219348532466</v>
      </c>
      <c r="CK113" s="47" t="n">
        <f aca="false">-(In_Fixed_Opex*$F24+In_Admin)*CK108*CK15*CK$6</f>
        <v>-848.544007960605</v>
      </c>
      <c r="CL113" s="47" t="n">
        <f aca="false">-(In_Fixed_Opex*$F24+In_Admin)*CL108*CL15*CL$6</f>
        <v>-857.868667388743</v>
      </c>
      <c r="CM113" s="47" t="n">
        <f aca="false">-(In_Fixed_Opex*$F24+In_Admin)*CM108*CM15*CM$6</f>
        <v>-857.868667388743</v>
      </c>
      <c r="CN113" s="47" t="n">
        <f aca="false">-(In_Fixed_Opex*$F24+In_Admin)*CN108*CN15*CN$6</f>
        <v>-860.199832245778</v>
      </c>
      <c r="CO113" s="47" t="n">
        <f aca="false">-(In_Fixed_Opex*$F24+In_Admin)*CO108*CO15*CO$6</f>
        <v>-869.75760815962</v>
      </c>
      <c r="CP113" s="47" t="n">
        <f aca="false">-(In_Fixed_Opex*$F24+In_Admin)*CP108*CP15*CP$6</f>
        <v>-879.315384073462</v>
      </c>
      <c r="CQ113" s="47" t="n">
        <f aca="false">-(In_Fixed_Opex*$F24+In_Admin)*CQ108*CQ15*CQ$6</f>
        <v>-879.315384073462</v>
      </c>
      <c r="CR113" s="47" t="n">
        <f aca="false">-(In_Fixed_Opex*$F24+In_Admin)*CR108*CR15*CR$6</f>
        <v>-891.50154836361</v>
      </c>
      <c r="CS113" s="47" t="n">
        <f aca="false">-(In_Fixed_Opex*$F24+In_Admin)*CS108*CS15*CS$6</f>
        <v>-891.50154836361</v>
      </c>
      <c r="CT113" s="47" t="n">
        <f aca="false">-(In_Fixed_Opex*$F24+In_Admin)*CT108*CT15*CT$6</f>
        <v>-901.298268675298</v>
      </c>
      <c r="CU113" s="47" t="n">
        <f aca="false">-(In_Fixed_Opex*$F24+In_Admin)*CU108*CU15*CU$6</f>
        <v>-901.298268675298</v>
      </c>
      <c r="CV113" s="47" t="n">
        <f aca="false">-(In_Fixed_Opex*$F24+In_Admin)*CV108*CV15*CV$6</f>
        <v>-903.74744875322</v>
      </c>
      <c r="CW113" s="47" t="n">
        <f aca="false">-(In_Fixed_Opex*$F24+In_Admin)*CW108*CW15*CW$6</f>
        <v>-913.789087072701</v>
      </c>
      <c r="CX113" s="47" t="n">
        <f aca="false">-(In_Fixed_Opex*$F24+In_Admin)*CX108*CX15*CX$6</f>
        <v>-923.830725392181</v>
      </c>
      <c r="CY113" s="47" t="n">
        <f aca="false">-(In_Fixed_Opex*$F24+In_Admin)*CY108*CY15*CY$6</f>
        <v>-923.830725392181</v>
      </c>
      <c r="CZ113" s="47" t="n">
        <f aca="false">-(In_Fixed_Opex*$F24+In_Admin)*CZ108*CZ15*CZ$6</f>
        <v>-926.341134972051</v>
      </c>
      <c r="DA113" s="47" t="n">
        <f aca="false">-(In_Fixed_Opex*$F24+In_Admin)*DA108*DA15*DA$6</f>
        <v>-936.633814249518</v>
      </c>
      <c r="DB113" s="47" t="n">
        <f aca="false">-(In_Fixed_Opex*$F24+In_Admin)*DB108*DB15*DB$6</f>
        <v>-946.926493526985</v>
      </c>
      <c r="DC113" s="47" t="n">
        <f aca="false">-(In_Fixed_Opex*$F24+In_Admin)*DC108*DC15*DC$6</f>
        <v>-946.926493526985</v>
      </c>
      <c r="DD113" s="47" t="n">
        <f aca="false">-(In_Fixed_Opex*$F24+In_Admin)*DD108*DD15*DD$6</f>
        <v>-949.499663346352</v>
      </c>
      <c r="DE113" s="47" t="n">
        <f aca="false">-(In_Fixed_Opex*$F24+In_Admin)*DE108*DE15*DE$6</f>
        <v>-960.049659605756</v>
      </c>
      <c r="DF113" s="47" t="n">
        <f aca="false">-(In_Fixed_Opex*$F24+In_Admin)*DF108*DF15*DF$6</f>
        <v>-970.59965586516</v>
      </c>
      <c r="DG113" s="47" t="n">
        <f aca="false">-(In_Fixed_Opex*$F24+In_Admin)*DG108*DG15*DG$6</f>
        <v>-970.59965586516</v>
      </c>
      <c r="DH113" s="47" t="n">
        <f aca="false">-(In_Fixed_Opex*$F24+In_Admin)*DH108*DH15*DH$6</f>
        <v>-984.0509010959</v>
      </c>
      <c r="DI113" s="47" t="n">
        <f aca="false">-(In_Fixed_Opex*$F24+In_Admin)*DI108*DI15*DI$6</f>
        <v>-984.0509010959</v>
      </c>
      <c r="DJ113" s="47" t="n">
        <f aca="false">-(In_Fixed_Opex*$F24+In_Admin)*DJ108*DJ15*DJ$6</f>
        <v>-994.864647261789</v>
      </c>
      <c r="DK113" s="47" t="n">
        <f aca="false">-(In_Fixed_Opex*$F24+In_Admin)*DK108*DK15*DK$6</f>
        <v>-994.864647261789</v>
      </c>
      <c r="DL113" s="47" t="n">
        <f aca="false">-(In_Fixed_Opex*$F24+In_Admin)*DL108*DL15*DL$6</f>
        <v>-997.568083803261</v>
      </c>
      <c r="DM113" s="47" t="n">
        <f aca="false">-(In_Fixed_Opex*$F24+In_Admin)*DM108*DM15*DM$6</f>
        <v>-1008.6521736233</v>
      </c>
      <c r="DN113" s="47" t="n">
        <f aca="false">-(In_Fixed_Opex*$F24+In_Admin)*DN108*DN15*DN$6</f>
        <v>-1019.73626344333</v>
      </c>
      <c r="DO113" s="47" t="n">
        <f aca="false">-(In_Fixed_Opex*$F24+In_Admin)*DO108*DO15*DO$6</f>
        <v>-1019.73626344333</v>
      </c>
      <c r="DP113" s="47" t="n">
        <f aca="false">-(In_Fixed_Opex*$F24+In_Admin)*DP108*DP15*DP$6</f>
        <v>-1022.50728589834</v>
      </c>
      <c r="DQ113" s="47" t="n">
        <f aca="false">-(In_Fixed_Opex*$F24+In_Admin)*DQ108*DQ15*DQ$6</f>
        <v>-1033.86847796388</v>
      </c>
      <c r="DR113" s="47" t="n">
        <f aca="false">-(In_Fixed_Opex*$F24+In_Admin)*DR108*DR15*DR$6</f>
        <v>-1045.22967002942</v>
      </c>
      <c r="DS113" s="47" t="n">
        <f aca="false">-(In_Fixed_Opex*$F24+In_Admin)*DS108*DS15*DS$6</f>
        <v>-1045.22967002942</v>
      </c>
      <c r="DT113" s="47" t="n">
        <f aca="false">-(In_Fixed_Opex*$F24+In_Admin)*DT108*DT15*DT$6</f>
        <v>-1048.0699680458</v>
      </c>
      <c r="DU113" s="47" t="n">
        <f aca="false">-(In_Fixed_Opex*$F24+In_Admin)*DU108*DU15*DU$6</f>
        <v>-1059.71518991298</v>
      </c>
      <c r="DV113" s="47" t="n">
        <f aca="false">-(In_Fixed_Opex*$F24+In_Admin)*DV108*DV15*DV$6</f>
        <v>-1071.36041178015</v>
      </c>
      <c r="DW113" s="47" t="n">
        <f aca="false">-(In_Fixed_Opex*$F24+In_Admin)*DW108*DW15*DW$6</f>
        <v>-1071.36041178015</v>
      </c>
      <c r="DX113" s="47" t="n">
        <f aca="false">-(In_Fixed_Opex*$F24+In_Admin)*DX108*DX15*DX$6</f>
        <v>-1086.2080696608</v>
      </c>
      <c r="DY113" s="47" t="n">
        <f aca="false">-(In_Fixed_Opex*$F24+In_Admin)*DY108*DY15*DY$6</f>
        <v>-1086.2080696608</v>
      </c>
      <c r="DZ113" s="47" t="n">
        <f aca="false">-(In_Fixed_Opex*$F24+In_Admin)*DZ108*DZ15*DZ$6</f>
        <v>-1098.14442207466</v>
      </c>
      <c r="EA113" s="47" t="n">
        <f aca="false">-(In_Fixed_Opex*$F24+In_Admin)*EA108*EA15*EA$6</f>
        <v>-1098.14442207466</v>
      </c>
      <c r="EB113" s="47" t="n">
        <f aca="false">-(In_Fixed_Opex*$F24+In_Admin)*EB108*EB15*EB$6</f>
        <v>-1101.12851017812</v>
      </c>
      <c r="EC113" s="47" t="n">
        <f aca="false">-(In_Fixed_Opex*$F24+In_Admin)*EC108*EC15*EC$6</f>
        <v>-1113.36327140232</v>
      </c>
      <c r="ED113" s="47" t="n">
        <f aca="false">-(In_Fixed_Opex*$F24+In_Admin)*ED108*ED15*ED$6</f>
        <v>-1125.59803262652</v>
      </c>
      <c r="EE113" s="47" t="n">
        <f aca="false">-(In_Fixed_Opex*$F24+In_Admin)*EE108*EE15*EE$6</f>
        <v>-1125.59803262652</v>
      </c>
      <c r="EF113" s="47" t="n">
        <f aca="false">-(In_Fixed_Opex*$F24+In_Admin)*EF108*EF15*EF$6</f>
        <v>-1128.65672293257</v>
      </c>
      <c r="EG113" s="47" t="n">
        <f aca="false">-(In_Fixed_Opex*$F24+In_Admin)*EG108*EG15*EG$6</f>
        <v>-1141.19735318738</v>
      </c>
      <c r="EH113" s="47" t="n">
        <f aca="false">-(In_Fixed_Opex*$F24+In_Admin)*EH108*EH15*EH$6</f>
        <v>-1153.73798344218</v>
      </c>
      <c r="EI113" s="47" t="n">
        <f aca="false">-(In_Fixed_Opex*$F24+In_Admin)*EI108*EI15*EI$6</f>
        <v>-1153.73798344218</v>
      </c>
      <c r="EJ113" s="47" t="n">
        <f aca="false">-(In_Fixed_Opex*$F24+In_Admin)*EJ108*EJ15*EJ$6</f>
        <v>-1156.87314100589</v>
      </c>
      <c r="EK113" s="47" t="n">
        <f aca="false">-(In_Fixed_Opex*$F24+In_Admin)*EK108*EK15*EK$6</f>
        <v>-1169.72728701706</v>
      </c>
      <c r="EL113" s="47" t="n">
        <f aca="false">-(In_Fixed_Opex*$F24+In_Admin)*EL108*EL15*EL$6</f>
        <v>-1182.58143302824</v>
      </c>
      <c r="EM113" s="47" t="n">
        <f aca="false">-(In_Fixed_Opex*$F24+In_Admin)*EM108*EM15*EM$6</f>
        <v>-1182.58143302824</v>
      </c>
      <c r="EN113" s="47" t="n">
        <f aca="false">-(In_Fixed_Opex*$F24+In_Admin)*EN108*EN15*EN$6</f>
        <v>-1198.97046919249</v>
      </c>
      <c r="EO113" s="47" t="n">
        <f aca="false">-(In_Fixed_Opex*$F24+In_Admin)*EO108*EO15*EO$6</f>
        <v>-1198.97046919249</v>
      </c>
      <c r="EP113" s="47" t="n">
        <f aca="false">-(In_Fixed_Opex*$F24+In_Admin)*EP108*EP15*EP$6</f>
        <v>-1212.14596885395</v>
      </c>
      <c r="EQ113" s="47" t="n">
        <f aca="false">-(In_Fixed_Opex*$F24+In_Admin)*EQ108*EQ15*EQ$6</f>
        <v>-1212.14596885395</v>
      </c>
      <c r="ER113" s="47" t="n">
        <f aca="false">-(In_Fixed_Opex*$F24+In_Admin)*ER108*ER15*ER$6</f>
        <v>-1215.43984376931</v>
      </c>
      <c r="ES113" s="47" t="n">
        <f aca="false">-(In_Fixed_Opex*$F24+In_Admin)*ES108*ES15*ES$6</f>
        <v>-1228.9447309223</v>
      </c>
      <c r="ET113" s="47" t="n">
        <f aca="false">-(In_Fixed_Opex*$F24+In_Admin)*ET108*ET15*ET$6</f>
        <v>-1242.44961807529</v>
      </c>
    </row>
    <row r="114" customFormat="false" ht="15" hidden="false" customHeight="false" outlineLevel="0" collapsed="false">
      <c r="C114" s="1" t="s">
        <v>528</v>
      </c>
      <c r="D114" s="12" t="s">
        <v>222</v>
      </c>
      <c r="I114" s="47" t="n">
        <f aca="false">SUM(J114:ET114)</f>
        <v>-14015.8951421437</v>
      </c>
      <c r="J114" s="47" t="n">
        <f aca="false">-In_Lease*$F24*J108*J16*J$6</f>
        <v>-0</v>
      </c>
      <c r="K114" s="47" t="n">
        <f aca="false">-In_Lease*$F24*K108*K16*K$6</f>
        <v>-0</v>
      </c>
      <c r="L114" s="47" t="n">
        <f aca="false">-In_Lease*$F24*L108*L16*L$6</f>
        <v>-0</v>
      </c>
      <c r="M114" s="47" t="n">
        <f aca="false">-In_Lease*$F24*M108*M16*M$6</f>
        <v>-0</v>
      </c>
      <c r="N114" s="47" t="n">
        <f aca="false">-In_Lease*$F24*N108*N16*N$6</f>
        <v>-0</v>
      </c>
      <c r="O114" s="47" t="n">
        <f aca="false">-In_Lease*$F24*O108*O16*O$6</f>
        <v>-0</v>
      </c>
      <c r="P114" s="47" t="n">
        <f aca="false">-In_Lease*$F24*P108*P16*P$6</f>
        <v>-0</v>
      </c>
      <c r="Q114" s="47" t="n">
        <f aca="false">-In_Lease*$F24*Q108*Q16*Q$6</f>
        <v>-0</v>
      </c>
      <c r="R114" s="47" t="n">
        <f aca="false">-In_Lease*$F24*R108*R16*R$6</f>
        <v>-0</v>
      </c>
      <c r="S114" s="47" t="n">
        <f aca="false">-In_Lease*$F24*S108*S16*S$6</f>
        <v>-0</v>
      </c>
      <c r="T114" s="47" t="n">
        <f aca="false">-In_Lease*$F24*T108*T16*T$6</f>
        <v>-0</v>
      </c>
      <c r="U114" s="47" t="n">
        <f aca="false">-In_Lease*$F24*U108*U16*U$6</f>
        <v>-0</v>
      </c>
      <c r="V114" s="47" t="n">
        <f aca="false">-In_Lease*$F24*V108*V16*V$6</f>
        <v>-0</v>
      </c>
      <c r="W114" s="47" t="n">
        <f aca="false">-In_Lease*$F24*W108*W16*W$6</f>
        <v>-71.9728146162183</v>
      </c>
      <c r="X114" s="47" t="n">
        <f aca="false">-In_Lease*$F24*X108*X16*X$6</f>
        <v>-72.1683929168059</v>
      </c>
      <c r="Y114" s="47" t="n">
        <f aca="false">-In_Lease*$F24*Y108*Y16*Y$6</f>
        <v>-72.9702639492148</v>
      </c>
      <c r="Z114" s="47" t="n">
        <f aca="false">-In_Lease*$F24*Z108*Z16*Z$6</f>
        <v>-73.7721349816238</v>
      </c>
      <c r="AA114" s="47" t="n">
        <f aca="false">-In_Lease*$F24*AA108*AA16*AA$6</f>
        <v>-73.7721349816238</v>
      </c>
      <c r="AB114" s="47" t="n">
        <f aca="false">-In_Lease*$F24*AB108*AB16*AB$6</f>
        <v>-73.972602739726</v>
      </c>
      <c r="AC114" s="47" t="n">
        <f aca="false">-In_Lease*$F24*AC108*AC16*AC$6</f>
        <v>-74.7945205479452</v>
      </c>
      <c r="AD114" s="47" t="n">
        <f aca="false">-In_Lease*$F24*AD108*AD16*AD$6</f>
        <v>-75.6164383561644</v>
      </c>
      <c r="AE114" s="47" t="n">
        <f aca="false">-In_Lease*$F24*AE108*AE16*AE$6</f>
        <v>-75.6164383561644</v>
      </c>
      <c r="AF114" s="47" t="n">
        <f aca="false">-In_Lease*$F24*AF108*AF16*AF$6</f>
        <v>-76.6643835616438</v>
      </c>
      <c r="AG114" s="47" t="n">
        <f aca="false">-In_Lease*$F24*AG108*AG16*AG$6</f>
        <v>-76.6643835616438</v>
      </c>
      <c r="AH114" s="47" t="n">
        <f aca="false">-In_Lease*$F24*AH108*AH16*AH$6</f>
        <v>-77.5068493150685</v>
      </c>
      <c r="AI114" s="47" t="n">
        <f aca="false">-In_Lease*$F24*AI108*AI16*AI$6</f>
        <v>-77.5068493150685</v>
      </c>
      <c r="AJ114" s="47" t="n">
        <f aca="false">-In_Lease*$F24*AJ108*AJ16*AJ$6</f>
        <v>-77.7174657534247</v>
      </c>
      <c r="AK114" s="47" t="n">
        <f aca="false">-In_Lease*$F24*AK108*AK16*AK$6</f>
        <v>-78.5809931506849</v>
      </c>
      <c r="AL114" s="47" t="n">
        <f aca="false">-In_Lease*$F24*AL108*AL16*AL$6</f>
        <v>-79.4445205479452</v>
      </c>
      <c r="AM114" s="47" t="n">
        <f aca="false">-In_Lease*$F24*AM108*AM16*AM$6</f>
        <v>-79.4445205479452</v>
      </c>
      <c r="AN114" s="47" t="n">
        <f aca="false">-In_Lease*$F24*AN108*AN16*AN$6</f>
        <v>-79.6604023972602</v>
      </c>
      <c r="AO114" s="47" t="n">
        <f aca="false">-In_Lease*$F24*AO108*AO16*AO$6</f>
        <v>-80.545517979452</v>
      </c>
      <c r="AP114" s="47" t="n">
        <f aca="false">-In_Lease*$F24*AP108*AP16*AP$6</f>
        <v>-81.4306335616438</v>
      </c>
      <c r="AQ114" s="47" t="n">
        <f aca="false">-In_Lease*$F24*AQ108*AQ16*AQ$6</f>
        <v>-81.4306335616438</v>
      </c>
      <c r="AR114" s="47" t="n">
        <f aca="false">-In_Lease*$F24*AR108*AR16*AR$6</f>
        <v>-81.6519124571917</v>
      </c>
      <c r="AS114" s="47" t="n">
        <f aca="false">-In_Lease*$F24*AS108*AS16*AS$6</f>
        <v>-82.5591559289383</v>
      </c>
      <c r="AT114" s="47" t="n">
        <f aca="false">-In_Lease*$F24*AT108*AT16*AT$6</f>
        <v>-83.4663994006849</v>
      </c>
      <c r="AU114" s="47" t="n">
        <f aca="false">-In_Lease*$F24*AU108*AU16*AU$6</f>
        <v>-83.4663994006849</v>
      </c>
      <c r="AV114" s="47" t="n">
        <f aca="false">-In_Lease*$F24*AV108*AV16*AV$6</f>
        <v>-84.6231348271618</v>
      </c>
      <c r="AW114" s="47" t="n">
        <f aca="false">-In_Lease*$F24*AW108*AW16*AW$6</f>
        <v>-84.6231348271618</v>
      </c>
      <c r="AX114" s="47" t="n">
        <f aca="false">-In_Lease*$F24*AX108*AX16*AX$6</f>
        <v>-85.553059385702</v>
      </c>
      <c r="AY114" s="47" t="n">
        <f aca="false">-In_Lease*$F24*AY108*AY16*AY$6</f>
        <v>-85.553059385702</v>
      </c>
      <c r="AZ114" s="47" t="n">
        <f aca="false">-In_Lease*$F24*AZ108*AZ16*AZ$6</f>
        <v>-85.7855405253371</v>
      </c>
      <c r="BA114" s="47" t="n">
        <f aca="false">-In_Lease*$F24*BA108*BA16*BA$6</f>
        <v>-86.7387131978408</v>
      </c>
      <c r="BB114" s="47" t="n">
        <f aca="false">-In_Lease*$F24*BB108*BB16*BB$6</f>
        <v>-87.6918858703446</v>
      </c>
      <c r="BC114" s="47" t="n">
        <f aca="false">-In_Lease*$F24*BC108*BC16*BC$6</f>
        <v>-87.6918858703446</v>
      </c>
      <c r="BD114" s="47" t="n">
        <f aca="false">-In_Lease*$F24*BD108*BD16*BD$6</f>
        <v>-87.9301790384705</v>
      </c>
      <c r="BE114" s="47" t="n">
        <f aca="false">-In_Lease*$F24*BE108*BE16*BE$6</f>
        <v>-88.9071810277869</v>
      </c>
      <c r="BF114" s="47" t="n">
        <f aca="false">-In_Lease*$F24*BF108*BF16*BF$6</f>
        <v>-89.8841830171032</v>
      </c>
      <c r="BG114" s="47" t="n">
        <f aca="false">-In_Lease*$F24*BG108*BG16*BG$6</f>
        <v>-89.8841830171032</v>
      </c>
      <c r="BH114" s="47" t="n">
        <f aca="false">-In_Lease*$F24*BH108*BH16*BH$6</f>
        <v>-90.1284335144322</v>
      </c>
      <c r="BI114" s="47" t="n">
        <f aca="false">-In_Lease*$F24*BI108*BI16*BI$6</f>
        <v>-91.1298605534815</v>
      </c>
      <c r="BJ114" s="47" t="n">
        <f aca="false">-In_Lease*$F24*BJ108*BJ16*BJ$6</f>
        <v>-92.1312875925307</v>
      </c>
      <c r="BK114" s="47" t="n">
        <f aca="false">-In_Lease*$F24*BK108*BK16*BK$6</f>
        <v>-92.1312875925307</v>
      </c>
      <c r="BL114" s="47" t="n">
        <f aca="false">-In_Lease*$F24*BL108*BL16*BL$6</f>
        <v>-93.4081070673185</v>
      </c>
      <c r="BM114" s="47" t="n">
        <f aca="false">-In_Lease*$F24*BM108*BM16*BM$6</f>
        <v>-93.4081070673185</v>
      </c>
      <c r="BN114" s="47" t="n">
        <f aca="false">-In_Lease*$F24*BN108*BN16*BN$6</f>
        <v>-94.434569782344</v>
      </c>
      <c r="BO114" s="47" t="n">
        <f aca="false">-In_Lease*$F24*BO108*BO16*BO$6</f>
        <v>-94.434569782344</v>
      </c>
      <c r="BP114" s="47" t="n">
        <f aca="false">-In_Lease*$F24*BP108*BP16*BP$6</f>
        <v>-94.6911854611004</v>
      </c>
      <c r="BQ114" s="47" t="n">
        <f aca="false">-In_Lease*$F24*BQ108*BQ16*BQ$6</f>
        <v>-95.7433097440015</v>
      </c>
      <c r="BR114" s="47" t="n">
        <f aca="false">-In_Lease*$F24*BR108*BR16*BR$6</f>
        <v>-96.7954340269026</v>
      </c>
      <c r="BS114" s="47" t="n">
        <f aca="false">-In_Lease*$F24*BS108*BS16*BS$6</f>
        <v>-96.7954340269026</v>
      </c>
      <c r="BT114" s="47" t="n">
        <f aca="false">-In_Lease*$F24*BT108*BT16*BT$6</f>
        <v>-97.0584650976279</v>
      </c>
      <c r="BU114" s="47" t="n">
        <f aca="false">-In_Lease*$F24*BU108*BU16*BU$6</f>
        <v>-98.1368924876015</v>
      </c>
      <c r="BV114" s="47" t="n">
        <f aca="false">-In_Lease*$F24*BV108*BV16*BV$6</f>
        <v>-99.2153198775752</v>
      </c>
      <c r="BW114" s="47" t="n">
        <f aca="false">-In_Lease*$F24*BW108*BW16*BW$6</f>
        <v>-99.2153198775752</v>
      </c>
      <c r="BX114" s="47" t="n">
        <f aca="false">-In_Lease*$F24*BX108*BX16*BX$6</f>
        <v>-99.4849267250686</v>
      </c>
      <c r="BY114" s="47" t="n">
        <f aca="false">-In_Lease*$F24*BY108*BY16*BY$6</f>
        <v>-100.590314799792</v>
      </c>
      <c r="BZ114" s="47" t="n">
        <f aca="false">-In_Lease*$F24*BZ108*BZ16*BZ$6</f>
        <v>-101.695702874515</v>
      </c>
      <c r="CA114" s="47" t="n">
        <f aca="false">-In_Lease*$F24*CA108*CA16*CA$6</f>
        <v>-101.695702874515</v>
      </c>
      <c r="CB114" s="47" t="n">
        <f aca="false">-In_Lease*$F24*CB108*CB16*CB$6</f>
        <v>-103.105072669786</v>
      </c>
      <c r="CC114" s="47" t="n">
        <f aca="false">-In_Lease*$F24*CC108*CC16*CC$6</f>
        <v>-103.105072669786</v>
      </c>
      <c r="CD114" s="47" t="n">
        <f aca="false">-In_Lease*$F24*CD108*CD16*CD$6</f>
        <v>-104.238095446377</v>
      </c>
      <c r="CE114" s="47" t="n">
        <f aca="false">-In_Lease*$F24*CE108*CE16*CE$6</f>
        <v>-104.238095446377</v>
      </c>
      <c r="CF114" s="47" t="n">
        <f aca="false">-In_Lease*$F24*CF108*CF16*CF$6</f>
        <v>-104.521351140525</v>
      </c>
      <c r="CG114" s="47" t="n">
        <f aca="false">-In_Lease*$F24*CG108*CG16*CG$6</f>
        <v>-105.682699486531</v>
      </c>
      <c r="CH114" s="47" t="n">
        <f aca="false">-In_Lease*$F24*CH108*CH16*CH$6</f>
        <v>-106.844047832537</v>
      </c>
      <c r="CI114" s="47" t="n">
        <f aca="false">-In_Lease*$F24*CI108*CI16*CI$6</f>
        <v>-106.844047832537</v>
      </c>
      <c r="CJ114" s="47" t="n">
        <f aca="false">-In_Lease*$F24*CJ108*CJ16*CJ$6</f>
        <v>-107.134384919038</v>
      </c>
      <c r="CK114" s="47" t="n">
        <f aca="false">-In_Lease*$F24*CK108*CK16*CK$6</f>
        <v>-108.324766973694</v>
      </c>
      <c r="CL114" s="47" t="n">
        <f aca="false">-In_Lease*$F24*CL108*CL16*CL$6</f>
        <v>-109.51514902835</v>
      </c>
      <c r="CM114" s="47" t="n">
        <f aca="false">-In_Lease*$F24*CM108*CM16*CM$6</f>
        <v>-109.51514902835</v>
      </c>
      <c r="CN114" s="47" t="n">
        <f aca="false">-In_Lease*$F24*CN108*CN16*CN$6</f>
        <v>-109.812744542014</v>
      </c>
      <c r="CO114" s="47" t="n">
        <f aca="false">-In_Lease*$F24*CO108*CO16*CO$6</f>
        <v>-111.032886148037</v>
      </c>
      <c r="CP114" s="47" t="n">
        <f aca="false">-In_Lease*$F24*CP108*CP16*CP$6</f>
        <v>-112.253027754059</v>
      </c>
      <c r="CQ114" s="47" t="n">
        <f aca="false">-In_Lease*$F24*CQ108*CQ16*CQ$6</f>
        <v>-112.253027754059</v>
      </c>
      <c r="CR114" s="47" t="n">
        <f aca="false">-In_Lease*$F24*CR108*CR16*CR$6</f>
        <v>-113.808708301737</v>
      </c>
      <c r="CS114" s="47" t="n">
        <f aca="false">-In_Lease*$F24*CS108*CS16*CS$6</f>
        <v>-113.808708301737</v>
      </c>
      <c r="CT114" s="47" t="n">
        <f aca="false">-In_Lease*$F24*CT108*CT16*CT$6</f>
        <v>-115.05935344791</v>
      </c>
      <c r="CU114" s="47" t="n">
        <f aca="false">-In_Lease*$F24*CU108*CU16*CU$6</f>
        <v>-115.05935344791</v>
      </c>
      <c r="CV114" s="47" t="n">
        <f aca="false">-In_Lease*$F24*CV108*CV16*CV$6</f>
        <v>-115.372014734454</v>
      </c>
      <c r="CW114" s="47" t="n">
        <f aca="false">-In_Lease*$F24*CW108*CW16*CW$6</f>
        <v>-116.653926009281</v>
      </c>
      <c r="CX114" s="47" t="n">
        <f aca="false">-In_Lease*$F24*CX108*CX16*CX$6</f>
        <v>-117.935837284108</v>
      </c>
      <c r="CY114" s="47" t="n">
        <f aca="false">-In_Lease*$F24*CY108*CY16*CY$6</f>
        <v>-117.935837284108</v>
      </c>
      <c r="CZ114" s="47" t="n">
        <f aca="false">-In_Lease*$F24*CZ108*CZ16*CZ$6</f>
        <v>-118.256315102815</v>
      </c>
      <c r="DA114" s="47" t="n">
        <f aca="false">-In_Lease*$F24*DA108*DA16*DA$6</f>
        <v>-119.570274159513</v>
      </c>
      <c r="DB114" s="47" t="n">
        <f aca="false">-In_Lease*$F24*DB108*DB16*DB$6</f>
        <v>-120.884233216211</v>
      </c>
      <c r="DC114" s="47" t="n">
        <f aca="false">-In_Lease*$F24*DC108*DC16*DC$6</f>
        <v>-120.884233216211</v>
      </c>
      <c r="DD114" s="47" t="n">
        <f aca="false">-In_Lease*$F24*DD108*DD16*DD$6</f>
        <v>-121.212722980385</v>
      </c>
      <c r="DE114" s="47" t="n">
        <f aca="false">-In_Lease*$F24*DE108*DE16*DE$6</f>
        <v>-122.559531013501</v>
      </c>
      <c r="DF114" s="47" t="n">
        <f aca="false">-In_Lease*$F24*DF108*DF16*DF$6</f>
        <v>-123.906339046616</v>
      </c>
      <c r="DG114" s="47" t="n">
        <f aca="false">-In_Lease*$F24*DG108*DG16*DG$6</f>
        <v>-123.906339046616</v>
      </c>
      <c r="DH114" s="47" t="n">
        <f aca="false">-In_Lease*$F24*DH108*DH16*DH$6</f>
        <v>-125.623519288838</v>
      </c>
      <c r="DI114" s="47" t="n">
        <f aca="false">-In_Lease*$F24*DI108*DI16*DI$6</f>
        <v>-125.623519288838</v>
      </c>
      <c r="DJ114" s="47" t="n">
        <f aca="false">-In_Lease*$F24*DJ108*DJ16*DJ$6</f>
        <v>-127.003997522782</v>
      </c>
      <c r="DK114" s="47" t="n">
        <f aca="false">-In_Lease*$F24*DK108*DK16*DK$6</f>
        <v>-127.003997522782</v>
      </c>
      <c r="DL114" s="47" t="n">
        <f aca="false">-In_Lease*$F24*DL108*DL16*DL$6</f>
        <v>-127.349117081267</v>
      </c>
      <c r="DM114" s="47" t="n">
        <f aca="false">-In_Lease*$F24*DM108*DM16*DM$6</f>
        <v>-128.764107271059</v>
      </c>
      <c r="DN114" s="47" t="n">
        <f aca="false">-In_Lease*$F24*DN108*DN16*DN$6</f>
        <v>-130.179097460851</v>
      </c>
      <c r="DO114" s="47" t="n">
        <f aca="false">-In_Lease*$F24*DO108*DO16*DO$6</f>
        <v>-130.179097460851</v>
      </c>
      <c r="DP114" s="47" t="n">
        <f aca="false">-In_Lease*$F24*DP108*DP16*DP$6</f>
        <v>-130.532845008299</v>
      </c>
      <c r="DQ114" s="47" t="n">
        <f aca="false">-In_Lease*$F24*DQ108*DQ16*DQ$6</f>
        <v>-131.983209952836</v>
      </c>
      <c r="DR114" s="47" t="n">
        <f aca="false">-In_Lease*$F24*DR108*DR16*DR$6</f>
        <v>-133.433574897372</v>
      </c>
      <c r="DS114" s="47" t="n">
        <f aca="false">-In_Lease*$F24*DS108*DS16*DS$6</f>
        <v>-133.433574897372</v>
      </c>
      <c r="DT114" s="47" t="n">
        <f aca="false">-In_Lease*$F24*DT108*DT16*DT$6</f>
        <v>-133.796166133506</v>
      </c>
      <c r="DU114" s="47" t="n">
        <f aca="false">-In_Lease*$F24*DU108*DU16*DU$6</f>
        <v>-135.282790201657</v>
      </c>
      <c r="DV114" s="47" t="n">
        <f aca="false">-In_Lease*$F24*DV108*DV16*DV$6</f>
        <v>-136.769414269807</v>
      </c>
      <c r="DW114" s="47" t="n">
        <f aca="false">-In_Lease*$F24*DW108*DW16*DW$6</f>
        <v>-136.769414269807</v>
      </c>
      <c r="DX114" s="47" t="n">
        <f aca="false">-In_Lease*$F24*DX108*DX16*DX$6</f>
        <v>-138.664859956698</v>
      </c>
      <c r="DY114" s="47" t="n">
        <f aca="false">-In_Lease*$F24*DY108*DY16*DY$6</f>
        <v>-138.664859956698</v>
      </c>
      <c r="DZ114" s="47" t="n">
        <f aca="false">-In_Lease*$F24*DZ108*DZ16*DZ$6</f>
        <v>-140.188649626552</v>
      </c>
      <c r="EA114" s="47" t="n">
        <f aca="false">-In_Lease*$F24*EA108*EA16*EA$6</f>
        <v>-140.188649626552</v>
      </c>
      <c r="EB114" s="47" t="n">
        <f aca="false">-In_Lease*$F24*EB108*EB16*EB$6</f>
        <v>-140.569597044015</v>
      </c>
      <c r="EC114" s="47" t="n">
        <f aca="false">-In_Lease*$F24*EC108*EC16*EC$6</f>
        <v>-142.131481455615</v>
      </c>
      <c r="ED114" s="47" t="n">
        <f aca="false">-In_Lease*$F24*ED108*ED16*ED$6</f>
        <v>-143.693365867216</v>
      </c>
      <c r="EE114" s="47" t="n">
        <f aca="false">-In_Lease*$F24*EE108*EE16*EE$6</f>
        <v>-143.693365867216</v>
      </c>
      <c r="EF114" s="47" t="n">
        <f aca="false">-In_Lease*$F24*EF108*EF16*EF$6</f>
        <v>-144.083836970116</v>
      </c>
      <c r="EG114" s="47" t="n">
        <f aca="false">-In_Lease*$F24*EG108*EG16*EG$6</f>
        <v>-145.684768492006</v>
      </c>
      <c r="EH114" s="47" t="n">
        <f aca="false">-In_Lease*$F24*EH108*EH16*EH$6</f>
        <v>-147.285700013896</v>
      </c>
      <c r="EI114" s="47" t="n">
        <f aca="false">-In_Lease*$F24*EI108*EI16*EI$6</f>
        <v>-147.285700013896</v>
      </c>
      <c r="EJ114" s="47" t="n">
        <f aca="false">-In_Lease*$F24*EJ108*EJ16*EJ$6</f>
        <v>-147.685932894368</v>
      </c>
      <c r="EK114" s="47" t="n">
        <f aca="false">-In_Lease*$F24*EK108*EK16*EK$6</f>
        <v>-149.326887704306</v>
      </c>
      <c r="EL114" s="47" t="n">
        <f aca="false">-In_Lease*$F24*EL108*EL16*EL$6</f>
        <v>-150.967842514243</v>
      </c>
      <c r="EM114" s="47" t="n">
        <f aca="false">-In_Lease*$F24*EM108*EM16*EM$6</f>
        <v>-150.967842514243</v>
      </c>
      <c r="EN114" s="47" t="n">
        <f aca="false">-In_Lease*$F24*EN108*EN16*EN$6</f>
        <v>-153.060059896914</v>
      </c>
      <c r="EO114" s="47" t="n">
        <f aca="false">-In_Lease*$F24*EO108*EO16*EO$6</f>
        <v>-153.060059896914</v>
      </c>
      <c r="EP114" s="47" t="n">
        <f aca="false">-In_Lease*$F24*EP108*EP16*EP$6</f>
        <v>-154.742038577099</v>
      </c>
      <c r="EQ114" s="47" t="n">
        <f aca="false">-In_Lease*$F24*EQ108*EQ16*EQ$6</f>
        <v>-154.742038577099</v>
      </c>
      <c r="ER114" s="47" t="n">
        <f aca="false">-In_Lease*$F24*ER108*ER16*ER$6</f>
        <v>-155.162533247146</v>
      </c>
      <c r="ES114" s="47" t="n">
        <f aca="false">-In_Lease*$F24*ES108*ES16*ES$6</f>
        <v>-156.886561394336</v>
      </c>
      <c r="ET114" s="47" t="n">
        <f aca="false">-In_Lease*$F24*ET108*ET16*ET$6</f>
        <v>-158.610589541527</v>
      </c>
    </row>
    <row r="115" customFormat="false" ht="15" hidden="false" customHeight="false" outlineLevel="0" collapsed="false">
      <c r="C115" s="1" t="s">
        <v>529</v>
      </c>
      <c r="D115" s="12" t="s">
        <v>222</v>
      </c>
      <c r="I115" s="47" t="n">
        <f aca="false">SUM(J115:ET115)</f>
        <v>-15269.388528234</v>
      </c>
      <c r="J115" s="47" t="n">
        <f aca="false">-J111*(In_MEKH+In_HIPA)</f>
        <v>-0</v>
      </c>
      <c r="K115" s="47" t="n">
        <f aca="false">-K111*(In_MEKH+In_HIPA)</f>
        <v>-0</v>
      </c>
      <c r="L115" s="47" t="n">
        <f aca="false">-L111*(In_MEKH+In_HIPA)</f>
        <v>-0</v>
      </c>
      <c r="M115" s="47" t="n">
        <f aca="false">-M111*(In_MEKH+In_HIPA)</f>
        <v>-0</v>
      </c>
      <c r="N115" s="47" t="n">
        <f aca="false">-N111*(In_MEKH+In_HIPA)</f>
        <v>-0</v>
      </c>
      <c r="O115" s="47" t="n">
        <f aca="false">-O111*(In_MEKH+In_HIPA)</f>
        <v>-0</v>
      </c>
      <c r="P115" s="47" t="n">
        <f aca="false">-P111*(In_MEKH+In_HIPA)</f>
        <v>-0</v>
      </c>
      <c r="Q115" s="47" t="n">
        <f aca="false">-Q111*(In_MEKH+In_HIPA)</f>
        <v>-0</v>
      </c>
      <c r="R115" s="47" t="n">
        <f aca="false">-R111*(In_MEKH+In_HIPA)</f>
        <v>-0</v>
      </c>
      <c r="S115" s="47" t="n">
        <f aca="false">-S111*(In_MEKH+In_HIPA)</f>
        <v>-0</v>
      </c>
      <c r="T115" s="47" t="n">
        <f aca="false">-T111*(In_MEKH+In_HIPA)</f>
        <v>-0</v>
      </c>
      <c r="U115" s="47" t="n">
        <f aca="false">-U111*(In_MEKH+In_HIPA)</f>
        <v>-0</v>
      </c>
      <c r="V115" s="47" t="n">
        <f aca="false">-V111*(In_MEKH+In_HIPA)</f>
        <v>-0</v>
      </c>
      <c r="W115" s="47" t="n">
        <f aca="false">-W111*(In_MEKH+In_HIPA)</f>
        <v>-0</v>
      </c>
      <c r="X115" s="47" t="n">
        <f aca="false">-X111*(In_MEKH+In_HIPA)</f>
        <v>-0</v>
      </c>
      <c r="Y115" s="47" t="n">
        <f aca="false">-Y111*(In_MEKH+In_HIPA)</f>
        <v>-0</v>
      </c>
      <c r="Z115" s="47" t="n">
        <f aca="false">-Z111*(In_MEKH+In_HIPA)</f>
        <v>-0</v>
      </c>
      <c r="AA115" s="47" t="n">
        <f aca="false">-AA111*(In_MEKH+In_HIPA)</f>
        <v>-0</v>
      </c>
      <c r="AB115" s="47" t="n">
        <f aca="false">-AB111*(In_MEKH+In_HIPA)</f>
        <v>-0</v>
      </c>
      <c r="AC115" s="47" t="n">
        <f aca="false">-AC111*(In_MEKH+In_HIPA)</f>
        <v>-0</v>
      </c>
      <c r="AD115" s="47" t="n">
        <f aca="false">-AD111*(In_MEKH+In_HIPA)</f>
        <v>-0</v>
      </c>
      <c r="AE115" s="47" t="n">
        <f aca="false">-AE111*(In_MEKH+In_HIPA)</f>
        <v>-114.846549041096</v>
      </c>
      <c r="AF115" s="47" t="n">
        <f aca="false">-AF111*(In_MEKH+In_HIPA)</f>
        <v>-114.734199156164</v>
      </c>
      <c r="AG115" s="47" t="n">
        <f aca="false">-AG111*(In_MEKH+In_HIPA)</f>
        <v>-114.734199156164</v>
      </c>
      <c r="AH115" s="47" t="n">
        <f aca="false">-AH111*(In_MEKH+In_HIPA)</f>
        <v>-115.995014531507</v>
      </c>
      <c r="AI115" s="47" t="n">
        <f aca="false">-AI111*(In_MEKH+In_HIPA)</f>
        <v>-115.647029487912</v>
      </c>
      <c r="AJ115" s="47" t="n">
        <f aca="false">-AJ111*(In_MEKH+In_HIPA)</f>
        <v>-114.264293265774</v>
      </c>
      <c r="AK115" s="47" t="n">
        <f aca="false">-AK111*(In_MEKH+In_HIPA)</f>
        <v>-115.533896524283</v>
      </c>
      <c r="AL115" s="47" t="n">
        <f aca="false">-AL111*(In_MEKH+In_HIPA)</f>
        <v>-116.803499782791</v>
      </c>
      <c r="AM115" s="47" t="n">
        <f aca="false">-AM111*(In_MEKH+In_HIPA)</f>
        <v>-116.453089283443</v>
      </c>
      <c r="AN115" s="47" t="n">
        <f aca="false">-AN111*(In_MEKH+In_HIPA)</f>
        <v>-115.060715389837</v>
      </c>
      <c r="AO115" s="47" t="n">
        <f aca="false">-AO111*(In_MEKH+In_HIPA)</f>
        <v>-116.339167783057</v>
      </c>
      <c r="AP115" s="47" t="n">
        <f aca="false">-AP111*(In_MEKH+In_HIPA)</f>
        <v>-117.617620176278</v>
      </c>
      <c r="AQ115" s="47" t="n">
        <f aca="false">-AQ111*(In_MEKH+In_HIPA)</f>
        <v>-117.264767315749</v>
      </c>
      <c r="AR115" s="47" t="n">
        <f aca="false">-AR111*(In_MEKH+In_HIPA)</f>
        <v>-115.862688576104</v>
      </c>
      <c r="AS115" s="47" t="n">
        <f aca="false">-AS111*(In_MEKH+In_HIPA)</f>
        <v>-117.150051782505</v>
      </c>
      <c r="AT115" s="47" t="n">
        <f aca="false">-AT111*(In_MEKH+In_HIPA)</f>
        <v>-118.437414988906</v>
      </c>
      <c r="AU115" s="47" t="n">
        <f aca="false">-AU111*(In_MEKH+In_HIPA)</f>
        <v>-118.082102743939</v>
      </c>
      <c r="AV115" s="47" t="n">
        <f aca="false">-AV111*(In_MEKH+In_HIPA)</f>
        <v>-117.966587643429</v>
      </c>
      <c r="AW115" s="47" t="n">
        <f aca="false">-AW111*(In_MEKH+In_HIPA)</f>
        <v>-117.966587643429</v>
      </c>
      <c r="AX115" s="47" t="n">
        <f aca="false">-AX111*(In_MEKH+In_HIPA)</f>
        <v>-119.262923771379</v>
      </c>
      <c r="AY115" s="47" t="n">
        <f aca="false">-AY111*(In_MEKH+In_HIPA)</f>
        <v>-118.905135000065</v>
      </c>
      <c r="AZ115" s="47" t="n">
        <f aca="false">-AZ111*(In_MEKH+In_HIPA)</f>
        <v>-117.483443168542</v>
      </c>
      <c r="BA115" s="47" t="n">
        <f aca="false">-BA111*(In_MEKH+In_HIPA)</f>
        <v>-118.788814759304</v>
      </c>
      <c r="BB115" s="47" t="n">
        <f aca="false">-BB111*(In_MEKH+In_HIPA)</f>
        <v>-120.094186350065</v>
      </c>
      <c r="BC115" s="47" t="n">
        <f aca="false">-BC111*(In_MEKH+In_HIPA)</f>
        <v>-119.733903791015</v>
      </c>
      <c r="BD115" s="47" t="n">
        <f aca="false">-BD111*(In_MEKH+In_HIPA)</f>
        <v>-118.302302767427</v>
      </c>
      <c r="BE115" s="47" t="n">
        <f aca="false">-BE111*(In_MEKH+In_HIPA)</f>
        <v>-119.616772798176</v>
      </c>
      <c r="BF115" s="47" t="n">
        <f aca="false">-BF111*(In_MEKH+In_HIPA)</f>
        <v>-120.931242828925</v>
      </c>
      <c r="BG115" s="47" t="n">
        <f aca="false">-BG111*(In_MEKH+In_HIPA)</f>
        <v>-120.568449100439</v>
      </c>
      <c r="BH115" s="47" t="n">
        <f aca="false">-BH111*(In_MEKH+In_HIPA)</f>
        <v>-119.126869817716</v>
      </c>
      <c r="BI115" s="47" t="n">
        <f aca="false">-BI111*(In_MEKH+In_HIPA)</f>
        <v>-120.450501704579</v>
      </c>
      <c r="BJ115" s="47" t="n">
        <f aca="false">-BJ111*(In_MEKH+In_HIPA)</f>
        <v>-121.774133591443</v>
      </c>
      <c r="BK115" s="47" t="n">
        <f aca="false">-BK111*(In_MEKH+In_HIPA)</f>
        <v>-121.408811190669</v>
      </c>
      <c r="BL115" s="47" t="n">
        <f aca="false">-BL111*(In_MEKH+In_HIPA)</f>
        <v>-121.29004170146</v>
      </c>
      <c r="BM115" s="47" t="n">
        <f aca="false">-BM111*(In_MEKH+In_HIPA)</f>
        <v>-121.29004170146</v>
      </c>
      <c r="BN115" s="47" t="n">
        <f aca="false">-BN111*(In_MEKH+In_HIPA)</f>
        <v>-122.622899302575</v>
      </c>
      <c r="BO115" s="47" t="n">
        <f aca="false">-BO111*(In_MEKH+In_HIPA)</f>
        <v>-122.255030604668</v>
      </c>
      <c r="BP115" s="47" t="n">
        <f aca="false">-BP111*(In_MEKH+In_HIPA)</f>
        <v>-120.793285673525</v>
      </c>
      <c r="BQ115" s="47" t="n">
        <f aca="false">-BQ111*(In_MEKH+In_HIPA)</f>
        <v>-122.13543329212</v>
      </c>
      <c r="BR115" s="47" t="n">
        <f aca="false">-BR111*(In_MEKH+In_HIPA)</f>
        <v>-123.477580910714</v>
      </c>
      <c r="BS115" s="47" t="n">
        <f aca="false">-BS111*(In_MEKH+In_HIPA)</f>
        <v>-123.107148167982</v>
      </c>
      <c r="BT115" s="47" t="n">
        <f aca="false">-BT111*(In_MEKH+In_HIPA)</f>
        <v>-121.635214874669</v>
      </c>
      <c r="BU115" s="47" t="n">
        <f aca="false">-BU111*(In_MEKH+In_HIPA)</f>
        <v>-122.986717262166</v>
      </c>
      <c r="BV115" s="47" t="n">
        <f aca="false">-BV111*(In_MEKH+In_HIPA)</f>
        <v>-124.338219649662</v>
      </c>
      <c r="BW115" s="47" t="n">
        <f aca="false">-BW111*(In_MEKH+In_HIPA)</f>
        <v>-123.965204990713</v>
      </c>
      <c r="BX115" s="47" t="n">
        <f aca="false">-BX111*(In_MEKH+In_HIPA)</f>
        <v>-122.483012322346</v>
      </c>
      <c r="BY115" s="47" t="n">
        <f aca="false">-BY111*(In_MEKH+In_HIPA)</f>
        <v>-123.843934681483</v>
      </c>
      <c r="BZ115" s="47" t="n">
        <f aca="false">-BZ111*(In_MEKH+In_HIPA)</f>
        <v>-125.20485704062</v>
      </c>
      <c r="CA115" s="47" t="n">
        <f aca="false">-CA111*(In_MEKH+In_HIPA)</f>
        <v>-124.829242469498</v>
      </c>
      <c r="CB115" s="47" t="n">
        <f aca="false">-CB111*(In_MEKH+In_HIPA)</f>
        <v>-124.707126906213</v>
      </c>
      <c r="CC115" s="47" t="n">
        <f aca="false">-CC111*(In_MEKH+In_HIPA)</f>
        <v>-124.707126906213</v>
      </c>
      <c r="CD115" s="47" t="n">
        <f aca="false">-CD111*(In_MEKH+In_HIPA)</f>
        <v>-126.077534894193</v>
      </c>
      <c r="CE115" s="47" t="n">
        <f aca="false">-CE111*(In_MEKH+In_HIPA)</f>
        <v>-125.699302289511</v>
      </c>
      <c r="CF115" s="47" t="n">
        <f aca="false">-CF111*(In_MEKH+In_HIPA)</f>
        <v>-124.196375849093</v>
      </c>
      <c r="CG115" s="47" t="n">
        <f aca="false">-CG111*(In_MEKH+In_HIPA)</f>
        <v>-125.576335580749</v>
      </c>
      <c r="CH115" s="47" t="n">
        <f aca="false">-CH111*(In_MEKH+In_HIPA)</f>
        <v>-126.956295312406</v>
      </c>
      <c r="CI115" s="47" t="n">
        <f aca="false">-CI111*(In_MEKH+In_HIPA)</f>
        <v>-126.575426426469</v>
      </c>
      <c r="CJ115" s="47" t="n">
        <f aca="false">-CJ111*(In_MEKH+In_HIPA)</f>
        <v>-125.062024588761</v>
      </c>
      <c r="CK115" s="47" t="n">
        <f aca="false">-CK111*(In_MEKH+In_HIPA)</f>
        <v>-126.451602639747</v>
      </c>
      <c r="CL115" s="47" t="n">
        <f aca="false">-CL111*(In_MEKH+In_HIPA)</f>
        <v>-127.841180690733</v>
      </c>
      <c r="CM115" s="47" t="n">
        <f aca="false">-CM111*(In_MEKH+In_HIPA)</f>
        <v>-127.457657148661</v>
      </c>
      <c r="CN115" s="47" t="n">
        <f aca="false">-CN111*(In_MEKH+In_HIPA)</f>
        <v>-125.933706900144</v>
      </c>
      <c r="CO115" s="47" t="n">
        <f aca="false">-CO111*(In_MEKH+In_HIPA)</f>
        <v>-127.332970310146</v>
      </c>
      <c r="CP115" s="47" t="n">
        <f aca="false">-CP111*(In_MEKH+In_HIPA)</f>
        <v>-128.732233720148</v>
      </c>
      <c r="CQ115" s="47" t="n">
        <f aca="false">-CQ111*(In_MEKH+In_HIPA)</f>
        <v>-128.346037018987</v>
      </c>
      <c r="CR115" s="47" t="n">
        <f aca="false">-CR111*(In_MEKH+In_HIPA)</f>
        <v>-128.220481113208</v>
      </c>
      <c r="CS115" s="47" t="n">
        <f aca="false">-CS111*(In_MEKH+In_HIPA)</f>
        <v>-128.220481113208</v>
      </c>
      <c r="CT115" s="47" t="n">
        <f aca="false">-CT111*(In_MEKH+In_HIPA)</f>
        <v>-129.629497389177</v>
      </c>
      <c r="CU115" s="47" t="n">
        <f aca="false">-CU111*(In_MEKH+In_HIPA)</f>
        <v>-129.240608897009</v>
      </c>
      <c r="CV115" s="47" t="n">
        <f aca="false">-CV111*(In_MEKH+In_HIPA)</f>
        <v>-127.695340747154</v>
      </c>
      <c r="CW115" s="47" t="n">
        <f aca="false">-CW111*(In_MEKH+In_HIPA)</f>
        <v>-129.114177866567</v>
      </c>
      <c r="CX115" s="47" t="n">
        <f aca="false">-CX111*(In_MEKH+In_HIPA)</f>
        <v>-130.53301498598</v>
      </c>
      <c r="CY115" s="47" t="n">
        <f aca="false">-CY111*(In_MEKH+In_HIPA)</f>
        <v>-130.141415941022</v>
      </c>
      <c r="CZ115" s="47" t="n">
        <f aca="false">-CZ111*(In_MEKH+In_HIPA)</f>
        <v>-128.585377272162</v>
      </c>
      <c r="DA115" s="47" t="n">
        <f aca="false">-DA111*(In_MEKH+In_HIPA)</f>
        <v>-130.014103686297</v>
      </c>
      <c r="DB115" s="47" t="n">
        <f aca="false">-DB111*(In_MEKH+In_HIPA)</f>
        <v>-131.442830100432</v>
      </c>
      <c r="DC115" s="47" t="n">
        <f aca="false">-DC111*(In_MEKH+In_HIPA)</f>
        <v>-131.048501610131</v>
      </c>
      <c r="DD115" s="47" t="n">
        <f aca="false">-DD111*(In_MEKH+In_HIPA)</f>
        <v>-129.481617351749</v>
      </c>
      <c r="DE115" s="47" t="n">
        <f aca="false">-DE111*(In_MEKH+In_HIPA)</f>
        <v>-130.92030198899</v>
      </c>
      <c r="DF115" s="47" t="n">
        <f aca="false">-DF111*(In_MEKH+In_HIPA)</f>
        <v>-132.358986626232</v>
      </c>
      <c r="DG115" s="47" t="n">
        <f aca="false">-DG111*(In_MEKH+In_HIPA)</f>
        <v>-131.961909666353</v>
      </c>
      <c r="DH115" s="47" t="n">
        <f aca="false">-DH111*(In_MEKH+In_HIPA)</f>
        <v>-131.832816493854</v>
      </c>
      <c r="DI115" s="47" t="n">
        <f aca="false">-DI111*(In_MEKH+In_HIPA)</f>
        <v>-131.832816493854</v>
      </c>
      <c r="DJ115" s="47" t="n">
        <f aca="false">-DJ111*(In_MEKH+In_HIPA)</f>
        <v>-133.281528763017</v>
      </c>
      <c r="DK115" s="47" t="n">
        <f aca="false">-DK111*(In_MEKH+In_HIPA)</f>
        <v>-132.881684176728</v>
      </c>
      <c r="DL115" s="47" t="n">
        <f aca="false">-DL111*(In_MEKH+In_HIPA)</f>
        <v>-131.292881431136</v>
      </c>
      <c r="DM115" s="47" t="n">
        <f aca="false">-DM111*(In_MEKH+In_HIPA)</f>
        <v>-132.751691224816</v>
      </c>
      <c r="DN115" s="47" t="n">
        <f aca="false">-DN111*(In_MEKH+In_HIPA)</f>
        <v>-134.210501018495</v>
      </c>
      <c r="DO115" s="47" t="n">
        <f aca="false">-DO111*(In_MEKH+In_HIPA)</f>
        <v>-133.807869515439</v>
      </c>
      <c r="DP115" s="47" t="n">
        <f aca="false">-DP111*(In_MEKH+In_HIPA)</f>
        <v>-132.207992814711</v>
      </c>
      <c r="DQ115" s="47" t="n">
        <f aca="false">-DQ111*(In_MEKH+In_HIPA)</f>
        <v>-133.676970512653</v>
      </c>
      <c r="DR115" s="47" t="n">
        <f aca="false">-DR111*(In_MEKH+In_HIPA)</f>
        <v>-135.145948210594</v>
      </c>
      <c r="DS115" s="47" t="n">
        <f aca="false">-DS111*(In_MEKH+In_HIPA)</f>
        <v>-134.740510365962</v>
      </c>
      <c r="DT115" s="47" t="n">
        <f aca="false">-DT111*(In_MEKH+In_HIPA)</f>
        <v>-133.12948252463</v>
      </c>
      <c r="DU115" s="47" t="n">
        <f aca="false">-DU111*(In_MEKH+In_HIPA)</f>
        <v>-134.608698997126</v>
      </c>
      <c r="DV115" s="47" t="n">
        <f aca="false">-DV111*(In_MEKH+In_HIPA)</f>
        <v>-136.087915469622</v>
      </c>
      <c r="DW115" s="47" t="n">
        <f aca="false">-DW111*(In_MEKH+In_HIPA)</f>
        <v>-135.679651723213</v>
      </c>
      <c r="DX115" s="47" t="n">
        <f aca="false">-DX111*(In_MEKH+In_HIPA)</f>
        <v>-135.546921629136</v>
      </c>
      <c r="DY115" s="47" t="n">
        <f aca="false">-DY111*(In_MEKH+In_HIPA)</f>
        <v>-135.546921629136</v>
      </c>
      <c r="DZ115" s="47" t="n">
        <f aca="false">-DZ111*(In_MEKH+In_HIPA)</f>
        <v>-137.036448240445</v>
      </c>
      <c r="EA115" s="47" t="n">
        <f aca="false">-EA111*(In_MEKH+In_HIPA)</f>
        <v>-136.625338895724</v>
      </c>
      <c r="EB115" s="47" t="n">
        <f aca="false">-EB111*(In_MEKH+In_HIPA)</f>
        <v>-134.991775061101</v>
      </c>
      <c r="EC115" s="47" t="n">
        <f aca="false">-EC111*(In_MEKH+In_HIPA)</f>
        <v>-136.491683672891</v>
      </c>
      <c r="ED115" s="47" t="n">
        <f aca="false">-ED111*(In_MEKH+In_HIPA)</f>
        <v>-137.991592284681</v>
      </c>
      <c r="EE115" s="47" t="n">
        <f aca="false">-EE111*(In_MEKH+In_HIPA)</f>
        <v>-137.577617507827</v>
      </c>
      <c r="EF115" s="47" t="n">
        <f aca="false">-EF111*(In_MEKH+In_HIPA)</f>
        <v>-135.932667733277</v>
      </c>
      <c r="EG115" s="47" t="n">
        <f aca="false">-EG111*(In_MEKH+In_HIPA)</f>
        <v>-137.443030708091</v>
      </c>
      <c r="EH115" s="47" t="n">
        <f aca="false">-EH111*(In_MEKH+In_HIPA)</f>
        <v>-138.953393682905</v>
      </c>
      <c r="EI115" s="47" t="n">
        <f aca="false">-EI111*(In_MEKH+In_HIPA)</f>
        <v>-138.536533501856</v>
      </c>
      <c r="EJ115" s="47" t="n">
        <f aca="false">-EJ111*(In_MEKH+In_HIPA)</f>
        <v>-136.880118427378</v>
      </c>
      <c r="EK115" s="47" t="n">
        <f aca="false">-EK111*(In_MEKH+In_HIPA)</f>
        <v>-138.401008632126</v>
      </c>
      <c r="EL115" s="47" t="n">
        <f aca="false">-EL111*(In_MEKH+In_HIPA)</f>
        <v>-139.921898836875</v>
      </c>
      <c r="EM115" s="47" t="n">
        <f aca="false">-EM111*(In_MEKH+In_HIPA)</f>
        <v>-139.502133140364</v>
      </c>
      <c r="EN115" s="47" t="n">
        <f aca="false">-EN111*(In_MEKH+In_HIPA)</f>
        <v>-139.365663662292</v>
      </c>
      <c r="EO115" s="47" t="n">
        <f aca="false">-EO111*(In_MEKH+In_HIPA)</f>
        <v>-139.365663662292</v>
      </c>
      <c r="EP115" s="47" t="n">
        <f aca="false">-EP111*(In_MEKH+In_HIPA)</f>
        <v>-140.897154471768</v>
      </c>
      <c r="EQ115" s="47" t="n">
        <f aca="false">-EQ111*(In_MEKH+In_HIPA)</f>
        <v>-140.474463008353</v>
      </c>
      <c r="ER115" s="47" t="n">
        <f aca="false">-ER111*(In_MEKH+In_HIPA)</f>
        <v>-138.794877037601</v>
      </c>
      <c r="ES115" s="47" t="n">
        <f aca="false">-ES111*(In_MEKH+In_HIPA)</f>
        <v>-140.337042338018</v>
      </c>
      <c r="ET115" s="47" t="n">
        <f aca="false">-ET111*(In_MEKH+In_HIPA)</f>
        <v>-141.879207638436</v>
      </c>
    </row>
    <row r="116" customFormat="false" ht="15" hidden="false" customHeight="false" outlineLevel="0" collapsed="false">
      <c r="C116" s="1" t="s">
        <v>350</v>
      </c>
      <c r="D116" s="12" t="s">
        <v>222</v>
      </c>
      <c r="I116" s="47" t="n">
        <f aca="false">SUM(J116:ET116)</f>
        <v>-8565.12918101122</v>
      </c>
      <c r="J116" s="47" t="n">
        <f aca="false">In_Opex_Contingency*(J112+J113+J114-J111*In_MEKH)</f>
        <v>-0</v>
      </c>
      <c r="K116" s="47" t="n">
        <f aca="false">In_Opex_Contingency*(K112+K113+K114-K111*In_MEKH)</f>
        <v>-0</v>
      </c>
      <c r="L116" s="47" t="n">
        <f aca="false">In_Opex_Contingency*(L112+L113+L114-L111*In_MEKH)</f>
        <v>-0</v>
      </c>
      <c r="M116" s="47" t="n">
        <f aca="false">In_Opex_Contingency*(M112+M113+M114-M111*In_MEKH)</f>
        <v>-0</v>
      </c>
      <c r="N116" s="47" t="n">
        <f aca="false">In_Opex_Contingency*(N112+N113+N114-N111*In_MEKH)</f>
        <v>-0</v>
      </c>
      <c r="O116" s="47" t="n">
        <f aca="false">In_Opex_Contingency*(O112+O113+O114-O111*In_MEKH)</f>
        <v>-0</v>
      </c>
      <c r="P116" s="47" t="n">
        <f aca="false">In_Opex_Contingency*(P112+P113+P114-P111*In_MEKH)</f>
        <v>-0</v>
      </c>
      <c r="Q116" s="47" t="n">
        <f aca="false">In_Opex_Contingency*(Q112+Q113+Q114-Q111*In_MEKH)</f>
        <v>-0</v>
      </c>
      <c r="R116" s="47" t="n">
        <f aca="false">In_Opex_Contingency*(R112+R113+R114-R111*In_MEKH)</f>
        <v>-0</v>
      </c>
      <c r="S116" s="47" t="n">
        <f aca="false">In_Opex_Contingency*(S112+S113+S114-S111*In_MEKH)</f>
        <v>-0</v>
      </c>
      <c r="T116" s="47" t="n">
        <f aca="false">In_Opex_Contingency*(T112+T113+T114-T111*In_MEKH)</f>
        <v>-0</v>
      </c>
      <c r="U116" s="47" t="n">
        <f aca="false">In_Opex_Contingency*(U112+U113+U114-U111*In_MEKH)</f>
        <v>-0</v>
      </c>
      <c r="V116" s="47" t="n">
        <f aca="false">In_Opex_Contingency*(V112+V113+V114-V111*In_MEKH)</f>
        <v>-0</v>
      </c>
      <c r="W116" s="47" t="n">
        <f aca="false">In_Opex_Contingency*(W112+W113+W114-W111*In_MEKH)</f>
        <v>-3.59864073081092</v>
      </c>
      <c r="X116" s="47" t="n">
        <f aca="false">In_Opex_Contingency*(X112+X113+X114-X111*In_MEKH)</f>
        <v>-3.60841964584029</v>
      </c>
      <c r="Y116" s="47" t="n">
        <f aca="false">In_Opex_Contingency*(Y112+Y113+Y114-Y111*In_MEKH)</f>
        <v>-3.64851319746074</v>
      </c>
      <c r="Z116" s="47" t="n">
        <f aca="false">In_Opex_Contingency*(Z112+Z113+Z114-Z111*In_MEKH)</f>
        <v>-3.68860674908119</v>
      </c>
      <c r="AA116" s="47" t="n">
        <f aca="false">In_Opex_Contingency*(AA112+AA113+AA114-AA111*In_MEKH)</f>
        <v>-3.68860674908119</v>
      </c>
      <c r="AB116" s="47" t="n">
        <f aca="false">In_Opex_Contingency*(AB112+AB113+AB114-AB111*In_MEKH)</f>
        <v>-3.6986301369863</v>
      </c>
      <c r="AC116" s="47" t="n">
        <f aca="false">In_Opex_Contingency*(AC112+AC113+AC114-AC111*In_MEKH)</f>
        <v>-3.73972602739726</v>
      </c>
      <c r="AD116" s="47" t="n">
        <f aca="false">In_Opex_Contingency*(AD112+AD113+AD114-AD111*In_MEKH)</f>
        <v>-3.78082191780822</v>
      </c>
      <c r="AE116" s="47" t="n">
        <f aca="false">In_Opex_Contingency*(AE112+AE113+AE114-AE111*In_MEKH)</f>
        <v>-48.8620469041096</v>
      </c>
      <c r="AF116" s="47" t="n">
        <f aca="false">In_Opex_Contingency*(AF112+AF113+AF114-AF111*In_MEKH)</f>
        <v>-49.5351540619178</v>
      </c>
      <c r="AG116" s="47" t="n">
        <f aca="false">In_Opex_Contingency*(AG112+AG113+AG114-AG111*In_MEKH)</f>
        <v>-49.5351540619178</v>
      </c>
      <c r="AH116" s="47" t="n">
        <f aca="false">In_Opex_Contingency*(AH112+AH113+AH114-AH111*In_MEKH)</f>
        <v>-50.0794964142466</v>
      </c>
      <c r="AI116" s="47" t="n">
        <f aca="false">In_Opex_Contingency*(AI112+AI113+AI114-AI111*In_MEKH)</f>
        <v>-50.0319545003463</v>
      </c>
      <c r="AJ116" s="47" t="n">
        <f aca="false">In_Opex_Contingency*(AJ112+AJ113+AJ114-AJ111*In_MEKH)</f>
        <v>-50.1638704354583</v>
      </c>
      <c r="AK116" s="47" t="n">
        <f aca="false">In_Opex_Contingency*(AK112+AK113+AK114-AK111*In_MEKH)</f>
        <v>-50.7212467736301</v>
      </c>
      <c r="AL116" s="47" t="n">
        <f aca="false">In_Opex_Contingency*(AL112+AL113+AL114-AL111*In_MEKH)</f>
        <v>-51.2786231118018</v>
      </c>
      <c r="AM116" s="47" t="n">
        <f aca="false">In_Opex_Contingency*(AM112+AM113+AM114-AM111*In_MEKH)</f>
        <v>-51.2300512321924</v>
      </c>
      <c r="AN116" s="47" t="n">
        <f aca="false">In_Opex_Contingency*(AN112+AN113+AN114-AN111*In_MEKH)</f>
        <v>-51.3651947029183</v>
      </c>
      <c r="AO116" s="47" t="n">
        <f aca="false">In_Opex_Contingency*(AO112+AO113+AO114-AO111*In_MEKH)</f>
        <v>-51.9359190885063</v>
      </c>
      <c r="AP116" s="47" t="n">
        <f aca="false">In_Opex_Contingency*(AP112+AP113+AP114-AP111*In_MEKH)</f>
        <v>-52.5066434740943</v>
      </c>
      <c r="AQ116" s="47" t="n">
        <f aca="false">In_Opex_Contingency*(AQ112+AQ113+AQ114-AQ111*In_MEKH)</f>
        <v>-52.4570191331412</v>
      </c>
      <c r="AR116" s="47" t="n">
        <f aca="false">In_Opex_Contingency*(AR112+AR113+AR114-AR111*In_MEKH)</f>
        <v>-52.5954683974554</v>
      </c>
      <c r="AS116" s="47" t="n">
        <f aca="false">In_Opex_Contingency*(AS112+AS113+AS114-AS111*In_MEKH)</f>
        <v>-53.1798624907605</v>
      </c>
      <c r="AT116" s="47" t="n">
        <f aca="false">In_Opex_Contingency*(AT112+AT113+AT114-AT111*In_MEKH)</f>
        <v>-53.7642565840656</v>
      </c>
      <c r="AU116" s="47" t="n">
        <f aca="false">In_Opex_Contingency*(AU112+AU113+AU114-AU111*In_MEKH)</f>
        <v>-53.7135567935193</v>
      </c>
      <c r="AV116" s="47" t="n">
        <f aca="false">In_Opex_Contingency*(AV112+AV113+AV114-AV111*In_MEKH)</f>
        <v>-54.4537852508869</v>
      </c>
      <c r="AW116" s="47" t="n">
        <f aca="false">In_Opex_Contingency*(AW112+AW113+AW114-AW111*In_MEKH)</f>
        <v>-54.4537852508869</v>
      </c>
      <c r="AX116" s="47" t="n">
        <f aca="false">In_Opex_Contingency*(AX112+AX113+AX114-AX111*In_MEKH)</f>
        <v>-55.0521784954021</v>
      </c>
      <c r="AY116" s="47" t="n">
        <f aca="false">In_Opex_Contingency*(AY112+AY113+AY114-AY111*In_MEKH)</f>
        <v>-55.0003797636019</v>
      </c>
      <c r="AZ116" s="47" t="n">
        <f aca="false">In_Opex_Contingency*(AZ112+AZ113+AZ114-AZ111*In_MEKH)</f>
        <v>-55.1456830229945</v>
      </c>
      <c r="BA116" s="47" t="n">
        <f aca="false">In_Opex_Contingency*(BA112+BA113+BA114-BA111*In_MEKH)</f>
        <v>-55.7584128343611</v>
      </c>
      <c r="BB116" s="47" t="n">
        <f aca="false">In_Opex_Contingency*(BB112+BB113+BB114-BB111*In_MEKH)</f>
        <v>-56.3711426457277</v>
      </c>
      <c r="BC116" s="47" t="n">
        <f aca="false">In_Opex_Contingency*(BC112+BC113+BC114-BC111*In_MEKH)</f>
        <v>-56.3182209665687</v>
      </c>
      <c r="BD116" s="47" t="n">
        <f aca="false">In_Opex_Contingency*(BD112+BD113+BD114-BD111*In_MEKH)</f>
        <v>-56.4670763607554</v>
      </c>
      <c r="BE116" s="47" t="n">
        <f aca="false">In_Opex_Contingency*(BE112+BE113+BE114-BE111*In_MEKH)</f>
        <v>-57.0944883203193</v>
      </c>
      <c r="BF116" s="47" t="n">
        <f aca="false">In_Opex_Contingency*(BF112+BF113+BF114-BF111*In_MEKH)</f>
        <v>-57.7219002798833</v>
      </c>
      <c r="BG116" s="47" t="n">
        <f aca="false">In_Opex_Contingency*(BG112+BG113+BG114-BG111*In_MEKH)</f>
        <v>-57.6678311215413</v>
      </c>
      <c r="BH116" s="47" t="n">
        <f aca="false">In_Opex_Contingency*(BH112+BH113+BH114-BH111*In_MEKH)</f>
        <v>-57.8203247773766</v>
      </c>
      <c r="BI116" s="47" t="n">
        <f aca="false">In_Opex_Contingency*(BI112+BI113+BI114-BI111*In_MEKH)</f>
        <v>-58.4627728304585</v>
      </c>
      <c r="BJ116" s="47" t="n">
        <f aca="false">In_Opex_Contingency*(BJ112+BJ113+BJ114-BJ111*In_MEKH)</f>
        <v>-59.1052208835405</v>
      </c>
      <c r="BK116" s="47" t="n">
        <f aca="false">In_Opex_Contingency*(BK112+BK113+BK114-BK111*In_MEKH)</f>
        <v>-59.04997917695</v>
      </c>
      <c r="BL116" s="47" t="n">
        <f aca="false">In_Opex_Contingency*(BL112+BL113+BL114-BL111*In_MEKH)</f>
        <v>-59.8640459684091</v>
      </c>
      <c r="BM116" s="47" t="n">
        <f aca="false">In_Opex_Contingency*(BM112+BM113+BM114-BM111*In_MEKH)</f>
        <v>-59.8640459684091</v>
      </c>
      <c r="BN116" s="47" t="n">
        <f aca="false">In_Opex_Contingency*(BN112+BN113+BN114-BN111*In_MEKH)</f>
        <v>-60.5218926274026</v>
      </c>
      <c r="BO116" s="47" t="n">
        <f aca="false">In_Opex_Contingency*(BO112+BO113+BO114-BO111*In_MEKH)</f>
        <v>-60.465452754482</v>
      </c>
      <c r="BP116" s="47" t="n">
        <f aca="false">In_Opex_Contingency*(BP112+BP113+BP114-BP111*In_MEKH)</f>
        <v>-60.6254897174195</v>
      </c>
      <c r="BQ116" s="47" t="n">
        <f aca="false">In_Opex_Contingency*(BQ112+BQ113+BQ114-BQ111*In_MEKH)</f>
        <v>-61.2991062698353</v>
      </c>
      <c r="BR116" s="47" t="n">
        <f aca="false">In_Opex_Contingency*(BR112+BR113+BR114-BR111*In_MEKH)</f>
        <v>-61.972722822251</v>
      </c>
      <c r="BS116" s="47" t="n">
        <f aca="false">In_Opex_Contingency*(BS112+BS113+BS114-BS111*In_MEKH)</f>
        <v>-61.9150586038699</v>
      </c>
      <c r="BT116" s="47" t="n">
        <f aca="false">In_Opex_Contingency*(BT112+BT113+BT114-BT111*In_MEKH)</f>
        <v>-62.0790049419491</v>
      </c>
      <c r="BU116" s="47" t="n">
        <f aca="false">In_Opex_Contingency*(BU112+BU113+BU114-BU111*In_MEKH)</f>
        <v>-62.7687716635263</v>
      </c>
      <c r="BV116" s="47" t="n">
        <f aca="false">In_Opex_Contingency*(BV112+BV113+BV114-BV111*In_MEKH)</f>
        <v>-63.4585383851035</v>
      </c>
      <c r="BW116" s="47" t="n">
        <f aca="false">In_Opex_Contingency*(BW112+BW113+BW114-BW111*In_MEKH)</f>
        <v>-63.399623068786</v>
      </c>
      <c r="BX116" s="47" t="n">
        <f aca="false">In_Opex_Contingency*(BX112+BX113+BX114-BX111*In_MEKH)</f>
        <v>-63.5675735707396</v>
      </c>
      <c r="BY116" s="47" t="n">
        <f aca="false">In_Opex_Contingency*(BY112+BY113+BY114-BY111*In_MEKH)</f>
        <v>-64.2738799437478</v>
      </c>
      <c r="BZ116" s="47" t="n">
        <f aca="false">In_Opex_Contingency*(BZ112+BZ113+BZ114-BZ111*In_MEKH)</f>
        <v>-64.980186316756</v>
      </c>
      <c r="CA116" s="47" t="n">
        <f aca="false">In_Opex_Contingency*(CA112+CA113+CA114-CA111*In_MEKH)</f>
        <v>-64.9199925641145</v>
      </c>
      <c r="CB116" s="47" t="n">
        <f aca="false">In_Opex_Contingency*(CB112+CB113+CB114-CB111*In_MEKH)</f>
        <v>-65.8152892541277</v>
      </c>
      <c r="CC116" s="47" t="n">
        <f aca="false">In_Opex_Contingency*(CC112+CC113+CC114-CC111*In_MEKH)</f>
        <v>-65.8152892541277</v>
      </c>
      <c r="CD116" s="47" t="n">
        <f aca="false">In_Opex_Contingency*(CD112+CD113+CD114-CD111*In_MEKH)</f>
        <v>-66.5385341909863</v>
      </c>
      <c r="CE116" s="47" t="n">
        <f aca="false">In_Opex_Contingency*(CE112+CE113+CE114-CE111*In_MEKH)</f>
        <v>-66.4770340648798</v>
      </c>
      <c r="CF116" s="47" t="n">
        <f aca="false">In_Opex_Contingency*(CF112+CF113+CF114-CF111*In_MEKH)</f>
        <v>-66.6532865110164</v>
      </c>
      <c r="CG116" s="47" t="n">
        <f aca="false">In_Opex_Contingency*(CG112+CG113+CG114-CG111*In_MEKH)</f>
        <v>-67.3938785833611</v>
      </c>
      <c r="CH116" s="47" t="n">
        <f aca="false">In_Opex_Contingency*(CH112+CH113+CH114-CH111*In_MEKH)</f>
        <v>-68.1344706557057</v>
      </c>
      <c r="CI116" s="47" t="n">
        <f aca="false">In_Opex_Contingency*(CI112+CI113+CI114-CI111*In_MEKH)</f>
        <v>-68.0716356071167</v>
      </c>
      <c r="CJ116" s="47" t="n">
        <f aca="false">In_Opex_Contingency*(CJ112+CJ113+CJ114-CJ111*In_MEKH)</f>
        <v>-68.252190599691</v>
      </c>
      <c r="CK116" s="47" t="n">
        <f aca="false">In_Opex_Contingency*(CK112+CK113+CK114-CK111*In_MEKH)</f>
        <v>-69.0105482730209</v>
      </c>
      <c r="CL116" s="47" t="n">
        <f aca="false">In_Opex_Contingency*(CL112+CL113+CL114-CL111*In_MEKH)</f>
        <v>-69.7689059463508</v>
      </c>
      <c r="CM116" s="47" t="n">
        <f aca="false">In_Opex_Contingency*(CM112+CM113+CM114-CM111*In_MEKH)</f>
        <v>-69.7047068009743</v>
      </c>
      <c r="CN116" s="47" t="n">
        <f aca="false">In_Opex_Contingency*(CN112+CN113+CN114-CN111*In_MEKH)</f>
        <v>-69.8896686637318</v>
      </c>
      <c r="CO116" s="47" t="n">
        <f aca="false">In_Opex_Contingency*(CO112+CO113+CO114-CO111*In_MEKH)</f>
        <v>-70.6662205377733</v>
      </c>
      <c r="CP116" s="47" t="n">
        <f aca="false">In_Opex_Contingency*(CP112+CP113+CP114-CP111*In_MEKH)</f>
        <v>-71.4427724118148</v>
      </c>
      <c r="CQ116" s="47" t="n">
        <f aca="false">In_Opex_Contingency*(CQ112+CQ113+CQ114-CQ111*In_MEKH)</f>
        <v>-71.3771793563535</v>
      </c>
      <c r="CR116" s="47" t="n">
        <f aca="false">In_Opex_Contingency*(CR112+CR113+CR114-CR111*In_MEKH)</f>
        <v>-72.3618399982995</v>
      </c>
      <c r="CS116" s="47" t="n">
        <f aca="false">In_Opex_Contingency*(CS112+CS113+CS114-CS111*In_MEKH)</f>
        <v>-72.3618399982995</v>
      </c>
      <c r="CT116" s="47" t="n">
        <f aca="false">In_Opex_Contingency*(CT112+CT113+CT114-CT111*In_MEKH)</f>
        <v>-73.1570250532259</v>
      </c>
      <c r="CU116" s="47" t="n">
        <f aca="false">In_Opex_Contingency*(CU112+CU113+CU114-CU111*In_MEKH)</f>
        <v>-73.0900076213847</v>
      </c>
      <c r="CV116" s="47" t="n">
        <f aca="false">In_Opex_Contingency*(CV112+CV113+CV114-CV111*In_MEKH)</f>
        <v>-73.2841063785854</v>
      </c>
      <c r="CW116" s="47" t="n">
        <f aca="false">In_Opex_Contingency*(CW112+CW113+CW114-CW111*In_MEKH)</f>
        <v>-74.0983742272363</v>
      </c>
      <c r="CX116" s="47" t="n">
        <f aca="false">In_Opex_Contingency*(CX112+CX113+CX114-CX111*In_MEKH)</f>
        <v>-74.9126420758873</v>
      </c>
      <c r="CY116" s="47" t="n">
        <f aca="false">In_Opex_Contingency*(CY112+CY113+CY114-CY111*In_MEKH)</f>
        <v>-74.8441691340611</v>
      </c>
      <c r="CZ116" s="47" t="n">
        <f aca="false">In_Opex_Contingency*(CZ112+CZ113+CZ114-CZ111*In_MEKH)</f>
        <v>-75.0430031622069</v>
      </c>
      <c r="DA116" s="47" t="n">
        <f aca="false">In_Opex_Contingency*(DA112+DA113+DA114-DA111*In_MEKH)</f>
        <v>-75.8768143084537</v>
      </c>
      <c r="DB116" s="47" t="n">
        <f aca="false">In_Opex_Contingency*(DB112+DB113+DB114-DB111*In_MEKH)</f>
        <v>-76.7106254547004</v>
      </c>
      <c r="DC116" s="47" t="n">
        <f aca="false">In_Opex_Contingency*(DC112+DC113+DC114-DC111*In_MEKH)</f>
        <v>-76.6406651873478</v>
      </c>
      <c r="DD116" s="47" t="n">
        <f aca="false">In_Opex_Contingency*(DD112+DD113+DD114-DD111*In_MEKH)</f>
        <v>-76.8443493065894</v>
      </c>
      <c r="DE116" s="47" t="n">
        <f aca="false">In_Opex_Contingency*(DE112+DE113+DE114-DE111*In_MEKH)</f>
        <v>-77.698175409996</v>
      </c>
      <c r="DF116" s="47" t="n">
        <f aca="false">In_Opex_Contingency*(DF112+DF113+DF114-DF111*In_MEKH)</f>
        <v>-78.5520015134025</v>
      </c>
      <c r="DG116" s="47" t="n">
        <f aca="false">In_Opex_Contingency*(DG112+DG113+DG114-DG111*In_MEKH)</f>
        <v>-78.4805214080991</v>
      </c>
      <c r="DH116" s="47" t="n">
        <f aca="false">In_Opex_Contingency*(DH112+DH113+DH114-DH111*In_MEKH)</f>
        <v>-79.563497371022</v>
      </c>
      <c r="DI116" s="47" t="n">
        <f aca="false">In_Opex_Contingency*(DI112+DI113+DI114-DI111*In_MEKH)</f>
        <v>-79.563497371022</v>
      </c>
      <c r="DJ116" s="47" t="n">
        <f aca="false">In_Opex_Contingency*(DJ112+DJ113+DJ114-DJ111*In_MEKH)</f>
        <v>-80.4378215179563</v>
      </c>
      <c r="DK116" s="47" t="n">
        <f aca="false">In_Opex_Contingency*(DK112+DK113+DK114-DK111*In_MEKH)</f>
        <v>-80.3647883501201</v>
      </c>
      <c r="DL116" s="47" t="n">
        <f aca="false">In_Opex_Contingency*(DL112+DL113+DL114-DL111*In_MEKH)</f>
        <v>-80.5785283217331</v>
      </c>
      <c r="DM116" s="47" t="n">
        <f aca="false">In_Opex_Contingency*(DM112+DM113+DM114-DM111*In_MEKH)</f>
        <v>-81.4738453030857</v>
      </c>
      <c r="DN116" s="47" t="n">
        <f aca="false">In_Opex_Contingency*(DN112+DN113+DN114-DN111*In_MEKH)</f>
        <v>-82.3691622844383</v>
      </c>
      <c r="DO116" s="47" t="n">
        <f aca="false">In_Opex_Contingency*(DO112+DO113+DO114-DO111*In_MEKH)</f>
        <v>-82.2945421017206</v>
      </c>
      <c r="DP116" s="47" t="n">
        <f aca="false">In_Opex_Contingency*(DP112+DP113+DP114-DP111*In_MEKH)</f>
        <v>-82.5134936104378</v>
      </c>
      <c r="DQ116" s="47" t="n">
        <f aca="false">In_Opex_Contingency*(DQ112+DQ113+DQ114-DQ111*In_MEKH)</f>
        <v>-83.4303102061093</v>
      </c>
      <c r="DR116" s="47" t="n">
        <f aca="false">In_Opex_Contingency*(DR112+DR113+DR114-DR111*In_MEKH)</f>
        <v>-84.3471268017809</v>
      </c>
      <c r="DS116" s="47" t="n">
        <f aca="false">In_Opex_Contingency*(DS112+DS113+DS114-DS111*In_MEKH)</f>
        <v>-84.2708849081146</v>
      </c>
      <c r="DT116" s="47" t="n">
        <f aca="false">In_Opex_Contingency*(DT112+DT113+DT114-DT111*In_MEKH)</f>
        <v>-84.4951743290865</v>
      </c>
      <c r="DU116" s="47" t="n">
        <f aca="false">In_Opex_Contingency*(DU112+DU113+DU114-DU111*In_MEKH)</f>
        <v>-85.4340095994097</v>
      </c>
      <c r="DV116" s="47" t="n">
        <f aca="false">In_Opex_Contingency*(DV112+DV113+DV114-DV111*In_MEKH)</f>
        <v>-86.3728448697329</v>
      </c>
      <c r="DW116" s="47" t="n">
        <f aca="false">In_Opex_Contingency*(DW112+DW113+DW114-DW111*In_MEKH)</f>
        <v>-86.2949458090312</v>
      </c>
      <c r="DX116" s="47" t="n">
        <f aca="false">In_Opex_Contingency*(DX112+DX113+DX114-DX111*In_MEKH)</f>
        <v>-87.4860881681444</v>
      </c>
      <c r="DY116" s="47" t="n">
        <f aca="false">In_Opex_Contingency*(DY112+DY113+DY114-DY111*In_MEKH)</f>
        <v>-87.4860881681444</v>
      </c>
      <c r="DZ116" s="47" t="n">
        <f aca="false">In_Opex_Contingency*(DZ112+DZ113+DZ114-DZ111*In_MEKH)</f>
        <v>-88.4474737524097</v>
      </c>
      <c r="EA116" s="47" t="n">
        <f aca="false">In_Opex_Contingency*(EA112+EA113+EA114-EA111*In_MEKH)</f>
        <v>-88.3678812919077</v>
      </c>
      <c r="EB116" s="47" t="n">
        <f aca="false">In_Opex_Contingency*(EB112+EB113+EB114-EB111*In_MEKH)</f>
        <v>-88.6032380032985</v>
      </c>
      <c r="EC116" s="47" t="n">
        <f aca="false">In_Opex_Contingency*(EC112+EC113+EC114-EC111*In_MEKH)</f>
        <v>-89.5877184255573</v>
      </c>
      <c r="ED116" s="47" t="n">
        <f aca="false">In_Opex_Contingency*(ED112+ED113+ED114-ED111*In_MEKH)</f>
        <v>-90.5721988478162</v>
      </c>
      <c r="EE116" s="47" t="n">
        <f aca="false">In_Opex_Contingency*(EE112+EE113+EE114-EE111*In_MEKH)</f>
        <v>-90.4908759610468</v>
      </c>
      <c r="EF116" s="47" t="n">
        <f aca="false">In_Opex_Contingency*(EF112+EF113+EF114-EF111*In_MEKH)</f>
        <v>-90.731968409087</v>
      </c>
      <c r="EG116" s="47" t="n">
        <f aca="false">In_Opex_Contingency*(EG112+EG113+EG114-EG111*In_MEKH)</f>
        <v>-91.7401013914103</v>
      </c>
      <c r="EH116" s="47" t="n">
        <f aca="false">In_Opex_Contingency*(EH112+EH113+EH114-EH111*In_MEKH)</f>
        <v>-92.7482343737334</v>
      </c>
      <c r="EI116" s="47" t="n">
        <f aca="false">In_Opex_Contingency*(EI112+EI113+EI114-EI111*In_MEKH)</f>
        <v>-92.6651432231306</v>
      </c>
      <c r="EJ116" s="47" t="n">
        <f aca="false">In_Opex_Contingency*(EJ112+EJ113+EJ114-EJ111*In_MEKH)</f>
        <v>-92.9121105036224</v>
      </c>
      <c r="EK116" s="47" t="n">
        <f aca="false">In_Opex_Contingency*(EK112+EK113+EK114-EK111*In_MEKH)</f>
        <v>-93.944467286996</v>
      </c>
      <c r="EL116" s="47" t="n">
        <f aca="false">In_Opex_Contingency*(EL112+EL113+EL114-EL111*In_MEKH)</f>
        <v>-94.9768240703696</v>
      </c>
      <c r="EM116" s="47" t="n">
        <f aca="false">In_Opex_Contingency*(EM112+EM113+EM114-EM111*In_MEKH)</f>
        <v>-94.8919259894898</v>
      </c>
      <c r="EN116" s="47" t="n">
        <f aca="false">In_Opex_Contingency*(EN112+EN113+EN114-EN111*In_MEKH)</f>
        <v>-96.2020762471408</v>
      </c>
      <c r="EO116" s="47" t="n">
        <f aca="false">In_Opex_Contingency*(EO112+EO113+EO114-EO111*In_MEKH)</f>
        <v>-96.2020762471408</v>
      </c>
      <c r="EP116" s="47" t="n">
        <f aca="false">In_Opex_Contingency*(EP112+EP113+EP114-EP111*In_MEKH)</f>
        <v>-97.2592419201863</v>
      </c>
      <c r="EQ116" s="47" t="n">
        <f aca="false">In_Opex_Contingency*(EQ112+EQ113+EQ114-EQ111*In_MEKH)</f>
        <v>-97.1724973955404</v>
      </c>
      <c r="ER116" s="47" t="n">
        <f aca="false">In_Opex_Contingency*(ER112+ER113+ER114-ER111*In_MEKH)</f>
        <v>-97.4316452139015</v>
      </c>
      <c r="ES116" s="47" t="n">
        <f aca="false">In_Opex_Contingency*(ES112+ES113+ES114-ES111*In_MEKH)</f>
        <v>-98.5142190496114</v>
      </c>
      <c r="ET116" s="47" t="n">
        <f aca="false">In_Opex_Contingency*(ET112+ET113+ET114-ET111*In_MEKH)</f>
        <v>-99.5967928853215</v>
      </c>
    </row>
    <row r="117" customFormat="false" ht="15" hidden="false" customHeight="false" outlineLevel="0" collapsed="false">
      <c r="C117" s="1" t="s">
        <v>31</v>
      </c>
      <c r="D117" s="12" t="s">
        <v>222</v>
      </c>
      <c r="I117" s="47" t="n">
        <f aca="false">SUM(J117:ET117)</f>
        <v>-20794.4767338331</v>
      </c>
      <c r="J117" s="47" t="n">
        <f aca="false">-$E31*J110/Thousand</f>
        <v>-0</v>
      </c>
      <c r="K117" s="47" t="n">
        <f aca="false">-$E31*K110/Thousand</f>
        <v>-0</v>
      </c>
      <c r="L117" s="47" t="n">
        <f aca="false">-$E31*L110/Thousand</f>
        <v>-0</v>
      </c>
      <c r="M117" s="47" t="n">
        <f aca="false">-$E31*M110/Thousand</f>
        <v>-0</v>
      </c>
      <c r="N117" s="47" t="n">
        <f aca="false">-$E31*N110/Thousand</f>
        <v>-0</v>
      </c>
      <c r="O117" s="47" t="n">
        <f aca="false">-$E31*O110/Thousand</f>
        <v>-0</v>
      </c>
      <c r="P117" s="47" t="n">
        <f aca="false">-$E31*P110/Thousand</f>
        <v>-0</v>
      </c>
      <c r="Q117" s="47" t="n">
        <f aca="false">-$E31*Q110/Thousand</f>
        <v>-0</v>
      </c>
      <c r="R117" s="47" t="n">
        <f aca="false">-$E31*R110/Thousand</f>
        <v>-0</v>
      </c>
      <c r="S117" s="47" t="n">
        <f aca="false">-$E31*S110/Thousand</f>
        <v>-0</v>
      </c>
      <c r="T117" s="47" t="n">
        <f aca="false">-$E31*T110/Thousand</f>
        <v>-0</v>
      </c>
      <c r="U117" s="47" t="n">
        <f aca="false">-$E31*U110/Thousand</f>
        <v>-0</v>
      </c>
      <c r="V117" s="47" t="n">
        <f aca="false">-$E31*V110/Thousand</f>
        <v>-0</v>
      </c>
      <c r="W117" s="47" t="n">
        <f aca="false">-$E31*W110/Thousand</f>
        <v>-0</v>
      </c>
      <c r="X117" s="47" t="n">
        <f aca="false">-$E31*X110/Thousand</f>
        <v>-0</v>
      </c>
      <c r="Y117" s="47" t="n">
        <f aca="false">-$E31*Y110/Thousand</f>
        <v>-0</v>
      </c>
      <c r="Z117" s="47" t="n">
        <f aca="false">-$E31*Z110/Thousand</f>
        <v>-0</v>
      </c>
      <c r="AA117" s="47" t="n">
        <f aca="false">-$E31*AA110/Thousand</f>
        <v>-0</v>
      </c>
      <c r="AB117" s="47" t="n">
        <f aca="false">-$E31*AB110/Thousand</f>
        <v>-0</v>
      </c>
      <c r="AC117" s="47" t="n">
        <f aca="false">-$E31*AC110/Thousand</f>
        <v>-0</v>
      </c>
      <c r="AD117" s="47" t="n">
        <f aca="false">-$E31*AD110/Thousand</f>
        <v>-0</v>
      </c>
      <c r="AE117" s="47" t="n">
        <f aca="false">-$E31*AE110/Thousand</f>
        <v>-182.296109589041</v>
      </c>
      <c r="AF117" s="47" t="n">
        <f aca="false">-$E31*AF110/Thousand</f>
        <v>-180.314630136986</v>
      </c>
      <c r="AG117" s="47" t="n">
        <f aca="false">-$E31*AG110/Thousand</f>
        <v>-180.314630136986</v>
      </c>
      <c r="AH117" s="47" t="n">
        <f aca="false">-$E31*AH110/Thousand</f>
        <v>-182.296109589041</v>
      </c>
      <c r="AI117" s="47" t="n">
        <f aca="false">-$E31*AI110/Thousand</f>
        <v>-181.749221260274</v>
      </c>
      <c r="AJ117" s="47" t="n">
        <f aca="false">-$E31*AJ110/Thousand</f>
        <v>-177.798151232877</v>
      </c>
      <c r="AK117" s="47" t="n">
        <f aca="false">-$E31*AK110/Thousand</f>
        <v>-179.773686246575</v>
      </c>
      <c r="AL117" s="47" t="n">
        <f aca="false">-$E31*AL110/Thousand</f>
        <v>-181.749221260274</v>
      </c>
      <c r="AM117" s="47" t="n">
        <f aca="false">-$E31*AM110/Thousand</f>
        <v>-181.203973596493</v>
      </c>
      <c r="AN117" s="47" t="n">
        <f aca="false">-$E31*AN110/Thousand</f>
        <v>-177.264756779178</v>
      </c>
      <c r="AO117" s="47" t="n">
        <f aca="false">-$E31*AO110/Thousand</f>
        <v>-179.234365187836</v>
      </c>
      <c r="AP117" s="47" t="n">
        <f aca="false">-$E31*AP110/Thousand</f>
        <v>-181.203973596493</v>
      </c>
      <c r="AQ117" s="47" t="n">
        <f aca="false">-$E31*AQ110/Thousand</f>
        <v>-180.660361675704</v>
      </c>
      <c r="AR117" s="47" t="n">
        <f aca="false">-$E31*AR110/Thousand</f>
        <v>-176.732962508841</v>
      </c>
      <c r="AS117" s="47" t="n">
        <f aca="false">-$E31*AS110/Thousand</f>
        <v>-178.696662092272</v>
      </c>
      <c r="AT117" s="47" t="n">
        <f aca="false">-$E31*AT110/Thousand</f>
        <v>-180.660361675704</v>
      </c>
      <c r="AU117" s="47" t="n">
        <f aca="false">-$E31*AU110/Thousand</f>
        <v>-180.118380590677</v>
      </c>
      <c r="AV117" s="47" t="n">
        <f aca="false">-$E31*AV110/Thousand</f>
        <v>-178.160572105995</v>
      </c>
      <c r="AW117" s="47" t="n">
        <f aca="false">-$E31*AW110/Thousand</f>
        <v>-178.160572105995</v>
      </c>
      <c r="AX117" s="47" t="n">
        <f aca="false">-$E31*AX110/Thousand</f>
        <v>-180.118380590677</v>
      </c>
      <c r="AY117" s="47" t="n">
        <f aca="false">-$E31*AY110/Thousand</f>
        <v>-179.578025448905</v>
      </c>
      <c r="AZ117" s="47" t="n">
        <f aca="false">-$E31*AZ110/Thousand</f>
        <v>-175.67415533045</v>
      </c>
      <c r="BA117" s="47" t="n">
        <f aca="false">-$E31*BA110/Thousand</f>
        <v>-177.626090389677</v>
      </c>
      <c r="BB117" s="47" t="n">
        <f aca="false">-$E31*BB110/Thousand</f>
        <v>-179.578025448905</v>
      </c>
      <c r="BC117" s="47" t="n">
        <f aca="false">-$E31*BC110/Thousand</f>
        <v>-179.039291372558</v>
      </c>
      <c r="BD117" s="47" t="n">
        <f aca="false">-$E31*BD110/Thousand</f>
        <v>-175.147132864459</v>
      </c>
      <c r="BE117" s="47" t="n">
        <f aca="false">-$E31*BE110/Thousand</f>
        <v>-177.093212118508</v>
      </c>
      <c r="BF117" s="47" t="n">
        <f aca="false">-$E31*BF110/Thousand</f>
        <v>-179.039291372558</v>
      </c>
      <c r="BG117" s="47" t="n">
        <f aca="false">-$E31*BG110/Thousand</f>
        <v>-178.50217349844</v>
      </c>
      <c r="BH117" s="47" t="n">
        <f aca="false">-$E31*BH110/Thousand</f>
        <v>-174.621691465865</v>
      </c>
      <c r="BI117" s="47" t="n">
        <f aca="false">-$E31*BI110/Thousand</f>
        <v>-176.561932482153</v>
      </c>
      <c r="BJ117" s="47" t="n">
        <f aca="false">-$E31*BJ110/Thousand</f>
        <v>-178.50217349844</v>
      </c>
      <c r="BK117" s="47" t="n">
        <f aca="false">-$E31*BK110/Thousand</f>
        <v>-177.966666977945</v>
      </c>
      <c r="BL117" s="47" t="n">
        <f aca="false">-$E31*BL110/Thousand</f>
        <v>-176.032246684706</v>
      </c>
      <c r="BM117" s="47" t="n">
        <f aca="false">-$E31*BM110/Thousand</f>
        <v>-176.032246684706</v>
      </c>
      <c r="BN117" s="47" t="n">
        <f aca="false">-$E31*BN110/Thousand</f>
        <v>-177.966666977945</v>
      </c>
      <c r="BO117" s="47" t="n">
        <f aca="false">-$E31*BO110/Thousand</f>
        <v>-177.432766977011</v>
      </c>
      <c r="BP117" s="47" t="n">
        <f aca="false">-$E31*BP110/Thousand</f>
        <v>-173.575532912293</v>
      </c>
      <c r="BQ117" s="47" t="n">
        <f aca="false">-$E31*BQ110/Thousand</f>
        <v>-175.504149944652</v>
      </c>
      <c r="BR117" s="47" t="n">
        <f aca="false">-$E31*BR110/Thousand</f>
        <v>-177.432766977011</v>
      </c>
      <c r="BS117" s="47" t="n">
        <f aca="false">-$E31*BS110/Thousand</f>
        <v>-176.90046867608</v>
      </c>
      <c r="BT117" s="47" t="n">
        <f aca="false">-$E31*BT110/Thousand</f>
        <v>-173.054806313556</v>
      </c>
      <c r="BU117" s="47" t="n">
        <f aca="false">-$E31*BU110/Thousand</f>
        <v>-174.977637494818</v>
      </c>
      <c r="BV117" s="47" t="n">
        <f aca="false">-$E31*BV110/Thousand</f>
        <v>-176.90046867608</v>
      </c>
      <c r="BW117" s="47" t="n">
        <f aca="false">-$E31*BW110/Thousand</f>
        <v>-176.369767270052</v>
      </c>
      <c r="BX117" s="47" t="n">
        <f aca="false">-$E31*BX110/Thousand</f>
        <v>-172.535641894616</v>
      </c>
      <c r="BY117" s="47" t="n">
        <f aca="false">-$E31*BY110/Thousand</f>
        <v>-174.452704582334</v>
      </c>
      <c r="BZ117" s="47" t="n">
        <f aca="false">-$E31*BZ110/Thousand</f>
        <v>-176.369767270052</v>
      </c>
      <c r="CA117" s="47" t="n">
        <f aca="false">-$E31*CA110/Thousand</f>
        <v>-175.840657968242</v>
      </c>
      <c r="CB117" s="47" t="n">
        <f aca="false">-$E31*CB110/Thousand</f>
        <v>-173.929346468587</v>
      </c>
      <c r="CC117" s="47" t="n">
        <f aca="false">-$E31*CC110/Thousand</f>
        <v>-173.929346468587</v>
      </c>
      <c r="CD117" s="47" t="n">
        <f aca="false">-$E31*CD110/Thousand</f>
        <v>-175.840657968242</v>
      </c>
      <c r="CE117" s="47" t="n">
        <f aca="false">-$E31*CE110/Thousand</f>
        <v>-175.313135994337</v>
      </c>
      <c r="CF117" s="47" t="n">
        <f aca="false">-$E31*CF110/Thousand</f>
        <v>-171.501980864025</v>
      </c>
      <c r="CG117" s="47" t="n">
        <f aca="false">-$E31*CG110/Thousand</f>
        <v>-173.407558429181</v>
      </c>
      <c r="CH117" s="47" t="n">
        <f aca="false">-$E31*CH110/Thousand</f>
        <v>-175.313135994337</v>
      </c>
      <c r="CI117" s="47" t="n">
        <f aca="false">-$E31*CI110/Thousand</f>
        <v>-174.787196586354</v>
      </c>
      <c r="CJ117" s="47" t="n">
        <f aca="false">-$E31*CJ110/Thousand</f>
        <v>-170.987474921433</v>
      </c>
      <c r="CK117" s="47" t="n">
        <f aca="false">-$E31*CK110/Thousand</f>
        <v>-172.887335753893</v>
      </c>
      <c r="CL117" s="47" t="n">
        <f aca="false">-$E31*CL110/Thousand</f>
        <v>-174.787196586354</v>
      </c>
      <c r="CM117" s="47" t="n">
        <f aca="false">-$E31*CM110/Thousand</f>
        <v>-174.262834996595</v>
      </c>
      <c r="CN117" s="47" t="n">
        <f aca="false">-$E31*CN110/Thousand</f>
        <v>-170.474512496669</v>
      </c>
      <c r="CO117" s="47" t="n">
        <f aca="false">-$E31*CO110/Thousand</f>
        <v>-172.368673746632</v>
      </c>
      <c r="CP117" s="47" t="n">
        <f aca="false">-$E31*CP110/Thousand</f>
        <v>-174.262834996595</v>
      </c>
      <c r="CQ117" s="47" t="n">
        <f aca="false">-$E31*CQ110/Thousand</f>
        <v>-173.740046491605</v>
      </c>
      <c r="CR117" s="47" t="n">
        <f aca="false">-$E31*CR110/Thousand</f>
        <v>-171.851567725392</v>
      </c>
      <c r="CS117" s="47" t="n">
        <f aca="false">-$E31*CS110/Thousand</f>
        <v>-171.851567725392</v>
      </c>
      <c r="CT117" s="47" t="n">
        <f aca="false">-$E31*CT110/Thousand</f>
        <v>-173.740046491605</v>
      </c>
      <c r="CU117" s="47" t="n">
        <f aca="false">-$E31*CU110/Thousand</f>
        <v>-173.21882635213</v>
      </c>
      <c r="CV117" s="47" t="n">
        <f aca="false">-$E31*CV110/Thousand</f>
        <v>-169.453199692301</v>
      </c>
      <c r="CW117" s="47" t="n">
        <f aca="false">-$E31*CW110/Thousand</f>
        <v>-171.336013022216</v>
      </c>
      <c r="CX117" s="47" t="n">
        <f aca="false">-$E31*CX110/Thousand</f>
        <v>-173.21882635213</v>
      </c>
      <c r="CY117" s="47" t="n">
        <f aca="false">-$E31*CY110/Thousand</f>
        <v>-172.699169873074</v>
      </c>
      <c r="CZ117" s="47" t="n">
        <f aca="false">-$E31*CZ110/Thousand</f>
        <v>-168.944840093224</v>
      </c>
      <c r="DA117" s="47" t="n">
        <f aca="false">-$E31*DA110/Thousand</f>
        <v>-170.822004983149</v>
      </c>
      <c r="DB117" s="47" t="n">
        <f aca="false">-$E31*DB110/Thousand</f>
        <v>-172.699169873074</v>
      </c>
      <c r="DC117" s="47" t="n">
        <f aca="false">-$E31*DC110/Thousand</f>
        <v>-172.181072363455</v>
      </c>
      <c r="DD117" s="47" t="n">
        <f aca="false">-$E31*DD110/Thousand</f>
        <v>-168.438005572945</v>
      </c>
      <c r="DE117" s="47" t="n">
        <f aca="false">-$E31*DE110/Thousand</f>
        <v>-170.3095389682</v>
      </c>
      <c r="DF117" s="47" t="n">
        <f aca="false">-$E31*DF110/Thousand</f>
        <v>-172.181072363455</v>
      </c>
      <c r="DG117" s="47" t="n">
        <f aca="false">-$E31*DG110/Thousand</f>
        <v>-171.664529146364</v>
      </c>
      <c r="DH117" s="47" t="n">
        <f aca="false">-$E31*DH110/Thousand</f>
        <v>-169.798610351295</v>
      </c>
      <c r="DI117" s="47" t="n">
        <f aca="false">-$E31*DI110/Thousand</f>
        <v>-169.798610351295</v>
      </c>
      <c r="DJ117" s="47" t="n">
        <f aca="false">-$E31*DJ110/Thousand</f>
        <v>-171.664529146364</v>
      </c>
      <c r="DK117" s="47" t="n">
        <f aca="false">-$E31*DK110/Thousand</f>
        <v>-171.149535558925</v>
      </c>
      <c r="DL117" s="47" t="n">
        <f aca="false">-$E31*DL110/Thousand</f>
        <v>-167.428893481557</v>
      </c>
      <c r="DM117" s="47" t="n">
        <f aca="false">-$E31*DM110/Thousand</f>
        <v>-169.289214520241</v>
      </c>
      <c r="DN117" s="47" t="n">
        <f aca="false">-$E31*DN110/Thousand</f>
        <v>-171.149535558925</v>
      </c>
      <c r="DO117" s="47" t="n">
        <f aca="false">-$E31*DO110/Thousand</f>
        <v>-170.636086952248</v>
      </c>
      <c r="DP117" s="47" t="n">
        <f aca="false">-$E31*DP110/Thousand</f>
        <v>-166.926606801112</v>
      </c>
      <c r="DQ117" s="47" t="n">
        <f aca="false">-$E31*DQ110/Thousand</f>
        <v>-168.78134687668</v>
      </c>
      <c r="DR117" s="47" t="n">
        <f aca="false">-$E31*DR110/Thousand</f>
        <v>-170.636086952248</v>
      </c>
      <c r="DS117" s="47" t="n">
        <f aca="false">-$E31*DS110/Thousand</f>
        <v>-170.124178691392</v>
      </c>
      <c r="DT117" s="47" t="n">
        <f aca="false">-$E31*DT110/Thousand</f>
        <v>-166.425826980709</v>
      </c>
      <c r="DU117" s="47" t="n">
        <f aca="false">-$E31*DU110/Thousand</f>
        <v>-168.27500283605</v>
      </c>
      <c r="DV117" s="47" t="n">
        <f aca="false">-$E31*DV110/Thousand</f>
        <v>-170.124178691392</v>
      </c>
      <c r="DW117" s="47" t="n">
        <f aca="false">-$E31*DW110/Thousand</f>
        <v>-169.613806155317</v>
      </c>
      <c r="DX117" s="47" t="n">
        <f aca="false">-$E31*DX110/Thousand</f>
        <v>-167.770177827542</v>
      </c>
      <c r="DY117" s="47" t="n">
        <f aca="false">-$E31*DY110/Thousand</f>
        <v>-167.770177827542</v>
      </c>
      <c r="DZ117" s="47" t="n">
        <f aca="false">-$E31*DZ110/Thousand</f>
        <v>-169.613806155317</v>
      </c>
      <c r="EA117" s="47" t="n">
        <f aca="false">-$E31*EA110/Thousand</f>
        <v>-169.104964736851</v>
      </c>
      <c r="EB117" s="47" t="n">
        <f aca="false">-$E31*EB110/Thousand</f>
        <v>-165.428769851268</v>
      </c>
      <c r="EC117" s="47" t="n">
        <f aca="false">-$E31*EC110/Thousand</f>
        <v>-167.26686729406</v>
      </c>
      <c r="ED117" s="47" t="n">
        <f aca="false">-$E31*ED110/Thousand</f>
        <v>-169.104964736851</v>
      </c>
      <c r="EE117" s="47" t="n">
        <f aca="false">-$E31*EE110/Thousand</f>
        <v>-168.597649842641</v>
      </c>
      <c r="EF117" s="47" t="n">
        <f aca="false">-$E31*EF110/Thousand</f>
        <v>-164.932483541714</v>
      </c>
      <c r="EG117" s="47" t="n">
        <f aca="false">-$E31*EG110/Thousand</f>
        <v>-166.765066692177</v>
      </c>
      <c r="EH117" s="47" t="n">
        <f aca="false">-$E31*EH110/Thousand</f>
        <v>-168.597649842641</v>
      </c>
      <c r="EI117" s="47" t="n">
        <f aca="false">-$E31*EI110/Thousand</f>
        <v>-168.091856893113</v>
      </c>
      <c r="EJ117" s="47" t="n">
        <f aca="false">-$E31*EJ110/Thousand</f>
        <v>-164.437686091089</v>
      </c>
      <c r="EK117" s="47" t="n">
        <f aca="false">-$E31*EK110/Thousand</f>
        <v>-166.264771492101</v>
      </c>
      <c r="EL117" s="47" t="n">
        <f aca="false">-$E31*EL110/Thousand</f>
        <v>-168.091856893113</v>
      </c>
      <c r="EM117" s="47" t="n">
        <f aca="false">-$E31*EM110/Thousand</f>
        <v>-167.587581322434</v>
      </c>
      <c r="EN117" s="47" t="n">
        <f aca="false">-$E31*EN110/Thousand</f>
        <v>-165.765977177625</v>
      </c>
      <c r="EO117" s="47" t="n">
        <f aca="false">-$E31*EO110/Thousand</f>
        <v>-165.765977177625</v>
      </c>
      <c r="EP117" s="47" t="n">
        <f aca="false">-$E31*EP110/Thousand</f>
        <v>-167.587581322434</v>
      </c>
      <c r="EQ117" s="47" t="n">
        <f aca="false">-$E31*EQ110/Thousand</f>
        <v>-167.084818578466</v>
      </c>
      <c r="ER117" s="47" t="n">
        <f aca="false">-$E31*ER110/Thousand</f>
        <v>-163.452539913717</v>
      </c>
      <c r="ES117" s="47" t="n">
        <f aca="false">-$E31*ES110/Thousand</f>
        <v>-165.268679246092</v>
      </c>
      <c r="ET117" s="47" t="n">
        <f aca="false">-$E31*ET110/Thousand</f>
        <v>-167.084818578466</v>
      </c>
    </row>
    <row r="118" customFormat="false" ht="15" hidden="false" customHeight="false" outlineLevel="0" collapsed="false">
      <c r="C118" s="31" t="s">
        <v>530</v>
      </c>
      <c r="D118" s="12" t="s">
        <v>222</v>
      </c>
      <c r="I118" s="56" t="n">
        <f aca="false">SUM(J118:ET118)</f>
        <v>511909.275115853</v>
      </c>
      <c r="J118" s="56" t="n">
        <f aca="false">SUM(J111:J117)</f>
        <v>0</v>
      </c>
      <c r="K118" s="56" t="n">
        <f aca="false">SUM(K111:K117)</f>
        <v>0</v>
      </c>
      <c r="L118" s="56" t="n">
        <f aca="false">SUM(L111:L117)</f>
        <v>0</v>
      </c>
      <c r="M118" s="56" t="n">
        <f aca="false">SUM(M111:M117)</f>
        <v>0</v>
      </c>
      <c r="N118" s="56" t="n">
        <f aca="false">SUM(N111:N117)</f>
        <v>0</v>
      </c>
      <c r="O118" s="56" t="n">
        <f aca="false">SUM(O111:O117)</f>
        <v>0</v>
      </c>
      <c r="P118" s="56" t="n">
        <f aca="false">SUM(P111:P117)</f>
        <v>0</v>
      </c>
      <c r="Q118" s="56" t="n">
        <f aca="false">SUM(Q111:Q117)</f>
        <v>0</v>
      </c>
      <c r="R118" s="56" t="n">
        <f aca="false">SUM(R111:R117)</f>
        <v>0</v>
      </c>
      <c r="S118" s="56" t="n">
        <f aca="false">SUM(S111:S117)</f>
        <v>0</v>
      </c>
      <c r="T118" s="56" t="n">
        <f aca="false">SUM(T111:T117)</f>
        <v>0</v>
      </c>
      <c r="U118" s="56" t="n">
        <f aca="false">SUM(U111:U117)</f>
        <v>0</v>
      </c>
      <c r="V118" s="56" t="n">
        <f aca="false">SUM(V111:V117)</f>
        <v>0</v>
      </c>
      <c r="W118" s="56" t="n">
        <f aca="false">SUM(W111:W117)</f>
        <v>-75.5714553470293</v>
      </c>
      <c r="X118" s="56" t="n">
        <f aca="false">SUM(X111:X117)</f>
        <v>-75.7768125626462</v>
      </c>
      <c r="Y118" s="56" t="n">
        <f aca="false">SUM(Y111:Y117)</f>
        <v>-76.6187771466756</v>
      </c>
      <c r="Z118" s="56" t="n">
        <f aca="false">SUM(Z111:Z117)</f>
        <v>-77.460741730705</v>
      </c>
      <c r="AA118" s="56" t="n">
        <f aca="false">SUM(AA111:AA117)</f>
        <v>-77.460741730705</v>
      </c>
      <c r="AB118" s="56" t="n">
        <f aca="false">SUM(AB111:AB117)</f>
        <v>-77.6712328767123</v>
      </c>
      <c r="AC118" s="56" t="n">
        <f aca="false">SUM(AC111:AC117)</f>
        <v>-78.5342465753425</v>
      </c>
      <c r="AD118" s="56" t="n">
        <f aca="false">SUM(AD111:AD117)</f>
        <v>-79.3972602739726</v>
      </c>
      <c r="AE118" s="56" t="n">
        <f aca="false">SUM(AE111:AE117)</f>
        <v>4151.10652734247</v>
      </c>
      <c r="AF118" s="56" t="n">
        <f aca="false">SUM(AF111:AF117)</f>
        <v>4133.70976185041</v>
      </c>
      <c r="AG118" s="56" t="n">
        <f aca="false">SUM(AG111:AG117)</f>
        <v>4133.70976185041</v>
      </c>
      <c r="AH118" s="56" t="n">
        <f aca="false">SUM(AH111:AH117)</f>
        <v>4179.13514384877</v>
      </c>
      <c r="AI118" s="56" t="n">
        <f aca="false">SUM(AI111:AI117)</f>
        <v>4164.44111033503</v>
      </c>
      <c r="AJ118" s="56" t="n">
        <f aca="false">SUM(AJ111:AJ117)</f>
        <v>4101.09425535863</v>
      </c>
      <c r="AK118" s="56" t="n">
        <f aca="false">SUM(AK111:AK117)</f>
        <v>4146.66196930706</v>
      </c>
      <c r="AL118" s="56" t="n">
        <f aca="false">SUM(AL111:AL117)</f>
        <v>4192.22968325549</v>
      </c>
      <c r="AM118" s="56" t="n">
        <f aca="false">SUM(AM111:AM117)</f>
        <v>4177.44245042148</v>
      </c>
      <c r="AN118" s="56" t="n">
        <f aca="false">SUM(AN111:AN117)</f>
        <v>4113.56620598525</v>
      </c>
      <c r="AO118" s="56" t="n">
        <f aca="false">SUM(AO111:AO117)</f>
        <v>4159.27249716287</v>
      </c>
      <c r="AP118" s="56" t="n">
        <f aca="false">SUM(AP111:AP117)</f>
        <v>4204.97878834048</v>
      </c>
      <c r="AQ118" s="56" t="n">
        <f aca="false">SUM(AQ111:AQ117)</f>
        <v>4190.09804459661</v>
      </c>
      <c r="AR118" s="56" t="n">
        <f aca="false">SUM(AR111:AR117)</f>
        <v>4125.68766802944</v>
      </c>
      <c r="AS118" s="56" t="n">
        <f aca="false">SUM(AS111:AS117)</f>
        <v>4171.52864211866</v>
      </c>
      <c r="AT118" s="56" t="n">
        <f aca="false">SUM(AT111:AT117)</f>
        <v>4217.36961620788</v>
      </c>
      <c r="AU118" s="56" t="n">
        <f aca="false">SUM(AU111:AU117)</f>
        <v>4202.39505479593</v>
      </c>
      <c r="AV118" s="56" t="n">
        <f aca="false">SUM(AV111:AV117)</f>
        <v>4183.41736098541</v>
      </c>
      <c r="AW118" s="56" t="n">
        <f aca="false">SUM(AW111:AW117)</f>
        <v>4183.41736098541</v>
      </c>
      <c r="AX118" s="56" t="n">
        <f aca="false">SUM(AX111:AX117)</f>
        <v>4229.38898033689</v>
      </c>
      <c r="AY118" s="56" t="n">
        <f aca="false">SUM(AY111:AY117)</f>
        <v>4214.32029951848</v>
      </c>
      <c r="AZ118" s="56" t="n">
        <f aca="false">SUM(AZ111:AZ117)</f>
        <v>4148.8271823853</v>
      </c>
      <c r="BA118" s="56" t="n">
        <f aca="false">SUM(BA111:BA117)</f>
        <v>4194.92526218958</v>
      </c>
      <c r="BB118" s="56" t="n">
        <f aca="false">SUM(BB111:BB117)</f>
        <v>4241.02334199387</v>
      </c>
      <c r="BC118" s="56" t="n">
        <f aca="false">SUM(BC111:BC117)</f>
        <v>4225.86024524354</v>
      </c>
      <c r="BD118" s="56" t="n">
        <f aca="false">SUM(BD111:BD117)</f>
        <v>4159.81839270627</v>
      </c>
      <c r="BE118" s="56" t="n">
        <f aca="false">SUM(BE111:BE117)</f>
        <v>4206.03859706967</v>
      </c>
      <c r="BF118" s="56" t="n">
        <f aca="false">SUM(BF111:BF117)</f>
        <v>4252.25880143308</v>
      </c>
      <c r="BG118" s="56" t="n">
        <f aca="false">SUM(BG111:BG117)</f>
        <v>4237.00099763633</v>
      </c>
      <c r="BH118" s="56" t="n">
        <f aca="false">SUM(BH111:BH117)</f>
        <v>4170.40541303597</v>
      </c>
      <c r="BI118" s="56" t="n">
        <f aca="false">SUM(BI111:BI117)</f>
        <v>4216.74325095859</v>
      </c>
      <c r="BJ118" s="56" t="n">
        <f aca="false">SUM(BJ111:BJ117)</f>
        <v>4263.08108888121</v>
      </c>
      <c r="BK118" s="56" t="n">
        <f aca="false">SUM(BK111:BK117)</f>
        <v>4247.72829253731</v>
      </c>
      <c r="BL118" s="56" t="n">
        <f aca="false">SUM(BL111:BL117)</f>
        <v>4227.02473404685</v>
      </c>
      <c r="BM118" s="56" t="n">
        <f aca="false">SUM(BM111:BM117)</f>
        <v>4227.02473404685</v>
      </c>
      <c r="BN118" s="56" t="n">
        <f aca="false">SUM(BN111:BN117)</f>
        <v>4273.47555530011</v>
      </c>
      <c r="BO118" s="56" t="n">
        <f aca="false">SUM(BO111:BO117)</f>
        <v>4258.02748673002</v>
      </c>
      <c r="BP118" s="56" t="n">
        <f aca="false">SUM(BP111:BP117)</f>
        <v>4190.30918111972</v>
      </c>
      <c r="BQ118" s="56" t="n">
        <f aca="false">SUM(BQ111:BQ117)</f>
        <v>4236.86817202105</v>
      </c>
      <c r="BR118" s="56" t="n">
        <f aca="false">SUM(BR111:BR117)</f>
        <v>4283.42716292238</v>
      </c>
      <c r="BS118" s="56" t="n">
        <f aca="false">SUM(BS111:BS117)</f>
        <v>4267.88354848182</v>
      </c>
      <c r="BT118" s="56" t="n">
        <f aca="false">SUM(BT111:BT117)</f>
        <v>4199.59611739008</v>
      </c>
      <c r="BU118" s="56" t="n">
        <f aca="false">SUM(BU111:BU117)</f>
        <v>4246.25829647219</v>
      </c>
      <c r="BV118" s="56" t="n">
        <f aca="false">SUM(BV111:BV117)</f>
        <v>4292.9204755543</v>
      </c>
      <c r="BW118" s="56" t="n">
        <f aca="false">SUM(BW111:BW117)</f>
        <v>4277.28104785204</v>
      </c>
      <c r="BX118" s="56" t="n">
        <f aca="false">SUM(BX111:BX117)</f>
        <v>4208.41922149599</v>
      </c>
      <c r="BY118" s="56" t="n">
        <f aca="false">SUM(BY111:BY117)</f>
        <v>4255.17943506817</v>
      </c>
      <c r="BZ118" s="56" t="n">
        <f aca="false">SUM(BZ111:BZ117)</f>
        <v>4301.93964864034</v>
      </c>
      <c r="CA118" s="56" t="n">
        <f aca="false">SUM(CA111:CA117)</f>
        <v>4286.20414676194</v>
      </c>
      <c r="CB118" s="56" t="n">
        <f aca="false">SUM(CB111:CB117)</f>
        <v>4263.61550148466</v>
      </c>
      <c r="CC118" s="56" t="n">
        <f aca="false">SUM(CC111:CC117)</f>
        <v>4263.61550148466</v>
      </c>
      <c r="CD118" s="56" t="n">
        <f aca="false">SUM(CD111:CD117)</f>
        <v>4310.4684190834</v>
      </c>
      <c r="CE118" s="56" t="n">
        <f aca="false">SUM(CE111:CE117)</f>
        <v>4294.63658882035</v>
      </c>
      <c r="CF118" s="56" t="n">
        <f aca="false">SUM(CF111:CF117)</f>
        <v>4224.60987536228</v>
      </c>
      <c r="CG118" s="56" t="n">
        <f aca="false">SUM(CG111:CG117)</f>
        <v>4271.54998508853</v>
      </c>
      <c r="CH118" s="56" t="n">
        <f aca="false">SUM(CH111:CH117)</f>
        <v>4318.49009481478</v>
      </c>
      <c r="CI118" s="56" t="n">
        <f aca="false">SUM(CI111:CI117)</f>
        <v>4302.56168889939</v>
      </c>
      <c r="CJ118" s="56" t="n">
        <f aca="false">SUM(CJ111:CJ117)</f>
        <v>4231.94433662722</v>
      </c>
      <c r="CK118" s="56" t="n">
        <f aca="false">SUM(CK111:CK117)</f>
        <v>4278.96594036753</v>
      </c>
      <c r="CL118" s="56" t="n">
        <f aca="false">SUM(CL111:CL117)</f>
        <v>4325.98754410783</v>
      </c>
      <c r="CM118" s="56" t="n">
        <f aca="false">SUM(CM111:CM117)</f>
        <v>4309.96232245379</v>
      </c>
      <c r="CN118" s="56" t="n">
        <f aca="false">SUM(CN111:CN117)</f>
        <v>4238.7487675717</v>
      </c>
      <c r="CO118" s="56" t="n">
        <f aca="false">SUM(CO111:CO117)</f>
        <v>4285.84597610028</v>
      </c>
      <c r="CP118" s="56" t="n">
        <f aca="false">SUM(CP111:CP117)</f>
        <v>4332.94318462885</v>
      </c>
      <c r="CQ118" s="56" t="n">
        <f aca="false">SUM(CQ111:CQ117)</f>
        <v>4316.82091457771</v>
      </c>
      <c r="CR118" s="56" t="n">
        <f aca="false">SUM(CR111:CR117)</f>
        <v>4292.17224426001</v>
      </c>
      <c r="CS118" s="56" t="n">
        <f aca="false">SUM(CS111:CS117)</f>
        <v>4292.17224426001</v>
      </c>
      <c r="CT118" s="56" t="n">
        <f aca="false">SUM(CT111:CT117)</f>
        <v>4339.33897221891</v>
      </c>
      <c r="CU118" s="56" t="n">
        <f aca="false">SUM(CU111:CU117)</f>
        <v>4323.11942879257</v>
      </c>
      <c r="CV118" s="56" t="n">
        <f aca="false">SUM(CV111:CV117)</f>
        <v>4250.69646789126</v>
      </c>
      <c r="CW118" s="56" t="n">
        <f aca="false">SUM(CW111:CW117)</f>
        <v>4297.9264286456</v>
      </c>
      <c r="CX118" s="56" t="n">
        <f aca="false">SUM(CX111:CX117)</f>
        <v>4345.15638939995</v>
      </c>
      <c r="CY118" s="56" t="n">
        <f aca="false">SUM(CY111:CY117)</f>
        <v>4328.83935555932</v>
      </c>
      <c r="CZ118" s="56" t="n">
        <f aca="false">SUM(CZ111:CZ117)</f>
        <v>4255.80303286797</v>
      </c>
      <c r="DA118" s="56" t="n">
        <f aca="false">SUM(DA111:DA117)</f>
        <v>4303.08973323317</v>
      </c>
      <c r="DB118" s="56" t="n">
        <f aca="false">SUM(DB111:DB117)</f>
        <v>4350.37643359837</v>
      </c>
      <c r="DC118" s="56" t="n">
        <f aca="false">SUM(DC111:DC117)</f>
        <v>4333.96170050834</v>
      </c>
      <c r="DD118" s="56" t="n">
        <f aca="false">SUM(DD111:DD117)</f>
        <v>4260.30613540361</v>
      </c>
      <c r="DE118" s="56" t="n">
        <f aca="false">SUM(DE111:DE117)</f>
        <v>4307.64287024143</v>
      </c>
      <c r="DF118" s="56" t="n">
        <f aca="false">SUM(DF111:DF117)</f>
        <v>4354.97960507925</v>
      </c>
      <c r="DG118" s="56" t="n">
        <f aca="false">SUM(DG111:DG117)</f>
        <v>4338.46697238004</v>
      </c>
      <c r="DH118" s="56" t="n">
        <f aca="false">SUM(DH111:DH117)</f>
        <v>4311.56604790374</v>
      </c>
      <c r="DI118" s="56" t="n">
        <f aca="false">SUM(DI111:DI117)</f>
        <v>4311.56604790374</v>
      </c>
      <c r="DJ118" s="56" t="n">
        <f aca="false">SUM(DJ111:DJ117)</f>
        <v>4358.945894584</v>
      </c>
      <c r="DK118" s="56" t="n">
        <f aca="false">SUM(DK111:DK117)</f>
        <v>4342.33517066918</v>
      </c>
      <c r="DL118" s="56" t="n">
        <f aca="false">SUM(DL111:DL117)</f>
        <v>4267.42314521508</v>
      </c>
      <c r="DM118" s="56" t="n">
        <f aca="false">SUM(DM111:DM117)</f>
        <v>4314.83895793969</v>
      </c>
      <c r="DN118" s="56" t="n">
        <f aca="false">SUM(DN111:DN117)</f>
        <v>4362.2547706643</v>
      </c>
      <c r="DO118" s="56" t="n">
        <f aca="false">SUM(DO111:DO117)</f>
        <v>4345.54577296546</v>
      </c>
      <c r="DP118" s="56" t="n">
        <f aca="false">SUM(DP111:DP117)</f>
        <v>4269.99635873289</v>
      </c>
      <c r="DQ118" s="56" t="n">
        <f aca="false">SUM(DQ111:DQ117)</f>
        <v>4317.44076271881</v>
      </c>
      <c r="DR118" s="56" t="n">
        <f aca="false">SUM(DR111:DR117)</f>
        <v>4364.88516670473</v>
      </c>
      <c r="DS118" s="56" t="n">
        <f aca="false">SUM(DS111:DS117)</f>
        <v>4348.0777219831</v>
      </c>
      <c r="DT118" s="56" t="n">
        <f aca="false">SUM(DT111:DT117)</f>
        <v>4271.8846965912</v>
      </c>
      <c r="DU118" s="56" t="n">
        <f aca="false">SUM(DU111:DU117)</f>
        <v>4319.35008210888</v>
      </c>
      <c r="DV118" s="56" t="n">
        <f aca="false">SUM(DV111:DV117)</f>
        <v>4366.81546762656</v>
      </c>
      <c r="DW118" s="56" t="n">
        <f aca="false">SUM(DW111:DW117)</f>
        <v>4349.90941227163</v>
      </c>
      <c r="DX118" s="56" t="n">
        <f aca="false">SUM(DX111:DX117)</f>
        <v>4320.54498000109</v>
      </c>
      <c r="DY118" s="56" t="n">
        <f aca="false">SUM(DY111:DY117)</f>
        <v>4320.54498000109</v>
      </c>
      <c r="DZ118" s="56" t="n">
        <f aca="false">SUM(DZ111:DZ117)</f>
        <v>4368.02349626484</v>
      </c>
      <c r="EA118" s="56" t="n">
        <f aca="false">SUM(EA111:EA117)</f>
        <v>4351.01867660019</v>
      </c>
      <c r="EB118" s="56" t="n">
        <f aca="false">SUM(EB111:EB117)</f>
        <v>4273.5194015975</v>
      </c>
      <c r="EC118" s="56" t="n">
        <f aca="false">SUM(EC111:EC117)</f>
        <v>4321.00295050414</v>
      </c>
      <c r="ED118" s="56" t="n">
        <f aca="false">SUM(ED111:ED117)</f>
        <v>4368.48649941078</v>
      </c>
      <c r="EE118" s="56" t="n">
        <f aca="false">SUM(EE111:EE117)</f>
        <v>4351.38277200729</v>
      </c>
      <c r="EF118" s="56" t="n">
        <f aca="false">SUM(EF111:EF117)</f>
        <v>4273.22067408704</v>
      </c>
      <c r="EG118" s="56" t="n">
        <f aca="false">SUM(EG111:EG117)</f>
        <v>4320.70090379912</v>
      </c>
      <c r="EH118" s="56" t="n">
        <f aca="false">SUM(EH111:EH117)</f>
        <v>4368.1811335112</v>
      </c>
      <c r="EI118" s="56" t="n">
        <f aca="false">SUM(EI111:EI117)</f>
        <v>4350.97836550777</v>
      </c>
      <c r="EJ118" s="56" t="n">
        <f aca="false">SUM(EJ111:EJ117)</f>
        <v>4272.14685327713</v>
      </c>
      <c r="EK118" s="56" t="n">
        <f aca="false">SUM(EK111:EK117)</f>
        <v>4319.61515164688</v>
      </c>
      <c r="EL118" s="56" t="n">
        <f aca="false">SUM(EL111:EL117)</f>
        <v>4367.08345001662</v>
      </c>
      <c r="EM118" s="56" t="n">
        <f aca="false">SUM(EM111:EM117)</f>
        <v>4349.78151944861</v>
      </c>
      <c r="EN118" s="56" t="n">
        <f aca="false">SUM(EN111:EN117)</f>
        <v>4317.72139253939</v>
      </c>
      <c r="EO118" s="56" t="n">
        <f aca="false">SUM(EO111:EO117)</f>
        <v>4317.72139253939</v>
      </c>
      <c r="EP118" s="56" t="n">
        <f aca="false">SUM(EP111:EP117)</f>
        <v>4365.16888036949</v>
      </c>
      <c r="EQ118" s="56" t="n">
        <f aca="false">SUM(EQ111:EQ117)</f>
        <v>4347.76767650498</v>
      </c>
      <c r="ER118" s="56" t="n">
        <f aca="false">SUM(ER111:ER117)</f>
        <v>4267.57717234905</v>
      </c>
      <c r="ES118" s="56" t="n">
        <f aca="false">SUM(ES111:ES117)</f>
        <v>4314.99469648626</v>
      </c>
      <c r="ET118" s="56" t="n">
        <f aca="false">SUM(ET111:ET117)</f>
        <v>4362.41222062347</v>
      </c>
    </row>
    <row r="120" customFormat="false" ht="15" hidden="false" customHeight="false" outlineLevel="0" collapsed="false">
      <c r="A120" s="10" t="s">
        <v>13</v>
      </c>
      <c r="B120" s="10"/>
      <c r="C120" s="10" t="s">
        <v>531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</row>
    <row r="121" customFormat="false" ht="15" hidden="false" customHeight="false" outlineLevel="0" collapsed="false">
      <c r="C121" s="1" t="s">
        <v>532</v>
      </c>
      <c r="D121" s="12" t="s">
        <v>222</v>
      </c>
      <c r="E121" s="47" t="n">
        <f aca="false">$I98-($I93+$I53+$I94+$I50)</f>
        <v>155571.135598186</v>
      </c>
      <c r="I121" s="47" t="n">
        <f aca="false">SUM(J121:ET121)</f>
        <v>-155571.135598186</v>
      </c>
      <c r="J121" s="47" t="n">
        <f aca="false">-$E121*J18</f>
        <v>-0</v>
      </c>
      <c r="K121" s="47" t="n">
        <f aca="false">-$E121*K18</f>
        <v>-0</v>
      </c>
      <c r="L121" s="47" t="n">
        <f aca="false">-$E121*L18</f>
        <v>-0</v>
      </c>
      <c r="M121" s="47" t="n">
        <f aca="false">-$E121*M18</f>
        <v>-0</v>
      </c>
      <c r="N121" s="47" t="n">
        <f aca="false">-$E121*N18</f>
        <v>-0</v>
      </c>
      <c r="O121" s="47" t="n">
        <f aca="false">-$E121*O18</f>
        <v>-0</v>
      </c>
      <c r="P121" s="47" t="n">
        <f aca="false">-$E121*P18</f>
        <v>-0</v>
      </c>
      <c r="Q121" s="47" t="n">
        <f aca="false">-$E121*Q18</f>
        <v>-0</v>
      </c>
      <c r="R121" s="47" t="n">
        <f aca="false">-$E121*R18</f>
        <v>-0</v>
      </c>
      <c r="S121" s="47" t="n">
        <f aca="false">-$E121*S18</f>
        <v>-0</v>
      </c>
      <c r="T121" s="47" t="n">
        <f aca="false">-$E121*T18</f>
        <v>-0</v>
      </c>
      <c r="U121" s="47" t="n">
        <f aca="false">-$E121*U18</f>
        <v>-0</v>
      </c>
      <c r="V121" s="47" t="n">
        <f aca="false">-$E121*V18</f>
        <v>-0</v>
      </c>
      <c r="W121" s="47" t="n">
        <f aca="false">-$E121*W18</f>
        <v>-0</v>
      </c>
      <c r="X121" s="47" t="n">
        <f aca="false">-$E121*X18</f>
        <v>-0</v>
      </c>
      <c r="Y121" s="47" t="n">
        <f aca="false">-$E121*Y18</f>
        <v>-0</v>
      </c>
      <c r="Z121" s="47" t="n">
        <f aca="false">-$E121*Z18</f>
        <v>-0</v>
      </c>
      <c r="AA121" s="47" t="n">
        <f aca="false">-$E121*AA18</f>
        <v>-0</v>
      </c>
      <c r="AB121" s="47" t="n">
        <f aca="false">-$E121*AB18</f>
        <v>-0</v>
      </c>
      <c r="AC121" s="47" t="n">
        <f aca="false">-$E121*AC18</f>
        <v>-0</v>
      </c>
      <c r="AD121" s="47" t="n">
        <f aca="false">-$E121*AD18</f>
        <v>-0</v>
      </c>
      <c r="AE121" s="47" t="n">
        <f aca="false">-$E121*AE18</f>
        <v>-1959.28055784163</v>
      </c>
      <c r="AF121" s="47" t="n">
        <f aca="false">-$E121*AF18</f>
        <v>-1937.984030039</v>
      </c>
      <c r="AG121" s="47" t="n">
        <f aca="false">-$E121*AG18</f>
        <v>-1937.984030039</v>
      </c>
      <c r="AH121" s="47" t="n">
        <f aca="false">-$E121*AH18</f>
        <v>-1959.28055784163</v>
      </c>
      <c r="AI121" s="47" t="n">
        <f aca="false">-$E121*AI18</f>
        <v>-1959.28055784163</v>
      </c>
      <c r="AJ121" s="47" t="n">
        <f aca="false">-$E121*AJ18</f>
        <v>-1916.68750223638</v>
      </c>
      <c r="AK121" s="47" t="n">
        <f aca="false">-$E121*AK18</f>
        <v>-1937.984030039</v>
      </c>
      <c r="AL121" s="47" t="n">
        <f aca="false">-$E121*AL18</f>
        <v>-1959.28055784163</v>
      </c>
      <c r="AM121" s="47" t="n">
        <f aca="false">-$E121*AM18</f>
        <v>-1959.28055784163</v>
      </c>
      <c r="AN121" s="47" t="n">
        <f aca="false">-$E121*AN18</f>
        <v>-1916.68750223638</v>
      </c>
      <c r="AO121" s="47" t="n">
        <f aca="false">-$E121*AO18</f>
        <v>-1937.984030039</v>
      </c>
      <c r="AP121" s="47" t="n">
        <f aca="false">-$E121*AP18</f>
        <v>-1959.28055784163</v>
      </c>
      <c r="AQ121" s="47" t="n">
        <f aca="false">-$E121*AQ18</f>
        <v>-1959.28055784163</v>
      </c>
      <c r="AR121" s="47" t="n">
        <f aca="false">-$E121*AR18</f>
        <v>-1916.68750223638</v>
      </c>
      <c r="AS121" s="47" t="n">
        <f aca="false">-$E121*AS18</f>
        <v>-1937.984030039</v>
      </c>
      <c r="AT121" s="47" t="n">
        <f aca="false">-$E121*AT18</f>
        <v>-1959.28055784163</v>
      </c>
      <c r="AU121" s="47" t="n">
        <f aca="false">-$E121*AU18</f>
        <v>-1959.28055784163</v>
      </c>
      <c r="AV121" s="47" t="n">
        <f aca="false">-$E121*AV18</f>
        <v>-1937.984030039</v>
      </c>
      <c r="AW121" s="47" t="n">
        <f aca="false">-$E121*AW18</f>
        <v>-1937.984030039</v>
      </c>
      <c r="AX121" s="47" t="n">
        <f aca="false">-$E121*AX18</f>
        <v>-1959.28055784163</v>
      </c>
      <c r="AY121" s="47" t="n">
        <f aca="false">-$E121*AY18</f>
        <v>-1959.28055784163</v>
      </c>
      <c r="AZ121" s="47" t="n">
        <f aca="false">-$E121*AZ18</f>
        <v>-1916.68750223638</v>
      </c>
      <c r="BA121" s="47" t="n">
        <f aca="false">-$E121*BA18</f>
        <v>-1937.984030039</v>
      </c>
      <c r="BB121" s="47" t="n">
        <f aca="false">-$E121*BB18</f>
        <v>-1959.28055784163</v>
      </c>
      <c r="BC121" s="47" t="n">
        <f aca="false">-$E121*BC18</f>
        <v>-1959.28055784163</v>
      </c>
      <c r="BD121" s="47" t="n">
        <f aca="false">-$E121*BD18</f>
        <v>-1916.68750223638</v>
      </c>
      <c r="BE121" s="47" t="n">
        <f aca="false">-$E121*BE18</f>
        <v>-1937.984030039</v>
      </c>
      <c r="BF121" s="47" t="n">
        <f aca="false">-$E121*BF18</f>
        <v>-1959.28055784163</v>
      </c>
      <c r="BG121" s="47" t="n">
        <f aca="false">-$E121*BG18</f>
        <v>-1959.28055784163</v>
      </c>
      <c r="BH121" s="47" t="n">
        <f aca="false">-$E121*BH18</f>
        <v>-1916.68750223638</v>
      </c>
      <c r="BI121" s="47" t="n">
        <f aca="false">-$E121*BI18</f>
        <v>-1937.984030039</v>
      </c>
      <c r="BJ121" s="47" t="n">
        <f aca="false">-$E121*BJ18</f>
        <v>-1959.28055784163</v>
      </c>
      <c r="BK121" s="47" t="n">
        <f aca="false">-$E121*BK18</f>
        <v>-1959.28055784163</v>
      </c>
      <c r="BL121" s="47" t="n">
        <f aca="false">-$E121*BL18</f>
        <v>-1937.984030039</v>
      </c>
      <c r="BM121" s="47" t="n">
        <f aca="false">-$E121*BM18</f>
        <v>-1937.984030039</v>
      </c>
      <c r="BN121" s="47" t="n">
        <f aca="false">-$E121*BN18</f>
        <v>-1959.28055784163</v>
      </c>
      <c r="BO121" s="47" t="n">
        <f aca="false">-$E121*BO18</f>
        <v>-1959.28055784163</v>
      </c>
      <c r="BP121" s="47" t="n">
        <f aca="false">-$E121*BP18</f>
        <v>-1916.68750223638</v>
      </c>
      <c r="BQ121" s="47" t="n">
        <f aca="false">-$E121*BQ18</f>
        <v>-1937.984030039</v>
      </c>
      <c r="BR121" s="47" t="n">
        <f aca="false">-$E121*BR18</f>
        <v>-1959.28055784163</v>
      </c>
      <c r="BS121" s="47" t="n">
        <f aca="false">-$E121*BS18</f>
        <v>-1959.28055784163</v>
      </c>
      <c r="BT121" s="47" t="n">
        <f aca="false">-$E121*BT18</f>
        <v>-1916.68750223638</v>
      </c>
      <c r="BU121" s="47" t="n">
        <f aca="false">-$E121*BU18</f>
        <v>-1937.984030039</v>
      </c>
      <c r="BV121" s="47" t="n">
        <f aca="false">-$E121*BV18</f>
        <v>-1959.28055784163</v>
      </c>
      <c r="BW121" s="47" t="n">
        <f aca="false">-$E121*BW18</f>
        <v>-1959.28055784163</v>
      </c>
      <c r="BX121" s="47" t="n">
        <f aca="false">-$E121*BX18</f>
        <v>-1916.68750223638</v>
      </c>
      <c r="BY121" s="47" t="n">
        <f aca="false">-$E121*BY18</f>
        <v>-1937.984030039</v>
      </c>
      <c r="BZ121" s="47" t="n">
        <f aca="false">-$E121*BZ18</f>
        <v>-1959.28055784163</v>
      </c>
      <c r="CA121" s="47" t="n">
        <f aca="false">-$E121*CA18</f>
        <v>-1959.28055784163</v>
      </c>
      <c r="CB121" s="47" t="n">
        <f aca="false">-$E121*CB18</f>
        <v>-1937.984030039</v>
      </c>
      <c r="CC121" s="47" t="n">
        <f aca="false">-$E121*CC18</f>
        <v>-1937.984030039</v>
      </c>
      <c r="CD121" s="47" t="n">
        <f aca="false">-$E121*CD18</f>
        <v>-1959.28055784163</v>
      </c>
      <c r="CE121" s="47" t="n">
        <f aca="false">-$E121*CE18</f>
        <v>-1959.28055784163</v>
      </c>
      <c r="CF121" s="47" t="n">
        <f aca="false">-$E121*CF18</f>
        <v>-1916.68750223638</v>
      </c>
      <c r="CG121" s="47" t="n">
        <f aca="false">-$E121*CG18</f>
        <v>-1937.984030039</v>
      </c>
      <c r="CH121" s="47" t="n">
        <f aca="false">-$E121*CH18</f>
        <v>-1959.28055784163</v>
      </c>
      <c r="CI121" s="47" t="n">
        <f aca="false">-$E121*CI18</f>
        <v>-1959.28055784163</v>
      </c>
      <c r="CJ121" s="47" t="n">
        <f aca="false">-$E121*CJ18</f>
        <v>-1916.68750223638</v>
      </c>
      <c r="CK121" s="47" t="n">
        <f aca="false">-$E121*CK18</f>
        <v>-1937.984030039</v>
      </c>
      <c r="CL121" s="47" t="n">
        <f aca="false">-$E121*CL18</f>
        <v>-1959.28055784163</v>
      </c>
      <c r="CM121" s="47" t="n">
        <f aca="false">-$E121*CM18</f>
        <v>-1959.28055784163</v>
      </c>
      <c r="CN121" s="47" t="n">
        <f aca="false">-$E121*CN18</f>
        <v>-1916.68750223638</v>
      </c>
      <c r="CO121" s="47" t="n">
        <f aca="false">-$E121*CO18</f>
        <v>-1937.984030039</v>
      </c>
      <c r="CP121" s="47" t="n">
        <f aca="false">-$E121*CP18</f>
        <v>-1959.28055784163</v>
      </c>
      <c r="CQ121" s="47" t="n">
        <f aca="false">-$E121*CQ18</f>
        <v>-1959.28055784163</v>
      </c>
      <c r="CR121" s="47" t="n">
        <f aca="false">-$E121*CR18</f>
        <v>-1937.984030039</v>
      </c>
      <c r="CS121" s="47" t="n">
        <f aca="false">-$E121*CS18</f>
        <v>-1937.984030039</v>
      </c>
      <c r="CT121" s="47" t="n">
        <f aca="false">-$E121*CT18</f>
        <v>-1959.28055784163</v>
      </c>
      <c r="CU121" s="47" t="n">
        <f aca="false">-$E121*CU18</f>
        <v>-1959.28055784163</v>
      </c>
      <c r="CV121" s="47" t="n">
        <f aca="false">-$E121*CV18</f>
        <v>-1916.68750223638</v>
      </c>
      <c r="CW121" s="47" t="n">
        <f aca="false">-$E121*CW18</f>
        <v>-1937.984030039</v>
      </c>
      <c r="CX121" s="47" t="n">
        <f aca="false">-$E121*CX18</f>
        <v>-1959.28055784163</v>
      </c>
      <c r="CY121" s="47" t="n">
        <f aca="false">-$E121*CY18</f>
        <v>-1959.28055784163</v>
      </c>
      <c r="CZ121" s="47" t="n">
        <f aca="false">-$E121*CZ18</f>
        <v>-1916.68750223638</v>
      </c>
      <c r="DA121" s="47" t="n">
        <f aca="false">-$E121*DA18</f>
        <v>-1937.984030039</v>
      </c>
      <c r="DB121" s="47" t="n">
        <f aca="false">-$E121*DB18</f>
        <v>-1959.28055784163</v>
      </c>
      <c r="DC121" s="47" t="n">
        <f aca="false">-$E121*DC18</f>
        <v>-1959.28055784163</v>
      </c>
      <c r="DD121" s="47" t="n">
        <f aca="false">-$E121*DD18</f>
        <v>-1916.68750223638</v>
      </c>
      <c r="DE121" s="47" t="n">
        <f aca="false">-$E121*DE18</f>
        <v>-1937.984030039</v>
      </c>
      <c r="DF121" s="47" t="n">
        <f aca="false">-$E121*DF18</f>
        <v>-1959.28055784163</v>
      </c>
      <c r="DG121" s="47" t="n">
        <f aca="false">-$E121*DG18</f>
        <v>-0</v>
      </c>
      <c r="DH121" s="47" t="n">
        <f aca="false">-$E121*DH18</f>
        <v>-0</v>
      </c>
      <c r="DI121" s="47" t="n">
        <f aca="false">-$E121*DI18</f>
        <v>-0</v>
      </c>
      <c r="DJ121" s="47" t="n">
        <f aca="false">-$E121*DJ18</f>
        <v>-0</v>
      </c>
      <c r="DK121" s="47" t="n">
        <f aca="false">-$E121*DK18</f>
        <v>-0</v>
      </c>
      <c r="DL121" s="47" t="n">
        <f aca="false">-$E121*DL18</f>
        <v>-0</v>
      </c>
      <c r="DM121" s="47" t="n">
        <f aca="false">-$E121*DM18</f>
        <v>-0</v>
      </c>
      <c r="DN121" s="47" t="n">
        <f aca="false">-$E121*DN18</f>
        <v>-0</v>
      </c>
      <c r="DO121" s="47" t="n">
        <f aca="false">-$E121*DO18</f>
        <v>-0</v>
      </c>
      <c r="DP121" s="47" t="n">
        <f aca="false">-$E121*DP18</f>
        <v>-0</v>
      </c>
      <c r="DQ121" s="47" t="n">
        <f aca="false">-$E121*DQ18</f>
        <v>-0</v>
      </c>
      <c r="DR121" s="47" t="n">
        <f aca="false">-$E121*DR18</f>
        <v>-0</v>
      </c>
      <c r="DS121" s="47" t="n">
        <f aca="false">-$E121*DS18</f>
        <v>-0</v>
      </c>
      <c r="DT121" s="47" t="n">
        <f aca="false">-$E121*DT18</f>
        <v>-0</v>
      </c>
      <c r="DU121" s="47" t="n">
        <f aca="false">-$E121*DU18</f>
        <v>-0</v>
      </c>
      <c r="DV121" s="47" t="n">
        <f aca="false">-$E121*DV18</f>
        <v>-0</v>
      </c>
      <c r="DW121" s="47" t="n">
        <f aca="false">-$E121*DW18</f>
        <v>-0</v>
      </c>
      <c r="DX121" s="47" t="n">
        <f aca="false">-$E121*DX18</f>
        <v>-0</v>
      </c>
      <c r="DY121" s="47" t="n">
        <f aca="false">-$E121*DY18</f>
        <v>-0</v>
      </c>
      <c r="DZ121" s="47" t="n">
        <f aca="false">-$E121*DZ18</f>
        <v>-0</v>
      </c>
      <c r="EA121" s="47" t="n">
        <f aca="false">-$E121*EA18</f>
        <v>-0</v>
      </c>
      <c r="EB121" s="47" t="n">
        <f aca="false">-$E121*EB18</f>
        <v>-0</v>
      </c>
      <c r="EC121" s="47" t="n">
        <f aca="false">-$E121*EC18</f>
        <v>-0</v>
      </c>
      <c r="ED121" s="47" t="n">
        <f aca="false">-$E121*ED18</f>
        <v>-0</v>
      </c>
      <c r="EE121" s="47" t="n">
        <f aca="false">-$E121*EE18</f>
        <v>-0</v>
      </c>
      <c r="EF121" s="47" t="n">
        <f aca="false">-$E121*EF18</f>
        <v>-0</v>
      </c>
      <c r="EG121" s="47" t="n">
        <f aca="false">-$E121*EG18</f>
        <v>-0</v>
      </c>
      <c r="EH121" s="47" t="n">
        <f aca="false">-$E121*EH18</f>
        <v>-0</v>
      </c>
      <c r="EI121" s="47" t="n">
        <f aca="false">-$E121*EI18</f>
        <v>-0</v>
      </c>
      <c r="EJ121" s="47" t="n">
        <f aca="false">-$E121*EJ18</f>
        <v>-0</v>
      </c>
      <c r="EK121" s="47" t="n">
        <f aca="false">-$E121*EK18</f>
        <v>-0</v>
      </c>
      <c r="EL121" s="47" t="n">
        <f aca="false">-$E121*EL18</f>
        <v>-0</v>
      </c>
      <c r="EM121" s="47" t="n">
        <f aca="false">-$E121*EM18</f>
        <v>-0</v>
      </c>
      <c r="EN121" s="47" t="n">
        <f aca="false">-$E121*EN18</f>
        <v>-0</v>
      </c>
      <c r="EO121" s="47" t="n">
        <f aca="false">-$E121*EO18</f>
        <v>-0</v>
      </c>
      <c r="EP121" s="47" t="n">
        <f aca="false">-$E121*EP18</f>
        <v>-0</v>
      </c>
      <c r="EQ121" s="47" t="n">
        <f aca="false">-$E121*EQ18</f>
        <v>-0</v>
      </c>
      <c r="ER121" s="47" t="n">
        <f aca="false">-$E121*ER18</f>
        <v>-0</v>
      </c>
      <c r="ES121" s="47" t="n">
        <f aca="false">-$E121*ES18</f>
        <v>-0</v>
      </c>
      <c r="ET121" s="47" t="n">
        <f aca="false">-$E121*ET18</f>
        <v>-0</v>
      </c>
    </row>
    <row r="122" customFormat="false" ht="15" hidden="false" customHeight="false" outlineLevel="0" collapsed="false">
      <c r="C122" s="1" t="s">
        <v>533</v>
      </c>
      <c r="D122" s="12" t="s">
        <v>222</v>
      </c>
      <c r="I122" s="47" t="n">
        <f aca="false">SUM(J122:ET122)</f>
        <v>324641.812905154</v>
      </c>
      <c r="J122" s="47" t="n">
        <f aca="false">J118+J121+J101+J102+J103+J57</f>
        <v>0</v>
      </c>
      <c r="K122" s="47" t="n">
        <f aca="false">K118+K121+K101+K102+K103+K57</f>
        <v>-178.520547945205</v>
      </c>
      <c r="L122" s="47" t="n">
        <f aca="false">L118+L121+L101+L102+L103+L57</f>
        <v>-588.444520547945</v>
      </c>
      <c r="M122" s="47" t="n">
        <f aca="false">M118+M121+M101+M102+M103+M57</f>
        <v>-43.8356164383562</v>
      </c>
      <c r="N122" s="47" t="n">
        <f aca="false">N118+N121+N101+N102+N103+N57</f>
        <v>-43.8356164383562</v>
      </c>
      <c r="O122" s="47" t="n">
        <f aca="false">O118+O121+O101+O102+O103+O57</f>
        <v>-184.361643835616</v>
      </c>
      <c r="P122" s="47" t="n">
        <f aca="false">P118+P121+P101+P102+P103+P57</f>
        <v>-1290.04179480011</v>
      </c>
      <c r="Q122" s="47" t="n">
        <f aca="false">Q118+Q121+Q101+Q102+Q103+Q57</f>
        <v>-4.60958904109589</v>
      </c>
      <c r="R122" s="47" t="n">
        <f aca="false">R118+R121+R101+R102+R103+R57</f>
        <v>-164.09150998043</v>
      </c>
      <c r="S122" s="47" t="n">
        <f aca="false">S118+S121+S101+S102+S103+S57</f>
        <v>-317.226138697232</v>
      </c>
      <c r="T122" s="47" t="n">
        <f aca="false">T118+T121+T101+T102+T103+T57</f>
        <v>-304.657534246575</v>
      </c>
      <c r="U122" s="47" t="n">
        <f aca="false">U118+U121+U101+U102+U103+U57</f>
        <v>0</v>
      </c>
      <c r="V122" s="47" t="n">
        <f aca="false">V118+V121+V101+V102+V103+V57</f>
        <v>0</v>
      </c>
      <c r="W122" s="47" t="n">
        <f aca="false">W118+W121+W101+W102+W103+W57</f>
        <v>-1858.22759618649</v>
      </c>
      <c r="X122" s="47" t="n">
        <f aca="false">X118+X121+X101+X102+X103+X57</f>
        <v>-250.674467337995</v>
      </c>
      <c r="Y122" s="47" t="n">
        <f aca="false">Y118+Y121+Y101+Y102+Y103+Y57</f>
        <v>-228.513521980133</v>
      </c>
      <c r="Z122" s="47" t="n">
        <f aca="false">Z118+Z121+Z101+Z102+Z103+Z57</f>
        <v>-205.524081984532</v>
      </c>
      <c r="AA122" s="47" t="n">
        <f aca="false">AA118+AA121+AA101+AA102+AA103+AA57</f>
        <v>-179.743278257285</v>
      </c>
      <c r="AB122" s="47" t="n">
        <f aca="false">AB118+AB121+AB101+AB102+AB103+AB57</f>
        <v>-152.509884528233</v>
      </c>
      <c r="AC122" s="47" t="n">
        <f aca="false">AC118+AC121+AC101+AC102+AC103+AC57</f>
        <v>-129.258221583595</v>
      </c>
      <c r="AD122" s="47" t="n">
        <f aca="false">AD118+AD121+AD101+AD102+AD103+AD57</f>
        <v>-105.17806400122</v>
      </c>
      <c r="AE122" s="47" t="n">
        <f aca="false">AE118+AE121+AE101+AE102+AE103+AE57</f>
        <v>1014.06967046872</v>
      </c>
      <c r="AF122" s="47" t="n">
        <f aca="false">AF118+AF121+AF101+AF102+AF103+AF57</f>
        <v>1040.84312534623</v>
      </c>
      <c r="AG122" s="47" t="n">
        <f aca="false">AG118+AG121+AG101+AG102+AG103+AG57</f>
        <v>1064.00273907026</v>
      </c>
      <c r="AH122" s="47" t="n">
        <f aca="false">AH118+AH121+AH101+AH102+AH103+AH57</f>
        <v>1111.58070216157</v>
      </c>
      <c r="AI122" s="47" t="n">
        <f aca="false">AI118+AI121+AI101+AI102+AI103+AI57</f>
        <v>1120.6288914046</v>
      </c>
      <c r="AJ122" s="47" t="n">
        <f aca="false">AJ118+AJ121+AJ101+AJ102+AJ103+AJ57</f>
        <v>1123.91409257469</v>
      </c>
      <c r="AK122" s="47" t="n">
        <f aca="false">AK118+AK121+AK101+AK102+AK103+AK57</f>
        <v>1172.52476676849</v>
      </c>
      <c r="AL122" s="47" t="n">
        <f aca="false">AL118+AL121+AL101+AL102+AL103+AL57</f>
        <v>1221.43968456289</v>
      </c>
      <c r="AM122" s="47" t="n">
        <f aca="false">AM118+AM121+AM101+AM102+AM103+AM57</f>
        <v>1231.60423002308</v>
      </c>
      <c r="AN122" s="47" t="n">
        <f aca="false">AN118+AN121+AN101+AN102+AN103+AN57</f>
        <v>1235.58471671499</v>
      </c>
      <c r="AO122" s="47" t="n">
        <f aca="false">AO118+AO121+AO101+AO102+AO103+AO57</f>
        <v>1285.5739515569</v>
      </c>
      <c r="AP122" s="47" t="n">
        <f aca="false">AP118+AP121+AP101+AP102+AP103+AP57</f>
        <v>1335.88292979214</v>
      </c>
      <c r="AQ122" s="47" t="n">
        <f aca="false">AQ118+AQ121+AQ101+AQ102+AQ103+AQ57</f>
        <v>1347.22514109428</v>
      </c>
      <c r="AR122" s="47" t="n">
        <f aca="false">AR118+AR121+AR101+AR102+AR103+AR57</f>
        <v>1351.95856211645</v>
      </c>
      <c r="AS122" s="47" t="n">
        <f aca="false">AS118+AS121+AS101+AS102+AS103+AS57</f>
        <v>1403.38563466193</v>
      </c>
      <c r="AT122" s="47" t="n">
        <f aca="false">AT118+AT121+AT101+AT102+AT103+AT57</f>
        <v>1455.14874003564</v>
      </c>
      <c r="AU122" s="47" t="n">
        <f aca="false">AU118+AU121+AU101+AU102+AU103+AU57</f>
        <v>1467.7330709494</v>
      </c>
      <c r="AV122" s="47" t="n">
        <f aca="false">AV118+AV121+AV101+AV102+AV103+AV57</f>
        <v>1497.95528342129</v>
      </c>
      <c r="AW122" s="47" t="n">
        <f aca="false">AW118+AW121+AW101+AW102+AW103+AW57</f>
        <v>1526.20745413206</v>
      </c>
      <c r="AX122" s="47" t="n">
        <f aca="false">AX118+AX121+AX101+AX102+AX103+AX57</f>
        <v>1579.48786852559</v>
      </c>
      <c r="AY122" s="47" t="n">
        <f aca="false">AY118+AY121+AY101+AY102+AY103+AY57</f>
        <v>1593.38207708739</v>
      </c>
      <c r="AZ122" s="47" t="n">
        <f aca="false">AZ118+AZ121+AZ101+AZ102+AZ103+AZ57</f>
        <v>1599.80694105695</v>
      </c>
      <c r="BA122" s="47" t="n">
        <f aca="false">BA118+BA121+BA101+BA102+BA103+BA57</f>
        <v>1654.29998012479</v>
      </c>
      <c r="BB122" s="47" t="n">
        <f aca="false">BB118+BB121+BB101+BB102+BB103+BB57</f>
        <v>1709.16416278097</v>
      </c>
      <c r="BC122" s="47" t="n">
        <f aca="false">BC118+BC121+BC101+BC102+BC103+BC57</f>
        <v>1724.43947956835</v>
      </c>
      <c r="BD122" s="47" t="n">
        <f aca="false">BD118+BD121+BD101+BD102+BD103+BD57</f>
        <v>1731.80957634325</v>
      </c>
      <c r="BE122" s="47" t="n">
        <f aca="false">BE118+BE121+BE101+BE102+BE103+BE57</f>
        <v>1787.93738278229</v>
      </c>
      <c r="BF122" s="47" t="n">
        <f aca="false">BF118+BF121+BF101+BF102+BF103+BF57</f>
        <v>1844.4552408448</v>
      </c>
      <c r="BG122" s="47" t="n">
        <f aca="false">BG118+BG121+BG101+BG102+BG103+BG57</f>
        <v>1861.18654581856</v>
      </c>
      <c r="BH122" s="47" t="n">
        <f aca="false">BH118+BH121+BH101+BH102+BH103+BH57</f>
        <v>1869.5729894536</v>
      </c>
      <c r="BI122" s="47" t="n">
        <f aca="false">BI118+BI121+BI101+BI102+BI103+BI57</f>
        <v>1927.40813436161</v>
      </c>
      <c r="BJ122" s="47" t="n">
        <f aca="false">BJ118+BJ121+BJ101+BJ102+BJ103+BJ57</f>
        <v>1985.65320220448</v>
      </c>
      <c r="BK122" s="47" t="n">
        <f aca="false">BK118+BK121+BK101+BK102+BK103+BK57</f>
        <v>2003.91921055497</v>
      </c>
      <c r="BL122" s="47" t="n">
        <f aca="false">BL118+BL121+BL101+BL102+BL103+BL57</f>
        <v>2038.55121962023</v>
      </c>
      <c r="BM122" s="47" t="n">
        <f aca="false">BM118+BM121+BM101+BM102+BM103+BM57</f>
        <v>2073.01574737022</v>
      </c>
      <c r="BN122" s="47" t="n">
        <f aca="false">BN118+BN121+BN101+BN102+BN103+BN57</f>
        <v>2133.06537516773</v>
      </c>
      <c r="BO122" s="47" t="n">
        <f aca="false">BO118+BO121+BO101+BO102+BO103+BO57</f>
        <v>2152.94883262385</v>
      </c>
      <c r="BP122" s="47" t="n">
        <f aca="false">BP118+BP121+BP101+BP102+BP103+BP57</f>
        <v>2163.59675272034</v>
      </c>
      <c r="BQ122" s="47" t="n">
        <f aca="false">BQ118+BQ121+BQ101+BQ102+BQ103+BQ57</f>
        <v>2225.07955054684</v>
      </c>
      <c r="BR122" s="47" t="n">
        <f aca="false">BR118+BR121+BR101+BR102+BR103+BR57</f>
        <v>2287.01510255745</v>
      </c>
      <c r="BS122" s="47" t="n">
        <f aca="false">BS118+BS121+BS101+BS102+BS103+BS57</f>
        <v>2308.60299064019</v>
      </c>
      <c r="BT122" s="47" t="n">
        <f aca="false">BT118+BT121+BT101+BT102+BT103+BT57</f>
        <v>2282.9086151537</v>
      </c>
      <c r="BU122" s="47" t="n">
        <f aca="false">BU118+BU121+BU101+BU102+BU103+BU57</f>
        <v>2308.27426643319</v>
      </c>
      <c r="BV122" s="47" t="n">
        <f aca="false">BV118+BV121+BV101+BV102+BV103+BV57</f>
        <v>2333.63991771267</v>
      </c>
      <c r="BW122" s="47" t="n">
        <f aca="false">BW118+BW121+BW101+BW102+BW103+BW57</f>
        <v>2318.00049001042</v>
      </c>
      <c r="BX122" s="47" t="n">
        <f aca="false">BX118+BX121+BX101+BX102+BX103+BX57</f>
        <v>2291.73171925961</v>
      </c>
      <c r="BY122" s="47" t="n">
        <f aca="false">BY118+BY121+BY101+BY102+BY103+BY57</f>
        <v>2317.19540502916</v>
      </c>
      <c r="BZ122" s="47" t="n">
        <f aca="false">BZ118+BZ121+BZ101+BZ102+BZ103+BZ57</f>
        <v>2342.65909079871</v>
      </c>
      <c r="CA122" s="47" t="n">
        <f aca="false">CA118+CA121+CA101+CA102+CA103+CA57</f>
        <v>2326.92358892031</v>
      </c>
      <c r="CB122" s="47" t="n">
        <f aca="false">CB118+CB121+CB101+CB102+CB103+CB57</f>
        <v>2325.63147144566</v>
      </c>
      <c r="CC122" s="47" t="n">
        <f aca="false">CC118+CC121+CC101+CC102+CC103+CC57</f>
        <v>2325.63147144566</v>
      </c>
      <c r="CD122" s="47" t="n">
        <f aca="false">CD118+CD121+CD101+CD102+CD103+CD57</f>
        <v>2351.18786124177</v>
      </c>
      <c r="CE122" s="47" t="n">
        <f aca="false">CE118+CE121+CE101+CE102+CE103+CE57</f>
        <v>2335.35603097872</v>
      </c>
      <c r="CF122" s="47" t="n">
        <f aca="false">CF118+CF121+CF101+CF102+CF103+CF57</f>
        <v>2307.92237312591</v>
      </c>
      <c r="CG122" s="47" t="n">
        <f aca="false">CG118+CG121+CG101+CG102+CG103+CG57</f>
        <v>2333.56595504953</v>
      </c>
      <c r="CH122" s="47" t="n">
        <f aca="false">CH118+CH121+CH101+CH102+CH103+CH57</f>
        <v>2359.20953697315</v>
      </c>
      <c r="CI122" s="47" t="n">
        <f aca="false">CI118+CI121+CI101+CI102+CI103+CI57</f>
        <v>2343.28113105777</v>
      </c>
      <c r="CJ122" s="47" t="n">
        <f aca="false">CJ118+CJ121+CJ101+CJ102+CJ103+CJ57</f>
        <v>2315.25683439085</v>
      </c>
      <c r="CK122" s="47" t="n">
        <f aca="false">CK118+CK121+CK101+CK102+CK103+CK57</f>
        <v>2340.98191032852</v>
      </c>
      <c r="CL122" s="47" t="n">
        <f aca="false">CL118+CL121+CL101+CL102+CL103+CL57</f>
        <v>2366.7069862662</v>
      </c>
      <c r="CM122" s="47" t="n">
        <f aca="false">CM118+CM121+CM101+CM102+CM103+CM57</f>
        <v>2350.68176461216</v>
      </c>
      <c r="CN122" s="47" t="n">
        <f aca="false">CN118+CN121+CN101+CN102+CN103+CN57</f>
        <v>2322.06126533532</v>
      </c>
      <c r="CO122" s="47" t="n">
        <f aca="false">CO118+CO121+CO101+CO102+CO103+CO57</f>
        <v>2347.86194606127</v>
      </c>
      <c r="CP122" s="47" t="n">
        <f aca="false">CP118+CP121+CP101+CP102+CP103+CP57</f>
        <v>2373.66262678722</v>
      </c>
      <c r="CQ122" s="47" t="n">
        <f aca="false">CQ118+CQ121+CQ101+CQ102+CQ103+CQ57</f>
        <v>2357.54035673608</v>
      </c>
      <c r="CR122" s="47" t="n">
        <f aca="false">CR118+CR121+CR101+CR102+CR103+CR57</f>
        <v>2354.18821422101</v>
      </c>
      <c r="CS122" s="47" t="n">
        <f aca="false">CS118+CS121+CS101+CS102+CS103+CS57</f>
        <v>2354.18821422101</v>
      </c>
      <c r="CT122" s="47" t="n">
        <f aca="false">CT118+CT121+CT101+CT102+CT103+CT57</f>
        <v>2380.05841437728</v>
      </c>
      <c r="CU122" s="47" t="n">
        <f aca="false">CU118+CU121+CU101+CU102+CU103+CU57</f>
        <v>2363.83887095094</v>
      </c>
      <c r="CV122" s="47" t="n">
        <f aca="false">CV118+CV121+CV101+CV102+CV103+CV57</f>
        <v>2334.00896565488</v>
      </c>
      <c r="CW122" s="47" t="n">
        <f aca="false">CW118+CW121+CW101+CW102+CW103+CW57</f>
        <v>2359.9423986066</v>
      </c>
      <c r="CX122" s="47" t="n">
        <f aca="false">CX118+CX121+CX101+CX102+CX103+CX57</f>
        <v>2385.87583155832</v>
      </c>
      <c r="CY122" s="47" t="n">
        <f aca="false">CY118+CY121+CY101+CY102+CY103+CY57</f>
        <v>2369.55879771769</v>
      </c>
      <c r="CZ122" s="47" t="n">
        <f aca="false">CZ118+CZ121+CZ101+CZ102+CZ103+CZ57</f>
        <v>2339.1155306316</v>
      </c>
      <c r="DA122" s="47" t="n">
        <f aca="false">DA118+DA121+DA101+DA102+DA103+DA57</f>
        <v>2365.10570319417</v>
      </c>
      <c r="DB122" s="47" t="n">
        <f aca="false">DB118+DB121+DB101+DB102+DB103+DB57</f>
        <v>2391.09587575674</v>
      </c>
      <c r="DC122" s="47" t="n">
        <f aca="false">DC118+DC121+DC101+DC102+DC103+DC57</f>
        <v>2374.68114266671</v>
      </c>
      <c r="DD122" s="47" t="n">
        <f aca="false">DD118+DD121+DD101+DD102+DD103+DD57</f>
        <v>2343.61863316723</v>
      </c>
      <c r="DE122" s="47" t="n">
        <f aca="false">DE118+DE121+DE101+DE102+DE103+DE57</f>
        <v>2369.65884020243</v>
      </c>
      <c r="DF122" s="47" t="n">
        <f aca="false">DF118+DF121+DF101+DF102+DF103+DF57</f>
        <v>2395.69904723762</v>
      </c>
      <c r="DG122" s="47" t="n">
        <f aca="false">DG118+DG121+DG101+DG102+DG103+DG57</f>
        <v>4338.46697238004</v>
      </c>
      <c r="DH122" s="47" t="n">
        <f aca="false">DH118+DH121+DH101+DH102+DH103+DH57</f>
        <v>4311.56604790374</v>
      </c>
      <c r="DI122" s="47" t="n">
        <f aca="false">DI118+DI121+DI101+DI102+DI103+DI57</f>
        <v>4311.56604790374</v>
      </c>
      <c r="DJ122" s="47" t="n">
        <f aca="false">DJ118+DJ121+DJ101+DJ102+DJ103+DJ57</f>
        <v>4358.945894584</v>
      </c>
      <c r="DK122" s="47" t="n">
        <f aca="false">DK118+DK121+DK101+DK102+DK103+DK57</f>
        <v>4342.33517066918</v>
      </c>
      <c r="DL122" s="47" t="n">
        <f aca="false">DL118+DL121+DL101+DL102+DL103+DL57</f>
        <v>4267.42314521508</v>
      </c>
      <c r="DM122" s="47" t="n">
        <f aca="false">DM118+DM121+DM101+DM102+DM103+DM57</f>
        <v>4314.83895793969</v>
      </c>
      <c r="DN122" s="47" t="n">
        <f aca="false">DN118+DN121+DN101+DN102+DN103+DN57</f>
        <v>4362.2547706643</v>
      </c>
      <c r="DO122" s="47" t="n">
        <f aca="false">DO118+DO121+DO101+DO102+DO103+DO57</f>
        <v>4345.54577296546</v>
      </c>
      <c r="DP122" s="47" t="n">
        <f aca="false">DP118+DP121+DP101+DP102+DP103+DP57</f>
        <v>4269.99635873289</v>
      </c>
      <c r="DQ122" s="47" t="n">
        <f aca="false">DQ118+DQ121+DQ101+DQ102+DQ103+DQ57</f>
        <v>4317.44076271881</v>
      </c>
      <c r="DR122" s="47" t="n">
        <f aca="false">DR118+DR121+DR101+DR102+DR103+DR57</f>
        <v>4364.88516670473</v>
      </c>
      <c r="DS122" s="47" t="n">
        <f aca="false">DS118+DS121+DS101+DS102+DS103+DS57</f>
        <v>4348.0777219831</v>
      </c>
      <c r="DT122" s="47" t="n">
        <f aca="false">DT118+DT121+DT101+DT102+DT103+DT57</f>
        <v>4271.8846965912</v>
      </c>
      <c r="DU122" s="47" t="n">
        <f aca="false">DU118+DU121+DU101+DU102+DU103+DU57</f>
        <v>4319.35008210888</v>
      </c>
      <c r="DV122" s="47" t="n">
        <f aca="false">DV118+DV121+DV101+DV102+DV103+DV57</f>
        <v>4366.81546762656</v>
      </c>
      <c r="DW122" s="47" t="n">
        <f aca="false">DW118+DW121+DW101+DW102+DW103+DW57</f>
        <v>4349.90941227163</v>
      </c>
      <c r="DX122" s="47" t="n">
        <f aca="false">DX118+DX121+DX101+DX102+DX103+DX57</f>
        <v>4320.54498000109</v>
      </c>
      <c r="DY122" s="47" t="n">
        <f aca="false">DY118+DY121+DY101+DY102+DY103+DY57</f>
        <v>4320.54498000109</v>
      </c>
      <c r="DZ122" s="47" t="n">
        <f aca="false">DZ118+DZ121+DZ101+DZ102+DZ103+DZ57</f>
        <v>4368.02349626484</v>
      </c>
      <c r="EA122" s="47" t="n">
        <f aca="false">EA118+EA121+EA101+EA102+EA103+EA57</f>
        <v>4351.01867660019</v>
      </c>
      <c r="EB122" s="47" t="n">
        <f aca="false">EB118+EB121+EB101+EB102+EB103+EB57</f>
        <v>4273.5194015975</v>
      </c>
      <c r="EC122" s="47" t="n">
        <f aca="false">EC118+EC121+EC101+EC102+EC103+EC57</f>
        <v>4321.00295050414</v>
      </c>
      <c r="ED122" s="47" t="n">
        <f aca="false">ED118+ED121+ED101+ED102+ED103+ED57</f>
        <v>4368.48649941078</v>
      </c>
      <c r="EE122" s="47" t="n">
        <f aca="false">EE118+EE121+EE101+EE102+EE103+EE57</f>
        <v>4351.38277200729</v>
      </c>
      <c r="EF122" s="47" t="n">
        <f aca="false">EF118+EF121+EF101+EF102+EF103+EF57</f>
        <v>4273.22067408704</v>
      </c>
      <c r="EG122" s="47" t="n">
        <f aca="false">EG118+EG121+EG101+EG102+EG103+EG57</f>
        <v>4320.70090379912</v>
      </c>
      <c r="EH122" s="47" t="n">
        <f aca="false">EH118+EH121+EH101+EH102+EH103+EH57</f>
        <v>4368.1811335112</v>
      </c>
      <c r="EI122" s="47" t="n">
        <f aca="false">EI118+EI121+EI101+EI102+EI103+EI57</f>
        <v>4350.97836550777</v>
      </c>
      <c r="EJ122" s="47" t="n">
        <f aca="false">EJ118+EJ121+EJ101+EJ102+EJ103+EJ57</f>
        <v>4272.14685327713</v>
      </c>
      <c r="EK122" s="47" t="n">
        <f aca="false">EK118+EK121+EK101+EK102+EK103+EK57</f>
        <v>4319.61515164688</v>
      </c>
      <c r="EL122" s="47" t="n">
        <f aca="false">EL118+EL121+EL101+EL102+EL103+EL57</f>
        <v>4367.08345001662</v>
      </c>
      <c r="EM122" s="47" t="n">
        <f aca="false">EM118+EM121+EM101+EM102+EM103+EM57</f>
        <v>4349.78151944861</v>
      </c>
      <c r="EN122" s="47" t="n">
        <f aca="false">EN118+EN121+EN101+EN102+EN103+EN57</f>
        <v>4317.72139253939</v>
      </c>
      <c r="EO122" s="47" t="n">
        <f aca="false">EO118+EO121+EO101+EO102+EO103+EO57</f>
        <v>4317.72139253939</v>
      </c>
      <c r="EP122" s="47" t="n">
        <f aca="false">EP118+EP121+EP101+EP102+EP103+EP57</f>
        <v>4365.16888036949</v>
      </c>
      <c r="EQ122" s="47" t="n">
        <f aca="false">EQ118+EQ121+EQ101+EQ102+EQ103+EQ57</f>
        <v>4347.76767650498</v>
      </c>
      <c r="ER122" s="47" t="n">
        <f aca="false">ER118+ER121+ER101+ER102+ER103+ER57</f>
        <v>4267.57717234905</v>
      </c>
      <c r="ES122" s="47" t="n">
        <f aca="false">ES118+ES121+ES101+ES102+ES103+ES57</f>
        <v>4314.99469648626</v>
      </c>
      <c r="ET122" s="47" t="n">
        <f aca="false">ET118+ET121+ET101+ET102+ET103+ET57</f>
        <v>4362.41222062347</v>
      </c>
    </row>
    <row r="123" customFormat="false" ht="15" hidden="false" customHeight="false" outlineLevel="0" collapsed="false">
      <c r="C123" s="1" t="s">
        <v>534</v>
      </c>
      <c r="D123" s="12" t="s">
        <v>222</v>
      </c>
      <c r="J123" s="23" t="n">
        <f aca="false">I126</f>
        <v>0</v>
      </c>
      <c r="K123" s="23" t="n">
        <f aca="false">J126</f>
        <v>0</v>
      </c>
      <c r="L123" s="23" t="n">
        <f aca="false">K126</f>
        <v>178.520547945205</v>
      </c>
      <c r="M123" s="23" t="n">
        <f aca="false">L126</f>
        <v>766.965068493151</v>
      </c>
      <c r="N123" s="23" t="n">
        <f aca="false">M126</f>
        <v>810.800684931507</v>
      </c>
      <c r="O123" s="23" t="n">
        <f aca="false">N126</f>
        <v>854.636301369863</v>
      </c>
      <c r="P123" s="23" t="n">
        <f aca="false">O126</f>
        <v>1038.99794520548</v>
      </c>
      <c r="Q123" s="23" t="n">
        <f aca="false">P126</f>
        <v>2329.03974000559</v>
      </c>
      <c r="R123" s="23" t="n">
        <f aca="false">Q126</f>
        <v>2333.64932904669</v>
      </c>
      <c r="S123" s="23" t="n">
        <f aca="false">R126</f>
        <v>2497.74083902712</v>
      </c>
      <c r="T123" s="23" t="n">
        <f aca="false">S126</f>
        <v>2814.96697772435</v>
      </c>
      <c r="U123" s="23" t="n">
        <f aca="false">T126</f>
        <v>3119.62451197093</v>
      </c>
      <c r="V123" s="23" t="n">
        <f aca="false">U126</f>
        <v>3119.62451197093</v>
      </c>
      <c r="W123" s="23" t="n">
        <f aca="false">V126</f>
        <v>3119.62451197093</v>
      </c>
      <c r="X123" s="23" t="n">
        <f aca="false">W126</f>
        <v>4977.85210815742</v>
      </c>
      <c r="Y123" s="23" t="n">
        <f aca="false">X126</f>
        <v>5228.52657549541</v>
      </c>
      <c r="Z123" s="23" t="n">
        <f aca="false">Y126</f>
        <v>5457.04009747554</v>
      </c>
      <c r="AA123" s="23" t="n">
        <f aca="false">Z126</f>
        <v>5662.56417946008</v>
      </c>
      <c r="AB123" s="23" t="n">
        <f aca="false">AA126</f>
        <v>5842.30745771736</v>
      </c>
      <c r="AC123" s="23" t="n">
        <f aca="false">AB126</f>
        <v>5994.81734224559</v>
      </c>
      <c r="AD123" s="23" t="n">
        <f aca="false">AC126</f>
        <v>6124.07556382919</v>
      </c>
      <c r="AE123" s="23" t="n">
        <f aca="false">AD126</f>
        <v>6229.25362783041</v>
      </c>
      <c r="AF123" s="23" t="n">
        <f aca="false">AE126</f>
        <v>5215.18395736169</v>
      </c>
      <c r="AG123" s="23" t="n">
        <f aca="false">AF126</f>
        <v>4174.34083201546</v>
      </c>
      <c r="AH123" s="23" t="n">
        <f aca="false">AG126</f>
        <v>3110.3380929452</v>
      </c>
      <c r="AI123" s="23" t="n">
        <f aca="false">AH126</f>
        <v>1998.75739078363</v>
      </c>
      <c r="AJ123" s="23" t="n">
        <f aca="false">AI126</f>
        <v>878.128499379028</v>
      </c>
      <c r="AK123" s="23" t="n">
        <f aca="false">AJ126</f>
        <v>0</v>
      </c>
      <c r="AL123" s="23" t="n">
        <f aca="false">AK126</f>
        <v>0</v>
      </c>
      <c r="AM123" s="23" t="n">
        <f aca="false">AL126</f>
        <v>0</v>
      </c>
      <c r="AN123" s="23" t="n">
        <f aca="false">AM126</f>
        <v>0</v>
      </c>
      <c r="AO123" s="23" t="n">
        <f aca="false">AN126</f>
        <v>0</v>
      </c>
      <c r="AP123" s="23" t="n">
        <f aca="false">AO126</f>
        <v>0</v>
      </c>
      <c r="AQ123" s="23" t="n">
        <f aca="false">AP126</f>
        <v>0</v>
      </c>
      <c r="AR123" s="23" t="n">
        <f aca="false">AQ126</f>
        <v>0</v>
      </c>
      <c r="AS123" s="23" t="n">
        <f aca="false">AR126</f>
        <v>0</v>
      </c>
      <c r="AT123" s="23" t="n">
        <f aca="false">AS126</f>
        <v>0</v>
      </c>
      <c r="AU123" s="23" t="n">
        <f aca="false">AT126</f>
        <v>0</v>
      </c>
      <c r="AV123" s="23" t="n">
        <f aca="false">AU126</f>
        <v>0</v>
      </c>
      <c r="AW123" s="23" t="n">
        <f aca="false">AV126</f>
        <v>0</v>
      </c>
      <c r="AX123" s="23" t="n">
        <f aca="false">AW126</f>
        <v>0</v>
      </c>
      <c r="AY123" s="23" t="n">
        <f aca="false">AX126</f>
        <v>0</v>
      </c>
      <c r="AZ123" s="23" t="n">
        <f aca="false">AY126</f>
        <v>0</v>
      </c>
      <c r="BA123" s="23" t="n">
        <f aca="false">AZ126</f>
        <v>0</v>
      </c>
      <c r="BB123" s="23" t="n">
        <f aca="false">BA126</f>
        <v>0</v>
      </c>
      <c r="BC123" s="23" t="n">
        <f aca="false">BB126</f>
        <v>0</v>
      </c>
      <c r="BD123" s="23" t="n">
        <f aca="false">BC126</f>
        <v>0</v>
      </c>
      <c r="BE123" s="23" t="n">
        <f aca="false">BD126</f>
        <v>0</v>
      </c>
      <c r="BF123" s="23" t="n">
        <f aca="false">BE126</f>
        <v>0</v>
      </c>
      <c r="BG123" s="23" t="n">
        <f aca="false">BF126</f>
        <v>0</v>
      </c>
      <c r="BH123" s="23" t="n">
        <f aca="false">BG126</f>
        <v>0</v>
      </c>
      <c r="BI123" s="23" t="n">
        <f aca="false">BH126</f>
        <v>0</v>
      </c>
      <c r="BJ123" s="23" t="n">
        <f aca="false">BI126</f>
        <v>0</v>
      </c>
      <c r="BK123" s="23" t="n">
        <f aca="false">BJ126</f>
        <v>0</v>
      </c>
      <c r="BL123" s="23" t="n">
        <f aca="false">BK126</f>
        <v>0</v>
      </c>
      <c r="BM123" s="23" t="n">
        <f aca="false">BL126</f>
        <v>0</v>
      </c>
      <c r="BN123" s="23" t="n">
        <f aca="false">BM126</f>
        <v>0</v>
      </c>
      <c r="BO123" s="23" t="n">
        <f aca="false">BN126</f>
        <v>0</v>
      </c>
      <c r="BP123" s="23" t="n">
        <f aca="false">BO126</f>
        <v>0</v>
      </c>
      <c r="BQ123" s="23" t="n">
        <f aca="false">BP126</f>
        <v>0</v>
      </c>
      <c r="BR123" s="23" t="n">
        <f aca="false">BQ126</f>
        <v>0</v>
      </c>
      <c r="BS123" s="23" t="n">
        <f aca="false">BR126</f>
        <v>0</v>
      </c>
      <c r="BT123" s="23" t="n">
        <f aca="false">BS126</f>
        <v>0</v>
      </c>
      <c r="BU123" s="23" t="n">
        <f aca="false">BT126</f>
        <v>0</v>
      </c>
      <c r="BV123" s="23" t="n">
        <f aca="false">BU126</f>
        <v>0</v>
      </c>
      <c r="BW123" s="23" t="n">
        <f aca="false">BV126</f>
        <v>0</v>
      </c>
      <c r="BX123" s="23" t="n">
        <f aca="false">BW126</f>
        <v>0</v>
      </c>
      <c r="BY123" s="23" t="n">
        <f aca="false">BX126</f>
        <v>0</v>
      </c>
      <c r="BZ123" s="23" t="n">
        <f aca="false">BY126</f>
        <v>0</v>
      </c>
      <c r="CA123" s="23" t="n">
        <f aca="false">BZ126</f>
        <v>0</v>
      </c>
      <c r="CB123" s="23" t="n">
        <f aca="false">CA126</f>
        <v>0</v>
      </c>
      <c r="CC123" s="23" t="n">
        <f aca="false">CB126</f>
        <v>0</v>
      </c>
      <c r="CD123" s="23" t="n">
        <f aca="false">CC126</f>
        <v>0</v>
      </c>
      <c r="CE123" s="23" t="n">
        <f aca="false">CD126</f>
        <v>0</v>
      </c>
      <c r="CF123" s="23" t="n">
        <f aca="false">CE126</f>
        <v>0</v>
      </c>
      <c r="CG123" s="23" t="n">
        <f aca="false">CF126</f>
        <v>0</v>
      </c>
      <c r="CH123" s="23" t="n">
        <f aca="false">CG126</f>
        <v>0</v>
      </c>
      <c r="CI123" s="23" t="n">
        <f aca="false">CH126</f>
        <v>0</v>
      </c>
      <c r="CJ123" s="23" t="n">
        <f aca="false">CI126</f>
        <v>0</v>
      </c>
      <c r="CK123" s="23" t="n">
        <f aca="false">CJ126</f>
        <v>0</v>
      </c>
      <c r="CL123" s="23" t="n">
        <f aca="false">CK126</f>
        <v>0</v>
      </c>
      <c r="CM123" s="23" t="n">
        <f aca="false">CL126</f>
        <v>0</v>
      </c>
      <c r="CN123" s="23" t="n">
        <f aca="false">CM126</f>
        <v>0</v>
      </c>
      <c r="CO123" s="23" t="n">
        <f aca="false">CN126</f>
        <v>0</v>
      </c>
      <c r="CP123" s="23" t="n">
        <f aca="false">CO126</f>
        <v>0</v>
      </c>
      <c r="CQ123" s="23" t="n">
        <f aca="false">CP126</f>
        <v>0</v>
      </c>
      <c r="CR123" s="23" t="n">
        <f aca="false">CQ126</f>
        <v>0</v>
      </c>
      <c r="CS123" s="23" t="n">
        <f aca="false">CR126</f>
        <v>0</v>
      </c>
      <c r="CT123" s="23" t="n">
        <f aca="false">CS126</f>
        <v>0</v>
      </c>
      <c r="CU123" s="23" t="n">
        <f aca="false">CT126</f>
        <v>0</v>
      </c>
      <c r="CV123" s="23" t="n">
        <f aca="false">CU126</f>
        <v>0</v>
      </c>
      <c r="CW123" s="23" t="n">
        <f aca="false">CV126</f>
        <v>0</v>
      </c>
      <c r="CX123" s="23" t="n">
        <f aca="false">CW126</f>
        <v>0</v>
      </c>
      <c r="CY123" s="23" t="n">
        <f aca="false">CX126</f>
        <v>0</v>
      </c>
      <c r="CZ123" s="23" t="n">
        <f aca="false">CY126</f>
        <v>0</v>
      </c>
      <c r="DA123" s="23" t="n">
        <f aca="false">CZ126</f>
        <v>0</v>
      </c>
      <c r="DB123" s="23" t="n">
        <f aca="false">DA126</f>
        <v>0</v>
      </c>
      <c r="DC123" s="23" t="n">
        <f aca="false">DB126</f>
        <v>0</v>
      </c>
      <c r="DD123" s="23" t="n">
        <f aca="false">DC126</f>
        <v>0</v>
      </c>
      <c r="DE123" s="23" t="n">
        <f aca="false">DD126</f>
        <v>0</v>
      </c>
      <c r="DF123" s="23" t="n">
        <f aca="false">DE126</f>
        <v>0</v>
      </c>
      <c r="DG123" s="23" t="n">
        <f aca="false">DF126</f>
        <v>0</v>
      </c>
      <c r="DH123" s="23" t="n">
        <f aca="false">DG126</f>
        <v>0</v>
      </c>
      <c r="DI123" s="23" t="n">
        <f aca="false">DH126</f>
        <v>0</v>
      </c>
      <c r="DJ123" s="23" t="n">
        <f aca="false">DI126</f>
        <v>0</v>
      </c>
      <c r="DK123" s="23" t="n">
        <f aca="false">DJ126</f>
        <v>0</v>
      </c>
      <c r="DL123" s="23" t="n">
        <f aca="false">DK126</f>
        <v>0</v>
      </c>
      <c r="DM123" s="23" t="n">
        <f aca="false">DL126</f>
        <v>0</v>
      </c>
      <c r="DN123" s="23" t="n">
        <f aca="false">DM126</f>
        <v>0</v>
      </c>
      <c r="DO123" s="23" t="n">
        <f aca="false">DN126</f>
        <v>0</v>
      </c>
      <c r="DP123" s="23" t="n">
        <f aca="false">DO126</f>
        <v>0</v>
      </c>
      <c r="DQ123" s="23" t="n">
        <f aca="false">DP126</f>
        <v>0</v>
      </c>
      <c r="DR123" s="23" t="n">
        <f aca="false">DQ126</f>
        <v>0</v>
      </c>
      <c r="DS123" s="23" t="n">
        <f aca="false">DR126</f>
        <v>0</v>
      </c>
      <c r="DT123" s="23" t="n">
        <f aca="false">DS126</f>
        <v>0</v>
      </c>
      <c r="DU123" s="23" t="n">
        <f aca="false">DT126</f>
        <v>0</v>
      </c>
      <c r="DV123" s="23" t="n">
        <f aca="false">DU126</f>
        <v>0</v>
      </c>
      <c r="DW123" s="23" t="n">
        <f aca="false">DV126</f>
        <v>0</v>
      </c>
      <c r="DX123" s="23" t="n">
        <f aca="false">DW126</f>
        <v>0</v>
      </c>
      <c r="DY123" s="23" t="n">
        <f aca="false">DX126</f>
        <v>0</v>
      </c>
      <c r="DZ123" s="23" t="n">
        <f aca="false">DY126</f>
        <v>0</v>
      </c>
      <c r="EA123" s="23" t="n">
        <f aca="false">DZ126</f>
        <v>0</v>
      </c>
      <c r="EB123" s="23" t="n">
        <f aca="false">EA126</f>
        <v>0</v>
      </c>
      <c r="EC123" s="23" t="n">
        <f aca="false">EB126</f>
        <v>0</v>
      </c>
      <c r="ED123" s="23" t="n">
        <f aca="false">EC126</f>
        <v>0</v>
      </c>
      <c r="EE123" s="23" t="n">
        <f aca="false">ED126</f>
        <v>0</v>
      </c>
      <c r="EF123" s="23" t="n">
        <f aca="false">EE126</f>
        <v>0</v>
      </c>
      <c r="EG123" s="23" t="n">
        <f aca="false">EF126</f>
        <v>0</v>
      </c>
      <c r="EH123" s="23" t="n">
        <f aca="false">EG126</f>
        <v>0</v>
      </c>
      <c r="EI123" s="23" t="n">
        <f aca="false">EH126</f>
        <v>0</v>
      </c>
      <c r="EJ123" s="23" t="n">
        <f aca="false">EI126</f>
        <v>0</v>
      </c>
      <c r="EK123" s="23" t="n">
        <f aca="false">EJ126</f>
        <v>0</v>
      </c>
      <c r="EL123" s="23" t="n">
        <f aca="false">EK126</f>
        <v>0</v>
      </c>
      <c r="EM123" s="23" t="n">
        <f aca="false">EL126</f>
        <v>0</v>
      </c>
      <c r="EN123" s="23" t="n">
        <f aca="false">EM126</f>
        <v>0</v>
      </c>
      <c r="EO123" s="23" t="n">
        <f aca="false">EN126</f>
        <v>0</v>
      </c>
      <c r="EP123" s="23" t="n">
        <f aca="false">EO126</f>
        <v>0</v>
      </c>
      <c r="EQ123" s="23" t="n">
        <f aca="false">EP126</f>
        <v>0</v>
      </c>
      <c r="ER123" s="23" t="n">
        <f aca="false">EQ126</f>
        <v>0</v>
      </c>
      <c r="ES123" s="23" t="n">
        <f aca="false">ER126</f>
        <v>0</v>
      </c>
      <c r="ET123" s="23" t="n">
        <f aca="false">ES126</f>
        <v>0</v>
      </c>
    </row>
    <row r="124" customFormat="false" ht="15" hidden="false" customHeight="false" outlineLevel="0" collapsed="false">
      <c r="C124" s="1" t="s">
        <v>535</v>
      </c>
      <c r="D124" s="12" t="s">
        <v>222</v>
      </c>
      <c r="I124" s="47" t="n">
        <f aca="false">SUM(J124:ET124)</f>
        <v>6229.25362783041</v>
      </c>
      <c r="J124" s="47" t="n">
        <f aca="false">MAX(0,-J122)</f>
        <v>-0</v>
      </c>
      <c r="K124" s="47" t="n">
        <f aca="false">MAX(0,-K122)</f>
        <v>178.520547945205</v>
      </c>
      <c r="L124" s="47" t="n">
        <f aca="false">MAX(0,-L122)</f>
        <v>588.444520547945</v>
      </c>
      <c r="M124" s="47" t="n">
        <f aca="false">MAX(0,-M122)</f>
        <v>43.8356164383562</v>
      </c>
      <c r="N124" s="47" t="n">
        <f aca="false">MAX(0,-N122)</f>
        <v>43.8356164383562</v>
      </c>
      <c r="O124" s="47" t="n">
        <f aca="false">MAX(0,-O122)</f>
        <v>184.361643835616</v>
      </c>
      <c r="P124" s="47" t="n">
        <f aca="false">MAX(0,-P122)</f>
        <v>1290.04179480011</v>
      </c>
      <c r="Q124" s="47" t="n">
        <f aca="false">MAX(0,-Q122)</f>
        <v>4.60958904109589</v>
      </c>
      <c r="R124" s="47" t="n">
        <f aca="false">MAX(0,-R122)</f>
        <v>164.09150998043</v>
      </c>
      <c r="S124" s="47" t="n">
        <f aca="false">MAX(0,-S122)</f>
        <v>317.226138697232</v>
      </c>
      <c r="T124" s="47" t="n">
        <f aca="false">MAX(0,-T122)</f>
        <v>304.657534246575</v>
      </c>
      <c r="U124" s="47" t="n">
        <f aca="false">MAX(0,-U122)</f>
        <v>-0</v>
      </c>
      <c r="V124" s="47" t="n">
        <f aca="false">MAX(0,-V122)</f>
        <v>-0</v>
      </c>
      <c r="W124" s="47" t="n">
        <f aca="false">MAX(0,-W122)</f>
        <v>1858.22759618649</v>
      </c>
      <c r="X124" s="47" t="n">
        <f aca="false">MAX(0,-X122)</f>
        <v>250.674467337995</v>
      </c>
      <c r="Y124" s="47" t="n">
        <f aca="false">MAX(0,-Y122)</f>
        <v>228.513521980133</v>
      </c>
      <c r="Z124" s="47" t="n">
        <f aca="false">MAX(0,-Z122)</f>
        <v>205.524081984532</v>
      </c>
      <c r="AA124" s="47" t="n">
        <f aca="false">MAX(0,-AA122)</f>
        <v>179.743278257285</v>
      </c>
      <c r="AB124" s="47" t="n">
        <f aca="false">MAX(0,-AB122)</f>
        <v>152.509884528233</v>
      </c>
      <c r="AC124" s="47" t="n">
        <f aca="false">MAX(0,-AC122)</f>
        <v>129.258221583595</v>
      </c>
      <c r="AD124" s="47" t="n">
        <f aca="false">MAX(0,-AD122)</f>
        <v>105.17806400122</v>
      </c>
      <c r="AE124" s="47" t="n">
        <f aca="false">MAX(0,-AE122)</f>
        <v>0</v>
      </c>
      <c r="AF124" s="47" t="n">
        <f aca="false">MAX(0,-AF122)</f>
        <v>0</v>
      </c>
      <c r="AG124" s="47" t="n">
        <f aca="false">MAX(0,-AG122)</f>
        <v>0</v>
      </c>
      <c r="AH124" s="47" t="n">
        <f aca="false">MAX(0,-AH122)</f>
        <v>0</v>
      </c>
      <c r="AI124" s="47" t="n">
        <f aca="false">MAX(0,-AI122)</f>
        <v>0</v>
      </c>
      <c r="AJ124" s="47" t="n">
        <f aca="false">MAX(0,-AJ122)</f>
        <v>0</v>
      </c>
      <c r="AK124" s="47" t="n">
        <f aca="false">MAX(0,-AK122)</f>
        <v>0</v>
      </c>
      <c r="AL124" s="47" t="n">
        <f aca="false">MAX(0,-AL122)</f>
        <v>0</v>
      </c>
      <c r="AM124" s="47" t="n">
        <f aca="false">MAX(0,-AM122)</f>
        <v>0</v>
      </c>
      <c r="AN124" s="47" t="n">
        <f aca="false">MAX(0,-AN122)</f>
        <v>0</v>
      </c>
      <c r="AO124" s="47" t="n">
        <f aca="false">MAX(0,-AO122)</f>
        <v>0</v>
      </c>
      <c r="AP124" s="47" t="n">
        <f aca="false">MAX(0,-AP122)</f>
        <v>0</v>
      </c>
      <c r="AQ124" s="47" t="n">
        <f aca="false">MAX(0,-AQ122)</f>
        <v>0</v>
      </c>
      <c r="AR124" s="47" t="n">
        <f aca="false">MAX(0,-AR122)</f>
        <v>0</v>
      </c>
      <c r="AS124" s="47" t="n">
        <f aca="false">MAX(0,-AS122)</f>
        <v>0</v>
      </c>
      <c r="AT124" s="47" t="n">
        <f aca="false">MAX(0,-AT122)</f>
        <v>0</v>
      </c>
      <c r="AU124" s="47" t="n">
        <f aca="false">MAX(0,-AU122)</f>
        <v>0</v>
      </c>
      <c r="AV124" s="47" t="n">
        <f aca="false">MAX(0,-AV122)</f>
        <v>0</v>
      </c>
      <c r="AW124" s="47" t="n">
        <f aca="false">MAX(0,-AW122)</f>
        <v>0</v>
      </c>
      <c r="AX124" s="47" t="n">
        <f aca="false">MAX(0,-AX122)</f>
        <v>0</v>
      </c>
      <c r="AY124" s="47" t="n">
        <f aca="false">MAX(0,-AY122)</f>
        <v>0</v>
      </c>
      <c r="AZ124" s="47" t="n">
        <f aca="false">MAX(0,-AZ122)</f>
        <v>0</v>
      </c>
      <c r="BA124" s="47" t="n">
        <f aca="false">MAX(0,-BA122)</f>
        <v>0</v>
      </c>
      <c r="BB124" s="47" t="n">
        <f aca="false">MAX(0,-BB122)</f>
        <v>0</v>
      </c>
      <c r="BC124" s="47" t="n">
        <f aca="false">MAX(0,-BC122)</f>
        <v>0</v>
      </c>
      <c r="BD124" s="47" t="n">
        <f aca="false">MAX(0,-BD122)</f>
        <v>0</v>
      </c>
      <c r="BE124" s="47" t="n">
        <f aca="false">MAX(0,-BE122)</f>
        <v>0</v>
      </c>
      <c r="BF124" s="47" t="n">
        <f aca="false">MAX(0,-BF122)</f>
        <v>0</v>
      </c>
      <c r="BG124" s="47" t="n">
        <f aca="false">MAX(0,-BG122)</f>
        <v>0</v>
      </c>
      <c r="BH124" s="47" t="n">
        <f aca="false">MAX(0,-BH122)</f>
        <v>0</v>
      </c>
      <c r="BI124" s="47" t="n">
        <f aca="false">MAX(0,-BI122)</f>
        <v>0</v>
      </c>
      <c r="BJ124" s="47" t="n">
        <f aca="false">MAX(0,-BJ122)</f>
        <v>0</v>
      </c>
      <c r="BK124" s="47" t="n">
        <f aca="false">MAX(0,-BK122)</f>
        <v>0</v>
      </c>
      <c r="BL124" s="47" t="n">
        <f aca="false">MAX(0,-BL122)</f>
        <v>0</v>
      </c>
      <c r="BM124" s="47" t="n">
        <f aca="false">MAX(0,-BM122)</f>
        <v>0</v>
      </c>
      <c r="BN124" s="47" t="n">
        <f aca="false">MAX(0,-BN122)</f>
        <v>0</v>
      </c>
      <c r="BO124" s="47" t="n">
        <f aca="false">MAX(0,-BO122)</f>
        <v>0</v>
      </c>
      <c r="BP124" s="47" t="n">
        <f aca="false">MAX(0,-BP122)</f>
        <v>0</v>
      </c>
      <c r="BQ124" s="47" t="n">
        <f aca="false">MAX(0,-BQ122)</f>
        <v>0</v>
      </c>
      <c r="BR124" s="47" t="n">
        <f aca="false">MAX(0,-BR122)</f>
        <v>0</v>
      </c>
      <c r="BS124" s="47" t="n">
        <f aca="false">MAX(0,-BS122)</f>
        <v>0</v>
      </c>
      <c r="BT124" s="47" t="n">
        <f aca="false">MAX(0,-BT122)</f>
        <v>0</v>
      </c>
      <c r="BU124" s="47" t="n">
        <f aca="false">MAX(0,-BU122)</f>
        <v>0</v>
      </c>
      <c r="BV124" s="47" t="n">
        <f aca="false">MAX(0,-BV122)</f>
        <v>0</v>
      </c>
      <c r="BW124" s="47" t="n">
        <f aca="false">MAX(0,-BW122)</f>
        <v>0</v>
      </c>
      <c r="BX124" s="47" t="n">
        <f aca="false">MAX(0,-BX122)</f>
        <v>0</v>
      </c>
      <c r="BY124" s="47" t="n">
        <f aca="false">MAX(0,-BY122)</f>
        <v>0</v>
      </c>
      <c r="BZ124" s="47" t="n">
        <f aca="false">MAX(0,-BZ122)</f>
        <v>0</v>
      </c>
      <c r="CA124" s="47" t="n">
        <f aca="false">MAX(0,-CA122)</f>
        <v>0</v>
      </c>
      <c r="CB124" s="47" t="n">
        <f aca="false">MAX(0,-CB122)</f>
        <v>0</v>
      </c>
      <c r="CC124" s="47" t="n">
        <f aca="false">MAX(0,-CC122)</f>
        <v>0</v>
      </c>
      <c r="CD124" s="47" t="n">
        <f aca="false">MAX(0,-CD122)</f>
        <v>0</v>
      </c>
      <c r="CE124" s="47" t="n">
        <f aca="false">MAX(0,-CE122)</f>
        <v>0</v>
      </c>
      <c r="CF124" s="47" t="n">
        <f aca="false">MAX(0,-CF122)</f>
        <v>0</v>
      </c>
      <c r="CG124" s="47" t="n">
        <f aca="false">MAX(0,-CG122)</f>
        <v>0</v>
      </c>
      <c r="CH124" s="47" t="n">
        <f aca="false">MAX(0,-CH122)</f>
        <v>0</v>
      </c>
      <c r="CI124" s="47" t="n">
        <f aca="false">MAX(0,-CI122)</f>
        <v>0</v>
      </c>
      <c r="CJ124" s="47" t="n">
        <f aca="false">MAX(0,-CJ122)</f>
        <v>0</v>
      </c>
      <c r="CK124" s="47" t="n">
        <f aca="false">MAX(0,-CK122)</f>
        <v>0</v>
      </c>
      <c r="CL124" s="47" t="n">
        <f aca="false">MAX(0,-CL122)</f>
        <v>0</v>
      </c>
      <c r="CM124" s="47" t="n">
        <f aca="false">MAX(0,-CM122)</f>
        <v>0</v>
      </c>
      <c r="CN124" s="47" t="n">
        <f aca="false">MAX(0,-CN122)</f>
        <v>0</v>
      </c>
      <c r="CO124" s="47" t="n">
        <f aca="false">MAX(0,-CO122)</f>
        <v>0</v>
      </c>
      <c r="CP124" s="47" t="n">
        <f aca="false">MAX(0,-CP122)</f>
        <v>0</v>
      </c>
      <c r="CQ124" s="47" t="n">
        <f aca="false">MAX(0,-CQ122)</f>
        <v>0</v>
      </c>
      <c r="CR124" s="47" t="n">
        <f aca="false">MAX(0,-CR122)</f>
        <v>0</v>
      </c>
      <c r="CS124" s="47" t="n">
        <f aca="false">MAX(0,-CS122)</f>
        <v>0</v>
      </c>
      <c r="CT124" s="47" t="n">
        <f aca="false">MAX(0,-CT122)</f>
        <v>0</v>
      </c>
      <c r="CU124" s="47" t="n">
        <f aca="false">MAX(0,-CU122)</f>
        <v>0</v>
      </c>
      <c r="CV124" s="47" t="n">
        <f aca="false">MAX(0,-CV122)</f>
        <v>0</v>
      </c>
      <c r="CW124" s="47" t="n">
        <f aca="false">MAX(0,-CW122)</f>
        <v>0</v>
      </c>
      <c r="CX124" s="47" t="n">
        <f aca="false">MAX(0,-CX122)</f>
        <v>0</v>
      </c>
      <c r="CY124" s="47" t="n">
        <f aca="false">MAX(0,-CY122)</f>
        <v>0</v>
      </c>
      <c r="CZ124" s="47" t="n">
        <f aca="false">MAX(0,-CZ122)</f>
        <v>0</v>
      </c>
      <c r="DA124" s="47" t="n">
        <f aca="false">MAX(0,-DA122)</f>
        <v>0</v>
      </c>
      <c r="DB124" s="47" t="n">
        <f aca="false">MAX(0,-DB122)</f>
        <v>0</v>
      </c>
      <c r="DC124" s="47" t="n">
        <f aca="false">MAX(0,-DC122)</f>
        <v>0</v>
      </c>
      <c r="DD124" s="47" t="n">
        <f aca="false">MAX(0,-DD122)</f>
        <v>0</v>
      </c>
      <c r="DE124" s="47" t="n">
        <f aca="false">MAX(0,-DE122)</f>
        <v>0</v>
      </c>
      <c r="DF124" s="47" t="n">
        <f aca="false">MAX(0,-DF122)</f>
        <v>0</v>
      </c>
      <c r="DG124" s="47" t="n">
        <f aca="false">MAX(0,-DG122)</f>
        <v>0</v>
      </c>
      <c r="DH124" s="47" t="n">
        <f aca="false">MAX(0,-DH122)</f>
        <v>0</v>
      </c>
      <c r="DI124" s="47" t="n">
        <f aca="false">MAX(0,-DI122)</f>
        <v>0</v>
      </c>
      <c r="DJ124" s="47" t="n">
        <f aca="false">MAX(0,-DJ122)</f>
        <v>0</v>
      </c>
      <c r="DK124" s="47" t="n">
        <f aca="false">MAX(0,-DK122)</f>
        <v>0</v>
      </c>
      <c r="DL124" s="47" t="n">
        <f aca="false">MAX(0,-DL122)</f>
        <v>0</v>
      </c>
      <c r="DM124" s="47" t="n">
        <f aca="false">MAX(0,-DM122)</f>
        <v>0</v>
      </c>
      <c r="DN124" s="47" t="n">
        <f aca="false">MAX(0,-DN122)</f>
        <v>0</v>
      </c>
      <c r="DO124" s="47" t="n">
        <f aca="false">MAX(0,-DO122)</f>
        <v>0</v>
      </c>
      <c r="DP124" s="47" t="n">
        <f aca="false">MAX(0,-DP122)</f>
        <v>0</v>
      </c>
      <c r="DQ124" s="47" t="n">
        <f aca="false">MAX(0,-DQ122)</f>
        <v>0</v>
      </c>
      <c r="DR124" s="47" t="n">
        <f aca="false">MAX(0,-DR122)</f>
        <v>0</v>
      </c>
      <c r="DS124" s="47" t="n">
        <f aca="false">MAX(0,-DS122)</f>
        <v>0</v>
      </c>
      <c r="DT124" s="47" t="n">
        <f aca="false">MAX(0,-DT122)</f>
        <v>0</v>
      </c>
      <c r="DU124" s="47" t="n">
        <f aca="false">MAX(0,-DU122)</f>
        <v>0</v>
      </c>
      <c r="DV124" s="47" t="n">
        <f aca="false">MAX(0,-DV122)</f>
        <v>0</v>
      </c>
      <c r="DW124" s="47" t="n">
        <f aca="false">MAX(0,-DW122)</f>
        <v>0</v>
      </c>
      <c r="DX124" s="47" t="n">
        <f aca="false">MAX(0,-DX122)</f>
        <v>0</v>
      </c>
      <c r="DY124" s="47" t="n">
        <f aca="false">MAX(0,-DY122)</f>
        <v>0</v>
      </c>
      <c r="DZ124" s="47" t="n">
        <f aca="false">MAX(0,-DZ122)</f>
        <v>0</v>
      </c>
      <c r="EA124" s="47" t="n">
        <f aca="false">MAX(0,-EA122)</f>
        <v>0</v>
      </c>
      <c r="EB124" s="47" t="n">
        <f aca="false">MAX(0,-EB122)</f>
        <v>0</v>
      </c>
      <c r="EC124" s="47" t="n">
        <f aca="false">MAX(0,-EC122)</f>
        <v>0</v>
      </c>
      <c r="ED124" s="47" t="n">
        <f aca="false">MAX(0,-ED122)</f>
        <v>0</v>
      </c>
      <c r="EE124" s="47" t="n">
        <f aca="false">MAX(0,-EE122)</f>
        <v>0</v>
      </c>
      <c r="EF124" s="47" t="n">
        <f aca="false">MAX(0,-EF122)</f>
        <v>0</v>
      </c>
      <c r="EG124" s="47" t="n">
        <f aca="false">MAX(0,-EG122)</f>
        <v>0</v>
      </c>
      <c r="EH124" s="47" t="n">
        <f aca="false">MAX(0,-EH122)</f>
        <v>0</v>
      </c>
      <c r="EI124" s="47" t="n">
        <f aca="false">MAX(0,-EI122)</f>
        <v>0</v>
      </c>
      <c r="EJ124" s="47" t="n">
        <f aca="false">MAX(0,-EJ122)</f>
        <v>0</v>
      </c>
      <c r="EK124" s="47" t="n">
        <f aca="false">MAX(0,-EK122)</f>
        <v>0</v>
      </c>
      <c r="EL124" s="47" t="n">
        <f aca="false">MAX(0,-EL122)</f>
        <v>0</v>
      </c>
      <c r="EM124" s="47" t="n">
        <f aca="false">MAX(0,-EM122)</f>
        <v>0</v>
      </c>
      <c r="EN124" s="47" t="n">
        <f aca="false">MAX(0,-EN122)</f>
        <v>0</v>
      </c>
      <c r="EO124" s="47" t="n">
        <f aca="false">MAX(0,-EO122)</f>
        <v>0</v>
      </c>
      <c r="EP124" s="47" t="n">
        <f aca="false">MAX(0,-EP122)</f>
        <v>0</v>
      </c>
      <c r="EQ124" s="47" t="n">
        <f aca="false">MAX(0,-EQ122)</f>
        <v>0</v>
      </c>
      <c r="ER124" s="47" t="n">
        <f aca="false">MAX(0,-ER122)</f>
        <v>0</v>
      </c>
      <c r="ES124" s="47" t="n">
        <f aca="false">MAX(0,-ES122)</f>
        <v>0</v>
      </c>
      <c r="ET124" s="47" t="n">
        <f aca="false">MAX(0,-ET122)</f>
        <v>0</v>
      </c>
    </row>
    <row r="125" customFormat="false" ht="15" hidden="false" customHeight="false" outlineLevel="0" collapsed="false">
      <c r="C125" s="1" t="s">
        <v>536</v>
      </c>
      <c r="D125" s="12" t="s">
        <v>222</v>
      </c>
      <c r="I125" s="47" t="n">
        <f aca="false">SUM(J125:ET125)</f>
        <v>-6229.25362783041</v>
      </c>
      <c r="J125" s="47" t="n">
        <f aca="false">-MIN(J123,MAX(0,J122))</f>
        <v>-0</v>
      </c>
      <c r="K125" s="47" t="n">
        <f aca="false">-MIN(K123,MAX(0,K122))</f>
        <v>-0</v>
      </c>
      <c r="L125" s="47" t="n">
        <f aca="false">-MIN(L123,MAX(0,L122))</f>
        <v>-0</v>
      </c>
      <c r="M125" s="47" t="n">
        <f aca="false">-MIN(M123,MAX(0,M122))</f>
        <v>-0</v>
      </c>
      <c r="N125" s="47" t="n">
        <f aca="false">-MIN(N123,MAX(0,N122))</f>
        <v>-0</v>
      </c>
      <c r="O125" s="47" t="n">
        <f aca="false">-MIN(O123,MAX(0,O122))</f>
        <v>-0</v>
      </c>
      <c r="P125" s="47" t="n">
        <f aca="false">-MIN(P123,MAX(0,P122))</f>
        <v>-0</v>
      </c>
      <c r="Q125" s="47" t="n">
        <f aca="false">-MIN(Q123,MAX(0,Q122))</f>
        <v>-0</v>
      </c>
      <c r="R125" s="47" t="n">
        <f aca="false">-MIN(R123,MAX(0,R122))</f>
        <v>-0</v>
      </c>
      <c r="S125" s="47" t="n">
        <f aca="false">-MIN(S123,MAX(0,S122))</f>
        <v>-0</v>
      </c>
      <c r="T125" s="47" t="n">
        <f aca="false">-MIN(T123,MAX(0,T122))</f>
        <v>-0</v>
      </c>
      <c r="U125" s="47" t="n">
        <f aca="false">-MIN(U123,MAX(0,U122))</f>
        <v>-0</v>
      </c>
      <c r="V125" s="47" t="n">
        <f aca="false">-MIN(V123,MAX(0,V122))</f>
        <v>-0</v>
      </c>
      <c r="W125" s="47" t="n">
        <f aca="false">-MIN(W123,MAX(0,W122))</f>
        <v>-0</v>
      </c>
      <c r="X125" s="47" t="n">
        <f aca="false">-MIN(X123,MAX(0,X122))</f>
        <v>-0</v>
      </c>
      <c r="Y125" s="47" t="n">
        <f aca="false">-MIN(Y123,MAX(0,Y122))</f>
        <v>-0</v>
      </c>
      <c r="Z125" s="47" t="n">
        <f aca="false">-MIN(Z123,MAX(0,Z122))</f>
        <v>-0</v>
      </c>
      <c r="AA125" s="47" t="n">
        <f aca="false">-MIN(AA123,MAX(0,AA122))</f>
        <v>-0</v>
      </c>
      <c r="AB125" s="47" t="n">
        <f aca="false">-MIN(AB123,MAX(0,AB122))</f>
        <v>-0</v>
      </c>
      <c r="AC125" s="47" t="n">
        <f aca="false">-MIN(AC123,MAX(0,AC122))</f>
        <v>-0</v>
      </c>
      <c r="AD125" s="47" t="n">
        <f aca="false">-MIN(AD123,MAX(0,AD122))</f>
        <v>-0</v>
      </c>
      <c r="AE125" s="47" t="n">
        <f aca="false">-MIN(AE123,MAX(0,AE122))</f>
        <v>-1014.06967046872</v>
      </c>
      <c r="AF125" s="47" t="n">
        <f aca="false">-MIN(AF123,MAX(0,AF122))</f>
        <v>-1040.84312534623</v>
      </c>
      <c r="AG125" s="47" t="n">
        <f aca="false">-MIN(AG123,MAX(0,AG122))</f>
        <v>-1064.00273907026</v>
      </c>
      <c r="AH125" s="47" t="n">
        <f aca="false">-MIN(AH123,MAX(0,AH122))</f>
        <v>-1111.58070216157</v>
      </c>
      <c r="AI125" s="47" t="n">
        <f aca="false">-MIN(AI123,MAX(0,AI122))</f>
        <v>-1120.6288914046</v>
      </c>
      <c r="AJ125" s="47" t="n">
        <f aca="false">-MIN(AJ123,MAX(0,AJ122))</f>
        <v>-878.128499379028</v>
      </c>
      <c r="AK125" s="47" t="n">
        <f aca="false">-MIN(AK123,MAX(0,AK122))</f>
        <v>-0</v>
      </c>
      <c r="AL125" s="47" t="n">
        <f aca="false">-MIN(AL123,MAX(0,AL122))</f>
        <v>-0</v>
      </c>
      <c r="AM125" s="47" t="n">
        <f aca="false">-MIN(AM123,MAX(0,AM122))</f>
        <v>-0</v>
      </c>
      <c r="AN125" s="47" t="n">
        <f aca="false">-MIN(AN123,MAX(0,AN122))</f>
        <v>-0</v>
      </c>
      <c r="AO125" s="47" t="n">
        <f aca="false">-MIN(AO123,MAX(0,AO122))</f>
        <v>-0</v>
      </c>
      <c r="AP125" s="47" t="n">
        <f aca="false">-MIN(AP123,MAX(0,AP122))</f>
        <v>-0</v>
      </c>
      <c r="AQ125" s="47" t="n">
        <f aca="false">-MIN(AQ123,MAX(0,AQ122))</f>
        <v>-0</v>
      </c>
      <c r="AR125" s="47" t="n">
        <f aca="false">-MIN(AR123,MAX(0,AR122))</f>
        <v>-0</v>
      </c>
      <c r="AS125" s="47" t="n">
        <f aca="false">-MIN(AS123,MAX(0,AS122))</f>
        <v>-0</v>
      </c>
      <c r="AT125" s="47" t="n">
        <f aca="false">-MIN(AT123,MAX(0,AT122))</f>
        <v>-0</v>
      </c>
      <c r="AU125" s="47" t="n">
        <f aca="false">-MIN(AU123,MAX(0,AU122))</f>
        <v>-0</v>
      </c>
      <c r="AV125" s="47" t="n">
        <f aca="false">-MIN(AV123,MAX(0,AV122))</f>
        <v>-0</v>
      </c>
      <c r="AW125" s="47" t="n">
        <f aca="false">-MIN(AW123,MAX(0,AW122))</f>
        <v>-0</v>
      </c>
      <c r="AX125" s="47" t="n">
        <f aca="false">-MIN(AX123,MAX(0,AX122))</f>
        <v>-0</v>
      </c>
      <c r="AY125" s="47" t="n">
        <f aca="false">-MIN(AY123,MAX(0,AY122))</f>
        <v>-0</v>
      </c>
      <c r="AZ125" s="47" t="n">
        <f aca="false">-MIN(AZ123,MAX(0,AZ122))</f>
        <v>-0</v>
      </c>
      <c r="BA125" s="47" t="n">
        <f aca="false">-MIN(BA123,MAX(0,BA122))</f>
        <v>-0</v>
      </c>
      <c r="BB125" s="47" t="n">
        <f aca="false">-MIN(BB123,MAX(0,BB122))</f>
        <v>-0</v>
      </c>
      <c r="BC125" s="47" t="n">
        <f aca="false">-MIN(BC123,MAX(0,BC122))</f>
        <v>-0</v>
      </c>
      <c r="BD125" s="47" t="n">
        <f aca="false">-MIN(BD123,MAX(0,BD122))</f>
        <v>-0</v>
      </c>
      <c r="BE125" s="47" t="n">
        <f aca="false">-MIN(BE123,MAX(0,BE122))</f>
        <v>-0</v>
      </c>
      <c r="BF125" s="47" t="n">
        <f aca="false">-MIN(BF123,MAX(0,BF122))</f>
        <v>-0</v>
      </c>
      <c r="BG125" s="47" t="n">
        <f aca="false">-MIN(BG123,MAX(0,BG122))</f>
        <v>-0</v>
      </c>
      <c r="BH125" s="47" t="n">
        <f aca="false">-MIN(BH123,MAX(0,BH122))</f>
        <v>-0</v>
      </c>
      <c r="BI125" s="47" t="n">
        <f aca="false">-MIN(BI123,MAX(0,BI122))</f>
        <v>-0</v>
      </c>
      <c r="BJ125" s="47" t="n">
        <f aca="false">-MIN(BJ123,MAX(0,BJ122))</f>
        <v>-0</v>
      </c>
      <c r="BK125" s="47" t="n">
        <f aca="false">-MIN(BK123,MAX(0,BK122))</f>
        <v>-0</v>
      </c>
      <c r="BL125" s="47" t="n">
        <f aca="false">-MIN(BL123,MAX(0,BL122))</f>
        <v>-0</v>
      </c>
      <c r="BM125" s="47" t="n">
        <f aca="false">-MIN(BM123,MAX(0,BM122))</f>
        <v>-0</v>
      </c>
      <c r="BN125" s="47" t="n">
        <f aca="false">-MIN(BN123,MAX(0,BN122))</f>
        <v>-0</v>
      </c>
      <c r="BO125" s="47" t="n">
        <f aca="false">-MIN(BO123,MAX(0,BO122))</f>
        <v>-0</v>
      </c>
      <c r="BP125" s="47" t="n">
        <f aca="false">-MIN(BP123,MAX(0,BP122))</f>
        <v>-0</v>
      </c>
      <c r="BQ125" s="47" t="n">
        <f aca="false">-MIN(BQ123,MAX(0,BQ122))</f>
        <v>-0</v>
      </c>
      <c r="BR125" s="47" t="n">
        <f aca="false">-MIN(BR123,MAX(0,BR122))</f>
        <v>-0</v>
      </c>
      <c r="BS125" s="47" t="n">
        <f aca="false">-MIN(BS123,MAX(0,BS122))</f>
        <v>-0</v>
      </c>
      <c r="BT125" s="47" t="n">
        <f aca="false">-MIN(BT123,MAX(0,BT122))</f>
        <v>-0</v>
      </c>
      <c r="BU125" s="47" t="n">
        <f aca="false">-MIN(BU123,MAX(0,BU122))</f>
        <v>-0</v>
      </c>
      <c r="BV125" s="47" t="n">
        <f aca="false">-MIN(BV123,MAX(0,BV122))</f>
        <v>-0</v>
      </c>
      <c r="BW125" s="47" t="n">
        <f aca="false">-MIN(BW123,MAX(0,BW122))</f>
        <v>-0</v>
      </c>
      <c r="BX125" s="47" t="n">
        <f aca="false">-MIN(BX123,MAX(0,BX122))</f>
        <v>-0</v>
      </c>
      <c r="BY125" s="47" t="n">
        <f aca="false">-MIN(BY123,MAX(0,BY122))</f>
        <v>-0</v>
      </c>
      <c r="BZ125" s="47" t="n">
        <f aca="false">-MIN(BZ123,MAX(0,BZ122))</f>
        <v>-0</v>
      </c>
      <c r="CA125" s="47" t="n">
        <f aca="false">-MIN(CA123,MAX(0,CA122))</f>
        <v>-0</v>
      </c>
      <c r="CB125" s="47" t="n">
        <f aca="false">-MIN(CB123,MAX(0,CB122))</f>
        <v>-0</v>
      </c>
      <c r="CC125" s="47" t="n">
        <f aca="false">-MIN(CC123,MAX(0,CC122))</f>
        <v>-0</v>
      </c>
      <c r="CD125" s="47" t="n">
        <f aca="false">-MIN(CD123,MAX(0,CD122))</f>
        <v>-0</v>
      </c>
      <c r="CE125" s="47" t="n">
        <f aca="false">-MIN(CE123,MAX(0,CE122))</f>
        <v>-0</v>
      </c>
      <c r="CF125" s="47" t="n">
        <f aca="false">-MIN(CF123,MAX(0,CF122))</f>
        <v>-0</v>
      </c>
      <c r="CG125" s="47" t="n">
        <f aca="false">-MIN(CG123,MAX(0,CG122))</f>
        <v>-0</v>
      </c>
      <c r="CH125" s="47" t="n">
        <f aca="false">-MIN(CH123,MAX(0,CH122))</f>
        <v>-0</v>
      </c>
      <c r="CI125" s="47" t="n">
        <f aca="false">-MIN(CI123,MAX(0,CI122))</f>
        <v>-0</v>
      </c>
      <c r="CJ125" s="47" t="n">
        <f aca="false">-MIN(CJ123,MAX(0,CJ122))</f>
        <v>-0</v>
      </c>
      <c r="CK125" s="47" t="n">
        <f aca="false">-MIN(CK123,MAX(0,CK122))</f>
        <v>-0</v>
      </c>
      <c r="CL125" s="47" t="n">
        <f aca="false">-MIN(CL123,MAX(0,CL122))</f>
        <v>-0</v>
      </c>
      <c r="CM125" s="47" t="n">
        <f aca="false">-MIN(CM123,MAX(0,CM122))</f>
        <v>-0</v>
      </c>
      <c r="CN125" s="47" t="n">
        <f aca="false">-MIN(CN123,MAX(0,CN122))</f>
        <v>-0</v>
      </c>
      <c r="CO125" s="47" t="n">
        <f aca="false">-MIN(CO123,MAX(0,CO122))</f>
        <v>-0</v>
      </c>
      <c r="CP125" s="47" t="n">
        <f aca="false">-MIN(CP123,MAX(0,CP122))</f>
        <v>-0</v>
      </c>
      <c r="CQ125" s="47" t="n">
        <f aca="false">-MIN(CQ123,MAX(0,CQ122))</f>
        <v>-0</v>
      </c>
      <c r="CR125" s="47" t="n">
        <f aca="false">-MIN(CR123,MAX(0,CR122))</f>
        <v>-0</v>
      </c>
      <c r="CS125" s="47" t="n">
        <f aca="false">-MIN(CS123,MAX(0,CS122))</f>
        <v>-0</v>
      </c>
      <c r="CT125" s="47" t="n">
        <f aca="false">-MIN(CT123,MAX(0,CT122))</f>
        <v>-0</v>
      </c>
      <c r="CU125" s="47" t="n">
        <f aca="false">-MIN(CU123,MAX(0,CU122))</f>
        <v>-0</v>
      </c>
      <c r="CV125" s="47" t="n">
        <f aca="false">-MIN(CV123,MAX(0,CV122))</f>
        <v>-0</v>
      </c>
      <c r="CW125" s="47" t="n">
        <f aca="false">-MIN(CW123,MAX(0,CW122))</f>
        <v>-0</v>
      </c>
      <c r="CX125" s="47" t="n">
        <f aca="false">-MIN(CX123,MAX(0,CX122))</f>
        <v>-0</v>
      </c>
      <c r="CY125" s="47" t="n">
        <f aca="false">-MIN(CY123,MAX(0,CY122))</f>
        <v>-0</v>
      </c>
      <c r="CZ125" s="47" t="n">
        <f aca="false">-MIN(CZ123,MAX(0,CZ122))</f>
        <v>-0</v>
      </c>
      <c r="DA125" s="47" t="n">
        <f aca="false">-MIN(DA123,MAX(0,DA122))</f>
        <v>-0</v>
      </c>
      <c r="DB125" s="47" t="n">
        <f aca="false">-MIN(DB123,MAX(0,DB122))</f>
        <v>-0</v>
      </c>
      <c r="DC125" s="47" t="n">
        <f aca="false">-MIN(DC123,MAX(0,DC122))</f>
        <v>-0</v>
      </c>
      <c r="DD125" s="47" t="n">
        <f aca="false">-MIN(DD123,MAX(0,DD122))</f>
        <v>-0</v>
      </c>
      <c r="DE125" s="47" t="n">
        <f aca="false">-MIN(DE123,MAX(0,DE122))</f>
        <v>-0</v>
      </c>
      <c r="DF125" s="47" t="n">
        <f aca="false">-MIN(DF123,MAX(0,DF122))</f>
        <v>-0</v>
      </c>
      <c r="DG125" s="47" t="n">
        <f aca="false">-MIN(DG123,MAX(0,DG122))</f>
        <v>-0</v>
      </c>
      <c r="DH125" s="47" t="n">
        <f aca="false">-MIN(DH123,MAX(0,DH122))</f>
        <v>-0</v>
      </c>
      <c r="DI125" s="47" t="n">
        <f aca="false">-MIN(DI123,MAX(0,DI122))</f>
        <v>-0</v>
      </c>
      <c r="DJ125" s="47" t="n">
        <f aca="false">-MIN(DJ123,MAX(0,DJ122))</f>
        <v>-0</v>
      </c>
      <c r="DK125" s="47" t="n">
        <f aca="false">-MIN(DK123,MAX(0,DK122))</f>
        <v>-0</v>
      </c>
      <c r="DL125" s="47" t="n">
        <f aca="false">-MIN(DL123,MAX(0,DL122))</f>
        <v>-0</v>
      </c>
      <c r="DM125" s="47" t="n">
        <f aca="false">-MIN(DM123,MAX(0,DM122))</f>
        <v>-0</v>
      </c>
      <c r="DN125" s="47" t="n">
        <f aca="false">-MIN(DN123,MAX(0,DN122))</f>
        <v>-0</v>
      </c>
      <c r="DO125" s="47" t="n">
        <f aca="false">-MIN(DO123,MAX(0,DO122))</f>
        <v>-0</v>
      </c>
      <c r="DP125" s="47" t="n">
        <f aca="false">-MIN(DP123,MAX(0,DP122))</f>
        <v>-0</v>
      </c>
      <c r="DQ125" s="47" t="n">
        <f aca="false">-MIN(DQ123,MAX(0,DQ122))</f>
        <v>-0</v>
      </c>
      <c r="DR125" s="47" t="n">
        <f aca="false">-MIN(DR123,MAX(0,DR122))</f>
        <v>-0</v>
      </c>
      <c r="DS125" s="47" t="n">
        <f aca="false">-MIN(DS123,MAX(0,DS122))</f>
        <v>-0</v>
      </c>
      <c r="DT125" s="47" t="n">
        <f aca="false">-MIN(DT123,MAX(0,DT122))</f>
        <v>-0</v>
      </c>
      <c r="DU125" s="47" t="n">
        <f aca="false">-MIN(DU123,MAX(0,DU122))</f>
        <v>-0</v>
      </c>
      <c r="DV125" s="47" t="n">
        <f aca="false">-MIN(DV123,MAX(0,DV122))</f>
        <v>-0</v>
      </c>
      <c r="DW125" s="47" t="n">
        <f aca="false">-MIN(DW123,MAX(0,DW122))</f>
        <v>-0</v>
      </c>
      <c r="DX125" s="47" t="n">
        <f aca="false">-MIN(DX123,MAX(0,DX122))</f>
        <v>-0</v>
      </c>
      <c r="DY125" s="47" t="n">
        <f aca="false">-MIN(DY123,MAX(0,DY122))</f>
        <v>-0</v>
      </c>
      <c r="DZ125" s="47" t="n">
        <f aca="false">-MIN(DZ123,MAX(0,DZ122))</f>
        <v>-0</v>
      </c>
      <c r="EA125" s="47" t="n">
        <f aca="false">-MIN(EA123,MAX(0,EA122))</f>
        <v>-0</v>
      </c>
      <c r="EB125" s="47" t="n">
        <f aca="false">-MIN(EB123,MAX(0,EB122))</f>
        <v>-0</v>
      </c>
      <c r="EC125" s="47" t="n">
        <f aca="false">-MIN(EC123,MAX(0,EC122))</f>
        <v>-0</v>
      </c>
      <c r="ED125" s="47" t="n">
        <f aca="false">-MIN(ED123,MAX(0,ED122))</f>
        <v>-0</v>
      </c>
      <c r="EE125" s="47" t="n">
        <f aca="false">-MIN(EE123,MAX(0,EE122))</f>
        <v>-0</v>
      </c>
      <c r="EF125" s="47" t="n">
        <f aca="false">-MIN(EF123,MAX(0,EF122))</f>
        <v>-0</v>
      </c>
      <c r="EG125" s="47" t="n">
        <f aca="false">-MIN(EG123,MAX(0,EG122))</f>
        <v>-0</v>
      </c>
      <c r="EH125" s="47" t="n">
        <f aca="false">-MIN(EH123,MAX(0,EH122))</f>
        <v>-0</v>
      </c>
      <c r="EI125" s="47" t="n">
        <f aca="false">-MIN(EI123,MAX(0,EI122))</f>
        <v>-0</v>
      </c>
      <c r="EJ125" s="47" t="n">
        <f aca="false">-MIN(EJ123,MAX(0,EJ122))</f>
        <v>-0</v>
      </c>
      <c r="EK125" s="47" t="n">
        <f aca="false">-MIN(EK123,MAX(0,EK122))</f>
        <v>-0</v>
      </c>
      <c r="EL125" s="47" t="n">
        <f aca="false">-MIN(EL123,MAX(0,EL122))</f>
        <v>-0</v>
      </c>
      <c r="EM125" s="47" t="n">
        <f aca="false">-MIN(EM123,MAX(0,EM122))</f>
        <v>-0</v>
      </c>
      <c r="EN125" s="47" t="n">
        <f aca="false">-MIN(EN123,MAX(0,EN122))</f>
        <v>-0</v>
      </c>
      <c r="EO125" s="47" t="n">
        <f aca="false">-MIN(EO123,MAX(0,EO122))</f>
        <v>-0</v>
      </c>
      <c r="EP125" s="47" t="n">
        <f aca="false">-MIN(EP123,MAX(0,EP122))</f>
        <v>-0</v>
      </c>
      <c r="EQ125" s="47" t="n">
        <f aca="false">-MIN(EQ123,MAX(0,EQ122))</f>
        <v>-0</v>
      </c>
      <c r="ER125" s="47" t="n">
        <f aca="false">-MIN(ER123,MAX(0,ER122))</f>
        <v>-0</v>
      </c>
      <c r="ES125" s="47" t="n">
        <f aca="false">-MIN(ES123,MAX(0,ES122))</f>
        <v>-0</v>
      </c>
      <c r="ET125" s="47" t="n">
        <f aca="false">-MIN(ET123,MAX(0,ET122))</f>
        <v>-0</v>
      </c>
    </row>
    <row r="126" customFormat="false" ht="15" hidden="false" customHeight="false" outlineLevel="0" collapsed="false">
      <c r="C126" s="1" t="s">
        <v>537</v>
      </c>
      <c r="D126" s="12" t="s">
        <v>222</v>
      </c>
      <c r="I126" s="57"/>
      <c r="J126" s="47" t="n">
        <f aca="false">SUM(J123:J125)</f>
        <v>0</v>
      </c>
      <c r="K126" s="47" t="n">
        <f aca="false">SUM(K123:K125)</f>
        <v>178.520547945205</v>
      </c>
      <c r="L126" s="47" t="n">
        <f aca="false">SUM(L123:L125)</f>
        <v>766.965068493151</v>
      </c>
      <c r="M126" s="47" t="n">
        <f aca="false">SUM(M123:M125)</f>
        <v>810.800684931507</v>
      </c>
      <c r="N126" s="47" t="n">
        <f aca="false">SUM(N123:N125)</f>
        <v>854.636301369863</v>
      </c>
      <c r="O126" s="47" t="n">
        <f aca="false">SUM(O123:O125)</f>
        <v>1038.99794520548</v>
      </c>
      <c r="P126" s="47" t="n">
        <f aca="false">SUM(P123:P125)</f>
        <v>2329.03974000559</v>
      </c>
      <c r="Q126" s="47" t="n">
        <f aca="false">SUM(Q123:Q125)</f>
        <v>2333.64932904669</v>
      </c>
      <c r="R126" s="47" t="n">
        <f aca="false">SUM(R123:R125)</f>
        <v>2497.74083902712</v>
      </c>
      <c r="S126" s="47" t="n">
        <f aca="false">SUM(S123:S125)</f>
        <v>2814.96697772435</v>
      </c>
      <c r="T126" s="47" t="n">
        <f aca="false">SUM(T123:T125)</f>
        <v>3119.62451197093</v>
      </c>
      <c r="U126" s="47" t="n">
        <f aca="false">SUM(U123:U125)</f>
        <v>3119.62451197093</v>
      </c>
      <c r="V126" s="47" t="n">
        <f aca="false">SUM(V123:V125)</f>
        <v>3119.62451197093</v>
      </c>
      <c r="W126" s="47" t="n">
        <f aca="false">SUM(W123:W125)</f>
        <v>4977.85210815742</v>
      </c>
      <c r="X126" s="47" t="n">
        <f aca="false">SUM(X123:X125)</f>
        <v>5228.52657549541</v>
      </c>
      <c r="Y126" s="47" t="n">
        <f aca="false">SUM(Y123:Y125)</f>
        <v>5457.04009747554</v>
      </c>
      <c r="Z126" s="47" t="n">
        <f aca="false">SUM(Z123:Z125)</f>
        <v>5662.56417946008</v>
      </c>
      <c r="AA126" s="47" t="n">
        <f aca="false">SUM(AA123:AA125)</f>
        <v>5842.30745771736</v>
      </c>
      <c r="AB126" s="47" t="n">
        <f aca="false">SUM(AB123:AB125)</f>
        <v>5994.81734224559</v>
      </c>
      <c r="AC126" s="47" t="n">
        <f aca="false">SUM(AC123:AC125)</f>
        <v>6124.07556382919</v>
      </c>
      <c r="AD126" s="47" t="n">
        <f aca="false">SUM(AD123:AD125)</f>
        <v>6229.25362783041</v>
      </c>
      <c r="AE126" s="47" t="n">
        <f aca="false">SUM(AE123:AE125)</f>
        <v>5215.18395736169</v>
      </c>
      <c r="AF126" s="47" t="n">
        <f aca="false">SUM(AF123:AF125)</f>
        <v>4174.34083201546</v>
      </c>
      <c r="AG126" s="47" t="n">
        <f aca="false">SUM(AG123:AG125)</f>
        <v>3110.3380929452</v>
      </c>
      <c r="AH126" s="47" t="n">
        <f aca="false">SUM(AH123:AH125)</f>
        <v>1998.75739078363</v>
      </c>
      <c r="AI126" s="47" t="n">
        <f aca="false">SUM(AI123:AI125)</f>
        <v>878.128499379028</v>
      </c>
      <c r="AJ126" s="47" t="n">
        <f aca="false">SUM(AJ123:AJ125)</f>
        <v>0</v>
      </c>
      <c r="AK126" s="47" t="n">
        <f aca="false">SUM(AK123:AK125)</f>
        <v>0</v>
      </c>
      <c r="AL126" s="47" t="n">
        <f aca="false">SUM(AL123:AL125)</f>
        <v>0</v>
      </c>
      <c r="AM126" s="47" t="n">
        <f aca="false">SUM(AM123:AM125)</f>
        <v>0</v>
      </c>
      <c r="AN126" s="47" t="n">
        <f aca="false">SUM(AN123:AN125)</f>
        <v>0</v>
      </c>
      <c r="AO126" s="47" t="n">
        <f aca="false">SUM(AO123:AO125)</f>
        <v>0</v>
      </c>
      <c r="AP126" s="47" t="n">
        <f aca="false">SUM(AP123:AP125)</f>
        <v>0</v>
      </c>
      <c r="AQ126" s="47" t="n">
        <f aca="false">SUM(AQ123:AQ125)</f>
        <v>0</v>
      </c>
      <c r="AR126" s="47" t="n">
        <f aca="false">SUM(AR123:AR125)</f>
        <v>0</v>
      </c>
      <c r="AS126" s="47" t="n">
        <f aca="false">SUM(AS123:AS125)</f>
        <v>0</v>
      </c>
      <c r="AT126" s="47" t="n">
        <f aca="false">SUM(AT123:AT125)</f>
        <v>0</v>
      </c>
      <c r="AU126" s="47" t="n">
        <f aca="false">SUM(AU123:AU125)</f>
        <v>0</v>
      </c>
      <c r="AV126" s="47" t="n">
        <f aca="false">SUM(AV123:AV125)</f>
        <v>0</v>
      </c>
      <c r="AW126" s="47" t="n">
        <f aca="false">SUM(AW123:AW125)</f>
        <v>0</v>
      </c>
      <c r="AX126" s="47" t="n">
        <f aca="false">SUM(AX123:AX125)</f>
        <v>0</v>
      </c>
      <c r="AY126" s="47" t="n">
        <f aca="false">SUM(AY123:AY125)</f>
        <v>0</v>
      </c>
      <c r="AZ126" s="47" t="n">
        <f aca="false">SUM(AZ123:AZ125)</f>
        <v>0</v>
      </c>
      <c r="BA126" s="47" t="n">
        <f aca="false">SUM(BA123:BA125)</f>
        <v>0</v>
      </c>
      <c r="BB126" s="47" t="n">
        <f aca="false">SUM(BB123:BB125)</f>
        <v>0</v>
      </c>
      <c r="BC126" s="47" t="n">
        <f aca="false">SUM(BC123:BC125)</f>
        <v>0</v>
      </c>
      <c r="BD126" s="47" t="n">
        <f aca="false">SUM(BD123:BD125)</f>
        <v>0</v>
      </c>
      <c r="BE126" s="47" t="n">
        <f aca="false">SUM(BE123:BE125)</f>
        <v>0</v>
      </c>
      <c r="BF126" s="47" t="n">
        <f aca="false">SUM(BF123:BF125)</f>
        <v>0</v>
      </c>
      <c r="BG126" s="47" t="n">
        <f aca="false">SUM(BG123:BG125)</f>
        <v>0</v>
      </c>
      <c r="BH126" s="47" t="n">
        <f aca="false">SUM(BH123:BH125)</f>
        <v>0</v>
      </c>
      <c r="BI126" s="47" t="n">
        <f aca="false">SUM(BI123:BI125)</f>
        <v>0</v>
      </c>
      <c r="BJ126" s="47" t="n">
        <f aca="false">SUM(BJ123:BJ125)</f>
        <v>0</v>
      </c>
      <c r="BK126" s="47" t="n">
        <f aca="false">SUM(BK123:BK125)</f>
        <v>0</v>
      </c>
      <c r="BL126" s="47" t="n">
        <f aca="false">SUM(BL123:BL125)</f>
        <v>0</v>
      </c>
      <c r="BM126" s="47" t="n">
        <f aca="false">SUM(BM123:BM125)</f>
        <v>0</v>
      </c>
      <c r="BN126" s="47" t="n">
        <f aca="false">SUM(BN123:BN125)</f>
        <v>0</v>
      </c>
      <c r="BO126" s="47" t="n">
        <f aca="false">SUM(BO123:BO125)</f>
        <v>0</v>
      </c>
      <c r="BP126" s="47" t="n">
        <f aca="false">SUM(BP123:BP125)</f>
        <v>0</v>
      </c>
      <c r="BQ126" s="47" t="n">
        <f aca="false">SUM(BQ123:BQ125)</f>
        <v>0</v>
      </c>
      <c r="BR126" s="47" t="n">
        <f aca="false">SUM(BR123:BR125)</f>
        <v>0</v>
      </c>
      <c r="BS126" s="47" t="n">
        <f aca="false">SUM(BS123:BS125)</f>
        <v>0</v>
      </c>
      <c r="BT126" s="47" t="n">
        <f aca="false">SUM(BT123:BT125)</f>
        <v>0</v>
      </c>
      <c r="BU126" s="47" t="n">
        <f aca="false">SUM(BU123:BU125)</f>
        <v>0</v>
      </c>
      <c r="BV126" s="47" t="n">
        <f aca="false">SUM(BV123:BV125)</f>
        <v>0</v>
      </c>
      <c r="BW126" s="47" t="n">
        <f aca="false">SUM(BW123:BW125)</f>
        <v>0</v>
      </c>
      <c r="BX126" s="47" t="n">
        <f aca="false">SUM(BX123:BX125)</f>
        <v>0</v>
      </c>
      <c r="BY126" s="47" t="n">
        <f aca="false">SUM(BY123:BY125)</f>
        <v>0</v>
      </c>
      <c r="BZ126" s="47" t="n">
        <f aca="false">SUM(BZ123:BZ125)</f>
        <v>0</v>
      </c>
      <c r="CA126" s="47" t="n">
        <f aca="false">SUM(CA123:CA125)</f>
        <v>0</v>
      </c>
      <c r="CB126" s="47" t="n">
        <f aca="false">SUM(CB123:CB125)</f>
        <v>0</v>
      </c>
      <c r="CC126" s="47" t="n">
        <f aca="false">SUM(CC123:CC125)</f>
        <v>0</v>
      </c>
      <c r="CD126" s="47" t="n">
        <f aca="false">SUM(CD123:CD125)</f>
        <v>0</v>
      </c>
      <c r="CE126" s="47" t="n">
        <f aca="false">SUM(CE123:CE125)</f>
        <v>0</v>
      </c>
      <c r="CF126" s="47" t="n">
        <f aca="false">SUM(CF123:CF125)</f>
        <v>0</v>
      </c>
      <c r="CG126" s="47" t="n">
        <f aca="false">SUM(CG123:CG125)</f>
        <v>0</v>
      </c>
      <c r="CH126" s="47" t="n">
        <f aca="false">SUM(CH123:CH125)</f>
        <v>0</v>
      </c>
      <c r="CI126" s="47" t="n">
        <f aca="false">SUM(CI123:CI125)</f>
        <v>0</v>
      </c>
      <c r="CJ126" s="47" t="n">
        <f aca="false">SUM(CJ123:CJ125)</f>
        <v>0</v>
      </c>
      <c r="CK126" s="47" t="n">
        <f aca="false">SUM(CK123:CK125)</f>
        <v>0</v>
      </c>
      <c r="CL126" s="47" t="n">
        <f aca="false">SUM(CL123:CL125)</f>
        <v>0</v>
      </c>
      <c r="CM126" s="47" t="n">
        <f aca="false">SUM(CM123:CM125)</f>
        <v>0</v>
      </c>
      <c r="CN126" s="47" t="n">
        <f aca="false">SUM(CN123:CN125)</f>
        <v>0</v>
      </c>
      <c r="CO126" s="47" t="n">
        <f aca="false">SUM(CO123:CO125)</f>
        <v>0</v>
      </c>
      <c r="CP126" s="47" t="n">
        <f aca="false">SUM(CP123:CP125)</f>
        <v>0</v>
      </c>
      <c r="CQ126" s="47" t="n">
        <f aca="false">SUM(CQ123:CQ125)</f>
        <v>0</v>
      </c>
      <c r="CR126" s="47" t="n">
        <f aca="false">SUM(CR123:CR125)</f>
        <v>0</v>
      </c>
      <c r="CS126" s="47" t="n">
        <f aca="false">SUM(CS123:CS125)</f>
        <v>0</v>
      </c>
      <c r="CT126" s="47" t="n">
        <f aca="false">SUM(CT123:CT125)</f>
        <v>0</v>
      </c>
      <c r="CU126" s="47" t="n">
        <f aca="false">SUM(CU123:CU125)</f>
        <v>0</v>
      </c>
      <c r="CV126" s="47" t="n">
        <f aca="false">SUM(CV123:CV125)</f>
        <v>0</v>
      </c>
      <c r="CW126" s="47" t="n">
        <f aca="false">SUM(CW123:CW125)</f>
        <v>0</v>
      </c>
      <c r="CX126" s="47" t="n">
        <f aca="false">SUM(CX123:CX125)</f>
        <v>0</v>
      </c>
      <c r="CY126" s="47" t="n">
        <f aca="false">SUM(CY123:CY125)</f>
        <v>0</v>
      </c>
      <c r="CZ126" s="47" t="n">
        <f aca="false">SUM(CZ123:CZ125)</f>
        <v>0</v>
      </c>
      <c r="DA126" s="47" t="n">
        <f aca="false">SUM(DA123:DA125)</f>
        <v>0</v>
      </c>
      <c r="DB126" s="47" t="n">
        <f aca="false">SUM(DB123:DB125)</f>
        <v>0</v>
      </c>
      <c r="DC126" s="47" t="n">
        <f aca="false">SUM(DC123:DC125)</f>
        <v>0</v>
      </c>
      <c r="DD126" s="47" t="n">
        <f aca="false">SUM(DD123:DD125)</f>
        <v>0</v>
      </c>
      <c r="DE126" s="47" t="n">
        <f aca="false">SUM(DE123:DE125)</f>
        <v>0</v>
      </c>
      <c r="DF126" s="47" t="n">
        <f aca="false">SUM(DF123:DF125)</f>
        <v>0</v>
      </c>
      <c r="DG126" s="47" t="n">
        <f aca="false">SUM(DG123:DG125)</f>
        <v>0</v>
      </c>
      <c r="DH126" s="47" t="n">
        <f aca="false">SUM(DH123:DH125)</f>
        <v>0</v>
      </c>
      <c r="DI126" s="47" t="n">
        <f aca="false">SUM(DI123:DI125)</f>
        <v>0</v>
      </c>
      <c r="DJ126" s="47" t="n">
        <f aca="false">SUM(DJ123:DJ125)</f>
        <v>0</v>
      </c>
      <c r="DK126" s="47" t="n">
        <f aca="false">SUM(DK123:DK125)</f>
        <v>0</v>
      </c>
      <c r="DL126" s="47" t="n">
        <f aca="false">SUM(DL123:DL125)</f>
        <v>0</v>
      </c>
      <c r="DM126" s="47" t="n">
        <f aca="false">SUM(DM123:DM125)</f>
        <v>0</v>
      </c>
      <c r="DN126" s="47" t="n">
        <f aca="false">SUM(DN123:DN125)</f>
        <v>0</v>
      </c>
      <c r="DO126" s="47" t="n">
        <f aca="false">SUM(DO123:DO125)</f>
        <v>0</v>
      </c>
      <c r="DP126" s="47" t="n">
        <f aca="false">SUM(DP123:DP125)</f>
        <v>0</v>
      </c>
      <c r="DQ126" s="47" t="n">
        <f aca="false">SUM(DQ123:DQ125)</f>
        <v>0</v>
      </c>
      <c r="DR126" s="47" t="n">
        <f aca="false">SUM(DR123:DR125)</f>
        <v>0</v>
      </c>
      <c r="DS126" s="47" t="n">
        <f aca="false">SUM(DS123:DS125)</f>
        <v>0</v>
      </c>
      <c r="DT126" s="47" t="n">
        <f aca="false">SUM(DT123:DT125)</f>
        <v>0</v>
      </c>
      <c r="DU126" s="47" t="n">
        <f aca="false">SUM(DU123:DU125)</f>
        <v>0</v>
      </c>
      <c r="DV126" s="47" t="n">
        <f aca="false">SUM(DV123:DV125)</f>
        <v>0</v>
      </c>
      <c r="DW126" s="47" t="n">
        <f aca="false">SUM(DW123:DW125)</f>
        <v>0</v>
      </c>
      <c r="DX126" s="47" t="n">
        <f aca="false">SUM(DX123:DX125)</f>
        <v>0</v>
      </c>
      <c r="DY126" s="47" t="n">
        <f aca="false">SUM(DY123:DY125)</f>
        <v>0</v>
      </c>
      <c r="DZ126" s="47" t="n">
        <f aca="false">SUM(DZ123:DZ125)</f>
        <v>0</v>
      </c>
      <c r="EA126" s="47" t="n">
        <f aca="false">SUM(EA123:EA125)</f>
        <v>0</v>
      </c>
      <c r="EB126" s="47" t="n">
        <f aca="false">SUM(EB123:EB125)</f>
        <v>0</v>
      </c>
      <c r="EC126" s="47" t="n">
        <f aca="false">SUM(EC123:EC125)</f>
        <v>0</v>
      </c>
      <c r="ED126" s="47" t="n">
        <f aca="false">SUM(ED123:ED125)</f>
        <v>0</v>
      </c>
      <c r="EE126" s="47" t="n">
        <f aca="false">SUM(EE123:EE125)</f>
        <v>0</v>
      </c>
      <c r="EF126" s="47" t="n">
        <f aca="false">SUM(EF123:EF125)</f>
        <v>0</v>
      </c>
      <c r="EG126" s="47" t="n">
        <f aca="false">SUM(EG123:EG125)</f>
        <v>0</v>
      </c>
      <c r="EH126" s="47" t="n">
        <f aca="false">SUM(EH123:EH125)</f>
        <v>0</v>
      </c>
      <c r="EI126" s="47" t="n">
        <f aca="false">SUM(EI123:EI125)</f>
        <v>0</v>
      </c>
      <c r="EJ126" s="47" t="n">
        <f aca="false">SUM(EJ123:EJ125)</f>
        <v>0</v>
      </c>
      <c r="EK126" s="47" t="n">
        <f aca="false">SUM(EK123:EK125)</f>
        <v>0</v>
      </c>
      <c r="EL126" s="47" t="n">
        <f aca="false">SUM(EL123:EL125)</f>
        <v>0</v>
      </c>
      <c r="EM126" s="47" t="n">
        <f aca="false">SUM(EM123:EM125)</f>
        <v>0</v>
      </c>
      <c r="EN126" s="47" t="n">
        <f aca="false">SUM(EN123:EN125)</f>
        <v>0</v>
      </c>
      <c r="EO126" s="47" t="n">
        <f aca="false">SUM(EO123:EO125)</f>
        <v>0</v>
      </c>
      <c r="EP126" s="47" t="n">
        <f aca="false">SUM(EP123:EP125)</f>
        <v>0</v>
      </c>
      <c r="EQ126" s="47" t="n">
        <f aca="false">SUM(EQ123:EQ125)</f>
        <v>0</v>
      </c>
      <c r="ER126" s="47" t="n">
        <f aca="false">SUM(ER123:ER125)</f>
        <v>0</v>
      </c>
      <c r="ES126" s="47" t="n">
        <f aca="false">SUM(ES123:ES125)</f>
        <v>0</v>
      </c>
      <c r="ET126" s="47" t="n">
        <f aca="false">SUM(ET123:ET125)</f>
        <v>0</v>
      </c>
    </row>
    <row r="127" customFormat="false" ht="15" hidden="false" customHeight="false" outlineLevel="0" collapsed="false">
      <c r="C127" s="31" t="s">
        <v>219</v>
      </c>
      <c r="D127" s="12" t="s">
        <v>222</v>
      </c>
      <c r="I127" s="56" t="n">
        <f aca="false">SUM(J127:ET127)</f>
        <v>-29217.7631614638</v>
      </c>
      <c r="J127" s="56" t="n">
        <f aca="false">-In_CIT*(MAX(0,J122)+J125)</f>
        <v>-0</v>
      </c>
      <c r="K127" s="56" t="n">
        <f aca="false">-In_CIT*(MAX(0,K122)+K125)</f>
        <v>-0</v>
      </c>
      <c r="L127" s="56" t="n">
        <f aca="false">-In_CIT*(MAX(0,L122)+L125)</f>
        <v>-0</v>
      </c>
      <c r="M127" s="56" t="n">
        <f aca="false">-In_CIT*(MAX(0,M122)+M125)</f>
        <v>-0</v>
      </c>
      <c r="N127" s="56" t="n">
        <f aca="false">-In_CIT*(MAX(0,N122)+N125)</f>
        <v>-0</v>
      </c>
      <c r="O127" s="56" t="n">
        <f aca="false">-In_CIT*(MAX(0,O122)+O125)</f>
        <v>-0</v>
      </c>
      <c r="P127" s="56" t="n">
        <f aca="false">-In_CIT*(MAX(0,P122)+P125)</f>
        <v>-0</v>
      </c>
      <c r="Q127" s="56" t="n">
        <f aca="false">-In_CIT*(MAX(0,Q122)+Q125)</f>
        <v>-0</v>
      </c>
      <c r="R127" s="56" t="n">
        <f aca="false">-In_CIT*(MAX(0,R122)+R125)</f>
        <v>-0</v>
      </c>
      <c r="S127" s="56" t="n">
        <f aca="false">-In_CIT*(MAX(0,S122)+S125)</f>
        <v>-0</v>
      </c>
      <c r="T127" s="56" t="n">
        <f aca="false">-In_CIT*(MAX(0,T122)+T125)</f>
        <v>-0</v>
      </c>
      <c r="U127" s="56" t="n">
        <f aca="false">-In_CIT*(MAX(0,U122)+U125)</f>
        <v>-0</v>
      </c>
      <c r="V127" s="56" t="n">
        <f aca="false">-In_CIT*(MAX(0,V122)+V125)</f>
        <v>-0</v>
      </c>
      <c r="W127" s="56" t="n">
        <f aca="false">-In_CIT*(MAX(0,W122)+W125)</f>
        <v>-0</v>
      </c>
      <c r="X127" s="56" t="n">
        <f aca="false">-In_CIT*(MAX(0,X122)+X125)</f>
        <v>-0</v>
      </c>
      <c r="Y127" s="56" t="n">
        <f aca="false">-In_CIT*(MAX(0,Y122)+Y125)</f>
        <v>-0</v>
      </c>
      <c r="Z127" s="56" t="n">
        <f aca="false">-In_CIT*(MAX(0,Z122)+Z125)</f>
        <v>-0</v>
      </c>
      <c r="AA127" s="56" t="n">
        <f aca="false">-In_CIT*(MAX(0,AA122)+AA125)</f>
        <v>-0</v>
      </c>
      <c r="AB127" s="56" t="n">
        <f aca="false">-In_CIT*(MAX(0,AB122)+AB125)</f>
        <v>-0</v>
      </c>
      <c r="AC127" s="56" t="n">
        <f aca="false">-In_CIT*(MAX(0,AC122)+AC125)</f>
        <v>-0</v>
      </c>
      <c r="AD127" s="56" t="n">
        <f aca="false">-In_CIT*(MAX(0,AD122)+AD125)</f>
        <v>-0</v>
      </c>
      <c r="AE127" s="56" t="n">
        <f aca="false">-In_CIT*(MAX(0,AE122)+AE125)</f>
        <v>-0</v>
      </c>
      <c r="AF127" s="56" t="n">
        <f aca="false">-In_CIT*(MAX(0,AF122)+AF125)</f>
        <v>-0</v>
      </c>
      <c r="AG127" s="56" t="n">
        <f aca="false">-In_CIT*(MAX(0,AG122)+AG125)</f>
        <v>-0</v>
      </c>
      <c r="AH127" s="56" t="n">
        <f aca="false">-In_CIT*(MAX(0,AH122)+AH125)</f>
        <v>-0</v>
      </c>
      <c r="AI127" s="56" t="n">
        <f aca="false">-In_CIT*(MAX(0,AI122)+AI125)</f>
        <v>-0</v>
      </c>
      <c r="AJ127" s="56" t="n">
        <f aca="false">-In_CIT*(MAX(0,AJ122)+AJ125)</f>
        <v>-22.1207033876094</v>
      </c>
      <c r="AK127" s="56" t="n">
        <f aca="false">-In_CIT*(MAX(0,AK122)+AK125)</f>
        <v>-105.527229009164</v>
      </c>
      <c r="AL127" s="56" t="n">
        <f aca="false">-In_CIT*(MAX(0,AL122)+AL125)</f>
        <v>-109.92957161066</v>
      </c>
      <c r="AM127" s="56" t="n">
        <f aca="false">-In_CIT*(MAX(0,AM122)+AM125)</f>
        <v>-110.844380702077</v>
      </c>
      <c r="AN127" s="56" t="n">
        <f aca="false">-In_CIT*(MAX(0,AN122)+AN125)</f>
        <v>-111.202624504349</v>
      </c>
      <c r="AO127" s="56" t="n">
        <f aca="false">-In_CIT*(MAX(0,AO122)+AO125)</f>
        <v>-115.701655640121</v>
      </c>
      <c r="AP127" s="56" t="n">
        <f aca="false">-In_CIT*(MAX(0,AP122)+AP125)</f>
        <v>-120.229463681293</v>
      </c>
      <c r="AQ127" s="56" t="n">
        <f aca="false">-In_CIT*(MAX(0,AQ122)+AQ125)</f>
        <v>-121.250262698485</v>
      </c>
      <c r="AR127" s="56" t="n">
        <f aca="false">-In_CIT*(MAX(0,AR122)+AR125)</f>
        <v>-121.676270590481</v>
      </c>
      <c r="AS127" s="56" t="n">
        <f aca="false">-In_CIT*(MAX(0,AS122)+AS125)</f>
        <v>-126.304707119573</v>
      </c>
      <c r="AT127" s="56" t="n">
        <f aca="false">-In_CIT*(MAX(0,AT122)+AT125)</f>
        <v>-130.963386603207</v>
      </c>
      <c r="AU127" s="56" t="n">
        <f aca="false">-In_CIT*(MAX(0,AU122)+AU125)</f>
        <v>-132.095976385446</v>
      </c>
      <c r="AV127" s="56" t="n">
        <f aca="false">-In_CIT*(MAX(0,AV122)+AV125)</f>
        <v>-134.815975507916</v>
      </c>
      <c r="AW127" s="56" t="n">
        <f aca="false">-In_CIT*(MAX(0,AW122)+AW125)</f>
        <v>-137.358670871886</v>
      </c>
      <c r="AX127" s="56" t="n">
        <f aca="false">-In_CIT*(MAX(0,AX122)+AX125)</f>
        <v>-142.153908167303</v>
      </c>
      <c r="AY127" s="56" t="n">
        <f aca="false">-In_CIT*(MAX(0,AY122)+AY125)</f>
        <v>-143.404386937865</v>
      </c>
      <c r="AZ127" s="56" t="n">
        <f aca="false">-In_CIT*(MAX(0,AZ122)+AZ125)</f>
        <v>-143.982624695125</v>
      </c>
      <c r="BA127" s="56" t="n">
        <f aca="false">-In_CIT*(MAX(0,BA122)+BA125)</f>
        <v>-148.886998211232</v>
      </c>
      <c r="BB127" s="56" t="n">
        <f aca="false">-In_CIT*(MAX(0,BB122)+BB125)</f>
        <v>-153.824774650287</v>
      </c>
      <c r="BC127" s="56" t="n">
        <f aca="false">-In_CIT*(MAX(0,BC122)+BC125)</f>
        <v>-155.199553161151</v>
      </c>
      <c r="BD127" s="56" t="n">
        <f aca="false">-In_CIT*(MAX(0,BD122)+BD125)</f>
        <v>-155.862861870893</v>
      </c>
      <c r="BE127" s="56" t="n">
        <f aca="false">-In_CIT*(MAX(0,BE122)+BE125)</f>
        <v>-160.914364450406</v>
      </c>
      <c r="BF127" s="56" t="n">
        <f aca="false">-In_CIT*(MAX(0,BF122)+BF125)</f>
        <v>-166.000971676032</v>
      </c>
      <c r="BG127" s="56" t="n">
        <f aca="false">-In_CIT*(MAX(0,BG122)+BG125)</f>
        <v>-167.506789123671</v>
      </c>
      <c r="BH127" s="56" t="n">
        <f aca="false">-In_CIT*(MAX(0,BH122)+BH125)</f>
        <v>-168.261569050824</v>
      </c>
      <c r="BI127" s="56" t="n">
        <f aca="false">-In_CIT*(MAX(0,BI122)+BI125)</f>
        <v>-173.466732092545</v>
      </c>
      <c r="BJ127" s="56" t="n">
        <f aca="false">-In_CIT*(MAX(0,BJ122)+BJ125)</f>
        <v>-178.708788198403</v>
      </c>
      <c r="BK127" s="56" t="n">
        <f aca="false">-In_CIT*(MAX(0,BK122)+BK125)</f>
        <v>-180.352728949948</v>
      </c>
      <c r="BL127" s="56" t="n">
        <f aca="false">-In_CIT*(MAX(0,BL122)+BL125)</f>
        <v>-183.46960976582</v>
      </c>
      <c r="BM127" s="56" t="n">
        <f aca="false">-In_CIT*(MAX(0,BM122)+BM125)</f>
        <v>-186.57141726332</v>
      </c>
      <c r="BN127" s="56" t="n">
        <f aca="false">-In_CIT*(MAX(0,BN122)+BN125)</f>
        <v>-191.975883765096</v>
      </c>
      <c r="BO127" s="56" t="n">
        <f aca="false">-In_CIT*(MAX(0,BO122)+BO125)</f>
        <v>-193.765394936146</v>
      </c>
      <c r="BP127" s="56" t="n">
        <f aca="false">-In_CIT*(MAX(0,BP122)+BP125)</f>
        <v>-194.72370774483</v>
      </c>
      <c r="BQ127" s="56" t="n">
        <f aca="false">-In_CIT*(MAX(0,BQ122)+BQ125)</f>
        <v>-200.257159549216</v>
      </c>
      <c r="BR127" s="56" t="n">
        <f aca="false">-In_CIT*(MAX(0,BR122)+BR125)</f>
        <v>-205.831359230171</v>
      </c>
      <c r="BS127" s="56" t="n">
        <f aca="false">-In_CIT*(MAX(0,BS122)+BS125)</f>
        <v>-207.774269157617</v>
      </c>
      <c r="BT127" s="56" t="n">
        <f aca="false">-In_CIT*(MAX(0,BT122)+BT125)</f>
        <v>-205.461775363833</v>
      </c>
      <c r="BU127" s="56" t="n">
        <f aca="false">-In_CIT*(MAX(0,BU122)+BU125)</f>
        <v>-207.744683978987</v>
      </c>
      <c r="BV127" s="56" t="n">
        <f aca="false">-In_CIT*(MAX(0,BV122)+BV125)</f>
        <v>-210.02759259414</v>
      </c>
      <c r="BW127" s="56" t="n">
        <f aca="false">-In_CIT*(MAX(0,BW122)+BW125)</f>
        <v>-208.620044100937</v>
      </c>
      <c r="BX127" s="56" t="n">
        <f aca="false">-In_CIT*(MAX(0,BX122)+BX125)</f>
        <v>-206.255854733365</v>
      </c>
      <c r="BY127" s="56" t="n">
        <f aca="false">-In_CIT*(MAX(0,BY122)+BY125)</f>
        <v>-208.547586452625</v>
      </c>
      <c r="BZ127" s="56" t="n">
        <f aca="false">-In_CIT*(MAX(0,BZ122)+BZ125)</f>
        <v>-210.839318171884</v>
      </c>
      <c r="CA127" s="56" t="n">
        <f aca="false">-In_CIT*(MAX(0,CA122)+CA125)</f>
        <v>-209.423123002828</v>
      </c>
      <c r="CB127" s="56" t="n">
        <f aca="false">-In_CIT*(MAX(0,CB122)+CB125)</f>
        <v>-209.30683243011</v>
      </c>
      <c r="CC127" s="56" t="n">
        <f aca="false">-In_CIT*(MAX(0,CC122)+CC125)</f>
        <v>-209.30683243011</v>
      </c>
      <c r="CD127" s="56" t="n">
        <f aca="false">-In_CIT*(MAX(0,CD122)+CD125)</f>
        <v>-211.606907511759</v>
      </c>
      <c r="CE127" s="56" t="n">
        <f aca="false">-In_CIT*(MAX(0,CE122)+CE125)</f>
        <v>-210.182042788085</v>
      </c>
      <c r="CF127" s="56" t="n">
        <f aca="false">-In_CIT*(MAX(0,CF122)+CF125)</f>
        <v>-207.713013581331</v>
      </c>
      <c r="CG127" s="56" t="n">
        <f aca="false">-In_CIT*(MAX(0,CG122)+CG125)</f>
        <v>-210.020935954457</v>
      </c>
      <c r="CH127" s="56" t="n">
        <f aca="false">-In_CIT*(MAX(0,CH122)+CH125)</f>
        <v>-212.328858327583</v>
      </c>
      <c r="CI127" s="56" t="n">
        <f aca="false">-In_CIT*(MAX(0,CI122)+CI125)</f>
        <v>-210.895301795199</v>
      </c>
      <c r="CJ127" s="56" t="n">
        <f aca="false">-In_CIT*(MAX(0,CJ122)+CJ125)</f>
        <v>-208.373115095176</v>
      </c>
      <c r="CK127" s="56" t="n">
        <f aca="false">-In_CIT*(MAX(0,CK122)+CK125)</f>
        <v>-210.688371929567</v>
      </c>
      <c r="CL127" s="56" t="n">
        <f aca="false">-In_CIT*(MAX(0,CL122)+CL125)</f>
        <v>-213.003628763958</v>
      </c>
      <c r="CM127" s="56" t="n">
        <f aca="false">-In_CIT*(MAX(0,CM122)+CM125)</f>
        <v>-211.561358815095</v>
      </c>
      <c r="CN127" s="56" t="n">
        <f aca="false">-In_CIT*(MAX(0,CN122)+CN125)</f>
        <v>-208.985513880179</v>
      </c>
      <c r="CO127" s="56" t="n">
        <f aca="false">-In_CIT*(MAX(0,CO122)+CO125)</f>
        <v>-211.307575145515</v>
      </c>
      <c r="CP127" s="56" t="n">
        <f aca="false">-In_CIT*(MAX(0,CP122)+CP125)</f>
        <v>-213.62963641085</v>
      </c>
      <c r="CQ127" s="56" t="n">
        <f aca="false">-In_CIT*(MAX(0,CQ122)+CQ125)</f>
        <v>-212.178632106247</v>
      </c>
      <c r="CR127" s="56" t="n">
        <f aca="false">-In_CIT*(MAX(0,CR122)+CR125)</f>
        <v>-211.876939279891</v>
      </c>
      <c r="CS127" s="56" t="n">
        <f aca="false">-In_CIT*(MAX(0,CS122)+CS125)</f>
        <v>-211.876939279891</v>
      </c>
      <c r="CT127" s="56" t="n">
        <f aca="false">-In_CIT*(MAX(0,CT122)+CT125)</f>
        <v>-214.205257293956</v>
      </c>
      <c r="CU127" s="56" t="n">
        <f aca="false">-In_CIT*(MAX(0,CU122)+CU125)</f>
        <v>-212.745498385584</v>
      </c>
      <c r="CV127" s="56" t="n">
        <f aca="false">-In_CIT*(MAX(0,CV122)+CV125)</f>
        <v>-210.060806908939</v>
      </c>
      <c r="CW127" s="56" t="n">
        <f aca="false">-In_CIT*(MAX(0,CW122)+CW125)</f>
        <v>-212.394815874594</v>
      </c>
      <c r="CX127" s="56" t="n">
        <f aca="false">-In_CIT*(MAX(0,CX122)+CX125)</f>
        <v>-214.728824840249</v>
      </c>
      <c r="CY127" s="56" t="n">
        <f aca="false">-In_CIT*(MAX(0,CY122)+CY125)</f>
        <v>-213.260291794592</v>
      </c>
      <c r="CZ127" s="56" t="n">
        <f aca="false">-In_CIT*(MAX(0,CZ122)+CZ125)</f>
        <v>-210.520397756844</v>
      </c>
      <c r="DA127" s="56" t="n">
        <f aca="false">-In_CIT*(MAX(0,DA122)+DA125)</f>
        <v>-212.859513287475</v>
      </c>
      <c r="DB127" s="56" t="n">
        <f aca="false">-In_CIT*(MAX(0,DB122)+DB125)</f>
        <v>-215.198628818107</v>
      </c>
      <c r="DC127" s="56" t="n">
        <f aca="false">-In_CIT*(MAX(0,DC122)+DC125)</f>
        <v>-213.721302840004</v>
      </c>
      <c r="DD127" s="56" t="n">
        <f aca="false">-In_CIT*(MAX(0,DD122)+DD125)</f>
        <v>-210.925676985051</v>
      </c>
      <c r="DE127" s="56" t="n">
        <f aca="false">-In_CIT*(MAX(0,DE122)+DE125)</f>
        <v>-213.269295618218</v>
      </c>
      <c r="DF127" s="56" t="n">
        <f aca="false">-In_CIT*(MAX(0,DF122)+DF125)</f>
        <v>-215.612914251386</v>
      </c>
      <c r="DG127" s="56" t="n">
        <f aca="false">-In_CIT*(MAX(0,DG122)+DG125)</f>
        <v>-390.462027514203</v>
      </c>
      <c r="DH127" s="56" t="n">
        <f aca="false">-In_CIT*(MAX(0,DH122)+DH125)</f>
        <v>-388.040944311337</v>
      </c>
      <c r="DI127" s="56" t="n">
        <f aca="false">-In_CIT*(MAX(0,DI122)+DI125)</f>
        <v>-388.040944311337</v>
      </c>
      <c r="DJ127" s="56" t="n">
        <f aca="false">-In_CIT*(MAX(0,DJ122)+DJ125)</f>
        <v>-392.30513051256</v>
      </c>
      <c r="DK127" s="56" t="n">
        <f aca="false">-In_CIT*(MAX(0,DK122)+DK125)</f>
        <v>-390.810165360226</v>
      </c>
      <c r="DL127" s="56" t="n">
        <f aca="false">-In_CIT*(MAX(0,DL122)+DL125)</f>
        <v>-384.068083069357</v>
      </c>
      <c r="DM127" s="56" t="n">
        <f aca="false">-In_CIT*(MAX(0,DM122)+DM125)</f>
        <v>-388.335506214572</v>
      </c>
      <c r="DN127" s="56" t="n">
        <f aca="false">-In_CIT*(MAX(0,DN122)+DN125)</f>
        <v>-392.602929359787</v>
      </c>
      <c r="DO127" s="56" t="n">
        <f aca="false">-In_CIT*(MAX(0,DO122)+DO125)</f>
        <v>-391.099119566891</v>
      </c>
      <c r="DP127" s="56" t="n">
        <f aca="false">-In_CIT*(MAX(0,DP122)+DP125)</f>
        <v>-384.29967228596</v>
      </c>
      <c r="DQ127" s="56" t="n">
        <f aca="false">-In_CIT*(MAX(0,DQ122)+DQ125)</f>
        <v>-388.569668644693</v>
      </c>
      <c r="DR127" s="56" t="n">
        <f aca="false">-In_CIT*(MAX(0,DR122)+DR125)</f>
        <v>-392.839665003426</v>
      </c>
      <c r="DS127" s="56" t="n">
        <f aca="false">-In_CIT*(MAX(0,DS122)+DS125)</f>
        <v>-391.326994978479</v>
      </c>
      <c r="DT127" s="56" t="n">
        <f aca="false">-In_CIT*(MAX(0,DT122)+DT125)</f>
        <v>-384.469622693208</v>
      </c>
      <c r="DU127" s="56" t="n">
        <f aca="false">-In_CIT*(MAX(0,DU122)+DU125)</f>
        <v>-388.741507389799</v>
      </c>
      <c r="DV127" s="56" t="n">
        <f aca="false">-In_CIT*(MAX(0,DV122)+DV125)</f>
        <v>-393.013392086391</v>
      </c>
      <c r="DW127" s="56" t="n">
        <f aca="false">-In_CIT*(MAX(0,DW122)+DW125)</f>
        <v>-391.491847104446</v>
      </c>
      <c r="DX127" s="56" t="n">
        <f aca="false">-In_CIT*(MAX(0,DX122)+DX125)</f>
        <v>-388.849048200098</v>
      </c>
      <c r="DY127" s="56" t="n">
        <f aca="false">-In_CIT*(MAX(0,DY122)+DY125)</f>
        <v>-388.849048200098</v>
      </c>
      <c r="DZ127" s="56" t="n">
        <f aca="false">-In_CIT*(MAX(0,DZ122)+DZ125)</f>
        <v>-393.122114663836</v>
      </c>
      <c r="EA127" s="56" t="n">
        <f aca="false">-In_CIT*(MAX(0,EA122)+EA125)</f>
        <v>-391.591680894017</v>
      </c>
      <c r="EB127" s="56" t="n">
        <f aca="false">-In_CIT*(MAX(0,EB122)+EB125)</f>
        <v>-384.616746143775</v>
      </c>
      <c r="EC127" s="56" t="n">
        <f aca="false">-In_CIT*(MAX(0,EC122)+EC125)</f>
        <v>-388.890265545373</v>
      </c>
      <c r="ED127" s="56" t="n">
        <f aca="false">-In_CIT*(MAX(0,ED122)+ED125)</f>
        <v>-393.16378494697</v>
      </c>
      <c r="EE127" s="56" t="n">
        <f aca="false">-In_CIT*(MAX(0,EE122)+EE125)</f>
        <v>-391.624449480656</v>
      </c>
      <c r="EF127" s="56" t="n">
        <f aca="false">-In_CIT*(MAX(0,EF122)+EF125)</f>
        <v>-384.589860667834</v>
      </c>
      <c r="EG127" s="56" t="n">
        <f aca="false">-In_CIT*(MAX(0,EG122)+EG125)</f>
        <v>-388.86308134192</v>
      </c>
      <c r="EH127" s="56" t="n">
        <f aca="false">-In_CIT*(MAX(0,EH122)+EH125)</f>
        <v>-393.136302016008</v>
      </c>
      <c r="EI127" s="56" t="n">
        <f aca="false">-In_CIT*(MAX(0,EI122)+EI125)</f>
        <v>-391.5880528957</v>
      </c>
      <c r="EJ127" s="56" t="n">
        <f aca="false">-In_CIT*(MAX(0,EJ122)+EJ125)</f>
        <v>-384.493216794942</v>
      </c>
      <c r="EK127" s="56" t="n">
        <f aca="false">-In_CIT*(MAX(0,EK122)+EK125)</f>
        <v>-388.765363648219</v>
      </c>
      <c r="EL127" s="56" t="n">
        <f aca="false">-In_CIT*(MAX(0,EL122)+EL125)</f>
        <v>-393.037510501496</v>
      </c>
      <c r="EM127" s="56" t="n">
        <f aca="false">-In_CIT*(MAX(0,EM122)+EM125)</f>
        <v>-391.480336750375</v>
      </c>
      <c r="EN127" s="56" t="n">
        <f aca="false">-In_CIT*(MAX(0,EN122)+EN125)</f>
        <v>-388.594925328545</v>
      </c>
      <c r="EO127" s="56" t="n">
        <f aca="false">-In_CIT*(MAX(0,EO122)+EO125)</f>
        <v>-388.594925328545</v>
      </c>
      <c r="EP127" s="56" t="n">
        <f aca="false">-In_CIT*(MAX(0,EP122)+EP125)</f>
        <v>-392.865199233254</v>
      </c>
      <c r="EQ127" s="56" t="n">
        <f aca="false">-In_CIT*(MAX(0,EQ122)+EQ125)</f>
        <v>-391.299090885448</v>
      </c>
      <c r="ER127" s="56" t="n">
        <f aca="false">-In_CIT*(MAX(0,ER122)+ER125)</f>
        <v>-384.081945511414</v>
      </c>
      <c r="ES127" s="56" t="n">
        <f aca="false">-In_CIT*(MAX(0,ES122)+ES125)</f>
        <v>-388.349522683763</v>
      </c>
      <c r="ET127" s="56" t="n">
        <f aca="false">-In_CIT*(MAX(0,ET122)+ET125)</f>
        <v>-392.617099856112</v>
      </c>
    </row>
    <row r="129" customFormat="false" ht="15" hidden="false" customHeight="false" outlineLevel="0" collapsed="false">
      <c r="A129" s="10" t="s">
        <v>13</v>
      </c>
      <c r="B129" s="10"/>
      <c r="C129" s="10" t="s">
        <v>116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</row>
    <row r="130" customFormat="false" ht="15" hidden="false" customHeight="false" outlineLevel="0" collapsed="false">
      <c r="C130" s="31" t="s">
        <v>45</v>
      </c>
      <c r="D130" s="12" t="s">
        <v>222</v>
      </c>
      <c r="E130" s="56" t="n">
        <f aca="false">In_RtB_Premium*In_MVA</f>
        <v>15000</v>
      </c>
    </row>
    <row r="131" customFormat="false" ht="15" hidden="false" customHeight="false" outlineLevel="0" collapsed="false">
      <c r="A131" s="36"/>
      <c r="B131" s="36"/>
      <c r="C131" s="36" t="s">
        <v>538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</row>
    <row r="132" customFormat="false" ht="15" hidden="false" customHeight="false" outlineLevel="0" collapsed="false">
      <c r="C132" s="1" t="s">
        <v>539</v>
      </c>
      <c r="D132" s="12" t="s">
        <v>222</v>
      </c>
      <c r="E132" s="47" t="n">
        <f aca="false">$E64+$E55</f>
        <v>21842.7086410959</v>
      </c>
      <c r="F132" s="47" t="n">
        <f aca="false">MAX(0,$E130+$E132)</f>
        <v>36842.7086410959</v>
      </c>
    </row>
    <row r="133" customFormat="false" ht="15" hidden="false" customHeight="false" outlineLevel="0" collapsed="false">
      <c r="C133" s="1" t="s">
        <v>120</v>
      </c>
      <c r="D133" s="12" t="s">
        <v>222</v>
      </c>
      <c r="E133" s="23" t="n">
        <f aca="false">In_Sale_Costs</f>
        <v>500</v>
      </c>
      <c r="F133" s="47" t="n">
        <f aca="false">MIN($E133,$F132)</f>
        <v>500</v>
      </c>
    </row>
    <row r="134" customFormat="false" ht="15" hidden="false" customHeight="false" outlineLevel="0" collapsed="false">
      <c r="C134" s="1" t="s">
        <v>121</v>
      </c>
      <c r="D134" s="12" t="s">
        <v>222</v>
      </c>
      <c r="E134" s="47" t="n">
        <f aca="false">$E64</f>
        <v>21412.2641205479</v>
      </c>
      <c r="F134" s="47" t="n">
        <f aca="false">MIN($E134,$F132-SUM($F133:$F133))</f>
        <v>21412.2641205479</v>
      </c>
    </row>
    <row r="135" customFormat="false" ht="15" hidden="false" customHeight="false" outlineLevel="0" collapsed="false">
      <c r="C135" s="1" t="s">
        <v>122</v>
      </c>
      <c r="D135" s="12" t="s">
        <v>222</v>
      </c>
      <c r="E135" s="47" t="n">
        <f aca="false">$E67</f>
        <v>1564.53664418093</v>
      </c>
      <c r="F135" s="47" t="n">
        <f aca="false">MIN($E135,$F132-SUM($F133:$F134))</f>
        <v>1564.53664418093</v>
      </c>
    </row>
    <row r="136" customFormat="false" ht="15" hidden="false" customHeight="false" outlineLevel="0" collapsed="false">
      <c r="C136" s="1" t="s">
        <v>123</v>
      </c>
      <c r="D136" s="12" t="s">
        <v>222</v>
      </c>
      <c r="E136" s="47" t="n">
        <f aca="false">$E55</f>
        <v>430.444520547945</v>
      </c>
      <c r="F136" s="47" t="n">
        <f aca="false">MIN($E136,$F132-SUM($F133:$F135))</f>
        <v>430.444520547945</v>
      </c>
    </row>
    <row r="137" customFormat="false" ht="15" hidden="false" customHeight="false" outlineLevel="0" collapsed="false">
      <c r="C137" s="1" t="s">
        <v>540</v>
      </c>
      <c r="D137" s="12" t="s">
        <v>222</v>
      </c>
      <c r="E137" s="47" t="n">
        <f aca="false">$E78</f>
        <v>3119.62451197093</v>
      </c>
      <c r="F137" s="47" t="n">
        <f aca="false">MIN($E137,$F132-SUM($F133:$F136))</f>
        <v>3119.62451197093</v>
      </c>
    </row>
    <row r="138" customFormat="false" ht="15" hidden="false" customHeight="false" outlineLevel="0" collapsed="false">
      <c r="C138" s="1" t="s">
        <v>125</v>
      </c>
      <c r="D138" s="12" t="s">
        <v>222</v>
      </c>
      <c r="E138" s="47" t="n">
        <f aca="false">$E72</f>
        <v>1120.48016110676</v>
      </c>
      <c r="F138" s="47" t="n">
        <f aca="false">MIN($E138,$F132-SUM($F133:$F137))</f>
        <v>1120.48016110676</v>
      </c>
    </row>
    <row r="139" customFormat="false" ht="15" hidden="false" customHeight="false" outlineLevel="0" collapsed="false">
      <c r="C139" s="1" t="s">
        <v>541</v>
      </c>
      <c r="D139" s="12" t="s">
        <v>222</v>
      </c>
      <c r="E139" s="47" t="n">
        <f aca="false">MIN(In_DSA_Cap,In_DSA_Rate*YEARFRAC(In_Signing_Date,$E12,0))*$E24</f>
        <v>1200.65972222222</v>
      </c>
      <c r="F139" s="47" t="n">
        <f aca="false">MIN($E139,$F132-SUM($F133:$F138))</f>
        <v>1200.65972222222</v>
      </c>
    </row>
    <row r="140" customFormat="false" ht="15" hidden="false" customHeight="false" outlineLevel="0" collapsed="false">
      <c r="C140" s="31" t="s">
        <v>542</v>
      </c>
      <c r="D140" s="12" t="s">
        <v>222</v>
      </c>
      <c r="F140" s="56" t="n">
        <f aca="false">MAX(0,$F132-SUM($E133:$E139))</f>
        <v>7494.69896051916</v>
      </c>
    </row>
    <row r="141" customFormat="false" ht="15" hidden="false" customHeight="false" outlineLevel="0" collapsed="false">
      <c r="C141" s="31" t="s">
        <v>543</v>
      </c>
      <c r="D141" s="12" t="s">
        <v>222</v>
      </c>
      <c r="F141" s="56" t="n">
        <f aca="false">SUM($F134:$F138)+In_FEP_Share*$F140</f>
        <v>32893.6392307179</v>
      </c>
    </row>
    <row r="142" customFormat="false" ht="15" hidden="false" customHeight="false" outlineLevel="0" collapsed="false">
      <c r="C142" s="1" t="s">
        <v>544</v>
      </c>
      <c r="D142" s="12" t="s">
        <v>222</v>
      </c>
      <c r="F142" s="47" t="n">
        <f aca="false">$F139+(1-In_FEP_Share)*$F140</f>
        <v>3449.06941037797</v>
      </c>
    </row>
    <row r="143" customFormat="false" ht="15" hidden="false" customHeight="false" outlineLevel="0" collapsed="false">
      <c r="A143" s="36"/>
      <c r="B143" s="36"/>
      <c r="C143" s="36" t="s">
        <v>545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</row>
    <row r="144" customFormat="false" ht="15" hidden="false" customHeight="false" outlineLevel="0" collapsed="false">
      <c r="C144" s="1" t="s">
        <v>546</v>
      </c>
      <c r="D144" s="12" t="s">
        <v>222</v>
      </c>
      <c r="E144" s="47" t="n">
        <f aca="false">$F135+$F137+$F138+In_FEP_Share*$F140</f>
        <v>11050.930589622</v>
      </c>
      <c r="F144" s="47" t="n">
        <f aca="false">$F142</f>
        <v>3449.06941037797</v>
      </c>
    </row>
    <row r="145" customFormat="false" ht="15" hidden="false" customHeight="false" outlineLevel="0" collapsed="false">
      <c r="C145" s="31" t="s">
        <v>547</v>
      </c>
      <c r="D145" s="12" t="s">
        <v>222</v>
      </c>
      <c r="E145" s="56" t="n">
        <f aca="false">$E144+$F144</f>
        <v>14500</v>
      </c>
    </row>
    <row r="146" customFormat="false" ht="15" hidden="false" customHeight="false" outlineLevel="0" collapsed="false">
      <c r="C146" s="1" t="s">
        <v>548</v>
      </c>
      <c r="D146" s="12" t="s">
        <v>27</v>
      </c>
      <c r="E146" s="49" t="n">
        <f aca="false">$E144/$E24</f>
        <v>73.1849707921988</v>
      </c>
      <c r="F146" s="49" t="n">
        <f aca="false">$F144/$E24</f>
        <v>22.8415192740263</v>
      </c>
    </row>
    <row r="147" customFormat="false" ht="15" hidden="false" customHeight="false" outlineLevel="0" collapsed="false">
      <c r="C147" s="1" t="s">
        <v>549</v>
      </c>
      <c r="D147" s="12" t="s">
        <v>222</v>
      </c>
      <c r="E147" s="47" t="n">
        <f aca="false">$I46-($E57+$E64+$E47)</f>
        <v>-24940.1078106011</v>
      </c>
    </row>
    <row r="148" customFormat="false" ht="15" hidden="false" customHeight="false" outlineLevel="0" collapsed="false">
      <c r="C148" s="1" t="s">
        <v>550</v>
      </c>
      <c r="D148" s="12" t="s">
        <v>27</v>
      </c>
      <c r="E148" s="49" t="n">
        <f aca="false">$E145/$E24</f>
        <v>96.0264900662251</v>
      </c>
    </row>
    <row r="149" customFormat="false" ht="15" hidden="false" customHeight="false" outlineLevel="0" collapsed="false">
      <c r="A149" s="36"/>
      <c r="B149" s="36"/>
      <c r="C149" s="36" t="s">
        <v>551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</row>
    <row r="150" customFormat="false" ht="15" hidden="false" customHeight="false" outlineLevel="0" collapsed="false">
      <c r="C150" s="1" t="s">
        <v>552</v>
      </c>
      <c r="D150" s="12" t="s">
        <v>222</v>
      </c>
      <c r="E150" s="47" t="n">
        <f aca="false">-In_CIT*MAX(0,$I150-In_FEP_Share*$F140)</f>
        <v>-128.61785929143</v>
      </c>
      <c r="I150" s="47" t="n">
        <f aca="false">SUM(J150:ET150)</f>
        <v>6675.37659782375</v>
      </c>
      <c r="J150" s="47" t="n">
        <f aca="false">(J59+J53)*(J$4&lt;=$E12)+$F141*J12</f>
        <v>-400</v>
      </c>
      <c r="K150" s="47" t="n">
        <f aca="false">(K59+K53)*(K$4&lt;=$E12)+$F141*K12</f>
        <v>-1437.78053818728</v>
      </c>
      <c r="L150" s="47" t="n">
        <f aca="false">(L59+L53)*(L$4&lt;=$E12)+$F141*L12</f>
        <v>-691.910911990993</v>
      </c>
      <c r="M150" s="47" t="n">
        <f aca="false">(M59+M53)*(M$4&lt;=$E12)+$F141*M12</f>
        <v>-148.451634452993</v>
      </c>
      <c r="N150" s="47" t="n">
        <f aca="false">(N59+N53)*(N$4&lt;=$E12)+$F141*N12</f>
        <v>-149.601261024582</v>
      </c>
      <c r="O150" s="47" t="n">
        <f aca="false">(O59+O53)*(O$4&lt;=$E12)+$F141*O12</f>
        <v>-290.127288421843</v>
      </c>
      <c r="P150" s="47" t="n">
        <f aca="false">(P59+P53)*(P$4&lt;=$E12)+$F141*P12</f>
        <v>-1394.65781281475</v>
      </c>
      <c r="Q150" s="47" t="n">
        <f aca="false">(Q59+Q53)*(Q$4&lt;=$E12)+$F141*Q12</f>
        <v>-109.225607055733</v>
      </c>
      <c r="R150" s="47" t="n">
        <f aca="false">(R59+R53)*(R$4&lt;=$E12)+$F141*R12</f>
        <v>-269.857154566657</v>
      </c>
      <c r="S150" s="47" t="n">
        <f aca="false">(S59+S53)*(S$4&lt;=$E12)+$F141*S12</f>
        <v>-422.991783283459</v>
      </c>
      <c r="T150" s="47" t="n">
        <f aca="false">(T59+T53)*(T$4&lt;=$E12)+$F141*T12</f>
        <v>-20587.5113339088</v>
      </c>
      <c r="U150" s="47" t="n">
        <f aca="false">(U59+U53)*(U$4&lt;=$E12)+$F141*U12</f>
        <v>-104.616018014637</v>
      </c>
      <c r="V150" s="47" t="n">
        <f aca="false">(V59+V53)*(V$4&lt;=$E12)+$F141*V12</f>
        <v>-105.765644586226</v>
      </c>
      <c r="W150" s="47" t="n">
        <f aca="false">(W59+W53)*(W$4&lt;=$E12)+$F141*W12</f>
        <v>32787.8735861317</v>
      </c>
      <c r="X150" s="47" t="n">
        <f aca="false">(X59+X53)*(X$4&lt;=$E12)+$F141*X12</f>
        <v>0</v>
      </c>
      <c r="Y150" s="47" t="n">
        <f aca="false">(Y59+Y53)*(Y$4&lt;=$E12)+$F141*Y12</f>
        <v>0</v>
      </c>
      <c r="Z150" s="47" t="n">
        <f aca="false">(Z59+Z53)*(Z$4&lt;=$E12)+$F141*Z12</f>
        <v>0</v>
      </c>
      <c r="AA150" s="47" t="n">
        <f aca="false">(AA59+AA53)*(AA$4&lt;=$E12)+$F141*AA12</f>
        <v>0</v>
      </c>
      <c r="AB150" s="47" t="n">
        <f aca="false">(AB59+AB53)*(AB$4&lt;=$E12)+$F141*AB12</f>
        <v>0</v>
      </c>
      <c r="AC150" s="47" t="n">
        <f aca="false">(AC59+AC53)*(AC$4&lt;=$E12)+$F141*AC12</f>
        <v>0</v>
      </c>
      <c r="AD150" s="47" t="n">
        <f aca="false">(AD59+AD53)*(AD$4&lt;=$E12)+$F141*AD12</f>
        <v>0</v>
      </c>
      <c r="AE150" s="47" t="n">
        <f aca="false">(AE59+AE53)*(AE$4&lt;=$E12)+$F141*AE12</f>
        <v>0</v>
      </c>
      <c r="AF150" s="47" t="n">
        <f aca="false">(AF59+AF53)*(AF$4&lt;=$E12)+$F141*AF12</f>
        <v>0</v>
      </c>
      <c r="AG150" s="47" t="n">
        <f aca="false">(AG59+AG53)*(AG$4&lt;=$E12)+$F141*AG12</f>
        <v>0</v>
      </c>
      <c r="AH150" s="47" t="n">
        <f aca="false">(AH59+AH53)*(AH$4&lt;=$E12)+$F141*AH12</f>
        <v>0</v>
      </c>
      <c r="AI150" s="47" t="n">
        <f aca="false">(AI59+AI53)*(AI$4&lt;=$E12)+$F141*AI12</f>
        <v>0</v>
      </c>
      <c r="AJ150" s="47" t="n">
        <f aca="false">(AJ59+AJ53)*(AJ$4&lt;=$E12)+$F141*AJ12</f>
        <v>0</v>
      </c>
      <c r="AK150" s="47" t="n">
        <f aca="false">(AK59+AK53)*(AK$4&lt;=$E12)+$F141*AK12</f>
        <v>0</v>
      </c>
      <c r="AL150" s="47" t="n">
        <f aca="false">(AL59+AL53)*(AL$4&lt;=$E12)+$F141*AL12</f>
        <v>0</v>
      </c>
      <c r="AM150" s="47" t="n">
        <f aca="false">(AM59+AM53)*(AM$4&lt;=$E12)+$F141*AM12</f>
        <v>0</v>
      </c>
      <c r="AN150" s="47" t="n">
        <f aca="false">(AN59+AN53)*(AN$4&lt;=$E12)+$F141*AN12</f>
        <v>0</v>
      </c>
      <c r="AO150" s="47" t="n">
        <f aca="false">(AO59+AO53)*(AO$4&lt;=$E12)+$F141*AO12</f>
        <v>0</v>
      </c>
      <c r="AP150" s="47" t="n">
        <f aca="false">(AP59+AP53)*(AP$4&lt;=$E12)+$F141*AP12</f>
        <v>0</v>
      </c>
      <c r="AQ150" s="47" t="n">
        <f aca="false">(AQ59+AQ53)*(AQ$4&lt;=$E12)+$F141*AQ12</f>
        <v>0</v>
      </c>
      <c r="AR150" s="47" t="n">
        <f aca="false">(AR59+AR53)*(AR$4&lt;=$E12)+$F141*AR12</f>
        <v>0</v>
      </c>
      <c r="AS150" s="47" t="n">
        <f aca="false">(AS59+AS53)*(AS$4&lt;=$E12)+$F141*AS12</f>
        <v>0</v>
      </c>
      <c r="AT150" s="47" t="n">
        <f aca="false">(AT59+AT53)*(AT$4&lt;=$E12)+$F141*AT12</f>
        <v>0</v>
      </c>
      <c r="AU150" s="47" t="n">
        <f aca="false">(AU59+AU53)*(AU$4&lt;=$E12)+$F141*AU12</f>
        <v>0</v>
      </c>
      <c r="AV150" s="47" t="n">
        <f aca="false">(AV59+AV53)*(AV$4&lt;=$E12)+$F141*AV12</f>
        <v>0</v>
      </c>
      <c r="AW150" s="47" t="n">
        <f aca="false">(AW59+AW53)*(AW$4&lt;=$E12)+$F141*AW12</f>
        <v>0</v>
      </c>
      <c r="AX150" s="47" t="n">
        <f aca="false">(AX59+AX53)*(AX$4&lt;=$E12)+$F141*AX12</f>
        <v>0</v>
      </c>
      <c r="AY150" s="47" t="n">
        <f aca="false">(AY59+AY53)*(AY$4&lt;=$E12)+$F141*AY12</f>
        <v>0</v>
      </c>
      <c r="AZ150" s="47" t="n">
        <f aca="false">(AZ59+AZ53)*(AZ$4&lt;=$E12)+$F141*AZ12</f>
        <v>0</v>
      </c>
      <c r="BA150" s="47" t="n">
        <f aca="false">(BA59+BA53)*(BA$4&lt;=$E12)+$F141*BA12</f>
        <v>0</v>
      </c>
      <c r="BB150" s="47" t="n">
        <f aca="false">(BB59+BB53)*(BB$4&lt;=$E12)+$F141*BB12</f>
        <v>0</v>
      </c>
      <c r="BC150" s="47" t="n">
        <f aca="false">(BC59+BC53)*(BC$4&lt;=$E12)+$F141*BC12</f>
        <v>0</v>
      </c>
      <c r="BD150" s="47" t="n">
        <f aca="false">(BD59+BD53)*(BD$4&lt;=$E12)+$F141*BD12</f>
        <v>0</v>
      </c>
      <c r="BE150" s="47" t="n">
        <f aca="false">(BE59+BE53)*(BE$4&lt;=$E12)+$F141*BE12</f>
        <v>0</v>
      </c>
      <c r="BF150" s="47" t="n">
        <f aca="false">(BF59+BF53)*(BF$4&lt;=$E12)+$F141*BF12</f>
        <v>0</v>
      </c>
      <c r="BG150" s="47" t="n">
        <f aca="false">(BG59+BG53)*(BG$4&lt;=$E12)+$F141*BG12</f>
        <v>0</v>
      </c>
      <c r="BH150" s="47" t="n">
        <f aca="false">(BH59+BH53)*(BH$4&lt;=$E12)+$F141*BH12</f>
        <v>0</v>
      </c>
      <c r="BI150" s="47" t="n">
        <f aca="false">(BI59+BI53)*(BI$4&lt;=$E12)+$F141*BI12</f>
        <v>0</v>
      </c>
      <c r="BJ150" s="47" t="n">
        <f aca="false">(BJ59+BJ53)*(BJ$4&lt;=$E12)+$F141*BJ12</f>
        <v>0</v>
      </c>
      <c r="BK150" s="47" t="n">
        <f aca="false">(BK59+BK53)*(BK$4&lt;=$E12)+$F141*BK12</f>
        <v>0</v>
      </c>
      <c r="BL150" s="47" t="n">
        <f aca="false">(BL59+BL53)*(BL$4&lt;=$E12)+$F141*BL12</f>
        <v>0</v>
      </c>
      <c r="BM150" s="47" t="n">
        <f aca="false">(BM59+BM53)*(BM$4&lt;=$E12)+$F141*BM12</f>
        <v>0</v>
      </c>
      <c r="BN150" s="47" t="n">
        <f aca="false">(BN59+BN53)*(BN$4&lt;=$E12)+$F141*BN12</f>
        <v>0</v>
      </c>
      <c r="BO150" s="47" t="n">
        <f aca="false">(BO59+BO53)*(BO$4&lt;=$E12)+$F141*BO12</f>
        <v>0</v>
      </c>
      <c r="BP150" s="47" t="n">
        <f aca="false">(BP59+BP53)*(BP$4&lt;=$E12)+$F141*BP12</f>
        <v>0</v>
      </c>
      <c r="BQ150" s="47" t="n">
        <f aca="false">(BQ59+BQ53)*(BQ$4&lt;=$E12)+$F141*BQ12</f>
        <v>0</v>
      </c>
      <c r="BR150" s="47" t="n">
        <f aca="false">(BR59+BR53)*(BR$4&lt;=$E12)+$F141*BR12</f>
        <v>0</v>
      </c>
      <c r="BS150" s="47" t="n">
        <f aca="false">(BS59+BS53)*(BS$4&lt;=$E12)+$F141*BS12</f>
        <v>0</v>
      </c>
      <c r="BT150" s="47" t="n">
        <f aca="false">(BT59+BT53)*(BT$4&lt;=$E12)+$F141*BT12</f>
        <v>0</v>
      </c>
      <c r="BU150" s="47" t="n">
        <f aca="false">(BU59+BU53)*(BU$4&lt;=$E12)+$F141*BU12</f>
        <v>0</v>
      </c>
      <c r="BV150" s="47" t="n">
        <f aca="false">(BV59+BV53)*(BV$4&lt;=$E12)+$F141*BV12</f>
        <v>0</v>
      </c>
      <c r="BW150" s="47" t="n">
        <f aca="false">(BW59+BW53)*(BW$4&lt;=$E12)+$F141*BW12</f>
        <v>0</v>
      </c>
      <c r="BX150" s="47" t="n">
        <f aca="false">(BX59+BX53)*(BX$4&lt;=$E12)+$F141*BX12</f>
        <v>0</v>
      </c>
      <c r="BY150" s="47" t="n">
        <f aca="false">(BY59+BY53)*(BY$4&lt;=$E12)+$F141*BY12</f>
        <v>0</v>
      </c>
      <c r="BZ150" s="47" t="n">
        <f aca="false">(BZ59+BZ53)*(BZ$4&lt;=$E12)+$F141*BZ12</f>
        <v>0</v>
      </c>
      <c r="CA150" s="47" t="n">
        <f aca="false">(CA59+CA53)*(CA$4&lt;=$E12)+$F141*CA12</f>
        <v>0</v>
      </c>
      <c r="CB150" s="47" t="n">
        <f aca="false">(CB59+CB53)*(CB$4&lt;=$E12)+$F141*CB12</f>
        <v>0</v>
      </c>
      <c r="CC150" s="47" t="n">
        <f aca="false">(CC59+CC53)*(CC$4&lt;=$E12)+$F141*CC12</f>
        <v>0</v>
      </c>
      <c r="CD150" s="47" t="n">
        <f aca="false">(CD59+CD53)*(CD$4&lt;=$E12)+$F141*CD12</f>
        <v>0</v>
      </c>
      <c r="CE150" s="47" t="n">
        <f aca="false">(CE59+CE53)*(CE$4&lt;=$E12)+$F141*CE12</f>
        <v>0</v>
      </c>
      <c r="CF150" s="47" t="n">
        <f aca="false">(CF59+CF53)*(CF$4&lt;=$E12)+$F141*CF12</f>
        <v>0</v>
      </c>
      <c r="CG150" s="47" t="n">
        <f aca="false">(CG59+CG53)*(CG$4&lt;=$E12)+$F141*CG12</f>
        <v>0</v>
      </c>
      <c r="CH150" s="47" t="n">
        <f aca="false">(CH59+CH53)*(CH$4&lt;=$E12)+$F141*CH12</f>
        <v>0</v>
      </c>
      <c r="CI150" s="47" t="n">
        <f aca="false">(CI59+CI53)*(CI$4&lt;=$E12)+$F141*CI12</f>
        <v>0</v>
      </c>
      <c r="CJ150" s="47" t="n">
        <f aca="false">(CJ59+CJ53)*(CJ$4&lt;=$E12)+$F141*CJ12</f>
        <v>0</v>
      </c>
      <c r="CK150" s="47" t="n">
        <f aca="false">(CK59+CK53)*(CK$4&lt;=$E12)+$F141*CK12</f>
        <v>0</v>
      </c>
      <c r="CL150" s="47" t="n">
        <f aca="false">(CL59+CL53)*(CL$4&lt;=$E12)+$F141*CL12</f>
        <v>0</v>
      </c>
      <c r="CM150" s="47" t="n">
        <f aca="false">(CM59+CM53)*(CM$4&lt;=$E12)+$F141*CM12</f>
        <v>0</v>
      </c>
      <c r="CN150" s="47" t="n">
        <f aca="false">(CN59+CN53)*(CN$4&lt;=$E12)+$F141*CN12</f>
        <v>0</v>
      </c>
      <c r="CO150" s="47" t="n">
        <f aca="false">(CO59+CO53)*(CO$4&lt;=$E12)+$F141*CO12</f>
        <v>0</v>
      </c>
      <c r="CP150" s="47" t="n">
        <f aca="false">(CP59+CP53)*(CP$4&lt;=$E12)+$F141*CP12</f>
        <v>0</v>
      </c>
      <c r="CQ150" s="47" t="n">
        <f aca="false">(CQ59+CQ53)*(CQ$4&lt;=$E12)+$F141*CQ12</f>
        <v>0</v>
      </c>
      <c r="CR150" s="47" t="n">
        <f aca="false">(CR59+CR53)*(CR$4&lt;=$E12)+$F141*CR12</f>
        <v>0</v>
      </c>
      <c r="CS150" s="47" t="n">
        <f aca="false">(CS59+CS53)*(CS$4&lt;=$E12)+$F141*CS12</f>
        <v>0</v>
      </c>
      <c r="CT150" s="47" t="n">
        <f aca="false">(CT59+CT53)*(CT$4&lt;=$E12)+$F141*CT12</f>
        <v>0</v>
      </c>
      <c r="CU150" s="47" t="n">
        <f aca="false">(CU59+CU53)*(CU$4&lt;=$E12)+$F141*CU12</f>
        <v>0</v>
      </c>
      <c r="CV150" s="47" t="n">
        <f aca="false">(CV59+CV53)*(CV$4&lt;=$E12)+$F141*CV12</f>
        <v>0</v>
      </c>
      <c r="CW150" s="47" t="n">
        <f aca="false">(CW59+CW53)*(CW$4&lt;=$E12)+$F141*CW12</f>
        <v>0</v>
      </c>
      <c r="CX150" s="47" t="n">
        <f aca="false">(CX59+CX53)*(CX$4&lt;=$E12)+$F141*CX12</f>
        <v>0</v>
      </c>
      <c r="CY150" s="47" t="n">
        <f aca="false">(CY59+CY53)*(CY$4&lt;=$E12)+$F141*CY12</f>
        <v>0</v>
      </c>
      <c r="CZ150" s="47" t="n">
        <f aca="false">(CZ59+CZ53)*(CZ$4&lt;=$E12)+$F141*CZ12</f>
        <v>0</v>
      </c>
      <c r="DA150" s="47" t="n">
        <f aca="false">(DA59+DA53)*(DA$4&lt;=$E12)+$F141*DA12</f>
        <v>0</v>
      </c>
      <c r="DB150" s="47" t="n">
        <f aca="false">(DB59+DB53)*(DB$4&lt;=$E12)+$F141*DB12</f>
        <v>0</v>
      </c>
      <c r="DC150" s="47" t="n">
        <f aca="false">(DC59+DC53)*(DC$4&lt;=$E12)+$F141*DC12</f>
        <v>0</v>
      </c>
      <c r="DD150" s="47" t="n">
        <f aca="false">(DD59+DD53)*(DD$4&lt;=$E12)+$F141*DD12</f>
        <v>0</v>
      </c>
      <c r="DE150" s="47" t="n">
        <f aca="false">(DE59+DE53)*(DE$4&lt;=$E12)+$F141*DE12</f>
        <v>0</v>
      </c>
      <c r="DF150" s="47" t="n">
        <f aca="false">(DF59+DF53)*(DF$4&lt;=$E12)+$F141*DF12</f>
        <v>0</v>
      </c>
      <c r="DG150" s="47" t="n">
        <f aca="false">(DG59+DG53)*(DG$4&lt;=$E12)+$F141*DG12</f>
        <v>0</v>
      </c>
      <c r="DH150" s="47" t="n">
        <f aca="false">(DH59+DH53)*(DH$4&lt;=$E12)+$F141*DH12</f>
        <v>0</v>
      </c>
      <c r="DI150" s="47" t="n">
        <f aca="false">(DI59+DI53)*(DI$4&lt;=$E12)+$F141*DI12</f>
        <v>0</v>
      </c>
      <c r="DJ150" s="47" t="n">
        <f aca="false">(DJ59+DJ53)*(DJ$4&lt;=$E12)+$F141*DJ12</f>
        <v>0</v>
      </c>
      <c r="DK150" s="47" t="n">
        <f aca="false">(DK59+DK53)*(DK$4&lt;=$E12)+$F141*DK12</f>
        <v>0</v>
      </c>
      <c r="DL150" s="47" t="n">
        <f aca="false">(DL59+DL53)*(DL$4&lt;=$E12)+$F141*DL12</f>
        <v>0</v>
      </c>
      <c r="DM150" s="47" t="n">
        <f aca="false">(DM59+DM53)*(DM$4&lt;=$E12)+$F141*DM12</f>
        <v>0</v>
      </c>
      <c r="DN150" s="47" t="n">
        <f aca="false">(DN59+DN53)*(DN$4&lt;=$E12)+$F141*DN12</f>
        <v>0</v>
      </c>
      <c r="DO150" s="47" t="n">
        <f aca="false">(DO59+DO53)*(DO$4&lt;=$E12)+$F141*DO12</f>
        <v>0</v>
      </c>
      <c r="DP150" s="47" t="n">
        <f aca="false">(DP59+DP53)*(DP$4&lt;=$E12)+$F141*DP12</f>
        <v>0</v>
      </c>
      <c r="DQ150" s="47" t="n">
        <f aca="false">(DQ59+DQ53)*(DQ$4&lt;=$E12)+$F141*DQ12</f>
        <v>0</v>
      </c>
      <c r="DR150" s="47" t="n">
        <f aca="false">(DR59+DR53)*(DR$4&lt;=$E12)+$F141*DR12</f>
        <v>0</v>
      </c>
      <c r="DS150" s="47" t="n">
        <f aca="false">(DS59+DS53)*(DS$4&lt;=$E12)+$F141*DS12</f>
        <v>0</v>
      </c>
      <c r="DT150" s="47" t="n">
        <f aca="false">(DT59+DT53)*(DT$4&lt;=$E12)+$F141*DT12</f>
        <v>0</v>
      </c>
      <c r="DU150" s="47" t="n">
        <f aca="false">(DU59+DU53)*(DU$4&lt;=$E12)+$F141*DU12</f>
        <v>0</v>
      </c>
      <c r="DV150" s="47" t="n">
        <f aca="false">(DV59+DV53)*(DV$4&lt;=$E12)+$F141*DV12</f>
        <v>0</v>
      </c>
      <c r="DW150" s="47" t="n">
        <f aca="false">(DW59+DW53)*(DW$4&lt;=$E12)+$F141*DW12</f>
        <v>0</v>
      </c>
      <c r="DX150" s="47" t="n">
        <f aca="false">(DX59+DX53)*(DX$4&lt;=$E12)+$F141*DX12</f>
        <v>0</v>
      </c>
      <c r="DY150" s="47" t="n">
        <f aca="false">(DY59+DY53)*(DY$4&lt;=$E12)+$F141*DY12</f>
        <v>0</v>
      </c>
      <c r="DZ150" s="47" t="n">
        <f aca="false">(DZ59+DZ53)*(DZ$4&lt;=$E12)+$F141*DZ12</f>
        <v>0</v>
      </c>
      <c r="EA150" s="47" t="n">
        <f aca="false">(EA59+EA53)*(EA$4&lt;=$E12)+$F141*EA12</f>
        <v>0</v>
      </c>
      <c r="EB150" s="47" t="n">
        <f aca="false">(EB59+EB53)*(EB$4&lt;=$E12)+$F141*EB12</f>
        <v>0</v>
      </c>
      <c r="EC150" s="47" t="n">
        <f aca="false">(EC59+EC53)*(EC$4&lt;=$E12)+$F141*EC12</f>
        <v>0</v>
      </c>
      <c r="ED150" s="47" t="n">
        <f aca="false">(ED59+ED53)*(ED$4&lt;=$E12)+$F141*ED12</f>
        <v>0</v>
      </c>
      <c r="EE150" s="47" t="n">
        <f aca="false">(EE59+EE53)*(EE$4&lt;=$E12)+$F141*EE12</f>
        <v>0</v>
      </c>
      <c r="EF150" s="47" t="n">
        <f aca="false">(EF59+EF53)*(EF$4&lt;=$E12)+$F141*EF12</f>
        <v>0</v>
      </c>
      <c r="EG150" s="47" t="n">
        <f aca="false">(EG59+EG53)*(EG$4&lt;=$E12)+$F141*EG12</f>
        <v>0</v>
      </c>
      <c r="EH150" s="47" t="n">
        <f aca="false">(EH59+EH53)*(EH$4&lt;=$E12)+$F141*EH12</f>
        <v>0</v>
      </c>
      <c r="EI150" s="47" t="n">
        <f aca="false">(EI59+EI53)*(EI$4&lt;=$E12)+$F141*EI12</f>
        <v>0</v>
      </c>
      <c r="EJ150" s="47" t="n">
        <f aca="false">(EJ59+EJ53)*(EJ$4&lt;=$E12)+$F141*EJ12</f>
        <v>0</v>
      </c>
      <c r="EK150" s="47" t="n">
        <f aca="false">(EK59+EK53)*(EK$4&lt;=$E12)+$F141*EK12</f>
        <v>0</v>
      </c>
      <c r="EL150" s="47" t="n">
        <f aca="false">(EL59+EL53)*(EL$4&lt;=$E12)+$F141*EL12</f>
        <v>0</v>
      </c>
      <c r="EM150" s="47" t="n">
        <f aca="false">(EM59+EM53)*(EM$4&lt;=$E12)+$F141*EM12</f>
        <v>0</v>
      </c>
      <c r="EN150" s="47" t="n">
        <f aca="false">(EN59+EN53)*(EN$4&lt;=$E12)+$F141*EN12</f>
        <v>0</v>
      </c>
      <c r="EO150" s="47" t="n">
        <f aca="false">(EO59+EO53)*(EO$4&lt;=$E12)+$F141*EO12</f>
        <v>0</v>
      </c>
      <c r="EP150" s="47" t="n">
        <f aca="false">(EP59+EP53)*(EP$4&lt;=$E12)+$F141*EP12</f>
        <v>0</v>
      </c>
      <c r="EQ150" s="47" t="n">
        <f aca="false">(EQ59+EQ53)*(EQ$4&lt;=$E12)+$F141*EQ12</f>
        <v>0</v>
      </c>
      <c r="ER150" s="47" t="n">
        <f aca="false">(ER59+ER53)*(ER$4&lt;=$E12)+$F141*ER12</f>
        <v>0</v>
      </c>
      <c r="ES150" s="47" t="n">
        <f aca="false">(ES59+ES53)*(ES$4&lt;=$E12)+$F141*ES12</f>
        <v>0</v>
      </c>
      <c r="ET150" s="47" t="n">
        <f aca="false">(ET59+ET53)*(ET$4&lt;=$E12)+$F141*ET12</f>
        <v>0</v>
      </c>
    </row>
    <row r="151" customFormat="false" ht="15" hidden="false" customHeight="false" outlineLevel="0" collapsed="false">
      <c r="C151" s="31" t="s">
        <v>553</v>
      </c>
      <c r="D151" s="12" t="s">
        <v>222</v>
      </c>
      <c r="I151" s="56" t="n">
        <f aca="false">SUM(J151:ET151)</f>
        <v>6546.75873853232</v>
      </c>
      <c r="J151" s="56" t="n">
        <f aca="false">J150+$E150*J12</f>
        <v>-400</v>
      </c>
      <c r="K151" s="56" t="n">
        <f aca="false">K150+$E150*K12</f>
        <v>-1437.78053818728</v>
      </c>
      <c r="L151" s="56" t="n">
        <f aca="false">L150+$E150*L12</f>
        <v>-691.910911990993</v>
      </c>
      <c r="M151" s="56" t="n">
        <f aca="false">M150+$E150*M12</f>
        <v>-148.451634452993</v>
      </c>
      <c r="N151" s="56" t="n">
        <f aca="false">N150+$E150*N12</f>
        <v>-149.601261024582</v>
      </c>
      <c r="O151" s="56" t="n">
        <f aca="false">O150+$E150*O12</f>
        <v>-290.127288421843</v>
      </c>
      <c r="P151" s="56" t="n">
        <f aca="false">P150+$E150*P12</f>
        <v>-1394.65781281475</v>
      </c>
      <c r="Q151" s="56" t="n">
        <f aca="false">Q150+$E150*Q12</f>
        <v>-109.225607055733</v>
      </c>
      <c r="R151" s="56" t="n">
        <f aca="false">R150+$E150*R12</f>
        <v>-269.857154566657</v>
      </c>
      <c r="S151" s="56" t="n">
        <f aca="false">S150+$E150*S12</f>
        <v>-422.991783283459</v>
      </c>
      <c r="T151" s="56" t="n">
        <f aca="false">T150+$E150*T12</f>
        <v>-20587.5113339088</v>
      </c>
      <c r="U151" s="56" t="n">
        <f aca="false">U150+$E150*U12</f>
        <v>-104.616018014637</v>
      </c>
      <c r="V151" s="56" t="n">
        <f aca="false">V150+$E150*V12</f>
        <v>-105.765644586226</v>
      </c>
      <c r="W151" s="56" t="n">
        <f aca="false">W150+$E150*W12</f>
        <v>32659.2557268403</v>
      </c>
      <c r="X151" s="56" t="n">
        <f aca="false">X150+$E150*X12</f>
        <v>0</v>
      </c>
      <c r="Y151" s="56" t="n">
        <f aca="false">Y150+$E150*Y12</f>
        <v>0</v>
      </c>
      <c r="Z151" s="56" t="n">
        <f aca="false">Z150+$E150*Z12</f>
        <v>0</v>
      </c>
      <c r="AA151" s="56" t="n">
        <f aca="false">AA150+$E150*AA12</f>
        <v>0</v>
      </c>
      <c r="AB151" s="56" t="n">
        <f aca="false">AB150+$E150*AB12</f>
        <v>0</v>
      </c>
      <c r="AC151" s="56" t="n">
        <f aca="false">AC150+$E150*AC12</f>
        <v>0</v>
      </c>
      <c r="AD151" s="56" t="n">
        <f aca="false">AD150+$E150*AD12</f>
        <v>0</v>
      </c>
      <c r="AE151" s="56" t="n">
        <f aca="false">AE150+$E150*AE12</f>
        <v>0</v>
      </c>
      <c r="AF151" s="56" t="n">
        <f aca="false">AF150+$E150*AF12</f>
        <v>0</v>
      </c>
      <c r="AG151" s="56" t="n">
        <f aca="false">AG150+$E150*AG12</f>
        <v>0</v>
      </c>
      <c r="AH151" s="56" t="n">
        <f aca="false">AH150+$E150*AH12</f>
        <v>0</v>
      </c>
      <c r="AI151" s="56" t="n">
        <f aca="false">AI150+$E150*AI12</f>
        <v>0</v>
      </c>
      <c r="AJ151" s="56" t="n">
        <f aca="false">AJ150+$E150*AJ12</f>
        <v>0</v>
      </c>
      <c r="AK151" s="56" t="n">
        <f aca="false">AK150+$E150*AK12</f>
        <v>0</v>
      </c>
      <c r="AL151" s="56" t="n">
        <f aca="false">AL150+$E150*AL12</f>
        <v>0</v>
      </c>
      <c r="AM151" s="56" t="n">
        <f aca="false">AM150+$E150*AM12</f>
        <v>0</v>
      </c>
      <c r="AN151" s="56" t="n">
        <f aca="false">AN150+$E150*AN12</f>
        <v>0</v>
      </c>
      <c r="AO151" s="56" t="n">
        <f aca="false">AO150+$E150*AO12</f>
        <v>0</v>
      </c>
      <c r="AP151" s="56" t="n">
        <f aca="false">AP150+$E150*AP12</f>
        <v>0</v>
      </c>
      <c r="AQ151" s="56" t="n">
        <f aca="false">AQ150+$E150*AQ12</f>
        <v>0</v>
      </c>
      <c r="AR151" s="56" t="n">
        <f aca="false">AR150+$E150*AR12</f>
        <v>0</v>
      </c>
      <c r="AS151" s="56" t="n">
        <f aca="false">AS150+$E150*AS12</f>
        <v>0</v>
      </c>
      <c r="AT151" s="56" t="n">
        <f aca="false">AT150+$E150*AT12</f>
        <v>0</v>
      </c>
      <c r="AU151" s="56" t="n">
        <f aca="false">AU150+$E150*AU12</f>
        <v>0</v>
      </c>
      <c r="AV151" s="56" t="n">
        <f aca="false">AV150+$E150*AV12</f>
        <v>0</v>
      </c>
      <c r="AW151" s="56" t="n">
        <f aca="false">AW150+$E150*AW12</f>
        <v>0</v>
      </c>
      <c r="AX151" s="56" t="n">
        <f aca="false">AX150+$E150*AX12</f>
        <v>0</v>
      </c>
      <c r="AY151" s="56" t="n">
        <f aca="false">AY150+$E150*AY12</f>
        <v>0</v>
      </c>
      <c r="AZ151" s="56" t="n">
        <f aca="false">AZ150+$E150*AZ12</f>
        <v>0</v>
      </c>
      <c r="BA151" s="56" t="n">
        <f aca="false">BA150+$E150*BA12</f>
        <v>0</v>
      </c>
      <c r="BB151" s="56" t="n">
        <f aca="false">BB150+$E150*BB12</f>
        <v>0</v>
      </c>
      <c r="BC151" s="56" t="n">
        <f aca="false">BC150+$E150*BC12</f>
        <v>0</v>
      </c>
      <c r="BD151" s="56" t="n">
        <f aca="false">BD150+$E150*BD12</f>
        <v>0</v>
      </c>
      <c r="BE151" s="56" t="n">
        <f aca="false">BE150+$E150*BE12</f>
        <v>0</v>
      </c>
      <c r="BF151" s="56" t="n">
        <f aca="false">BF150+$E150*BF12</f>
        <v>0</v>
      </c>
      <c r="BG151" s="56" t="n">
        <f aca="false">BG150+$E150*BG12</f>
        <v>0</v>
      </c>
      <c r="BH151" s="56" t="n">
        <f aca="false">BH150+$E150*BH12</f>
        <v>0</v>
      </c>
      <c r="BI151" s="56" t="n">
        <f aca="false">BI150+$E150*BI12</f>
        <v>0</v>
      </c>
      <c r="BJ151" s="56" t="n">
        <f aca="false">BJ150+$E150*BJ12</f>
        <v>0</v>
      </c>
      <c r="BK151" s="56" t="n">
        <f aca="false">BK150+$E150*BK12</f>
        <v>0</v>
      </c>
      <c r="BL151" s="56" t="n">
        <f aca="false">BL150+$E150*BL12</f>
        <v>0</v>
      </c>
      <c r="BM151" s="56" t="n">
        <f aca="false">BM150+$E150*BM12</f>
        <v>0</v>
      </c>
      <c r="BN151" s="56" t="n">
        <f aca="false">BN150+$E150*BN12</f>
        <v>0</v>
      </c>
      <c r="BO151" s="56" t="n">
        <f aca="false">BO150+$E150*BO12</f>
        <v>0</v>
      </c>
      <c r="BP151" s="56" t="n">
        <f aca="false">BP150+$E150*BP12</f>
        <v>0</v>
      </c>
      <c r="BQ151" s="56" t="n">
        <f aca="false">BQ150+$E150*BQ12</f>
        <v>0</v>
      </c>
      <c r="BR151" s="56" t="n">
        <f aca="false">BR150+$E150*BR12</f>
        <v>0</v>
      </c>
      <c r="BS151" s="56" t="n">
        <f aca="false">BS150+$E150*BS12</f>
        <v>0</v>
      </c>
      <c r="BT151" s="56" t="n">
        <f aca="false">BT150+$E150*BT12</f>
        <v>0</v>
      </c>
      <c r="BU151" s="56" t="n">
        <f aca="false">BU150+$E150*BU12</f>
        <v>0</v>
      </c>
      <c r="BV151" s="56" t="n">
        <f aca="false">BV150+$E150*BV12</f>
        <v>0</v>
      </c>
      <c r="BW151" s="56" t="n">
        <f aca="false">BW150+$E150*BW12</f>
        <v>0</v>
      </c>
      <c r="BX151" s="56" t="n">
        <f aca="false">BX150+$E150*BX12</f>
        <v>0</v>
      </c>
      <c r="BY151" s="56" t="n">
        <f aca="false">BY150+$E150*BY12</f>
        <v>0</v>
      </c>
      <c r="BZ151" s="56" t="n">
        <f aca="false">BZ150+$E150*BZ12</f>
        <v>0</v>
      </c>
      <c r="CA151" s="56" t="n">
        <f aca="false">CA150+$E150*CA12</f>
        <v>0</v>
      </c>
      <c r="CB151" s="56" t="n">
        <f aca="false">CB150+$E150*CB12</f>
        <v>0</v>
      </c>
      <c r="CC151" s="56" t="n">
        <f aca="false">CC150+$E150*CC12</f>
        <v>0</v>
      </c>
      <c r="CD151" s="56" t="n">
        <f aca="false">CD150+$E150*CD12</f>
        <v>0</v>
      </c>
      <c r="CE151" s="56" t="n">
        <f aca="false">CE150+$E150*CE12</f>
        <v>0</v>
      </c>
      <c r="CF151" s="56" t="n">
        <f aca="false">CF150+$E150*CF12</f>
        <v>0</v>
      </c>
      <c r="CG151" s="56" t="n">
        <f aca="false">CG150+$E150*CG12</f>
        <v>0</v>
      </c>
      <c r="CH151" s="56" t="n">
        <f aca="false">CH150+$E150*CH12</f>
        <v>0</v>
      </c>
      <c r="CI151" s="56" t="n">
        <f aca="false">CI150+$E150*CI12</f>
        <v>0</v>
      </c>
      <c r="CJ151" s="56" t="n">
        <f aca="false">CJ150+$E150*CJ12</f>
        <v>0</v>
      </c>
      <c r="CK151" s="56" t="n">
        <f aca="false">CK150+$E150*CK12</f>
        <v>0</v>
      </c>
      <c r="CL151" s="56" t="n">
        <f aca="false">CL150+$E150*CL12</f>
        <v>0</v>
      </c>
      <c r="CM151" s="56" t="n">
        <f aca="false">CM150+$E150*CM12</f>
        <v>0</v>
      </c>
      <c r="CN151" s="56" t="n">
        <f aca="false">CN150+$E150*CN12</f>
        <v>0</v>
      </c>
      <c r="CO151" s="56" t="n">
        <f aca="false">CO150+$E150*CO12</f>
        <v>0</v>
      </c>
      <c r="CP151" s="56" t="n">
        <f aca="false">CP150+$E150*CP12</f>
        <v>0</v>
      </c>
      <c r="CQ151" s="56" t="n">
        <f aca="false">CQ150+$E150*CQ12</f>
        <v>0</v>
      </c>
      <c r="CR151" s="56" t="n">
        <f aca="false">CR150+$E150*CR12</f>
        <v>0</v>
      </c>
      <c r="CS151" s="56" t="n">
        <f aca="false">CS150+$E150*CS12</f>
        <v>0</v>
      </c>
      <c r="CT151" s="56" t="n">
        <f aca="false">CT150+$E150*CT12</f>
        <v>0</v>
      </c>
      <c r="CU151" s="56" t="n">
        <f aca="false">CU150+$E150*CU12</f>
        <v>0</v>
      </c>
      <c r="CV151" s="56" t="n">
        <f aca="false">CV150+$E150*CV12</f>
        <v>0</v>
      </c>
      <c r="CW151" s="56" t="n">
        <f aca="false">CW150+$E150*CW12</f>
        <v>0</v>
      </c>
      <c r="CX151" s="56" t="n">
        <f aca="false">CX150+$E150*CX12</f>
        <v>0</v>
      </c>
      <c r="CY151" s="56" t="n">
        <f aca="false">CY150+$E150*CY12</f>
        <v>0</v>
      </c>
      <c r="CZ151" s="56" t="n">
        <f aca="false">CZ150+$E150*CZ12</f>
        <v>0</v>
      </c>
      <c r="DA151" s="56" t="n">
        <f aca="false">DA150+$E150*DA12</f>
        <v>0</v>
      </c>
      <c r="DB151" s="56" t="n">
        <f aca="false">DB150+$E150*DB12</f>
        <v>0</v>
      </c>
      <c r="DC151" s="56" t="n">
        <f aca="false">DC150+$E150*DC12</f>
        <v>0</v>
      </c>
      <c r="DD151" s="56" t="n">
        <f aca="false">DD150+$E150*DD12</f>
        <v>0</v>
      </c>
      <c r="DE151" s="56" t="n">
        <f aca="false">DE150+$E150*DE12</f>
        <v>0</v>
      </c>
      <c r="DF151" s="56" t="n">
        <f aca="false">DF150+$E150*DF12</f>
        <v>0</v>
      </c>
      <c r="DG151" s="56" t="n">
        <f aca="false">DG150+$E150*DG12</f>
        <v>0</v>
      </c>
      <c r="DH151" s="56" t="n">
        <f aca="false">DH150+$E150*DH12</f>
        <v>0</v>
      </c>
      <c r="DI151" s="56" t="n">
        <f aca="false">DI150+$E150*DI12</f>
        <v>0</v>
      </c>
      <c r="DJ151" s="56" t="n">
        <f aca="false">DJ150+$E150*DJ12</f>
        <v>0</v>
      </c>
      <c r="DK151" s="56" t="n">
        <f aca="false">DK150+$E150*DK12</f>
        <v>0</v>
      </c>
      <c r="DL151" s="56" t="n">
        <f aca="false">DL150+$E150*DL12</f>
        <v>0</v>
      </c>
      <c r="DM151" s="56" t="n">
        <f aca="false">DM150+$E150*DM12</f>
        <v>0</v>
      </c>
      <c r="DN151" s="56" t="n">
        <f aca="false">DN150+$E150*DN12</f>
        <v>0</v>
      </c>
      <c r="DO151" s="56" t="n">
        <f aca="false">DO150+$E150*DO12</f>
        <v>0</v>
      </c>
      <c r="DP151" s="56" t="n">
        <f aca="false">DP150+$E150*DP12</f>
        <v>0</v>
      </c>
      <c r="DQ151" s="56" t="n">
        <f aca="false">DQ150+$E150*DQ12</f>
        <v>0</v>
      </c>
      <c r="DR151" s="56" t="n">
        <f aca="false">DR150+$E150*DR12</f>
        <v>0</v>
      </c>
      <c r="DS151" s="56" t="n">
        <f aca="false">DS150+$E150*DS12</f>
        <v>0</v>
      </c>
      <c r="DT151" s="56" t="n">
        <f aca="false">DT150+$E150*DT12</f>
        <v>0</v>
      </c>
      <c r="DU151" s="56" t="n">
        <f aca="false">DU150+$E150*DU12</f>
        <v>0</v>
      </c>
      <c r="DV151" s="56" t="n">
        <f aca="false">DV150+$E150*DV12</f>
        <v>0</v>
      </c>
      <c r="DW151" s="56" t="n">
        <f aca="false">DW150+$E150*DW12</f>
        <v>0</v>
      </c>
      <c r="DX151" s="56" t="n">
        <f aca="false">DX150+$E150*DX12</f>
        <v>0</v>
      </c>
      <c r="DY151" s="56" t="n">
        <f aca="false">DY150+$E150*DY12</f>
        <v>0</v>
      </c>
      <c r="DZ151" s="56" t="n">
        <f aca="false">DZ150+$E150*DZ12</f>
        <v>0</v>
      </c>
      <c r="EA151" s="56" t="n">
        <f aca="false">EA150+$E150*EA12</f>
        <v>0</v>
      </c>
      <c r="EB151" s="56" t="n">
        <f aca="false">EB150+$E150*EB12</f>
        <v>0</v>
      </c>
      <c r="EC151" s="56" t="n">
        <f aca="false">EC150+$E150*EC12</f>
        <v>0</v>
      </c>
      <c r="ED151" s="56" t="n">
        <f aca="false">ED150+$E150*ED12</f>
        <v>0</v>
      </c>
      <c r="EE151" s="56" t="n">
        <f aca="false">EE150+$E150*EE12</f>
        <v>0</v>
      </c>
      <c r="EF151" s="56" t="n">
        <f aca="false">EF150+$E150*EF12</f>
        <v>0</v>
      </c>
      <c r="EG151" s="56" t="n">
        <f aca="false">EG150+$E150*EG12</f>
        <v>0</v>
      </c>
      <c r="EH151" s="56" t="n">
        <f aca="false">EH150+$E150*EH12</f>
        <v>0</v>
      </c>
      <c r="EI151" s="56" t="n">
        <f aca="false">EI150+$E150*EI12</f>
        <v>0</v>
      </c>
      <c r="EJ151" s="56" t="n">
        <f aca="false">EJ150+$E150*EJ12</f>
        <v>0</v>
      </c>
      <c r="EK151" s="56" t="n">
        <f aca="false">EK150+$E150*EK12</f>
        <v>0</v>
      </c>
      <c r="EL151" s="56" t="n">
        <f aca="false">EL150+$E150*EL12</f>
        <v>0</v>
      </c>
      <c r="EM151" s="56" t="n">
        <f aca="false">EM150+$E150*EM12</f>
        <v>0</v>
      </c>
      <c r="EN151" s="56" t="n">
        <f aca="false">EN150+$E150*EN12</f>
        <v>0</v>
      </c>
      <c r="EO151" s="56" t="n">
        <f aca="false">EO150+$E150*EO12</f>
        <v>0</v>
      </c>
      <c r="EP151" s="56" t="n">
        <f aca="false">EP150+$E150*EP12</f>
        <v>0</v>
      </c>
      <c r="EQ151" s="56" t="n">
        <f aca="false">EQ150+$E150*EQ12</f>
        <v>0</v>
      </c>
      <c r="ER151" s="56" t="n">
        <f aca="false">ER150+$E150*ER12</f>
        <v>0</v>
      </c>
      <c r="ES151" s="56" t="n">
        <f aca="false">ES150+$E150*ES12</f>
        <v>0</v>
      </c>
      <c r="ET151" s="56" t="n">
        <f aca="false">ET150+$E150*ET12</f>
        <v>0</v>
      </c>
    </row>
    <row r="152" customFormat="false" ht="15" hidden="false" customHeight="false" outlineLevel="0" collapsed="false">
      <c r="C152" s="31" t="s">
        <v>75</v>
      </c>
      <c r="D152" s="12" t="s">
        <v>35</v>
      </c>
      <c r="E152" s="59" t="n">
        <f aca="false">IFERROR(XIRR($J151:$ET151,$J$4:$ET$4),"n/a")</f>
        <v>0.221510760619134</v>
      </c>
    </row>
    <row r="153" customFormat="false" ht="15" hidden="false" customHeight="false" outlineLevel="0" collapsed="false">
      <c r="C153" s="31" t="s">
        <v>554</v>
      </c>
      <c r="D153" s="12" t="s">
        <v>13</v>
      </c>
      <c r="E153" s="60" t="n">
        <f aca="false">($F141+$E150)/($F141-$I150)</f>
        <v>1.24970223352323</v>
      </c>
    </row>
    <row r="154" customFormat="false" ht="15" hidden="false" customHeight="false" outlineLevel="0" collapsed="false">
      <c r="C154" s="31" t="s">
        <v>142</v>
      </c>
      <c r="D154" s="12" t="s">
        <v>222</v>
      </c>
      <c r="E154" s="56" t="n">
        <f aca="false">XNPV(In_Discount_Rate,$J151:$ET151,$J$4:$ET$4)</f>
        <v>3328.54248477583</v>
      </c>
    </row>
    <row r="156" customFormat="false" ht="15" hidden="false" customHeight="false" outlineLevel="0" collapsed="false">
      <c r="A156" s="10" t="s">
        <v>13</v>
      </c>
      <c r="B156" s="10"/>
      <c r="C156" s="10" t="s">
        <v>143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</row>
    <row r="157" customFormat="false" ht="15" hidden="false" customHeight="false" outlineLevel="0" collapsed="false">
      <c r="C157" s="1" t="s">
        <v>555</v>
      </c>
      <c r="D157" s="12" t="s">
        <v>222</v>
      </c>
      <c r="I157" s="47" t="n">
        <f aca="false">SUM(J157:ET157)</f>
        <v>-69999.7210564962</v>
      </c>
      <c r="J157" s="47" t="n">
        <f aca="false">(J59+J104+J97+J118)*(J$4&lt;=In_COD)</f>
        <v>-400</v>
      </c>
      <c r="K157" s="47" t="n">
        <f aca="false">(K59+K104+K97+K118)*(K$4&lt;=In_COD)</f>
        <v>-1437.78053818728</v>
      </c>
      <c r="L157" s="47" t="n">
        <f aca="false">(L59+L104+L97+L118)*(L$4&lt;=In_COD)</f>
        <v>-691.910911990993</v>
      </c>
      <c r="M157" s="47" t="n">
        <f aca="false">(M59+M104+M97+M118)*(M$4&lt;=In_COD)</f>
        <v>-148.451634452993</v>
      </c>
      <c r="N157" s="47" t="n">
        <f aca="false">(N59+N104+N97+N118)*(N$4&lt;=In_COD)</f>
        <v>-149.601261024582</v>
      </c>
      <c r="O157" s="47" t="n">
        <f aca="false">(O59+O104+O97+O118)*(O$4&lt;=In_COD)</f>
        <v>-290.127288421843</v>
      </c>
      <c r="P157" s="47" t="n">
        <f aca="false">(P59+P104+P97+P118)*(P$4&lt;=In_COD)</f>
        <v>-1394.65781281475</v>
      </c>
      <c r="Q157" s="47" t="n">
        <f aca="false">(Q59+Q104+Q97+Q118)*(Q$4&lt;=In_COD)</f>
        <v>-109.225607055733</v>
      </c>
      <c r="R157" s="47" t="n">
        <f aca="false">(R59+R104+R97+R118)*(R$4&lt;=In_COD)</f>
        <v>-269.857154566657</v>
      </c>
      <c r="S157" s="47" t="n">
        <f aca="false">(S59+S104+S97+S118)*(S$4&lt;=In_COD)</f>
        <v>-422.991783283459</v>
      </c>
      <c r="T157" s="47" t="n">
        <f aca="false">(T59+T104+T97+T118)*(T$4&lt;=In_COD)</f>
        <v>-20587.5113339088</v>
      </c>
      <c r="U157" s="47" t="n">
        <f aca="false">(U59+U104+U97+U118)*(U$4&lt;=In_COD)</f>
        <v>-104.616018014637</v>
      </c>
      <c r="V157" s="47" t="n">
        <f aca="false">(V59+V104+V97+V118)*(V$4&lt;=In_COD)</f>
        <v>-105.765644586226</v>
      </c>
      <c r="W157" s="47" t="n">
        <f aca="false">(W59+W104+W97+W118)*(W$4&lt;=In_COD)</f>
        <v>-6367.1847682608</v>
      </c>
      <c r="X157" s="47" t="n">
        <f aca="false">(X59+X104+X97+X118)*(X$4&lt;=In_COD)</f>
        <v>-4661.61083132373</v>
      </c>
      <c r="Y157" s="47" t="n">
        <f aca="false">(Y59+Y104+Y97+Y118)*(Y$4&lt;=In_COD)</f>
        <v>-4688.46029001015</v>
      </c>
      <c r="Z157" s="47" t="n">
        <f aca="false">(Z59+Z104+Z97+Z118)*(Z$4&lt;=In_COD)</f>
        <v>-4714.48125405884</v>
      </c>
      <c r="AA157" s="47" t="n">
        <f aca="false">(AA59+AA104+AA97+AA118)*(AA$4&lt;=In_COD)</f>
        <v>-4688.7004503316</v>
      </c>
      <c r="AB157" s="47" t="n">
        <f aca="false">(AB59+AB104+AB97+AB118)*(AB$4&lt;=In_COD)</f>
        <v>-4563.44624851397</v>
      </c>
      <c r="AC157" s="47" t="n">
        <f aca="false">(AC59+AC104+AC97+AC118)*(AC$4&lt;=In_COD)</f>
        <v>-4589.20498961362</v>
      </c>
      <c r="AD157" s="47" t="n">
        <f aca="false">(AD59+AD104+AD97+AD118)*(AD$4&lt;=In_COD)</f>
        <v>-9614.13523607553</v>
      </c>
      <c r="AE157" s="47" t="n">
        <f aca="false">(AE59+AE104+AE97+AE118)*(AE$4&lt;=In_COD)</f>
        <v>0</v>
      </c>
      <c r="AF157" s="47" t="n">
        <f aca="false">(AF59+AF104+AF97+AF118)*(AF$4&lt;=In_COD)</f>
        <v>0</v>
      </c>
      <c r="AG157" s="47" t="n">
        <f aca="false">(AG59+AG104+AG97+AG118)*(AG$4&lt;=In_COD)</f>
        <v>0</v>
      </c>
      <c r="AH157" s="47" t="n">
        <f aca="false">(AH59+AH104+AH97+AH118)*(AH$4&lt;=In_COD)</f>
        <v>0</v>
      </c>
      <c r="AI157" s="47" t="n">
        <f aca="false">(AI59+AI104+AI97+AI118)*(AI$4&lt;=In_COD)</f>
        <v>0</v>
      </c>
      <c r="AJ157" s="47" t="n">
        <f aca="false">(AJ59+AJ104+AJ97+AJ118)*(AJ$4&lt;=In_COD)</f>
        <v>0</v>
      </c>
      <c r="AK157" s="47" t="n">
        <f aca="false">(AK59+AK104+AK97+AK118)*(AK$4&lt;=In_COD)</f>
        <v>0</v>
      </c>
      <c r="AL157" s="47" t="n">
        <f aca="false">(AL59+AL104+AL97+AL118)*(AL$4&lt;=In_COD)</f>
        <v>0</v>
      </c>
      <c r="AM157" s="47" t="n">
        <f aca="false">(AM59+AM104+AM97+AM118)*(AM$4&lt;=In_COD)</f>
        <v>0</v>
      </c>
      <c r="AN157" s="47" t="n">
        <f aca="false">(AN59+AN104+AN97+AN118)*(AN$4&lt;=In_COD)</f>
        <v>0</v>
      </c>
      <c r="AO157" s="47" t="n">
        <f aca="false">(AO59+AO104+AO97+AO118)*(AO$4&lt;=In_COD)</f>
        <v>0</v>
      </c>
      <c r="AP157" s="47" t="n">
        <f aca="false">(AP59+AP104+AP97+AP118)*(AP$4&lt;=In_COD)</f>
        <v>0</v>
      </c>
      <c r="AQ157" s="47" t="n">
        <f aca="false">(AQ59+AQ104+AQ97+AQ118)*(AQ$4&lt;=In_COD)</f>
        <v>0</v>
      </c>
      <c r="AR157" s="47" t="n">
        <f aca="false">(AR59+AR104+AR97+AR118)*(AR$4&lt;=In_COD)</f>
        <v>0</v>
      </c>
      <c r="AS157" s="47" t="n">
        <f aca="false">(AS59+AS104+AS97+AS118)*(AS$4&lt;=In_COD)</f>
        <v>0</v>
      </c>
      <c r="AT157" s="47" t="n">
        <f aca="false">(AT59+AT104+AT97+AT118)*(AT$4&lt;=In_COD)</f>
        <v>0</v>
      </c>
      <c r="AU157" s="47" t="n">
        <f aca="false">(AU59+AU104+AU97+AU118)*(AU$4&lt;=In_COD)</f>
        <v>0</v>
      </c>
      <c r="AV157" s="47" t="n">
        <f aca="false">(AV59+AV104+AV97+AV118)*(AV$4&lt;=In_COD)</f>
        <v>0</v>
      </c>
      <c r="AW157" s="47" t="n">
        <f aca="false">(AW59+AW104+AW97+AW118)*(AW$4&lt;=In_COD)</f>
        <v>0</v>
      </c>
      <c r="AX157" s="47" t="n">
        <f aca="false">(AX59+AX104+AX97+AX118)*(AX$4&lt;=In_COD)</f>
        <v>0</v>
      </c>
      <c r="AY157" s="47" t="n">
        <f aca="false">(AY59+AY104+AY97+AY118)*(AY$4&lt;=In_COD)</f>
        <v>0</v>
      </c>
      <c r="AZ157" s="47" t="n">
        <f aca="false">(AZ59+AZ104+AZ97+AZ118)*(AZ$4&lt;=In_COD)</f>
        <v>0</v>
      </c>
      <c r="BA157" s="47" t="n">
        <f aca="false">(BA59+BA104+BA97+BA118)*(BA$4&lt;=In_COD)</f>
        <v>0</v>
      </c>
      <c r="BB157" s="47" t="n">
        <f aca="false">(BB59+BB104+BB97+BB118)*(BB$4&lt;=In_COD)</f>
        <v>0</v>
      </c>
      <c r="BC157" s="47" t="n">
        <f aca="false">(BC59+BC104+BC97+BC118)*(BC$4&lt;=In_COD)</f>
        <v>0</v>
      </c>
      <c r="BD157" s="47" t="n">
        <f aca="false">(BD59+BD104+BD97+BD118)*(BD$4&lt;=In_COD)</f>
        <v>0</v>
      </c>
      <c r="BE157" s="47" t="n">
        <f aca="false">(BE59+BE104+BE97+BE118)*(BE$4&lt;=In_COD)</f>
        <v>0</v>
      </c>
      <c r="BF157" s="47" t="n">
        <f aca="false">(BF59+BF104+BF97+BF118)*(BF$4&lt;=In_COD)</f>
        <v>0</v>
      </c>
      <c r="BG157" s="47" t="n">
        <f aca="false">(BG59+BG104+BG97+BG118)*(BG$4&lt;=In_COD)</f>
        <v>0</v>
      </c>
      <c r="BH157" s="47" t="n">
        <f aca="false">(BH59+BH104+BH97+BH118)*(BH$4&lt;=In_COD)</f>
        <v>0</v>
      </c>
      <c r="BI157" s="47" t="n">
        <f aca="false">(BI59+BI104+BI97+BI118)*(BI$4&lt;=In_COD)</f>
        <v>0</v>
      </c>
      <c r="BJ157" s="47" t="n">
        <f aca="false">(BJ59+BJ104+BJ97+BJ118)*(BJ$4&lt;=In_COD)</f>
        <v>0</v>
      </c>
      <c r="BK157" s="47" t="n">
        <f aca="false">(BK59+BK104+BK97+BK118)*(BK$4&lt;=In_COD)</f>
        <v>0</v>
      </c>
      <c r="BL157" s="47" t="n">
        <f aca="false">(BL59+BL104+BL97+BL118)*(BL$4&lt;=In_COD)</f>
        <v>0</v>
      </c>
      <c r="BM157" s="47" t="n">
        <f aca="false">(BM59+BM104+BM97+BM118)*(BM$4&lt;=In_COD)</f>
        <v>0</v>
      </c>
      <c r="BN157" s="47" t="n">
        <f aca="false">(BN59+BN104+BN97+BN118)*(BN$4&lt;=In_COD)</f>
        <v>0</v>
      </c>
      <c r="BO157" s="47" t="n">
        <f aca="false">(BO59+BO104+BO97+BO118)*(BO$4&lt;=In_COD)</f>
        <v>0</v>
      </c>
      <c r="BP157" s="47" t="n">
        <f aca="false">(BP59+BP104+BP97+BP118)*(BP$4&lt;=In_COD)</f>
        <v>0</v>
      </c>
      <c r="BQ157" s="47" t="n">
        <f aca="false">(BQ59+BQ104+BQ97+BQ118)*(BQ$4&lt;=In_COD)</f>
        <v>0</v>
      </c>
      <c r="BR157" s="47" t="n">
        <f aca="false">(BR59+BR104+BR97+BR118)*(BR$4&lt;=In_COD)</f>
        <v>0</v>
      </c>
      <c r="BS157" s="47" t="n">
        <f aca="false">(BS59+BS104+BS97+BS118)*(BS$4&lt;=In_COD)</f>
        <v>0</v>
      </c>
      <c r="BT157" s="47" t="n">
        <f aca="false">(BT59+BT104+BT97+BT118)*(BT$4&lt;=In_COD)</f>
        <v>0</v>
      </c>
      <c r="BU157" s="47" t="n">
        <f aca="false">(BU59+BU104+BU97+BU118)*(BU$4&lt;=In_COD)</f>
        <v>0</v>
      </c>
      <c r="BV157" s="47" t="n">
        <f aca="false">(BV59+BV104+BV97+BV118)*(BV$4&lt;=In_COD)</f>
        <v>0</v>
      </c>
      <c r="BW157" s="47" t="n">
        <f aca="false">(BW59+BW104+BW97+BW118)*(BW$4&lt;=In_COD)</f>
        <v>0</v>
      </c>
      <c r="BX157" s="47" t="n">
        <f aca="false">(BX59+BX104+BX97+BX118)*(BX$4&lt;=In_COD)</f>
        <v>0</v>
      </c>
      <c r="BY157" s="47" t="n">
        <f aca="false">(BY59+BY104+BY97+BY118)*(BY$4&lt;=In_COD)</f>
        <v>0</v>
      </c>
      <c r="BZ157" s="47" t="n">
        <f aca="false">(BZ59+BZ104+BZ97+BZ118)*(BZ$4&lt;=In_COD)</f>
        <v>0</v>
      </c>
      <c r="CA157" s="47" t="n">
        <f aca="false">(CA59+CA104+CA97+CA118)*(CA$4&lt;=In_COD)</f>
        <v>0</v>
      </c>
      <c r="CB157" s="47" t="n">
        <f aca="false">(CB59+CB104+CB97+CB118)*(CB$4&lt;=In_COD)</f>
        <v>0</v>
      </c>
      <c r="CC157" s="47" t="n">
        <f aca="false">(CC59+CC104+CC97+CC118)*(CC$4&lt;=In_COD)</f>
        <v>0</v>
      </c>
      <c r="CD157" s="47" t="n">
        <f aca="false">(CD59+CD104+CD97+CD118)*(CD$4&lt;=In_COD)</f>
        <v>0</v>
      </c>
      <c r="CE157" s="47" t="n">
        <f aca="false">(CE59+CE104+CE97+CE118)*(CE$4&lt;=In_COD)</f>
        <v>0</v>
      </c>
      <c r="CF157" s="47" t="n">
        <f aca="false">(CF59+CF104+CF97+CF118)*(CF$4&lt;=In_COD)</f>
        <v>0</v>
      </c>
      <c r="CG157" s="47" t="n">
        <f aca="false">(CG59+CG104+CG97+CG118)*(CG$4&lt;=In_COD)</f>
        <v>0</v>
      </c>
      <c r="CH157" s="47" t="n">
        <f aca="false">(CH59+CH104+CH97+CH118)*(CH$4&lt;=In_COD)</f>
        <v>0</v>
      </c>
      <c r="CI157" s="47" t="n">
        <f aca="false">(CI59+CI104+CI97+CI118)*(CI$4&lt;=In_COD)</f>
        <v>0</v>
      </c>
      <c r="CJ157" s="47" t="n">
        <f aca="false">(CJ59+CJ104+CJ97+CJ118)*(CJ$4&lt;=In_COD)</f>
        <v>0</v>
      </c>
      <c r="CK157" s="47" t="n">
        <f aca="false">(CK59+CK104+CK97+CK118)*(CK$4&lt;=In_COD)</f>
        <v>0</v>
      </c>
      <c r="CL157" s="47" t="n">
        <f aca="false">(CL59+CL104+CL97+CL118)*(CL$4&lt;=In_COD)</f>
        <v>0</v>
      </c>
      <c r="CM157" s="47" t="n">
        <f aca="false">(CM59+CM104+CM97+CM118)*(CM$4&lt;=In_COD)</f>
        <v>0</v>
      </c>
      <c r="CN157" s="47" t="n">
        <f aca="false">(CN59+CN104+CN97+CN118)*(CN$4&lt;=In_COD)</f>
        <v>0</v>
      </c>
      <c r="CO157" s="47" t="n">
        <f aca="false">(CO59+CO104+CO97+CO118)*(CO$4&lt;=In_COD)</f>
        <v>0</v>
      </c>
      <c r="CP157" s="47" t="n">
        <f aca="false">(CP59+CP104+CP97+CP118)*(CP$4&lt;=In_COD)</f>
        <v>0</v>
      </c>
      <c r="CQ157" s="47" t="n">
        <f aca="false">(CQ59+CQ104+CQ97+CQ118)*(CQ$4&lt;=In_COD)</f>
        <v>0</v>
      </c>
      <c r="CR157" s="47" t="n">
        <f aca="false">(CR59+CR104+CR97+CR118)*(CR$4&lt;=In_COD)</f>
        <v>0</v>
      </c>
      <c r="CS157" s="47" t="n">
        <f aca="false">(CS59+CS104+CS97+CS118)*(CS$4&lt;=In_COD)</f>
        <v>0</v>
      </c>
      <c r="CT157" s="47" t="n">
        <f aca="false">(CT59+CT104+CT97+CT118)*(CT$4&lt;=In_COD)</f>
        <v>0</v>
      </c>
      <c r="CU157" s="47" t="n">
        <f aca="false">(CU59+CU104+CU97+CU118)*(CU$4&lt;=In_COD)</f>
        <v>0</v>
      </c>
      <c r="CV157" s="47" t="n">
        <f aca="false">(CV59+CV104+CV97+CV118)*(CV$4&lt;=In_COD)</f>
        <v>0</v>
      </c>
      <c r="CW157" s="47" t="n">
        <f aca="false">(CW59+CW104+CW97+CW118)*(CW$4&lt;=In_COD)</f>
        <v>0</v>
      </c>
      <c r="CX157" s="47" t="n">
        <f aca="false">(CX59+CX104+CX97+CX118)*(CX$4&lt;=In_COD)</f>
        <v>0</v>
      </c>
      <c r="CY157" s="47" t="n">
        <f aca="false">(CY59+CY104+CY97+CY118)*(CY$4&lt;=In_COD)</f>
        <v>0</v>
      </c>
      <c r="CZ157" s="47" t="n">
        <f aca="false">(CZ59+CZ104+CZ97+CZ118)*(CZ$4&lt;=In_COD)</f>
        <v>0</v>
      </c>
      <c r="DA157" s="47" t="n">
        <f aca="false">(DA59+DA104+DA97+DA118)*(DA$4&lt;=In_COD)</f>
        <v>0</v>
      </c>
      <c r="DB157" s="47" t="n">
        <f aca="false">(DB59+DB104+DB97+DB118)*(DB$4&lt;=In_COD)</f>
        <v>0</v>
      </c>
      <c r="DC157" s="47" t="n">
        <f aca="false">(DC59+DC104+DC97+DC118)*(DC$4&lt;=In_COD)</f>
        <v>0</v>
      </c>
      <c r="DD157" s="47" t="n">
        <f aca="false">(DD59+DD104+DD97+DD118)*(DD$4&lt;=In_COD)</f>
        <v>0</v>
      </c>
      <c r="DE157" s="47" t="n">
        <f aca="false">(DE59+DE104+DE97+DE118)*(DE$4&lt;=In_COD)</f>
        <v>0</v>
      </c>
      <c r="DF157" s="47" t="n">
        <f aca="false">(DF59+DF104+DF97+DF118)*(DF$4&lt;=In_COD)</f>
        <v>0</v>
      </c>
      <c r="DG157" s="47" t="n">
        <f aca="false">(DG59+DG104+DG97+DG118)*(DG$4&lt;=In_COD)</f>
        <v>0</v>
      </c>
      <c r="DH157" s="47" t="n">
        <f aca="false">(DH59+DH104+DH97+DH118)*(DH$4&lt;=In_COD)</f>
        <v>0</v>
      </c>
      <c r="DI157" s="47" t="n">
        <f aca="false">(DI59+DI104+DI97+DI118)*(DI$4&lt;=In_COD)</f>
        <v>0</v>
      </c>
      <c r="DJ157" s="47" t="n">
        <f aca="false">(DJ59+DJ104+DJ97+DJ118)*(DJ$4&lt;=In_COD)</f>
        <v>0</v>
      </c>
      <c r="DK157" s="47" t="n">
        <f aca="false">(DK59+DK104+DK97+DK118)*(DK$4&lt;=In_COD)</f>
        <v>0</v>
      </c>
      <c r="DL157" s="47" t="n">
        <f aca="false">(DL59+DL104+DL97+DL118)*(DL$4&lt;=In_COD)</f>
        <v>0</v>
      </c>
      <c r="DM157" s="47" t="n">
        <f aca="false">(DM59+DM104+DM97+DM118)*(DM$4&lt;=In_COD)</f>
        <v>0</v>
      </c>
      <c r="DN157" s="47" t="n">
        <f aca="false">(DN59+DN104+DN97+DN118)*(DN$4&lt;=In_COD)</f>
        <v>0</v>
      </c>
      <c r="DO157" s="47" t="n">
        <f aca="false">(DO59+DO104+DO97+DO118)*(DO$4&lt;=In_COD)</f>
        <v>0</v>
      </c>
      <c r="DP157" s="47" t="n">
        <f aca="false">(DP59+DP104+DP97+DP118)*(DP$4&lt;=In_COD)</f>
        <v>0</v>
      </c>
      <c r="DQ157" s="47" t="n">
        <f aca="false">(DQ59+DQ104+DQ97+DQ118)*(DQ$4&lt;=In_COD)</f>
        <v>0</v>
      </c>
      <c r="DR157" s="47" t="n">
        <f aca="false">(DR59+DR104+DR97+DR118)*(DR$4&lt;=In_COD)</f>
        <v>0</v>
      </c>
      <c r="DS157" s="47" t="n">
        <f aca="false">(DS59+DS104+DS97+DS118)*(DS$4&lt;=In_COD)</f>
        <v>0</v>
      </c>
      <c r="DT157" s="47" t="n">
        <f aca="false">(DT59+DT104+DT97+DT118)*(DT$4&lt;=In_COD)</f>
        <v>0</v>
      </c>
      <c r="DU157" s="47" t="n">
        <f aca="false">(DU59+DU104+DU97+DU118)*(DU$4&lt;=In_COD)</f>
        <v>0</v>
      </c>
      <c r="DV157" s="47" t="n">
        <f aca="false">(DV59+DV104+DV97+DV118)*(DV$4&lt;=In_COD)</f>
        <v>0</v>
      </c>
      <c r="DW157" s="47" t="n">
        <f aca="false">(DW59+DW104+DW97+DW118)*(DW$4&lt;=In_COD)</f>
        <v>0</v>
      </c>
      <c r="DX157" s="47" t="n">
        <f aca="false">(DX59+DX104+DX97+DX118)*(DX$4&lt;=In_COD)</f>
        <v>0</v>
      </c>
      <c r="DY157" s="47" t="n">
        <f aca="false">(DY59+DY104+DY97+DY118)*(DY$4&lt;=In_COD)</f>
        <v>0</v>
      </c>
      <c r="DZ157" s="47" t="n">
        <f aca="false">(DZ59+DZ104+DZ97+DZ118)*(DZ$4&lt;=In_COD)</f>
        <v>0</v>
      </c>
      <c r="EA157" s="47" t="n">
        <f aca="false">(EA59+EA104+EA97+EA118)*(EA$4&lt;=In_COD)</f>
        <v>0</v>
      </c>
      <c r="EB157" s="47" t="n">
        <f aca="false">(EB59+EB104+EB97+EB118)*(EB$4&lt;=In_COD)</f>
        <v>0</v>
      </c>
      <c r="EC157" s="47" t="n">
        <f aca="false">(EC59+EC104+EC97+EC118)*(EC$4&lt;=In_COD)</f>
        <v>0</v>
      </c>
      <c r="ED157" s="47" t="n">
        <f aca="false">(ED59+ED104+ED97+ED118)*(ED$4&lt;=In_COD)</f>
        <v>0</v>
      </c>
      <c r="EE157" s="47" t="n">
        <f aca="false">(EE59+EE104+EE97+EE118)*(EE$4&lt;=In_COD)</f>
        <v>0</v>
      </c>
      <c r="EF157" s="47" t="n">
        <f aca="false">(EF59+EF104+EF97+EF118)*(EF$4&lt;=In_COD)</f>
        <v>0</v>
      </c>
      <c r="EG157" s="47" t="n">
        <f aca="false">(EG59+EG104+EG97+EG118)*(EG$4&lt;=In_COD)</f>
        <v>0</v>
      </c>
      <c r="EH157" s="47" t="n">
        <f aca="false">(EH59+EH104+EH97+EH118)*(EH$4&lt;=In_COD)</f>
        <v>0</v>
      </c>
      <c r="EI157" s="47" t="n">
        <f aca="false">(EI59+EI104+EI97+EI118)*(EI$4&lt;=In_COD)</f>
        <v>0</v>
      </c>
      <c r="EJ157" s="47" t="n">
        <f aca="false">(EJ59+EJ104+EJ97+EJ118)*(EJ$4&lt;=In_COD)</f>
        <v>0</v>
      </c>
      <c r="EK157" s="47" t="n">
        <f aca="false">(EK59+EK104+EK97+EK118)*(EK$4&lt;=In_COD)</f>
        <v>0</v>
      </c>
      <c r="EL157" s="47" t="n">
        <f aca="false">(EL59+EL104+EL97+EL118)*(EL$4&lt;=In_COD)</f>
        <v>0</v>
      </c>
      <c r="EM157" s="47" t="n">
        <f aca="false">(EM59+EM104+EM97+EM118)*(EM$4&lt;=In_COD)</f>
        <v>0</v>
      </c>
      <c r="EN157" s="47" t="n">
        <f aca="false">(EN59+EN104+EN97+EN118)*(EN$4&lt;=In_COD)</f>
        <v>0</v>
      </c>
      <c r="EO157" s="47" t="n">
        <f aca="false">(EO59+EO104+EO97+EO118)*(EO$4&lt;=In_COD)</f>
        <v>0</v>
      </c>
      <c r="EP157" s="47" t="n">
        <f aca="false">(EP59+EP104+EP97+EP118)*(EP$4&lt;=In_COD)</f>
        <v>0</v>
      </c>
      <c r="EQ157" s="47" t="n">
        <f aca="false">(EQ59+EQ104+EQ97+EQ118)*(EQ$4&lt;=In_COD)</f>
        <v>0</v>
      </c>
      <c r="ER157" s="47" t="n">
        <f aca="false">(ER59+ER104+ER97+ER118)*(ER$4&lt;=In_COD)</f>
        <v>0</v>
      </c>
      <c r="ES157" s="47" t="n">
        <f aca="false">(ES59+ES104+ES97+ES118)*(ES$4&lt;=In_COD)</f>
        <v>0</v>
      </c>
      <c r="ET157" s="47" t="n">
        <f aca="false">(ET59+ET104+ET97+ET118)*(ET$4&lt;=In_COD)</f>
        <v>0</v>
      </c>
    </row>
    <row r="158" customFormat="false" ht="15" hidden="false" customHeight="false" outlineLevel="0" collapsed="false">
      <c r="C158" s="1" t="s">
        <v>556</v>
      </c>
      <c r="D158" s="12" t="s">
        <v>222</v>
      </c>
      <c r="E158" s="47" t="n">
        <f aca="false">SUMPRODUCT($J158:$ET158,$J21:$ET21)</f>
        <v>-2474.54304721128</v>
      </c>
      <c r="I158" s="47" t="n">
        <f aca="false">SUM(J158:ET158)</f>
        <v>-6307.65794259604</v>
      </c>
      <c r="J158" s="47" t="n">
        <f aca="false">-($E31-In_Ref_Community)*J110*(1-In_CIT)/Thousand</f>
        <v>-0</v>
      </c>
      <c r="K158" s="47" t="n">
        <f aca="false">-($E31-In_Ref_Community)*K110*(1-In_CIT)/Thousand</f>
        <v>-0</v>
      </c>
      <c r="L158" s="47" t="n">
        <f aca="false">-($E31-In_Ref_Community)*L110*(1-In_CIT)/Thousand</f>
        <v>-0</v>
      </c>
      <c r="M158" s="47" t="n">
        <f aca="false">-($E31-In_Ref_Community)*M110*(1-In_CIT)/Thousand</f>
        <v>-0</v>
      </c>
      <c r="N158" s="47" t="n">
        <f aca="false">-($E31-In_Ref_Community)*N110*(1-In_CIT)/Thousand</f>
        <v>-0</v>
      </c>
      <c r="O158" s="47" t="n">
        <f aca="false">-($E31-In_Ref_Community)*O110*(1-In_CIT)/Thousand</f>
        <v>-0</v>
      </c>
      <c r="P158" s="47" t="n">
        <f aca="false">-($E31-In_Ref_Community)*P110*(1-In_CIT)/Thousand</f>
        <v>-0</v>
      </c>
      <c r="Q158" s="47" t="n">
        <f aca="false">-($E31-In_Ref_Community)*Q110*(1-In_CIT)/Thousand</f>
        <v>-0</v>
      </c>
      <c r="R158" s="47" t="n">
        <f aca="false">-($E31-In_Ref_Community)*R110*(1-In_CIT)/Thousand</f>
        <v>-0</v>
      </c>
      <c r="S158" s="47" t="n">
        <f aca="false">-($E31-In_Ref_Community)*S110*(1-In_CIT)/Thousand</f>
        <v>-0</v>
      </c>
      <c r="T158" s="47" t="n">
        <f aca="false">-($E31-In_Ref_Community)*T110*(1-In_CIT)/Thousand</f>
        <v>-0</v>
      </c>
      <c r="U158" s="47" t="n">
        <f aca="false">-($E31-In_Ref_Community)*U110*(1-In_CIT)/Thousand</f>
        <v>-0</v>
      </c>
      <c r="V158" s="47" t="n">
        <f aca="false">-($E31-In_Ref_Community)*V110*(1-In_CIT)/Thousand</f>
        <v>-0</v>
      </c>
      <c r="W158" s="47" t="n">
        <f aca="false">-($E31-In_Ref_Community)*W110*(1-In_CIT)/Thousand</f>
        <v>-0</v>
      </c>
      <c r="X158" s="47" t="n">
        <f aca="false">-($E31-In_Ref_Community)*X110*(1-In_CIT)/Thousand</f>
        <v>-0</v>
      </c>
      <c r="Y158" s="47" t="n">
        <f aca="false">-($E31-In_Ref_Community)*Y110*(1-In_CIT)/Thousand</f>
        <v>-0</v>
      </c>
      <c r="Z158" s="47" t="n">
        <f aca="false">-($E31-In_Ref_Community)*Z110*(1-In_CIT)/Thousand</f>
        <v>-0</v>
      </c>
      <c r="AA158" s="47" t="n">
        <f aca="false">-($E31-In_Ref_Community)*AA110*(1-In_CIT)/Thousand</f>
        <v>-0</v>
      </c>
      <c r="AB158" s="47" t="n">
        <f aca="false">-($E31-In_Ref_Community)*AB110*(1-In_CIT)/Thousand</f>
        <v>-0</v>
      </c>
      <c r="AC158" s="47" t="n">
        <f aca="false">-($E31-In_Ref_Community)*AC110*(1-In_CIT)/Thousand</f>
        <v>-0</v>
      </c>
      <c r="AD158" s="47" t="n">
        <f aca="false">-($E31-In_Ref_Community)*AD110*(1-In_CIT)/Thousand</f>
        <v>-0</v>
      </c>
      <c r="AE158" s="47" t="n">
        <f aca="false">-($E31-In_Ref_Community)*AE110*(1-In_CIT)/Thousand</f>
        <v>-55.2964865753425</v>
      </c>
      <c r="AF158" s="47" t="n">
        <f aca="false">-($E31-In_Ref_Community)*AF110*(1-In_CIT)/Thousand</f>
        <v>-54.6954378082192</v>
      </c>
      <c r="AG158" s="47" t="n">
        <f aca="false">-($E31-In_Ref_Community)*AG110*(1-In_CIT)/Thousand</f>
        <v>-54.6954378082192</v>
      </c>
      <c r="AH158" s="47" t="n">
        <f aca="false">-($E31-In_Ref_Community)*AH110*(1-In_CIT)/Thousand</f>
        <v>-55.2964865753425</v>
      </c>
      <c r="AI158" s="47" t="n">
        <f aca="false">-($E31-In_Ref_Community)*AI110*(1-In_CIT)/Thousand</f>
        <v>-55.1305971156164</v>
      </c>
      <c r="AJ158" s="47" t="n">
        <f aca="false">-($E31-In_Ref_Community)*AJ110*(1-In_CIT)/Thousand</f>
        <v>-53.9321058739726</v>
      </c>
      <c r="AK158" s="47" t="n">
        <f aca="false">-($E31-In_Ref_Community)*AK110*(1-In_CIT)/Thousand</f>
        <v>-54.5313514947945</v>
      </c>
      <c r="AL158" s="47" t="n">
        <f aca="false">-($E31-In_Ref_Community)*AL110*(1-In_CIT)/Thousand</f>
        <v>-55.1305971156164</v>
      </c>
      <c r="AM158" s="47" t="n">
        <f aca="false">-($E31-In_Ref_Community)*AM110*(1-In_CIT)/Thousand</f>
        <v>-54.9652053242696</v>
      </c>
      <c r="AN158" s="47" t="n">
        <f aca="false">-($E31-In_Ref_Community)*AN110*(1-In_CIT)/Thousand</f>
        <v>-53.7703095563507</v>
      </c>
      <c r="AO158" s="47" t="n">
        <f aca="false">-($E31-In_Ref_Community)*AO110*(1-In_CIT)/Thousand</f>
        <v>-54.3677574403101</v>
      </c>
      <c r="AP158" s="47" t="n">
        <f aca="false">-($E31-In_Ref_Community)*AP110*(1-In_CIT)/Thousand</f>
        <v>-54.9652053242696</v>
      </c>
      <c r="AQ158" s="47" t="n">
        <f aca="false">-($E31-In_Ref_Community)*AQ110*(1-In_CIT)/Thousand</f>
        <v>-54.8003097082968</v>
      </c>
      <c r="AR158" s="47" t="n">
        <f aca="false">-($E31-In_Ref_Community)*AR110*(1-In_CIT)/Thousand</f>
        <v>-53.6089986276816</v>
      </c>
      <c r="AS158" s="47" t="n">
        <f aca="false">-($E31-In_Ref_Community)*AS110*(1-In_CIT)/Thousand</f>
        <v>-54.2046541679892</v>
      </c>
      <c r="AT158" s="47" t="n">
        <f aca="false">-($E31-In_Ref_Community)*AT110*(1-In_CIT)/Thousand</f>
        <v>-54.8003097082968</v>
      </c>
      <c r="AU158" s="47" t="n">
        <f aca="false">-($E31-In_Ref_Community)*AU110*(1-In_CIT)/Thousand</f>
        <v>-54.6359087791719</v>
      </c>
      <c r="AV158" s="47" t="n">
        <f aca="false">-($E31-In_Ref_Community)*AV110*(1-In_CIT)/Thousand</f>
        <v>-54.0420402054852</v>
      </c>
      <c r="AW158" s="47" t="n">
        <f aca="false">-($E31-In_Ref_Community)*AW110*(1-In_CIT)/Thousand</f>
        <v>-54.0420402054852</v>
      </c>
      <c r="AX158" s="47" t="n">
        <f aca="false">-($E31-In_Ref_Community)*AX110*(1-In_CIT)/Thousand</f>
        <v>-54.6359087791719</v>
      </c>
      <c r="AY158" s="47" t="n">
        <f aca="false">-($E31-In_Ref_Community)*AY110*(1-In_CIT)/Thousand</f>
        <v>-54.4720010528344</v>
      </c>
      <c r="AZ158" s="47" t="n">
        <f aca="false">-($E31-In_Ref_Community)*AZ110*(1-In_CIT)/Thousand</f>
        <v>-53.2878271169032</v>
      </c>
      <c r="BA158" s="47" t="n">
        <f aca="false">-($E31-In_Ref_Community)*BA110*(1-In_CIT)/Thousand</f>
        <v>-53.8799140848688</v>
      </c>
      <c r="BB158" s="47" t="n">
        <f aca="false">-($E31-In_Ref_Community)*BB110*(1-In_CIT)/Thousand</f>
        <v>-54.4720010528344</v>
      </c>
      <c r="BC158" s="47" t="n">
        <f aca="false">-($E31-In_Ref_Community)*BC110*(1-In_CIT)/Thousand</f>
        <v>-54.3085850496759</v>
      </c>
      <c r="BD158" s="47" t="n">
        <f aca="false">-($E31-In_Ref_Community)*BD110*(1-In_CIT)/Thousand</f>
        <v>-53.1279636355525</v>
      </c>
      <c r="BE158" s="47" t="n">
        <f aca="false">-($E31-In_Ref_Community)*BE110*(1-In_CIT)/Thousand</f>
        <v>-53.7182743426142</v>
      </c>
      <c r="BF158" s="47" t="n">
        <f aca="false">-($E31-In_Ref_Community)*BF110*(1-In_CIT)/Thousand</f>
        <v>-54.3085850496759</v>
      </c>
      <c r="BG158" s="47" t="n">
        <f aca="false">-($E31-In_Ref_Community)*BG110*(1-In_CIT)/Thousand</f>
        <v>-54.1456592945269</v>
      </c>
      <c r="BH158" s="47" t="n">
        <f aca="false">-($E31-In_Ref_Community)*BH110*(1-In_CIT)/Thousand</f>
        <v>-52.9685797446458</v>
      </c>
      <c r="BI158" s="47" t="n">
        <f aca="false">-($E31-In_Ref_Community)*BI110*(1-In_CIT)/Thousand</f>
        <v>-53.5571195195863</v>
      </c>
      <c r="BJ158" s="47" t="n">
        <f aca="false">-($E31-In_Ref_Community)*BJ110*(1-In_CIT)/Thousand</f>
        <v>-54.1456592945269</v>
      </c>
      <c r="BK158" s="47" t="n">
        <f aca="false">-($E31-In_Ref_Community)*BK110*(1-In_CIT)/Thousand</f>
        <v>-53.9832223166433</v>
      </c>
      <c r="BL158" s="47" t="n">
        <f aca="false">-($E31-In_Ref_Community)*BL110*(1-In_CIT)/Thousand</f>
        <v>-53.3964481610276</v>
      </c>
      <c r="BM158" s="47" t="n">
        <f aca="false">-($E31-In_Ref_Community)*BM110*(1-In_CIT)/Thousand</f>
        <v>-53.3964481610276</v>
      </c>
      <c r="BN158" s="47" t="n">
        <f aca="false">-($E31-In_Ref_Community)*BN110*(1-In_CIT)/Thousand</f>
        <v>-53.9832223166433</v>
      </c>
      <c r="BO158" s="47" t="n">
        <f aca="false">-($E31-In_Ref_Community)*BO110*(1-In_CIT)/Thousand</f>
        <v>-53.8212726496933</v>
      </c>
      <c r="BP158" s="47" t="n">
        <f aca="false">-($E31-In_Ref_Community)*BP110*(1-In_CIT)/Thousand</f>
        <v>-52.6512449833957</v>
      </c>
      <c r="BQ158" s="47" t="n">
        <f aca="false">-($E31-In_Ref_Community)*BQ110*(1-In_CIT)/Thousand</f>
        <v>-53.2362588165445</v>
      </c>
      <c r="BR158" s="47" t="n">
        <f aca="false">-($E31-In_Ref_Community)*BR110*(1-In_CIT)/Thousand</f>
        <v>-53.8212726496933</v>
      </c>
      <c r="BS158" s="47" t="n">
        <f aca="false">-($E31-In_Ref_Community)*BS110*(1-In_CIT)/Thousand</f>
        <v>-53.6598088317443</v>
      </c>
      <c r="BT158" s="47" t="n">
        <f aca="false">-($E31-In_Ref_Community)*BT110*(1-In_CIT)/Thousand</f>
        <v>-52.4932912484455</v>
      </c>
      <c r="BU158" s="47" t="n">
        <f aca="false">-($E31-In_Ref_Community)*BU110*(1-In_CIT)/Thousand</f>
        <v>-53.0765500400949</v>
      </c>
      <c r="BV158" s="47" t="n">
        <f aca="false">-($E31-In_Ref_Community)*BV110*(1-In_CIT)/Thousand</f>
        <v>-53.6598088317443</v>
      </c>
      <c r="BW158" s="47" t="n">
        <f aca="false">-($E31-In_Ref_Community)*BW110*(1-In_CIT)/Thousand</f>
        <v>-53.498829405249</v>
      </c>
      <c r="BX158" s="47" t="n">
        <f aca="false">-($E31-In_Ref_Community)*BX110*(1-In_CIT)/Thousand</f>
        <v>-52.3358113747001</v>
      </c>
      <c r="BY158" s="47" t="n">
        <f aca="false">-($E31-In_Ref_Community)*BY110*(1-In_CIT)/Thousand</f>
        <v>-52.9173203899746</v>
      </c>
      <c r="BZ158" s="47" t="n">
        <f aca="false">-($E31-In_Ref_Community)*BZ110*(1-In_CIT)/Thousand</f>
        <v>-53.498829405249</v>
      </c>
      <c r="CA158" s="47" t="n">
        <f aca="false">-($E31-In_Ref_Community)*CA110*(1-In_CIT)/Thousand</f>
        <v>-53.3383329170333</v>
      </c>
      <c r="CB158" s="47" t="n">
        <f aca="false">-($E31-In_Ref_Community)*CB110*(1-In_CIT)/Thousand</f>
        <v>-52.7585684288047</v>
      </c>
      <c r="CC158" s="47" t="n">
        <f aca="false">-($E31-In_Ref_Community)*CC110*(1-In_CIT)/Thousand</f>
        <v>-52.7585684288047</v>
      </c>
      <c r="CD158" s="47" t="n">
        <f aca="false">-($E31-In_Ref_Community)*CD110*(1-In_CIT)/Thousand</f>
        <v>-53.3383329170333</v>
      </c>
      <c r="CE158" s="47" t="n">
        <f aca="false">-($E31-In_Ref_Community)*CE110*(1-In_CIT)/Thousand</f>
        <v>-53.1783179182822</v>
      </c>
      <c r="CF158" s="47" t="n">
        <f aca="false">-($E31-In_Ref_Community)*CF110*(1-In_CIT)/Thousand</f>
        <v>-52.0222675287543</v>
      </c>
      <c r="CG158" s="47" t="n">
        <f aca="false">-($E31-In_Ref_Community)*CG110*(1-In_CIT)/Thousand</f>
        <v>-52.6002927235182</v>
      </c>
      <c r="CH158" s="47" t="n">
        <f aca="false">-($E31-In_Ref_Community)*CH110*(1-In_CIT)/Thousand</f>
        <v>-53.1783179182822</v>
      </c>
      <c r="CI158" s="47" t="n">
        <f aca="false">-($E31-In_Ref_Community)*CI110*(1-In_CIT)/Thousand</f>
        <v>-53.0187829645273</v>
      </c>
      <c r="CJ158" s="47" t="n">
        <f aca="false">-($E31-In_Ref_Community)*CJ110*(1-In_CIT)/Thousand</f>
        <v>-51.866200726168</v>
      </c>
      <c r="CK158" s="47" t="n">
        <f aca="false">-($E31-In_Ref_Community)*CK110*(1-In_CIT)/Thousand</f>
        <v>-52.4424918453477</v>
      </c>
      <c r="CL158" s="47" t="n">
        <f aca="false">-($E31-In_Ref_Community)*CL110*(1-In_CIT)/Thousand</f>
        <v>-53.0187829645273</v>
      </c>
      <c r="CM158" s="47" t="n">
        <f aca="false">-($E31-In_Ref_Community)*CM110*(1-In_CIT)/Thousand</f>
        <v>-52.8597266156338</v>
      </c>
      <c r="CN158" s="47" t="n">
        <f aca="false">-($E31-In_Ref_Community)*CN110*(1-In_CIT)/Thousand</f>
        <v>-51.7106021239895</v>
      </c>
      <c r="CO158" s="47" t="n">
        <f aca="false">-($E31-In_Ref_Community)*CO110*(1-In_CIT)/Thousand</f>
        <v>-52.2851643698116</v>
      </c>
      <c r="CP158" s="47" t="n">
        <f aca="false">-($E31-In_Ref_Community)*CP110*(1-In_CIT)/Thousand</f>
        <v>-52.8597266156338</v>
      </c>
      <c r="CQ158" s="47" t="n">
        <f aca="false">-($E31-In_Ref_Community)*CQ110*(1-In_CIT)/Thousand</f>
        <v>-52.7011474357869</v>
      </c>
      <c r="CR158" s="47" t="n">
        <f aca="false">-($E31-In_Ref_Community)*CR110*(1-In_CIT)/Thousand</f>
        <v>-52.1283088767022</v>
      </c>
      <c r="CS158" s="47" t="n">
        <f aca="false">-($E31-In_Ref_Community)*CS110*(1-In_CIT)/Thousand</f>
        <v>-52.1283088767022</v>
      </c>
      <c r="CT158" s="47" t="n">
        <f aca="false">-($E31-In_Ref_Community)*CT110*(1-In_CIT)/Thousand</f>
        <v>-52.7011474357869</v>
      </c>
      <c r="CU158" s="47" t="n">
        <f aca="false">-($E31-In_Ref_Community)*CU110*(1-In_CIT)/Thousand</f>
        <v>-52.5430439934795</v>
      </c>
      <c r="CV158" s="47" t="n">
        <f aca="false">-($E31-In_Ref_Community)*CV110*(1-In_CIT)/Thousand</f>
        <v>-51.4008039066647</v>
      </c>
      <c r="CW158" s="47" t="n">
        <f aca="false">-($E31-In_Ref_Community)*CW110*(1-In_CIT)/Thousand</f>
        <v>-51.9719239500721</v>
      </c>
      <c r="CX158" s="47" t="n">
        <f aca="false">-($E31-In_Ref_Community)*CX110*(1-In_CIT)/Thousand</f>
        <v>-52.5430439934795</v>
      </c>
      <c r="CY158" s="47" t="n">
        <f aca="false">-($E31-In_Ref_Community)*CY110*(1-In_CIT)/Thousand</f>
        <v>-52.3854148614991</v>
      </c>
      <c r="CZ158" s="47" t="n">
        <f aca="false">-($E31-In_Ref_Community)*CZ110*(1-In_CIT)/Thousand</f>
        <v>-51.2466014949447</v>
      </c>
      <c r="DA158" s="47" t="n">
        <f aca="false">-($E31-In_Ref_Community)*DA110*(1-In_CIT)/Thousand</f>
        <v>-51.8160081782219</v>
      </c>
      <c r="DB158" s="47" t="n">
        <f aca="false">-($E31-In_Ref_Community)*DB110*(1-In_CIT)/Thousand</f>
        <v>-52.3854148614991</v>
      </c>
      <c r="DC158" s="47" t="n">
        <f aca="false">-($E31-In_Ref_Community)*DC110*(1-In_CIT)/Thousand</f>
        <v>-52.2282586169146</v>
      </c>
      <c r="DD158" s="47" t="n">
        <f aca="false">-($E31-In_Ref_Community)*DD110*(1-In_CIT)/Thousand</f>
        <v>-51.0928616904599</v>
      </c>
      <c r="DE158" s="47" t="n">
        <f aca="false">-($E31-In_Ref_Community)*DE110*(1-In_CIT)/Thousand</f>
        <v>-51.6605601536872</v>
      </c>
      <c r="DF158" s="47" t="n">
        <f aca="false">-($E31-In_Ref_Community)*DF110*(1-In_CIT)/Thousand</f>
        <v>-52.2282586169146</v>
      </c>
      <c r="DG158" s="47" t="n">
        <f aca="false">-($E31-In_Ref_Community)*DG110*(1-In_CIT)/Thousand</f>
        <v>-52.0715738410638</v>
      </c>
      <c r="DH158" s="47" t="n">
        <f aca="false">-($E31-In_Ref_Community)*DH110*(1-In_CIT)/Thousand</f>
        <v>-51.5055784732262</v>
      </c>
      <c r="DI158" s="47" t="n">
        <f aca="false">-($E31-In_Ref_Community)*DI110*(1-In_CIT)/Thousand</f>
        <v>-51.5055784732262</v>
      </c>
      <c r="DJ158" s="47" t="n">
        <f aca="false">-($E31-In_Ref_Community)*DJ110*(1-In_CIT)/Thousand</f>
        <v>-52.0715738410638</v>
      </c>
      <c r="DK158" s="47" t="n">
        <f aca="false">-($E31-In_Ref_Community)*DK110*(1-In_CIT)/Thousand</f>
        <v>-51.9153591195406</v>
      </c>
      <c r="DL158" s="47" t="n">
        <f aca="false">-($E31-In_Ref_Community)*DL110*(1-In_CIT)/Thousand</f>
        <v>-50.7867643560723</v>
      </c>
      <c r="DM158" s="47" t="n">
        <f aca="false">-($E31-In_Ref_Community)*DM110*(1-In_CIT)/Thousand</f>
        <v>-51.3510617378065</v>
      </c>
      <c r="DN158" s="47" t="n">
        <f aca="false">-($E31-In_Ref_Community)*DN110*(1-In_CIT)/Thousand</f>
        <v>-51.9153591195406</v>
      </c>
      <c r="DO158" s="47" t="n">
        <f aca="false">-($E31-In_Ref_Community)*DO110*(1-In_CIT)/Thousand</f>
        <v>-51.759613042182</v>
      </c>
      <c r="DP158" s="47" t="n">
        <f aca="false">-($E31-In_Ref_Community)*DP110*(1-In_CIT)/Thousand</f>
        <v>-50.6344040630041</v>
      </c>
      <c r="DQ158" s="47" t="n">
        <f aca="false">-($E31-In_Ref_Community)*DQ110*(1-In_CIT)/Thousand</f>
        <v>-51.1970085525931</v>
      </c>
      <c r="DR158" s="47" t="n">
        <f aca="false">-($E31-In_Ref_Community)*DR110*(1-In_CIT)/Thousand</f>
        <v>-51.759613042182</v>
      </c>
      <c r="DS158" s="47" t="n">
        <f aca="false">-($E31-In_Ref_Community)*DS110*(1-In_CIT)/Thousand</f>
        <v>-51.6043342030555</v>
      </c>
      <c r="DT158" s="47" t="n">
        <f aca="false">-($E31-In_Ref_Community)*DT110*(1-In_CIT)/Thousand</f>
        <v>-50.4825008508151</v>
      </c>
      <c r="DU158" s="47" t="n">
        <f aca="false">-($E31-In_Ref_Community)*DU110*(1-In_CIT)/Thousand</f>
        <v>-51.0434175269353</v>
      </c>
      <c r="DV158" s="47" t="n">
        <f aca="false">-($E31-In_Ref_Community)*DV110*(1-In_CIT)/Thousand</f>
        <v>-51.6043342030555</v>
      </c>
      <c r="DW158" s="47" t="n">
        <f aca="false">-($E31-In_Ref_Community)*DW110*(1-In_CIT)/Thousand</f>
        <v>-51.4495212004463</v>
      </c>
      <c r="DX158" s="47" t="n">
        <f aca="false">-($E31-In_Ref_Community)*DX110*(1-In_CIT)/Thousand</f>
        <v>-50.8902872743545</v>
      </c>
      <c r="DY158" s="47" t="n">
        <f aca="false">-($E31-In_Ref_Community)*DY110*(1-In_CIT)/Thousand</f>
        <v>-50.8902872743545</v>
      </c>
      <c r="DZ158" s="47" t="n">
        <f aca="false">-($E31-In_Ref_Community)*DZ110*(1-In_CIT)/Thousand</f>
        <v>-51.4495212004463</v>
      </c>
      <c r="EA158" s="47" t="n">
        <f aca="false">-($E31-In_Ref_Community)*EA110*(1-In_CIT)/Thousand</f>
        <v>-51.2951726368449</v>
      </c>
      <c r="EB158" s="47" t="n">
        <f aca="false">-($E31-In_Ref_Community)*EB110*(1-In_CIT)/Thousand</f>
        <v>-50.1800601882179</v>
      </c>
      <c r="EC158" s="47" t="n">
        <f aca="false">-($E31-In_Ref_Community)*EC110*(1-In_CIT)/Thousand</f>
        <v>-50.7376164125314</v>
      </c>
      <c r="ED158" s="47" t="n">
        <f aca="false">-($E31-In_Ref_Community)*ED110*(1-In_CIT)/Thousand</f>
        <v>-51.2951726368449</v>
      </c>
      <c r="EE158" s="47" t="n">
        <f aca="false">-($E31-In_Ref_Community)*EE110*(1-In_CIT)/Thousand</f>
        <v>-51.1412871189344</v>
      </c>
      <c r="EF158" s="47" t="n">
        <f aca="false">-($E31-In_Ref_Community)*EF110*(1-In_CIT)/Thousand</f>
        <v>-50.0295200076532</v>
      </c>
      <c r="EG158" s="47" t="n">
        <f aca="false">-($E31-In_Ref_Community)*EG110*(1-In_CIT)/Thousand</f>
        <v>-50.5854035632938</v>
      </c>
      <c r="EH158" s="47" t="n">
        <f aca="false">-($E31-In_Ref_Community)*EH110*(1-In_CIT)/Thousand</f>
        <v>-51.1412871189344</v>
      </c>
      <c r="EI158" s="47" t="n">
        <f aca="false">-($E31-In_Ref_Community)*EI110*(1-In_CIT)/Thousand</f>
        <v>-50.9878632575776</v>
      </c>
      <c r="EJ158" s="47" t="n">
        <f aca="false">-($E31-In_Ref_Community)*EJ110*(1-In_CIT)/Thousand</f>
        <v>-49.8794314476303</v>
      </c>
      <c r="EK158" s="47" t="n">
        <f aca="false">-($E31-In_Ref_Community)*EK110*(1-In_CIT)/Thousand</f>
        <v>-50.4336473526039</v>
      </c>
      <c r="EL158" s="47" t="n">
        <f aca="false">-($E31-In_Ref_Community)*EL110*(1-In_CIT)/Thousand</f>
        <v>-50.9878632575776</v>
      </c>
      <c r="EM158" s="47" t="n">
        <f aca="false">-($E31-In_Ref_Community)*EM110*(1-In_CIT)/Thousand</f>
        <v>-50.8348996678049</v>
      </c>
      <c r="EN158" s="47" t="n">
        <f aca="false">-($E31-In_Ref_Community)*EN110*(1-In_CIT)/Thousand</f>
        <v>-50.2823464105461</v>
      </c>
      <c r="EO158" s="47" t="n">
        <f aca="false">-($E31-In_Ref_Community)*EO110*(1-In_CIT)/Thousand</f>
        <v>-50.2823464105461</v>
      </c>
      <c r="EP158" s="47" t="n">
        <f aca="false">-($E31-In_Ref_Community)*EP110*(1-In_CIT)/Thousand</f>
        <v>-50.8348996678049</v>
      </c>
      <c r="EQ158" s="47" t="n">
        <f aca="false">-($E31-In_Ref_Community)*EQ110*(1-In_CIT)/Thousand</f>
        <v>-50.6823949688015</v>
      </c>
      <c r="ER158" s="47" t="n">
        <f aca="false">-($E31-In_Ref_Community)*ER110*(1-In_CIT)/Thousand</f>
        <v>-49.5806037738275</v>
      </c>
      <c r="ES158" s="47" t="n">
        <f aca="false">-($E31-In_Ref_Community)*ES110*(1-In_CIT)/Thousand</f>
        <v>-50.1314993713145</v>
      </c>
      <c r="ET158" s="47" t="n">
        <f aca="false">-($E31-In_Ref_Community)*ET110*(1-In_CIT)/Thousand</f>
        <v>-50.6823949688015</v>
      </c>
    </row>
    <row r="159" customFormat="false" ht="15" hidden="false" customHeight="false" outlineLevel="0" collapsed="false">
      <c r="C159" s="1" t="s">
        <v>557</v>
      </c>
      <c r="D159" s="12" t="s">
        <v>222</v>
      </c>
      <c r="E159" s="47" t="n">
        <f aca="false">IF(In_CN_Turbine=1,In_COD_Price_CN,In_COD_Price)*$F24*(1-$E27)</f>
        <v>245000</v>
      </c>
      <c r="F159" s="47" t="n">
        <f aca="false">In_Pass_Through*($E158+SUMPRODUCT($J86:$ET86,$J21:$ET21))</f>
        <v>-3839.08122210466</v>
      </c>
    </row>
    <row r="160" customFormat="false" ht="15" hidden="false" customHeight="false" outlineLevel="0" collapsed="false">
      <c r="A160" s="36"/>
      <c r="B160" s="36"/>
      <c r="C160" s="36" t="s">
        <v>558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</row>
    <row r="161" customFormat="false" ht="15" hidden="false" customHeight="false" outlineLevel="0" collapsed="false">
      <c r="C161" s="1" t="s">
        <v>559</v>
      </c>
      <c r="D161" s="12" t="s">
        <v>222</v>
      </c>
      <c r="E161" s="47" t="n">
        <f aca="false">$I97+$I98</f>
        <v>94220.5039225694</v>
      </c>
      <c r="F161" s="47" t="n">
        <f aca="false">MAX(0,$E159+$F159-$E161)</f>
        <v>146940.414855326</v>
      </c>
    </row>
    <row r="162" customFormat="false" ht="15" hidden="false" customHeight="false" outlineLevel="0" collapsed="false">
      <c r="C162" s="1" t="s">
        <v>120</v>
      </c>
      <c r="D162" s="12" t="s">
        <v>222</v>
      </c>
      <c r="E162" s="23" t="n">
        <f aca="false">In_Sale_Costs</f>
        <v>500</v>
      </c>
      <c r="F162" s="47" t="n">
        <f aca="false">MIN($E162,$F161)</f>
        <v>500</v>
      </c>
    </row>
    <row r="163" customFormat="false" ht="15" hidden="false" customHeight="false" outlineLevel="0" collapsed="false">
      <c r="C163" s="1" t="s">
        <v>560</v>
      </c>
      <c r="D163" s="12" t="s">
        <v>222</v>
      </c>
      <c r="E163" s="47" t="n">
        <f aca="false">-$I157+$I46+$I54+$I56+$I47+$F58</f>
        <v>64890.7053120239</v>
      </c>
      <c r="F163" s="47" t="n">
        <f aca="false">MIN($E163,$F161-SUM($F162:$F162))</f>
        <v>64890.7053120239</v>
      </c>
    </row>
    <row r="164" customFormat="false" ht="15" hidden="false" customHeight="false" outlineLevel="0" collapsed="false">
      <c r="C164" s="1" t="s">
        <v>561</v>
      </c>
      <c r="D164" s="12" t="s">
        <v>222</v>
      </c>
      <c r="E164" s="47" t="n">
        <f aca="false">$F67+$F72+$F78</f>
        <v>11746.2079961624</v>
      </c>
      <c r="F164" s="47" t="n">
        <f aca="false">MIN($E164,$F161-SUM($F162:$F163))</f>
        <v>11746.2079961624</v>
      </c>
    </row>
    <row r="165" customFormat="false" ht="15" hidden="false" customHeight="false" outlineLevel="0" collapsed="false">
      <c r="C165" s="1" t="s">
        <v>541</v>
      </c>
      <c r="D165" s="12" t="s">
        <v>222</v>
      </c>
      <c r="E165" s="47" t="n">
        <f aca="false">MIN(In_DSA_Cap,In_DSA_Rate*YEARFRAC(In_Signing_Date,In_COD,0))*$E24</f>
        <v>1510</v>
      </c>
      <c r="F165" s="47" t="n">
        <f aca="false">MIN($E165,$F161-SUM($F162:$F164))</f>
        <v>1510</v>
      </c>
    </row>
    <row r="166" customFormat="false" ht="15" hidden="false" customHeight="false" outlineLevel="0" collapsed="false">
      <c r="C166" s="31" t="s">
        <v>542</v>
      </c>
      <c r="D166" s="12" t="s">
        <v>222</v>
      </c>
      <c r="F166" s="56" t="n">
        <f aca="false">MAX(0,$F161-SUM($E162:$E165))</f>
        <v>68293.5015471397</v>
      </c>
    </row>
    <row r="167" customFormat="false" ht="15" hidden="false" customHeight="false" outlineLevel="0" collapsed="false">
      <c r="C167" s="31" t="s">
        <v>149</v>
      </c>
      <c r="D167" s="12" t="s">
        <v>222</v>
      </c>
      <c r="F167" s="56" t="n">
        <f aca="false">$F163+$F164+In_FEP_Share*$F166</f>
        <v>124442.364391184</v>
      </c>
    </row>
    <row r="168" customFormat="false" ht="15" hidden="false" customHeight="false" outlineLevel="0" collapsed="false">
      <c r="C168" s="31" t="s">
        <v>562</v>
      </c>
      <c r="D168" s="12" t="s">
        <v>222</v>
      </c>
      <c r="I168" s="56" t="n">
        <f aca="false">SUM(J168:ET168)</f>
        <v>54442.6433346878</v>
      </c>
      <c r="J168" s="56" t="n">
        <f aca="false">J157+$F167*J14</f>
        <v>-400</v>
      </c>
      <c r="K168" s="56" t="n">
        <f aca="false">K157+$F167*K14</f>
        <v>-1437.78053818728</v>
      </c>
      <c r="L168" s="56" t="n">
        <f aca="false">L157+$F167*L14</f>
        <v>-691.910911990993</v>
      </c>
      <c r="M168" s="56" t="n">
        <f aca="false">M157+$F167*M14</f>
        <v>-148.451634452993</v>
      </c>
      <c r="N168" s="56" t="n">
        <f aca="false">N157+$F167*N14</f>
        <v>-149.601261024582</v>
      </c>
      <c r="O168" s="56" t="n">
        <f aca="false">O157+$F167*O14</f>
        <v>-290.127288421843</v>
      </c>
      <c r="P168" s="56" t="n">
        <f aca="false">P157+$F167*P14</f>
        <v>-1394.65781281475</v>
      </c>
      <c r="Q168" s="56" t="n">
        <f aca="false">Q157+$F167*Q14</f>
        <v>-109.225607055733</v>
      </c>
      <c r="R168" s="56" t="n">
        <f aca="false">R157+$F167*R14</f>
        <v>-269.857154566657</v>
      </c>
      <c r="S168" s="56" t="n">
        <f aca="false">S157+$F167*S14</f>
        <v>-422.991783283459</v>
      </c>
      <c r="T168" s="56" t="n">
        <f aca="false">T157+$F167*T14</f>
        <v>-20587.5113339088</v>
      </c>
      <c r="U168" s="56" t="n">
        <f aca="false">U157+$F167*U14</f>
        <v>-104.616018014637</v>
      </c>
      <c r="V168" s="56" t="n">
        <f aca="false">V157+$F167*V14</f>
        <v>-105.765644586226</v>
      </c>
      <c r="W168" s="56" t="n">
        <f aca="false">W157+$F167*W14</f>
        <v>-6367.1847682608</v>
      </c>
      <c r="X168" s="56" t="n">
        <f aca="false">X157+$F167*X14</f>
        <v>-4661.61083132373</v>
      </c>
      <c r="Y168" s="56" t="n">
        <f aca="false">Y157+$F167*Y14</f>
        <v>-4688.46029001015</v>
      </c>
      <c r="Z168" s="56" t="n">
        <f aca="false">Z157+$F167*Z14</f>
        <v>-4714.48125405884</v>
      </c>
      <c r="AA168" s="56" t="n">
        <f aca="false">AA157+$F167*AA14</f>
        <v>-4688.7004503316</v>
      </c>
      <c r="AB168" s="56" t="n">
        <f aca="false">AB157+$F167*AB14</f>
        <v>-4563.44624851397</v>
      </c>
      <c r="AC168" s="56" t="n">
        <f aca="false">AC157+$F167*AC14</f>
        <v>-4589.20498961362</v>
      </c>
      <c r="AD168" s="56" t="n">
        <f aca="false">AD157+$F167*AD14</f>
        <v>114828.229155109</v>
      </c>
      <c r="AE168" s="56" t="n">
        <f aca="false">AE157+$F167*AE14</f>
        <v>0</v>
      </c>
      <c r="AF168" s="56" t="n">
        <f aca="false">AF157+$F167*AF14</f>
        <v>0</v>
      </c>
      <c r="AG168" s="56" t="n">
        <f aca="false">AG157+$F167*AG14</f>
        <v>0</v>
      </c>
      <c r="AH168" s="56" t="n">
        <f aca="false">AH157+$F167*AH14</f>
        <v>0</v>
      </c>
      <c r="AI168" s="56" t="n">
        <f aca="false">AI157+$F167*AI14</f>
        <v>0</v>
      </c>
      <c r="AJ168" s="56" t="n">
        <f aca="false">AJ157+$F167*AJ14</f>
        <v>0</v>
      </c>
      <c r="AK168" s="56" t="n">
        <f aca="false">AK157+$F167*AK14</f>
        <v>0</v>
      </c>
      <c r="AL168" s="56" t="n">
        <f aca="false">AL157+$F167*AL14</f>
        <v>0</v>
      </c>
      <c r="AM168" s="56" t="n">
        <f aca="false">AM157+$F167*AM14</f>
        <v>0</v>
      </c>
      <c r="AN168" s="56" t="n">
        <f aca="false">AN157+$F167*AN14</f>
        <v>0</v>
      </c>
      <c r="AO168" s="56" t="n">
        <f aca="false">AO157+$F167*AO14</f>
        <v>0</v>
      </c>
      <c r="AP168" s="56" t="n">
        <f aca="false">AP157+$F167*AP14</f>
        <v>0</v>
      </c>
      <c r="AQ168" s="56" t="n">
        <f aca="false">AQ157+$F167*AQ14</f>
        <v>0</v>
      </c>
      <c r="AR168" s="56" t="n">
        <f aca="false">AR157+$F167*AR14</f>
        <v>0</v>
      </c>
      <c r="AS168" s="56" t="n">
        <f aca="false">AS157+$F167*AS14</f>
        <v>0</v>
      </c>
      <c r="AT168" s="56" t="n">
        <f aca="false">AT157+$F167*AT14</f>
        <v>0</v>
      </c>
      <c r="AU168" s="56" t="n">
        <f aca="false">AU157+$F167*AU14</f>
        <v>0</v>
      </c>
      <c r="AV168" s="56" t="n">
        <f aca="false">AV157+$F167*AV14</f>
        <v>0</v>
      </c>
      <c r="AW168" s="56" t="n">
        <f aca="false">AW157+$F167*AW14</f>
        <v>0</v>
      </c>
      <c r="AX168" s="56" t="n">
        <f aca="false">AX157+$F167*AX14</f>
        <v>0</v>
      </c>
      <c r="AY168" s="56" t="n">
        <f aca="false">AY157+$F167*AY14</f>
        <v>0</v>
      </c>
      <c r="AZ168" s="56" t="n">
        <f aca="false">AZ157+$F167*AZ14</f>
        <v>0</v>
      </c>
      <c r="BA168" s="56" t="n">
        <f aca="false">BA157+$F167*BA14</f>
        <v>0</v>
      </c>
      <c r="BB168" s="56" t="n">
        <f aca="false">BB157+$F167*BB14</f>
        <v>0</v>
      </c>
      <c r="BC168" s="56" t="n">
        <f aca="false">BC157+$F167*BC14</f>
        <v>0</v>
      </c>
      <c r="BD168" s="56" t="n">
        <f aca="false">BD157+$F167*BD14</f>
        <v>0</v>
      </c>
      <c r="BE168" s="56" t="n">
        <f aca="false">BE157+$F167*BE14</f>
        <v>0</v>
      </c>
      <c r="BF168" s="56" t="n">
        <f aca="false">BF157+$F167*BF14</f>
        <v>0</v>
      </c>
      <c r="BG168" s="56" t="n">
        <f aca="false">BG157+$F167*BG14</f>
        <v>0</v>
      </c>
      <c r="BH168" s="56" t="n">
        <f aca="false">BH157+$F167*BH14</f>
        <v>0</v>
      </c>
      <c r="BI168" s="56" t="n">
        <f aca="false">BI157+$F167*BI14</f>
        <v>0</v>
      </c>
      <c r="BJ168" s="56" t="n">
        <f aca="false">BJ157+$F167*BJ14</f>
        <v>0</v>
      </c>
      <c r="BK168" s="56" t="n">
        <f aca="false">BK157+$F167*BK14</f>
        <v>0</v>
      </c>
      <c r="BL168" s="56" t="n">
        <f aca="false">BL157+$F167*BL14</f>
        <v>0</v>
      </c>
      <c r="BM168" s="56" t="n">
        <f aca="false">BM157+$F167*BM14</f>
        <v>0</v>
      </c>
      <c r="BN168" s="56" t="n">
        <f aca="false">BN157+$F167*BN14</f>
        <v>0</v>
      </c>
      <c r="BO168" s="56" t="n">
        <f aca="false">BO157+$F167*BO14</f>
        <v>0</v>
      </c>
      <c r="BP168" s="56" t="n">
        <f aca="false">BP157+$F167*BP14</f>
        <v>0</v>
      </c>
      <c r="BQ168" s="56" t="n">
        <f aca="false">BQ157+$F167*BQ14</f>
        <v>0</v>
      </c>
      <c r="BR168" s="56" t="n">
        <f aca="false">BR157+$F167*BR14</f>
        <v>0</v>
      </c>
      <c r="BS168" s="56" t="n">
        <f aca="false">BS157+$F167*BS14</f>
        <v>0</v>
      </c>
      <c r="BT168" s="56" t="n">
        <f aca="false">BT157+$F167*BT14</f>
        <v>0</v>
      </c>
      <c r="BU168" s="56" t="n">
        <f aca="false">BU157+$F167*BU14</f>
        <v>0</v>
      </c>
      <c r="BV168" s="56" t="n">
        <f aca="false">BV157+$F167*BV14</f>
        <v>0</v>
      </c>
      <c r="BW168" s="56" t="n">
        <f aca="false">BW157+$F167*BW14</f>
        <v>0</v>
      </c>
      <c r="BX168" s="56" t="n">
        <f aca="false">BX157+$F167*BX14</f>
        <v>0</v>
      </c>
      <c r="BY168" s="56" t="n">
        <f aca="false">BY157+$F167*BY14</f>
        <v>0</v>
      </c>
      <c r="BZ168" s="56" t="n">
        <f aca="false">BZ157+$F167*BZ14</f>
        <v>0</v>
      </c>
      <c r="CA168" s="56" t="n">
        <f aca="false">CA157+$F167*CA14</f>
        <v>0</v>
      </c>
      <c r="CB168" s="56" t="n">
        <f aca="false">CB157+$F167*CB14</f>
        <v>0</v>
      </c>
      <c r="CC168" s="56" t="n">
        <f aca="false">CC157+$F167*CC14</f>
        <v>0</v>
      </c>
      <c r="CD168" s="56" t="n">
        <f aca="false">CD157+$F167*CD14</f>
        <v>0</v>
      </c>
      <c r="CE168" s="56" t="n">
        <f aca="false">CE157+$F167*CE14</f>
        <v>0</v>
      </c>
      <c r="CF168" s="56" t="n">
        <f aca="false">CF157+$F167*CF14</f>
        <v>0</v>
      </c>
      <c r="CG168" s="56" t="n">
        <f aca="false">CG157+$F167*CG14</f>
        <v>0</v>
      </c>
      <c r="CH168" s="56" t="n">
        <f aca="false">CH157+$F167*CH14</f>
        <v>0</v>
      </c>
      <c r="CI168" s="56" t="n">
        <f aca="false">CI157+$F167*CI14</f>
        <v>0</v>
      </c>
      <c r="CJ168" s="56" t="n">
        <f aca="false">CJ157+$F167*CJ14</f>
        <v>0</v>
      </c>
      <c r="CK168" s="56" t="n">
        <f aca="false">CK157+$F167*CK14</f>
        <v>0</v>
      </c>
      <c r="CL168" s="56" t="n">
        <f aca="false">CL157+$F167*CL14</f>
        <v>0</v>
      </c>
      <c r="CM168" s="56" t="n">
        <f aca="false">CM157+$F167*CM14</f>
        <v>0</v>
      </c>
      <c r="CN168" s="56" t="n">
        <f aca="false">CN157+$F167*CN14</f>
        <v>0</v>
      </c>
      <c r="CO168" s="56" t="n">
        <f aca="false">CO157+$F167*CO14</f>
        <v>0</v>
      </c>
      <c r="CP168" s="56" t="n">
        <f aca="false">CP157+$F167*CP14</f>
        <v>0</v>
      </c>
      <c r="CQ168" s="56" t="n">
        <f aca="false">CQ157+$F167*CQ14</f>
        <v>0</v>
      </c>
      <c r="CR168" s="56" t="n">
        <f aca="false">CR157+$F167*CR14</f>
        <v>0</v>
      </c>
      <c r="CS168" s="56" t="n">
        <f aca="false">CS157+$F167*CS14</f>
        <v>0</v>
      </c>
      <c r="CT168" s="56" t="n">
        <f aca="false">CT157+$F167*CT14</f>
        <v>0</v>
      </c>
      <c r="CU168" s="56" t="n">
        <f aca="false">CU157+$F167*CU14</f>
        <v>0</v>
      </c>
      <c r="CV168" s="56" t="n">
        <f aca="false">CV157+$F167*CV14</f>
        <v>0</v>
      </c>
      <c r="CW168" s="56" t="n">
        <f aca="false">CW157+$F167*CW14</f>
        <v>0</v>
      </c>
      <c r="CX168" s="56" t="n">
        <f aca="false">CX157+$F167*CX14</f>
        <v>0</v>
      </c>
      <c r="CY168" s="56" t="n">
        <f aca="false">CY157+$F167*CY14</f>
        <v>0</v>
      </c>
      <c r="CZ168" s="56" t="n">
        <f aca="false">CZ157+$F167*CZ14</f>
        <v>0</v>
      </c>
      <c r="DA168" s="56" t="n">
        <f aca="false">DA157+$F167*DA14</f>
        <v>0</v>
      </c>
      <c r="DB168" s="56" t="n">
        <f aca="false">DB157+$F167*DB14</f>
        <v>0</v>
      </c>
      <c r="DC168" s="56" t="n">
        <f aca="false">DC157+$F167*DC14</f>
        <v>0</v>
      </c>
      <c r="DD168" s="56" t="n">
        <f aca="false">DD157+$F167*DD14</f>
        <v>0</v>
      </c>
      <c r="DE168" s="56" t="n">
        <f aca="false">DE157+$F167*DE14</f>
        <v>0</v>
      </c>
      <c r="DF168" s="56" t="n">
        <f aca="false">DF157+$F167*DF14</f>
        <v>0</v>
      </c>
      <c r="DG168" s="56" t="n">
        <f aca="false">DG157+$F167*DG14</f>
        <v>0</v>
      </c>
      <c r="DH168" s="56" t="n">
        <f aca="false">DH157+$F167*DH14</f>
        <v>0</v>
      </c>
      <c r="DI168" s="56" t="n">
        <f aca="false">DI157+$F167*DI14</f>
        <v>0</v>
      </c>
      <c r="DJ168" s="56" t="n">
        <f aca="false">DJ157+$F167*DJ14</f>
        <v>0</v>
      </c>
      <c r="DK168" s="56" t="n">
        <f aca="false">DK157+$F167*DK14</f>
        <v>0</v>
      </c>
      <c r="DL168" s="56" t="n">
        <f aca="false">DL157+$F167*DL14</f>
        <v>0</v>
      </c>
      <c r="DM168" s="56" t="n">
        <f aca="false">DM157+$F167*DM14</f>
        <v>0</v>
      </c>
      <c r="DN168" s="56" t="n">
        <f aca="false">DN157+$F167*DN14</f>
        <v>0</v>
      </c>
      <c r="DO168" s="56" t="n">
        <f aca="false">DO157+$F167*DO14</f>
        <v>0</v>
      </c>
      <c r="DP168" s="56" t="n">
        <f aca="false">DP157+$F167*DP14</f>
        <v>0</v>
      </c>
      <c r="DQ168" s="56" t="n">
        <f aca="false">DQ157+$F167*DQ14</f>
        <v>0</v>
      </c>
      <c r="DR168" s="56" t="n">
        <f aca="false">DR157+$F167*DR14</f>
        <v>0</v>
      </c>
      <c r="DS168" s="56" t="n">
        <f aca="false">DS157+$F167*DS14</f>
        <v>0</v>
      </c>
      <c r="DT168" s="56" t="n">
        <f aca="false">DT157+$F167*DT14</f>
        <v>0</v>
      </c>
      <c r="DU168" s="56" t="n">
        <f aca="false">DU157+$F167*DU14</f>
        <v>0</v>
      </c>
      <c r="DV168" s="56" t="n">
        <f aca="false">DV157+$F167*DV14</f>
        <v>0</v>
      </c>
      <c r="DW168" s="56" t="n">
        <f aca="false">DW157+$F167*DW14</f>
        <v>0</v>
      </c>
      <c r="DX168" s="56" t="n">
        <f aca="false">DX157+$F167*DX14</f>
        <v>0</v>
      </c>
      <c r="DY168" s="56" t="n">
        <f aca="false">DY157+$F167*DY14</f>
        <v>0</v>
      </c>
      <c r="DZ168" s="56" t="n">
        <f aca="false">DZ157+$F167*DZ14</f>
        <v>0</v>
      </c>
      <c r="EA168" s="56" t="n">
        <f aca="false">EA157+$F167*EA14</f>
        <v>0</v>
      </c>
      <c r="EB168" s="56" t="n">
        <f aca="false">EB157+$F167*EB14</f>
        <v>0</v>
      </c>
      <c r="EC168" s="56" t="n">
        <f aca="false">EC157+$F167*EC14</f>
        <v>0</v>
      </c>
      <c r="ED168" s="56" t="n">
        <f aca="false">ED157+$F167*ED14</f>
        <v>0</v>
      </c>
      <c r="EE168" s="56" t="n">
        <f aca="false">EE157+$F167*EE14</f>
        <v>0</v>
      </c>
      <c r="EF168" s="56" t="n">
        <f aca="false">EF157+$F167*EF14</f>
        <v>0</v>
      </c>
      <c r="EG168" s="56" t="n">
        <f aca="false">EG157+$F167*EG14</f>
        <v>0</v>
      </c>
      <c r="EH168" s="56" t="n">
        <f aca="false">EH157+$F167*EH14</f>
        <v>0</v>
      </c>
      <c r="EI168" s="56" t="n">
        <f aca="false">EI157+$F167*EI14</f>
        <v>0</v>
      </c>
      <c r="EJ168" s="56" t="n">
        <f aca="false">EJ157+$F167*EJ14</f>
        <v>0</v>
      </c>
      <c r="EK168" s="56" t="n">
        <f aca="false">EK157+$F167*EK14</f>
        <v>0</v>
      </c>
      <c r="EL168" s="56" t="n">
        <f aca="false">EL157+$F167*EL14</f>
        <v>0</v>
      </c>
      <c r="EM168" s="56" t="n">
        <f aca="false">EM157+$F167*EM14</f>
        <v>0</v>
      </c>
      <c r="EN168" s="56" t="n">
        <f aca="false">EN157+$F167*EN14</f>
        <v>0</v>
      </c>
      <c r="EO168" s="56" t="n">
        <f aca="false">EO157+$F167*EO14</f>
        <v>0</v>
      </c>
      <c r="EP168" s="56" t="n">
        <f aca="false">EP157+$F167*EP14</f>
        <v>0</v>
      </c>
      <c r="EQ168" s="56" t="n">
        <f aca="false">EQ157+$F167*EQ14</f>
        <v>0</v>
      </c>
      <c r="ER168" s="56" t="n">
        <f aca="false">ER157+$F167*ER14</f>
        <v>0</v>
      </c>
      <c r="ES168" s="56" t="n">
        <f aca="false">ES157+$F167*ES14</f>
        <v>0</v>
      </c>
      <c r="ET168" s="56" t="n">
        <f aca="false">ET157+$F167*ET14</f>
        <v>0</v>
      </c>
    </row>
    <row r="169" customFormat="false" ht="15" hidden="false" customHeight="false" outlineLevel="0" collapsed="false">
      <c r="C169" s="31" t="s">
        <v>77</v>
      </c>
      <c r="D169" s="12" t="s">
        <v>35</v>
      </c>
      <c r="E169" s="59" t="n">
        <f aca="false">XIRR($J168:$ET168,$J$4:$ET$4)</f>
        <v>0.378454368531697</v>
      </c>
    </row>
    <row r="170" customFormat="false" ht="15" hidden="false" customHeight="false" outlineLevel="0" collapsed="false">
      <c r="C170" s="31" t="s">
        <v>563</v>
      </c>
      <c r="D170" s="12" t="s">
        <v>13</v>
      </c>
      <c r="E170" s="60" t="n">
        <f aca="false">$F167/-$I157</f>
        <v>1.77775514692048</v>
      </c>
    </row>
    <row r="171" customFormat="false" ht="15" hidden="false" customHeight="false" outlineLevel="0" collapsed="false">
      <c r="C171" s="31" t="s">
        <v>79</v>
      </c>
      <c r="D171" s="12" t="s">
        <v>222</v>
      </c>
      <c r="E171" s="56" t="n">
        <f aca="false">XNPV(In_Discount_Rate,$J168:$ET168,$J$4:$ET$4)</f>
        <v>30754.8631039482</v>
      </c>
    </row>
    <row r="172" customFormat="false" ht="15" hidden="false" customHeight="false" outlineLevel="0" collapsed="false">
      <c r="A172" s="36"/>
      <c r="B172" s="36"/>
      <c r="C172" s="36" t="s">
        <v>564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</row>
    <row r="173" customFormat="false" ht="15" hidden="false" customHeight="false" outlineLevel="0" collapsed="false">
      <c r="C173" s="1" t="s">
        <v>85</v>
      </c>
      <c r="D173" s="12" t="s">
        <v>222</v>
      </c>
      <c r="E173" s="47" t="n">
        <f aca="false">$E49-$I47-$I50</f>
        <v>8234.65753424658</v>
      </c>
    </row>
    <row r="174" customFormat="false" ht="15" hidden="false" customHeight="false" outlineLevel="0" collapsed="false">
      <c r="C174" s="1" t="s">
        <v>86</v>
      </c>
      <c r="D174" s="12" t="s">
        <v>222</v>
      </c>
      <c r="E174" s="47" t="n">
        <f aca="false">-($I57+$I46)</f>
        <v>3519.62451197093</v>
      </c>
    </row>
    <row r="175" customFormat="false" ht="15" hidden="false" customHeight="false" outlineLevel="0" collapsed="false">
      <c r="C175" s="1" t="s">
        <v>87</v>
      </c>
      <c r="D175" s="12" t="s">
        <v>222</v>
      </c>
      <c r="E175" s="47" t="n">
        <f aca="false">-($I93+$I53+$I94)-SUMIF($J$4:$ET$4,"&lt;="&amp;In_COD,$J118:$ET118)</f>
        <v>150912.878676463</v>
      </c>
    </row>
    <row r="176" customFormat="false" ht="15" hidden="false" customHeight="false" outlineLevel="0" collapsed="false">
      <c r="C176" s="1" t="s">
        <v>88</v>
      </c>
      <c r="D176" s="12" t="s">
        <v>222</v>
      </c>
      <c r="E176" s="47" t="n">
        <f aca="false">$I98-$I102-$I103-$F58</f>
        <v>8546.62590022075</v>
      </c>
    </row>
    <row r="177" customFormat="false" ht="15" hidden="false" customHeight="false" outlineLevel="0" collapsed="false">
      <c r="C177" s="31" t="s">
        <v>83</v>
      </c>
      <c r="D177" s="12" t="s">
        <v>222</v>
      </c>
      <c r="E177" s="56" t="n">
        <f aca="false">SUM($E173:$E176)</f>
        <v>171213.786622901</v>
      </c>
    </row>
    <row r="178" customFormat="false" ht="15" hidden="false" customHeight="false" outlineLevel="0" collapsed="false">
      <c r="C178" s="1" t="s">
        <v>565</v>
      </c>
      <c r="D178" s="12" t="s">
        <v>222</v>
      </c>
      <c r="E178" s="47" t="n">
        <f aca="false">-$I86</f>
        <v>1418.21917808219</v>
      </c>
      <c r="F178" s="47" t="n">
        <f aca="false">$F85</f>
        <v>6993.56164383562</v>
      </c>
    </row>
    <row r="179" customFormat="false" ht="15" hidden="false" customHeight="false" outlineLevel="0" collapsed="false">
      <c r="C179" s="31" t="s">
        <v>566</v>
      </c>
      <c r="D179" s="12" t="s">
        <v>222</v>
      </c>
      <c r="E179" s="56" t="n">
        <f aca="false">$E177-$E49</f>
        <v>164220.224979066</v>
      </c>
      <c r="F179" s="56" t="n">
        <f aca="false">$I97+$I98-$I157</f>
        <v>164220.224979066</v>
      </c>
    </row>
    <row r="180" customFormat="false" ht="15" hidden="false" customHeight="false" outlineLevel="0" collapsed="false">
      <c r="C180" s="1" t="s">
        <v>567</v>
      </c>
      <c r="D180" s="12" t="s">
        <v>27</v>
      </c>
      <c r="E180" s="47" t="n">
        <f aca="false">$E179/$F24</f>
        <v>1642.20224979066</v>
      </c>
    </row>
    <row r="182" customFormat="false" ht="15" hidden="false" customHeight="false" outlineLevel="0" collapsed="false">
      <c r="A182" s="10" t="s">
        <v>13</v>
      </c>
      <c r="B182" s="10"/>
      <c r="C182" s="10" t="s">
        <v>152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</row>
    <row r="183" customFormat="false" ht="15" hidden="false" customHeight="false" outlineLevel="0" collapsed="false">
      <c r="C183" s="31" t="s">
        <v>568</v>
      </c>
      <c r="D183" s="12" t="s">
        <v>222</v>
      </c>
      <c r="I183" s="56" t="n">
        <f aca="false">SUM(J183:ET183)</f>
        <v>287506.93004095</v>
      </c>
      <c r="J183" s="56" t="n">
        <f aca="false">J59+J104+J97+J118+J101+J99+J127+J86-$F142*J12</f>
        <v>-400</v>
      </c>
      <c r="K183" s="56" t="n">
        <f aca="false">K59+K104+K97+K118+K101+K99+K127+K86-$F142*K12</f>
        <v>-1437.78053818728</v>
      </c>
      <c r="L183" s="56" t="n">
        <f aca="false">L59+L104+L97+L118+L101+L99+L127+L86-$F142*L12</f>
        <v>-691.910911990993</v>
      </c>
      <c r="M183" s="56" t="n">
        <f aca="false">M59+M104+M97+M118+M101+M99+M127+M86-$F142*M12</f>
        <v>-148.451634452993</v>
      </c>
      <c r="N183" s="56" t="n">
        <f aca="false">N59+N104+N97+N118+N101+N99+N127+N86-$F142*N12</f>
        <v>-149.601261024582</v>
      </c>
      <c r="O183" s="56" t="n">
        <f aca="false">O59+O104+O97+O118+O101+O99+O127+O86-$F142*O12</f>
        <v>-290.127288421843</v>
      </c>
      <c r="P183" s="56" t="n">
        <f aca="false">P59+P104+P97+P118+P101+P99+P127+P86-$F142*P12</f>
        <v>-1394.65781281475</v>
      </c>
      <c r="Q183" s="56" t="n">
        <f aca="false">Q59+Q104+Q97+Q118+Q101+Q99+Q127+Q86-$F142*Q12</f>
        <v>-109.225607055733</v>
      </c>
      <c r="R183" s="56" t="n">
        <f aca="false">R59+R104+R97+R118+R101+R99+R127+R86-$F142*R12</f>
        <v>-269.857154566657</v>
      </c>
      <c r="S183" s="56" t="n">
        <f aca="false">S59+S104+S97+S118+S101+S99+S127+S86-$F142*S12</f>
        <v>-422.991783283459</v>
      </c>
      <c r="T183" s="56" t="n">
        <f aca="false">T59+T104+T97+T118+T101+T99+T127+T86-$F142*T12</f>
        <v>-20587.5113339088</v>
      </c>
      <c r="U183" s="56" t="n">
        <f aca="false">U59+U104+U97+U118+U101+U99+U127+U86-$F142*U12</f>
        <v>-104.616018014637</v>
      </c>
      <c r="V183" s="56" t="n">
        <f aca="false">V59+V104+V97+V118+V101+V99+V127+V86-$F142*V12</f>
        <v>-105.765644586226</v>
      </c>
      <c r="W183" s="56" t="n">
        <f aca="false">W59+W104+W97+W118+W101+W99+W127+W86-$F142*W12</f>
        <v>-9816.25417863877</v>
      </c>
      <c r="X183" s="56" t="n">
        <f aca="false">X59+X104+X97+X118+X101+X99+X127+X86-$F142*X12</f>
        <v>-4661.61083132373</v>
      </c>
      <c r="Y183" s="56" t="n">
        <f aca="false">Y59+Y104+Y97+Y118+Y101+Y99+Y127+Y86-$F142*Y12</f>
        <v>-4688.46029001015</v>
      </c>
      <c r="Z183" s="56" t="n">
        <f aca="false">Z59+Z104+Z97+Z118+Z101+Z99+Z127+Z86-$F142*Z12</f>
        <v>-4714.48125405884</v>
      </c>
      <c r="AA183" s="56" t="n">
        <f aca="false">AA59+AA104+AA97+AA118+AA101+AA99+AA127+AA86-$F142*AA12</f>
        <v>-4688.7004503316</v>
      </c>
      <c r="AB183" s="56" t="n">
        <f aca="false">AB59+AB104+AB97+AB118+AB101+AB99+AB127+AB86-$F142*AB12</f>
        <v>-4563.44624851397</v>
      </c>
      <c r="AC183" s="56" t="n">
        <f aca="false">AC59+AC104+AC97+AC118+AC101+AC99+AC127+AC86-$F142*AC12</f>
        <v>-4589.20498961362</v>
      </c>
      <c r="AD183" s="56" t="n">
        <f aca="false">AD59+AD104+AD97+AD118+AD101+AD99+AD127+AD86-$F142*AD12</f>
        <v>-9614.13523607553</v>
      </c>
      <c r="AE183" s="56" t="n">
        <f aca="false">AE59+AE104+AE97+AE118+AE101+AE99+AE127+AE86-$F142*AE12</f>
        <v>1037.68917836884</v>
      </c>
      <c r="AF183" s="56" t="n">
        <f aca="false">AF59+AF104+AF97+AF118+AF101+AF99+AF127+AF86-$F142*AF12</f>
        <v>-396.777138633818</v>
      </c>
      <c r="AG183" s="56" t="n">
        <f aca="false">AG59+AG104+AG97+AG118+AG101+AG99+AG127+AG86-$F142*AG12</f>
        <v>1021.44203944837</v>
      </c>
      <c r="AH183" s="56" t="n">
        <f aca="false">AH59+AH104+AH97+AH118+AH101+AH99+AH127+AH86-$F142*AH12</f>
        <v>1065.71779487514</v>
      </c>
      <c r="AI183" s="56" t="n">
        <f aca="false">AI59+AI104+AI97+AI118+AI101+AI99+AI127+AI86-$F142*AI12</f>
        <v>1051.0237613614</v>
      </c>
      <c r="AJ183" s="56" t="n">
        <f aca="false">AJ59+AJ104+AJ97+AJ118+AJ101+AJ99+AJ127+AJ86-$F142*AJ12</f>
        <v>967.855456140572</v>
      </c>
      <c r="AK183" s="56" t="n">
        <f aca="false">AK59+AK104+AK97+AK118+AK101+AK99+AK127+AK86-$F142*AK12</f>
        <v>1033.4830359105</v>
      </c>
      <c r="AL183" s="56" t="n">
        <f aca="false">AL59+AL104+AL97+AL118+AL101+AL99+AL127+AL86-$F142*AL12</f>
        <v>1074.64840725743</v>
      </c>
      <c r="AM183" s="56" t="n">
        <f aca="false">AM59+AM104+AM97+AM118+AM101+AM99+AM127+AM86-$F142*AM12</f>
        <v>1058.946365332</v>
      </c>
      <c r="AN183" s="56" t="n">
        <f aca="false">AN59+AN104+AN97+AN118+AN101+AN99+AN127+AN86-$F142*AN12</f>
        <v>994.711877093503</v>
      </c>
      <c r="AO183" s="56" t="n">
        <f aca="false">AO59+AO104+AO97+AO118+AO101+AO99+AO127+AO86-$F142*AO12</f>
        <v>1035.91913713534</v>
      </c>
      <c r="AP183" s="56" t="n">
        <f aca="false">AP59+AP104+AP97+AP118+AP101+AP99+AP127+AP86-$F142*AP12</f>
        <v>1077.09762027179</v>
      </c>
      <c r="AQ183" s="56" t="n">
        <f aca="false">AQ59+AQ104+AQ97+AQ118+AQ101+AQ99+AQ127+AQ86-$F142*AQ12</f>
        <v>1061.19607751072</v>
      </c>
      <c r="AR183" s="56" t="n">
        <f aca="false">AR59+AR104+AR97+AR118+AR101+AR99+AR127+AR86-$F142*AR12</f>
        <v>996.359693051562</v>
      </c>
      <c r="AS183" s="56" t="n">
        <f aca="false">AS59+AS104+AS97+AS118+AS101+AS99+AS127+AS86-$F142*AS12</f>
        <v>1037.57223061168</v>
      </c>
      <c r="AT183" s="56" t="n">
        <f aca="false">AT59+AT104+AT97+AT118+AT101+AT99+AT127+AT86-$F142*AT12</f>
        <v>1078.75452521727</v>
      </c>
      <c r="AU183" s="56" t="n">
        <f aca="false">AU59+AU104+AU97+AU118+AU101+AU99+AU127+AU86-$F142*AU12</f>
        <v>1062.64737402308</v>
      </c>
      <c r="AV183" s="56" t="n">
        <f aca="false">AV59+AV104+AV97+AV118+AV101+AV99+AV127+AV86-$F142*AV12</f>
        <v>1040.94968109009</v>
      </c>
      <c r="AW183" s="56" t="n">
        <f aca="false">AW59+AW104+AW97+AW118+AW101+AW99+AW127+AW86-$F142*AW12</f>
        <v>1038.40698572612</v>
      </c>
      <c r="AX183" s="56" t="n">
        <f aca="false">AX59+AX104+AX97+AX118+AX101+AX99+AX127+AX86-$F142*AX12</f>
        <v>1079.58336778219</v>
      </c>
      <c r="AY183" s="56" t="n">
        <f aca="false">AY59+AY104+AY97+AY118+AY101+AY99+AY127+AY86-$F142*AY12</f>
        <v>1063.26420819321</v>
      </c>
      <c r="AZ183" s="56" t="n">
        <f aca="false">AZ59+AZ104+AZ97+AZ118+AZ101+AZ99+AZ127+AZ86-$F142*AZ12</f>
        <v>997.192853302776</v>
      </c>
      <c r="BA183" s="56" t="n">
        <f aca="false">BA59+BA104+BA97+BA118+BA101+BA99+BA127+BA86-$F142*BA12</f>
        <v>1038.38655959095</v>
      </c>
      <c r="BB183" s="56" t="n">
        <f aca="false">BB59+BB104+BB97+BB118+BB101+BB99+BB127+BB86-$F142*BB12</f>
        <v>1079.54686295618</v>
      </c>
      <c r="BC183" s="56" t="n">
        <f aca="false">BC59+BC104+BC97+BC118+BC101+BC99+BC127+BC86-$F142*BC12</f>
        <v>1063.00898769499</v>
      </c>
      <c r="BD183" s="56" t="n">
        <f aca="false">BD59+BD104+BD97+BD118+BD101+BD99+BD127+BD86-$F142*BD12</f>
        <v>996.303826447978</v>
      </c>
      <c r="BE183" s="56" t="n">
        <f aca="false">BE59+BE104+BE97+BE118+BE101+BE99+BE127+BE86-$F142*BE12</f>
        <v>1037.47252823187</v>
      </c>
      <c r="BF183" s="56" t="n">
        <f aca="false">BF59+BF104+BF97+BF118+BF101+BF99+BF127+BF86-$F142*BF12</f>
        <v>1078.60612536964</v>
      </c>
      <c r="BG183" s="56" t="n">
        <f aca="false">BG59+BG104+BG97+BG118+BG101+BG99+BG127+BG86-$F142*BG12</f>
        <v>1061.84250412526</v>
      </c>
      <c r="BH183" s="56" t="n">
        <f aca="false">BH59+BH104+BH97+BH118+BH101+BH99+BH127+BH86-$F142*BH12</f>
        <v>994.492139597744</v>
      </c>
      <c r="BI183" s="56" t="n">
        <f aca="false">BI59+BI104+BI97+BI118+BI101+BI99+BI127+BI86-$F142*BI12</f>
        <v>1035.62481447865</v>
      </c>
      <c r="BJ183" s="56" t="n">
        <f aca="false">BJ59+BJ104+BJ97+BJ118+BJ101+BJ99+BJ127+BJ86-$F142*BJ12</f>
        <v>1076.72059629541</v>
      </c>
      <c r="BK183" s="56" t="n">
        <f aca="false">BK59+BK104+BK97+BK118+BK101+BK99+BK127+BK86-$F142*BK12</f>
        <v>1059.72385919996</v>
      </c>
      <c r="BL183" s="56" t="n">
        <f aca="false">BL59+BL104+BL97+BL118+BL101+BL99+BL127+BL86-$F142*BL12</f>
        <v>1035.90341989363</v>
      </c>
      <c r="BM183" s="56" t="n">
        <f aca="false">BM59+BM104+BM97+BM118+BM101+BM99+BM127+BM86-$F142*BM12</f>
        <v>1032.80161239613</v>
      </c>
      <c r="BN183" s="56" t="n">
        <f aca="false">BN59+BN104+BN97+BN118+BN101+BN99+BN127+BN86-$F142*BN12</f>
        <v>1073.84796714762</v>
      </c>
      <c r="BO183" s="56" t="n">
        <f aca="false">BO59+BO104+BO97+BO118+BO101+BO99+BO127+BO86-$F142*BO12</f>
        <v>1056.61038740647</v>
      </c>
      <c r="BP183" s="56" t="n">
        <f aca="false">BP59+BP104+BP97+BP118+BP101+BP99+BP127+BP86-$F142*BP12</f>
        <v>987.933768987489</v>
      </c>
      <c r="BQ183" s="56" t="n">
        <f aca="false">BQ59+BQ104+BQ97+BQ118+BQ101+BQ99+BQ127+BQ86-$F142*BQ12</f>
        <v>1028.95930808444</v>
      </c>
      <c r="BR183" s="56" t="n">
        <f aca="false">BR59+BR104+BR97+BR118+BR101+BR99+BR127+BR86-$F142*BR12</f>
        <v>1069.94409930481</v>
      </c>
      <c r="BS183" s="56" t="n">
        <f aca="false">BS59+BS104+BS97+BS118+BS101+BS99+BS127+BS86-$F142*BS12</f>
        <v>4060.1092793242</v>
      </c>
      <c r="BT183" s="56" t="n">
        <f aca="false">BT59+BT104+BT97+BT118+BT101+BT99+BT127+BT86-$F142*BT12</f>
        <v>3994.13434202624</v>
      </c>
      <c r="BU183" s="56" t="n">
        <f aca="false">BU59+BU104+BU97+BU118+BU101+BU99+BU127+BU86-$F142*BU12</f>
        <v>4038.5136124932</v>
      </c>
      <c r="BV183" s="56" t="n">
        <f aca="false">BV59+BV104+BV97+BV118+BV101+BV99+BV127+BV86-$F142*BV12</f>
        <v>4082.89288296016</v>
      </c>
      <c r="BW183" s="56" t="n">
        <f aca="false">BW59+BW104+BW97+BW118+BW101+BW99+BW127+BW86-$F142*BW12</f>
        <v>4068.66100375111</v>
      </c>
      <c r="BX183" s="56" t="n">
        <f aca="false">BX59+BX104+BX97+BX118+BX101+BX99+BX127+BX86-$F142*BX12</f>
        <v>4002.16336676262</v>
      </c>
      <c r="BY183" s="56" t="n">
        <f aca="false">BY59+BY104+BY97+BY118+BY101+BY99+BY127+BY86-$F142*BY12</f>
        <v>4046.63184861554</v>
      </c>
      <c r="BZ183" s="56" t="n">
        <f aca="false">BZ59+BZ104+BZ97+BZ118+BZ101+BZ99+BZ127+BZ86-$F142*BZ12</f>
        <v>4091.10033046846</v>
      </c>
      <c r="CA183" s="56" t="n">
        <f aca="false">CA59+CA104+CA97+CA118+CA101+CA99+CA127+CA86-$F142*CA12</f>
        <v>4076.78102375911</v>
      </c>
      <c r="CB183" s="56" t="n">
        <f aca="false">CB59+CB104+CB97+CB118+CB101+CB99+CB127+CB86-$F142*CB12</f>
        <v>4054.30866905455</v>
      </c>
      <c r="CC183" s="56" t="n">
        <f aca="false">CC59+CC104+CC97+CC118+CC101+CC99+CC127+CC86-$F142*CC12</f>
        <v>4054.30866905455</v>
      </c>
      <c r="CD183" s="56" t="n">
        <f aca="false">CD59+CD104+CD97+CD118+CD101+CD99+CD127+CD86-$F142*CD12</f>
        <v>4098.86151157164</v>
      </c>
      <c r="CE183" s="56" t="n">
        <f aca="false">CE59+CE104+CE97+CE118+CE101+CE99+CE127+CE86-$F142*CE12</f>
        <v>4084.45454603226</v>
      </c>
      <c r="CF183" s="56" t="n">
        <f aca="false">CF59+CF104+CF97+CF118+CF101+CF99+CF127+CF86-$F142*CF12</f>
        <v>4016.89686178095</v>
      </c>
      <c r="CG183" s="56" t="n">
        <f aca="false">CG59+CG104+CG97+CG118+CG101+CG99+CG127+CG86-$F142*CG12</f>
        <v>4061.52904913407</v>
      </c>
      <c r="CH183" s="56" t="n">
        <f aca="false">CH59+CH104+CH97+CH118+CH101+CH99+CH127+CH86-$F142*CH12</f>
        <v>4106.16123648719</v>
      </c>
      <c r="CI183" s="56" t="n">
        <f aca="false">CI59+CI104+CI97+CI118+CI101+CI99+CI127+CI86-$F142*CI12</f>
        <v>4091.66638710419</v>
      </c>
      <c r="CJ183" s="56" t="n">
        <f aca="false">CJ59+CJ104+CJ97+CJ118+CJ101+CJ99+CJ127+CJ86-$F142*CJ12</f>
        <v>4023.57122153205</v>
      </c>
      <c r="CK183" s="56" t="n">
        <f aca="false">CK59+CK104+CK97+CK118+CK101+CK99+CK127+CK86-$F142*CK12</f>
        <v>4068.27756843796</v>
      </c>
      <c r="CL183" s="56" t="n">
        <f aca="false">CL59+CL104+CL97+CL118+CL101+CL99+CL127+CL86-$F142*CL12</f>
        <v>4112.98391534387</v>
      </c>
      <c r="CM183" s="56" t="n">
        <f aca="false">CM59+CM104+CM97+CM118+CM101+CM99+CM127+CM86-$F142*CM12</f>
        <v>4098.4009636387</v>
      </c>
      <c r="CN183" s="56" t="n">
        <f aca="false">CN59+CN104+CN97+CN118+CN101+CN99+CN127+CN86-$F142*CN12</f>
        <v>4029.76325369152</v>
      </c>
      <c r="CO183" s="56" t="n">
        <f aca="false">CO59+CO104+CO97+CO118+CO101+CO99+CO127+CO86-$F142*CO12</f>
        <v>4074.53840095476</v>
      </c>
      <c r="CP183" s="56" t="n">
        <f aca="false">CP59+CP104+CP97+CP118+CP101+CP99+CP127+CP86-$F142*CP12</f>
        <v>4119.313548218</v>
      </c>
      <c r="CQ183" s="56" t="n">
        <f aca="false">CQ59+CQ104+CQ97+CQ118+CQ101+CQ99+CQ127+CQ86-$F142*CQ12</f>
        <v>4104.64228247146</v>
      </c>
      <c r="CR183" s="56" t="n">
        <f aca="false">CR59+CR104+CR97+CR118+CR101+CR99+CR127+CR86-$F142*CR12</f>
        <v>4080.29530498012</v>
      </c>
      <c r="CS183" s="56" t="n">
        <f aca="false">CS59+CS104+CS97+CS118+CS101+CS99+CS127+CS86-$F142*CS12</f>
        <v>4080.29530498012</v>
      </c>
      <c r="CT183" s="56" t="n">
        <f aca="false">CT59+CT104+CT97+CT118+CT101+CT99+CT127+CT86-$F142*CT12</f>
        <v>4125.13371492496</v>
      </c>
      <c r="CU183" s="56" t="n">
        <f aca="false">CU59+CU104+CU97+CU118+CU101+CU99+CU127+CU86-$F142*CU12</f>
        <v>4110.37393040698</v>
      </c>
      <c r="CV183" s="56" t="n">
        <f aca="false">CV59+CV104+CV97+CV118+CV101+CV99+CV127+CV86-$F142*CV12</f>
        <v>4040.63566098232</v>
      </c>
      <c r="CW183" s="56" t="n">
        <f aca="false">CW59+CW104+CW97+CW118+CW101+CW99+CW127+CW86-$F142*CW12</f>
        <v>4085.53161277101</v>
      </c>
      <c r="CX183" s="56" t="n">
        <f aca="false">CX59+CX104+CX97+CX118+CX101+CX99+CX127+CX86-$F142*CX12</f>
        <v>4130.4275645597</v>
      </c>
      <c r="CY183" s="56" t="n">
        <f aca="false">CY59+CY104+CY97+CY118+CY101+CY99+CY127+CY86-$F142*CY12</f>
        <v>4115.57906376473</v>
      </c>
      <c r="CZ183" s="56" t="n">
        <f aca="false">CZ59+CZ104+CZ97+CZ118+CZ101+CZ99+CZ127+CZ86-$F142*CZ12</f>
        <v>4045.28263511113</v>
      </c>
      <c r="DA183" s="56" t="n">
        <f aca="false">DA59+DA104+DA97+DA118+DA101+DA99+DA127+DA86-$F142*DA12</f>
        <v>4090.2302199457</v>
      </c>
      <c r="DB183" s="56" t="n">
        <f aca="false">DB59+DB104+DB97+DB118+DB101+DB99+DB127+DB86-$F142*DB12</f>
        <v>4135.17780478027</v>
      </c>
      <c r="DC183" s="56" t="n">
        <f aca="false">DC59+DC104+DC97+DC118+DC101+DC99+DC127+DC86-$F142*DC12</f>
        <v>4120.24039766833</v>
      </c>
      <c r="DD183" s="56" t="n">
        <f aca="false">DD59+DD104+DD97+DD118+DD101+DD99+DD127+DD86-$F142*DD12</f>
        <v>4049.38045841856</v>
      </c>
      <c r="DE183" s="56" t="n">
        <f aca="false">DE59+DE104+DE97+DE118+DE101+DE99+DE127+DE86-$F142*DE12</f>
        <v>4094.37357462321</v>
      </c>
      <c r="DF183" s="56" t="n">
        <f aca="false">DF59+DF104+DF97+DF118+DF101+DF99+DF127+DF86-$F142*DF12</f>
        <v>4139.36669082786</v>
      </c>
      <c r="DG183" s="56" t="n">
        <f aca="false">DG59+DG104+DG97+DG118+DG101+DG99+DG127+DG86-$F142*DG12</f>
        <v>3948.00494486583</v>
      </c>
      <c r="DH183" s="56" t="n">
        <f aca="false">DH59+DH104+DH97+DH118+DH101+DH99+DH127+DH86-$F142*DH12</f>
        <v>3923.5251035924</v>
      </c>
      <c r="DI183" s="56" t="n">
        <f aca="false">DI59+DI104+DI97+DI118+DI101+DI99+DI127+DI86-$F142*DI12</f>
        <v>3923.5251035924</v>
      </c>
      <c r="DJ183" s="56" t="n">
        <f aca="false">DJ59+DJ104+DJ97+DJ118+DJ101+DJ99+DJ127+DJ86-$F142*DJ12</f>
        <v>3966.64076407144</v>
      </c>
      <c r="DK183" s="56" t="n">
        <f aca="false">DK59+DK104+DK97+DK118+DK101+DK99+DK127+DK86-$F142*DK12</f>
        <v>3951.52500530895</v>
      </c>
      <c r="DL183" s="56" t="n">
        <f aca="false">DL59+DL104+DL97+DL118+DL101+DL99+DL127+DL86-$F142*DL12</f>
        <v>3883.35506214572</v>
      </c>
      <c r="DM183" s="56" t="n">
        <f aca="false">DM59+DM104+DM97+DM118+DM101+DM99+DM127+DM86-$F142*DM12</f>
        <v>3926.50345172512</v>
      </c>
      <c r="DN183" s="56" t="n">
        <f aca="false">DN59+DN104+DN97+DN118+DN101+DN99+DN127+DN86-$F142*DN12</f>
        <v>3969.65184130451</v>
      </c>
      <c r="DO183" s="56" t="n">
        <f aca="false">DO59+DO104+DO97+DO118+DO101+DO99+DO127+DO86-$F142*DO12</f>
        <v>3954.44665339857</v>
      </c>
      <c r="DP183" s="56" t="n">
        <f aca="false">DP59+DP104+DP97+DP118+DP101+DP99+DP127+DP86-$F142*DP12</f>
        <v>3885.69668644693</v>
      </c>
      <c r="DQ183" s="56" t="n">
        <f aca="false">DQ59+DQ104+DQ97+DQ118+DQ101+DQ99+DQ127+DQ86-$F142*DQ12</f>
        <v>3928.87109407412</v>
      </c>
      <c r="DR183" s="56" t="n">
        <f aca="false">DR59+DR104+DR97+DR118+DR101+DR99+DR127+DR86-$F142*DR12</f>
        <v>3972.04550170131</v>
      </c>
      <c r="DS183" s="56" t="n">
        <f aca="false">DS59+DS104+DS97+DS118+DS101+DS99+DS127+DS86-$F142*DS12</f>
        <v>3956.75072700462</v>
      </c>
      <c r="DT183" s="56" t="n">
        <f aca="false">DT59+DT104+DT97+DT118+DT101+DT99+DT127+DT86-$F142*DT12</f>
        <v>3887.415073898</v>
      </c>
      <c r="DU183" s="56" t="n">
        <f aca="false">DU59+DU104+DU97+DU118+DU101+DU99+DU127+DU86-$F142*DU12</f>
        <v>3930.60857471908</v>
      </c>
      <c r="DV183" s="56" t="n">
        <f aca="false">DV59+DV104+DV97+DV118+DV101+DV99+DV127+DV86-$F142*DV12</f>
        <v>3973.80207554017</v>
      </c>
      <c r="DW183" s="56" t="n">
        <f aca="false">DW59+DW104+DW97+DW118+DW101+DW99+DW127+DW86-$F142*DW12</f>
        <v>3958.41756516718</v>
      </c>
      <c r="DX183" s="56" t="n">
        <f aca="false">DX59+DX104+DX97+DX118+DX101+DX99+DX127+DX86-$F142*DX12</f>
        <v>3931.695931801</v>
      </c>
      <c r="DY183" s="56" t="n">
        <f aca="false">DY59+DY104+DY97+DY118+DY101+DY99+DY127+DY86-$F142*DY12</f>
        <v>3931.695931801</v>
      </c>
      <c r="DZ183" s="56" t="n">
        <f aca="false">DZ59+DZ104+DZ97+DZ118+DZ101+DZ99+DZ127+DZ86-$F142*DZ12</f>
        <v>3974.90138160101</v>
      </c>
      <c r="EA183" s="56" t="n">
        <f aca="false">EA59+EA104+EA97+EA118+EA101+EA99+EA127+EA86-$F142*EA12</f>
        <v>3959.42699570617</v>
      </c>
      <c r="EB183" s="56" t="n">
        <f aca="false">EB59+EB104+EB97+EB118+EB101+EB99+EB127+EB86-$F142*EB12</f>
        <v>3888.90265545373</v>
      </c>
      <c r="EC183" s="56" t="n">
        <f aca="false">EC59+EC104+EC97+EC118+EC101+EC99+EC127+EC86-$F142*EC12</f>
        <v>3932.11268495877</v>
      </c>
      <c r="ED183" s="56" t="n">
        <f aca="false">ED59+ED104+ED97+ED118+ED101+ED99+ED127+ED86-$F142*ED12</f>
        <v>3975.32271446381</v>
      </c>
      <c r="EE183" s="56" t="n">
        <f aca="false">EE59+EE104+EE97+EE118+EE101+EE99+EE127+EE86-$F142*EE12</f>
        <v>3959.75832252664</v>
      </c>
      <c r="EF183" s="56" t="n">
        <f aca="false">EF59+EF104+EF97+EF118+EF101+EF99+EF127+EF86-$F142*EF12</f>
        <v>3888.63081341921</v>
      </c>
      <c r="EG183" s="56" t="n">
        <f aca="false">EG59+EG104+EG97+EG118+EG101+EG99+EG127+EG86-$F142*EG12</f>
        <v>3931.8378224572</v>
      </c>
      <c r="EH183" s="56" t="n">
        <f aca="false">EH59+EH104+EH97+EH118+EH101+EH99+EH127+EH86-$F142*EH12</f>
        <v>3975.04483149519</v>
      </c>
      <c r="EI183" s="56" t="n">
        <f aca="false">EI59+EI104+EI97+EI118+EI101+EI99+EI127+EI86-$F142*EI12</f>
        <v>3959.39031261208</v>
      </c>
      <c r="EJ183" s="56" t="n">
        <f aca="false">EJ59+EJ104+EJ97+EJ118+EJ101+EJ99+EJ127+EJ86-$F142*EJ12</f>
        <v>3887.65363648219</v>
      </c>
      <c r="EK183" s="56" t="n">
        <f aca="false">EK59+EK104+EK97+EK118+EK101+EK99+EK127+EK86-$F142*EK12</f>
        <v>3930.84978799866</v>
      </c>
      <c r="EL183" s="56" t="n">
        <f aca="false">EL59+EL104+EL97+EL118+EL101+EL99+EL127+EL86-$F142*EL12</f>
        <v>3974.04593951513</v>
      </c>
      <c r="EM183" s="56" t="n">
        <f aca="false">EM59+EM104+EM97+EM118+EM101+EM99+EM127+EM86-$F142*EM12</f>
        <v>3958.30118269824</v>
      </c>
      <c r="EN183" s="56" t="n">
        <f aca="false">EN59+EN104+EN97+EN118+EN101+EN99+EN127+EN86-$F142*EN12</f>
        <v>3929.12646721084</v>
      </c>
      <c r="EO183" s="56" t="n">
        <f aca="false">EO59+EO104+EO97+EO118+EO101+EO99+EO127+EO86-$F142*EO12</f>
        <v>3929.12646721084</v>
      </c>
      <c r="EP183" s="56" t="n">
        <f aca="false">EP59+EP104+EP97+EP118+EP101+EP99+EP127+EP86-$F142*EP12</f>
        <v>3972.30368113624</v>
      </c>
      <c r="EQ183" s="56" t="n">
        <f aca="false">EQ59+EQ104+EQ97+EQ118+EQ101+EQ99+EQ127+EQ86-$F142*EQ12</f>
        <v>3956.46858561953</v>
      </c>
      <c r="ER183" s="56" t="n">
        <f aca="false">ER59+ER104+ER97+ER118+ER101+ER99+ER127+ER86-$F142*ER12</f>
        <v>3883.49522683763</v>
      </c>
      <c r="ES183" s="56" t="n">
        <f aca="false">ES59+ES104+ES97+ES118+ES101+ES99+ES127+ES86-$F142*ES12</f>
        <v>3926.6451738025</v>
      </c>
      <c r="ET183" s="56" t="n">
        <f aca="false">ET59+ET104+ET97+ET118+ET101+ET99+ET127+ET86-$F142*ET12</f>
        <v>3969.79512076736</v>
      </c>
    </row>
    <row r="184" customFormat="false" ht="15" hidden="false" customHeight="false" outlineLevel="0" collapsed="false">
      <c r="C184" s="31" t="s">
        <v>81</v>
      </c>
      <c r="D184" s="12" t="s">
        <v>35</v>
      </c>
      <c r="E184" s="59" t="n">
        <f aca="false">XIRR($J183:$ET183,$J$4:$ET$4)</f>
        <v>0.0949073005175575</v>
      </c>
    </row>
    <row r="185" customFormat="false" ht="15" hidden="false" customHeight="false" outlineLevel="0" collapsed="false">
      <c r="C185" s="31" t="s">
        <v>153</v>
      </c>
      <c r="D185" s="12" t="s">
        <v>13</v>
      </c>
      <c r="E185" s="60" t="n">
        <f aca="false">SUMIF($J183:$ET183,"&gt;0")/-SUMIF($J183:$ET183,"&lt;0")</f>
        <v>4.89335391904422</v>
      </c>
    </row>
    <row r="186" customFormat="false" ht="15" hidden="false" customHeight="false" outlineLevel="0" collapsed="false">
      <c r="C186" s="31" t="s">
        <v>82</v>
      </c>
      <c r="D186" s="12" t="s">
        <v>222</v>
      </c>
      <c r="E186" s="56" t="n">
        <f aca="false">XNPV(In_Discount_Rate,$J183:$ET183,$J$4:$ET$4)</f>
        <v>13363.1648488628</v>
      </c>
    </row>
    <row r="187" customFormat="false" ht="15" hidden="false" customHeight="false" outlineLevel="0" collapsed="false">
      <c r="C187" s="1" t="s">
        <v>569</v>
      </c>
      <c r="D187" s="12" t="s">
        <v>13</v>
      </c>
      <c r="E187" s="52" t="n">
        <f aca="false">MIN($J187:$ET187)</f>
        <v>1.32847346238474</v>
      </c>
      <c r="J187" s="52" t="str">
        <f aca="false">IF(J101+J99&lt;0,(J118+J127)/-(J101+J99),"")</f>
        <v/>
      </c>
      <c r="K187" s="52" t="str">
        <f aca="false">IF(K101+K99&lt;0,(K118+K127)/-(K101+K99),"")</f>
        <v/>
      </c>
      <c r="L187" s="52" t="str">
        <f aca="false">IF(L101+L99&lt;0,(L118+L127)/-(L101+L99),"")</f>
        <v/>
      </c>
      <c r="M187" s="52" t="str">
        <f aca="false">IF(M101+M99&lt;0,(M118+M127)/-(M101+M99),"")</f>
        <v/>
      </c>
      <c r="N187" s="52" t="str">
        <f aca="false">IF(N101+N99&lt;0,(N118+N127)/-(N101+N99),"")</f>
        <v/>
      </c>
      <c r="O187" s="52" t="str">
        <f aca="false">IF(O101+O99&lt;0,(O118+O127)/-(O101+O99),"")</f>
        <v/>
      </c>
      <c r="P187" s="52" t="str">
        <f aca="false">IF(P101+P99&lt;0,(P118+P127)/-(P101+P99),"")</f>
        <v/>
      </c>
      <c r="Q187" s="52" t="str">
        <f aca="false">IF(Q101+Q99&lt;0,(Q118+Q127)/-(Q101+Q99),"")</f>
        <v/>
      </c>
      <c r="R187" s="52" t="str">
        <f aca="false">IF(R101+R99&lt;0,(R118+R127)/-(R101+R99),"")</f>
        <v/>
      </c>
      <c r="S187" s="52" t="str">
        <f aca="false">IF(S101+S99&lt;0,(S118+S127)/-(S101+S99),"")</f>
        <v/>
      </c>
      <c r="T187" s="52" t="str">
        <f aca="false">IF(T101+T99&lt;0,(T118+T127)/-(T101+T99),"")</f>
        <v/>
      </c>
      <c r="U187" s="52" t="str">
        <f aca="false">IF(U101+U99&lt;0,(U118+U127)/-(U101+U99),"")</f>
        <v/>
      </c>
      <c r="V187" s="52" t="str">
        <f aca="false">IF(V101+V99&lt;0,(V118+V127)/-(V101+V99),"")</f>
        <v/>
      </c>
      <c r="W187" s="52" t="str">
        <f aca="false">IF(W101+W99&lt;0,(W118+W127)/-(W101+W99),"")</f>
        <v/>
      </c>
      <c r="X187" s="52" t="str">
        <f aca="false">IF(X101+X99&lt;0,(X118+X127)/-(X101+X99),"")</f>
        <v/>
      </c>
      <c r="Y187" s="52" t="str">
        <f aca="false">IF(Y101+Y99&lt;0,(Y118+Y127)/-(Y101+Y99),"")</f>
        <v/>
      </c>
      <c r="Z187" s="52" t="str">
        <f aca="false">IF(Z101+Z99&lt;0,(Z118+Z127)/-(Z101+Z99),"")</f>
        <v/>
      </c>
      <c r="AA187" s="52" t="str">
        <f aca="false">IF(AA101+AA99&lt;0,(AA118+AA127)/-(AA101+AA99),"")</f>
        <v/>
      </c>
      <c r="AB187" s="52" t="str">
        <f aca="false">IF(AB101+AB99&lt;0,(AB118+AB127)/-(AB101+AB99),"")</f>
        <v/>
      </c>
      <c r="AC187" s="52" t="str">
        <f aca="false">IF(AC101+AC99&lt;0,(AC118+AC127)/-(AC101+AC99),"")</f>
        <v/>
      </c>
      <c r="AD187" s="52" t="str">
        <f aca="false">IF(AD101+AD99&lt;0,(AD118+AD127)/-(AD101+AD99),"")</f>
        <v/>
      </c>
      <c r="AE187" s="52" t="n">
        <f aca="false">IF(AE101+AE99&lt;0,(AE118+AE127)/-(AE101+AE99),"")</f>
        <v>1.38018192774351</v>
      </c>
      <c r="AF187" s="52" t="n">
        <f aca="false">IF(AF101+AF99&lt;0,(AF118+AF127)/-(AF101+AF99),"")</f>
        <v>1.37439775882971</v>
      </c>
      <c r="AG187" s="52" t="n">
        <f aca="false">IF(AG101+AG99&lt;0,(AG118+AG127)/-(AG101+AG99),"")</f>
        <v>1.37439775882971</v>
      </c>
      <c r="AH187" s="52" t="n">
        <f aca="false">IF(AH101+AH99&lt;0,(AH118+AH127)/-(AH101+AH99),"")</f>
        <v>1.38950103090477</v>
      </c>
      <c r="AI187" s="52" t="n">
        <f aca="false">IF(AI101+AI99&lt;0,(AI118+AI127)/-(AI101+AI99),"")</f>
        <v>1.38461548066226</v>
      </c>
      <c r="AJ187" s="52" t="n">
        <f aca="false">IF(AJ101+AJ99&lt;0,(AJ118+AJ127)/-(AJ101+AJ99),"")</f>
        <v>1.35619877328909</v>
      </c>
      <c r="AK187" s="52" t="n">
        <f aca="false">IF(AK101+AK99&lt;0,(AK118+AK127)/-(AK101+AK99),"")</f>
        <v>1.34361792437698</v>
      </c>
      <c r="AL187" s="52" t="n">
        <f aca="false">IF(AL101+AL99&lt;0,(AL118+AL127)/-(AL101+AL99),"")</f>
        <v>1.35730480550317</v>
      </c>
      <c r="AM187" s="52" t="n">
        <f aca="false">IF(AM101+AM99&lt;0,(AM118+AM127)/-(AM101+AM99),"")</f>
        <v>1.35208410727454</v>
      </c>
      <c r="AN187" s="52" t="n">
        <f aca="false">IF(AN101+AN99&lt;0,(AN118+AN127)/-(AN101+AN99),"")</f>
        <v>1.33072708373861</v>
      </c>
      <c r="AO187" s="52" t="n">
        <f aca="false">IF(AO101+AO99&lt;0,(AO118+AO127)/-(AO101+AO99),"")</f>
        <v>1.34442789224038</v>
      </c>
      <c r="AP187" s="52" t="n">
        <f aca="false">IF(AP101+AP99&lt;0,(AP118+AP127)/-(AP101+AP99),"")</f>
        <v>1.35811913284393</v>
      </c>
      <c r="AQ187" s="52" t="n">
        <f aca="false">IF(AQ101+AQ99&lt;0,(AQ118+AQ127)/-(AQ101+AQ99),"")</f>
        <v>1.35283210351874</v>
      </c>
      <c r="AR187" s="52" t="n">
        <f aca="false">IF(AR101+AR99&lt;0,(AR118+AR127)/-(AR101+AR99),"")</f>
        <v>1.33127495833315</v>
      </c>
      <c r="AS187" s="52" t="n">
        <f aca="false">IF(AS101+AS99&lt;0,(AS118+AS127)/-(AS101+AS99),"")</f>
        <v>1.34497752153221</v>
      </c>
      <c r="AT187" s="52" t="n">
        <f aca="false">IF(AT101+AT99&lt;0,(AT118+AT127)/-(AT101+AT99),"")</f>
        <v>1.35867002939324</v>
      </c>
      <c r="AU187" s="52" t="n">
        <f aca="false">IF(AU101+AU99&lt;0,(AU118+AU127)/-(AU101+AU99),"")</f>
        <v>1.35331463828506</v>
      </c>
      <c r="AV187" s="52" t="n">
        <f aca="false">IF(AV101+AV99&lt;0,(AV118+AV127)/-(AV101+AV99),"")</f>
        <v>1.34610047419108</v>
      </c>
      <c r="AW187" s="52" t="n">
        <f aca="false">IF(AW101+AW99&lt;0,(AW118+AW127)/-(AW101+AW99),"")</f>
        <v>1.34525506534262</v>
      </c>
      <c r="AX187" s="52" t="n">
        <f aca="false">IF(AX101+AX99&lt;0,(AX118+AX127)/-(AX101+AX99),"")</f>
        <v>1.35894560736782</v>
      </c>
      <c r="AY187" s="52" t="n">
        <f aca="false">IF(AY101+AY99&lt;0,(AY118+AY127)/-(AY101+AY99),"")</f>
        <v>1.35351972658343</v>
      </c>
      <c r="AZ187" s="52" t="n">
        <f aca="false">IF(AZ101+AZ99&lt;0,(AZ118+AZ127)/-(AZ101+AZ99),"")</f>
        <v>1.33155197187498</v>
      </c>
      <c r="BA187" s="52" t="n">
        <f aca="false">IF(BA101+BA99&lt;0,(BA118+BA127)/-(BA101+BA99),"")</f>
        <v>1.3452482739528</v>
      </c>
      <c r="BB187" s="52" t="n">
        <f aca="false">IF(BB101+BB99&lt;0,(BB118+BB127)/-(BB101+BB99),"")</f>
        <v>1.35893347004954</v>
      </c>
      <c r="BC187" s="52" t="n">
        <f aca="false">IF(BC101+BC99&lt;0,(BC118+BC127)/-(BC101+BC99),"")</f>
        <v>1.35343486951775</v>
      </c>
      <c r="BD187" s="52" t="n">
        <f aca="false">IF(BD101+BD99&lt;0,(BD118+BD127)/-(BD101+BD99),"")</f>
        <v>1.33125638350831</v>
      </c>
      <c r="BE187" s="52" t="n">
        <f aca="false">IF(BE101+BE99&lt;0,(BE118+BE127)/-(BE101+BE99),"")</f>
        <v>1.34494437195585</v>
      </c>
      <c r="BF187" s="52" t="n">
        <f aca="false">IF(BF101+BF99&lt;0,(BF118+BF127)/-(BF101+BF99),"")</f>
        <v>1.35862068862436</v>
      </c>
      <c r="BG187" s="52" t="n">
        <f aca="false">IF(BG101+BG99&lt;0,(BG118+BG127)/-(BG101+BG99),"")</f>
        <v>1.35304703087006</v>
      </c>
      <c r="BH187" s="52" t="n">
        <f aca="false">IF(BH101+BH99&lt;0,(BH118+BH127)/-(BH101+BH99),"")</f>
        <v>1.33065402424989</v>
      </c>
      <c r="BI187" s="52" t="n">
        <f aca="false">IF(BI101+BI99&lt;0,(BI118+BI127)/-(BI101+BI99),"")</f>
        <v>1.34433003428154</v>
      </c>
      <c r="BJ187" s="52" t="n">
        <f aca="false">IF(BJ101+BJ99&lt;0,(BJ118+BJ127)/-(BJ101+BJ99),"")</f>
        <v>1.35799377791143</v>
      </c>
      <c r="BK187" s="52" t="n">
        <f aca="false">IF(BK101+BK99&lt;0,(BK118+BK127)/-(BK101+BK99),"")</f>
        <v>1.35234261256185</v>
      </c>
      <c r="BL187" s="52" t="n">
        <f aca="false">IF(BL101+BL99&lt;0,(BL118+BL127)/-(BL101+BL99),"")</f>
        <v>1.34442266648845</v>
      </c>
      <c r="BM187" s="52" t="n">
        <f aca="false">IF(BM101+BM99&lt;0,(BM118+BM127)/-(BM101+BM99),"")</f>
        <v>1.34339136107068</v>
      </c>
      <c r="BN187" s="52" t="n">
        <f aca="false">IF(BN101+BN99&lt;0,(BN118+BN127)/-(BN101+BN99),"")</f>
        <v>1.3570386709276</v>
      </c>
      <c r="BO187" s="52" t="n">
        <f aca="false">IF(BO101+BO99&lt;0,(BO118+BO127)/-(BO101+BO99),"")</f>
        <v>1.35130742893705</v>
      </c>
      <c r="BP187" s="52" t="n">
        <f aca="false">IF(BP101+BP99&lt;0,(BP118+BP127)/-(BP101+BP99),"")</f>
        <v>1.32847346238474</v>
      </c>
      <c r="BQ187" s="52" t="n">
        <f aca="false">IF(BQ101+BQ99&lt;0,(BQ118+BQ127)/-(BQ101+BQ99),"")</f>
        <v>1.34211385134238</v>
      </c>
      <c r="BR187" s="52" t="n">
        <f aca="false">IF(BR101+BR99&lt;0,(BR118+BR127)/-(BR101+BR99),"")</f>
        <v>1.35574069222977</v>
      </c>
      <c r="BS187" s="52" t="str">
        <f aca="false">IF(BS101+BS99&lt;0,(BS118+BS127)/-(BS101+BS99),"")</f>
        <v/>
      </c>
      <c r="BT187" s="52" t="str">
        <f aca="false">IF(BT101+BT99&lt;0,(BT118+BT127)/-(BT101+BT99),"")</f>
        <v/>
      </c>
      <c r="BU187" s="52" t="str">
        <f aca="false">IF(BU101+BU99&lt;0,(BU118+BU127)/-(BU101+BU99),"")</f>
        <v/>
      </c>
      <c r="BV187" s="52" t="str">
        <f aca="false">IF(BV101+BV99&lt;0,(BV118+BV127)/-(BV101+BV99),"")</f>
        <v/>
      </c>
      <c r="BW187" s="52" t="str">
        <f aca="false">IF(BW101+BW99&lt;0,(BW118+BW127)/-(BW101+BW99),"")</f>
        <v/>
      </c>
      <c r="BX187" s="52" t="str">
        <f aca="false">IF(BX101+BX99&lt;0,(BX118+BX127)/-(BX101+BX99),"")</f>
        <v/>
      </c>
      <c r="BY187" s="52" t="str">
        <f aca="false">IF(BY101+BY99&lt;0,(BY118+BY127)/-(BY101+BY99),"")</f>
        <v/>
      </c>
      <c r="BZ187" s="52" t="str">
        <f aca="false">IF(BZ101+BZ99&lt;0,(BZ118+BZ127)/-(BZ101+BZ99),"")</f>
        <v/>
      </c>
      <c r="CA187" s="52" t="str">
        <f aca="false">IF(CA101+CA99&lt;0,(CA118+CA127)/-(CA101+CA99),"")</f>
        <v/>
      </c>
      <c r="CB187" s="52" t="str">
        <f aca="false">IF(CB101+CB99&lt;0,(CB118+CB127)/-(CB101+CB99),"")</f>
        <v/>
      </c>
      <c r="CC187" s="52" t="str">
        <f aca="false">IF(CC101+CC99&lt;0,(CC118+CC127)/-(CC101+CC99),"")</f>
        <v/>
      </c>
      <c r="CD187" s="52" t="str">
        <f aca="false">IF(CD101+CD99&lt;0,(CD118+CD127)/-(CD101+CD99),"")</f>
        <v/>
      </c>
      <c r="CE187" s="52" t="str">
        <f aca="false">IF(CE101+CE99&lt;0,(CE118+CE127)/-(CE101+CE99),"")</f>
        <v/>
      </c>
      <c r="CF187" s="52" t="str">
        <f aca="false">IF(CF101+CF99&lt;0,(CF118+CF127)/-(CF101+CF99),"")</f>
        <v/>
      </c>
      <c r="CG187" s="52" t="str">
        <f aca="false">IF(CG101+CG99&lt;0,(CG118+CG127)/-(CG101+CG99),"")</f>
        <v/>
      </c>
      <c r="CH187" s="52" t="str">
        <f aca="false">IF(CH101+CH99&lt;0,(CH118+CH127)/-(CH101+CH99),"")</f>
        <v/>
      </c>
      <c r="CI187" s="52" t="str">
        <f aca="false">IF(CI101+CI99&lt;0,(CI118+CI127)/-(CI101+CI99),"")</f>
        <v/>
      </c>
      <c r="CJ187" s="52" t="str">
        <f aca="false">IF(CJ101+CJ99&lt;0,(CJ118+CJ127)/-(CJ101+CJ99),"")</f>
        <v/>
      </c>
      <c r="CK187" s="52" t="str">
        <f aca="false">IF(CK101+CK99&lt;0,(CK118+CK127)/-(CK101+CK99),"")</f>
        <v/>
      </c>
      <c r="CL187" s="52" t="str">
        <f aca="false">IF(CL101+CL99&lt;0,(CL118+CL127)/-(CL101+CL99),"")</f>
        <v/>
      </c>
      <c r="CM187" s="52" t="str">
        <f aca="false">IF(CM101+CM99&lt;0,(CM118+CM127)/-(CM101+CM99),"")</f>
        <v/>
      </c>
      <c r="CN187" s="52" t="str">
        <f aca="false">IF(CN101+CN99&lt;0,(CN118+CN127)/-(CN101+CN99),"")</f>
        <v/>
      </c>
      <c r="CO187" s="52" t="str">
        <f aca="false">IF(CO101+CO99&lt;0,(CO118+CO127)/-(CO101+CO99),"")</f>
        <v/>
      </c>
      <c r="CP187" s="52" t="str">
        <f aca="false">IF(CP101+CP99&lt;0,(CP118+CP127)/-(CP101+CP99),"")</f>
        <v/>
      </c>
      <c r="CQ187" s="52" t="str">
        <f aca="false">IF(CQ101+CQ99&lt;0,(CQ118+CQ127)/-(CQ101+CQ99),"")</f>
        <v/>
      </c>
      <c r="CR187" s="52" t="str">
        <f aca="false">IF(CR101+CR99&lt;0,(CR118+CR127)/-(CR101+CR99),"")</f>
        <v/>
      </c>
      <c r="CS187" s="52" t="str">
        <f aca="false">IF(CS101+CS99&lt;0,(CS118+CS127)/-(CS101+CS99),"")</f>
        <v/>
      </c>
      <c r="CT187" s="52" t="str">
        <f aca="false">IF(CT101+CT99&lt;0,(CT118+CT127)/-(CT101+CT99),"")</f>
        <v/>
      </c>
      <c r="CU187" s="52" t="str">
        <f aca="false">IF(CU101+CU99&lt;0,(CU118+CU127)/-(CU101+CU99),"")</f>
        <v/>
      </c>
      <c r="CV187" s="52" t="str">
        <f aca="false">IF(CV101+CV99&lt;0,(CV118+CV127)/-(CV101+CV99),"")</f>
        <v/>
      </c>
      <c r="CW187" s="52" t="str">
        <f aca="false">IF(CW101+CW99&lt;0,(CW118+CW127)/-(CW101+CW99),"")</f>
        <v/>
      </c>
      <c r="CX187" s="52" t="str">
        <f aca="false">IF(CX101+CX99&lt;0,(CX118+CX127)/-(CX101+CX99),"")</f>
        <v/>
      </c>
      <c r="CY187" s="52" t="str">
        <f aca="false">IF(CY101+CY99&lt;0,(CY118+CY127)/-(CY101+CY99),"")</f>
        <v/>
      </c>
      <c r="CZ187" s="52" t="str">
        <f aca="false">IF(CZ101+CZ99&lt;0,(CZ118+CZ127)/-(CZ101+CZ99),"")</f>
        <v/>
      </c>
      <c r="DA187" s="52" t="str">
        <f aca="false">IF(DA101+DA99&lt;0,(DA118+DA127)/-(DA101+DA99),"")</f>
        <v/>
      </c>
      <c r="DB187" s="52" t="str">
        <f aca="false">IF(DB101+DB99&lt;0,(DB118+DB127)/-(DB101+DB99),"")</f>
        <v/>
      </c>
      <c r="DC187" s="52" t="str">
        <f aca="false">IF(DC101+DC99&lt;0,(DC118+DC127)/-(DC101+DC99),"")</f>
        <v/>
      </c>
      <c r="DD187" s="52" t="str">
        <f aca="false">IF(DD101+DD99&lt;0,(DD118+DD127)/-(DD101+DD99),"")</f>
        <v/>
      </c>
      <c r="DE187" s="52" t="str">
        <f aca="false">IF(DE101+DE99&lt;0,(DE118+DE127)/-(DE101+DE99),"")</f>
        <v/>
      </c>
      <c r="DF187" s="52" t="str">
        <f aca="false">IF(DF101+DF99&lt;0,(DF118+DF127)/-(DF101+DF99),"")</f>
        <v/>
      </c>
      <c r="DG187" s="52" t="str">
        <f aca="false">IF(DG101+DG99&lt;0,(DG118+DG127)/-(DG101+DG99),"")</f>
        <v/>
      </c>
      <c r="DH187" s="52" t="str">
        <f aca="false">IF(DH101+DH99&lt;0,(DH118+DH127)/-(DH101+DH99),"")</f>
        <v/>
      </c>
      <c r="DI187" s="52" t="str">
        <f aca="false">IF(DI101+DI99&lt;0,(DI118+DI127)/-(DI101+DI99),"")</f>
        <v/>
      </c>
      <c r="DJ187" s="52" t="str">
        <f aca="false">IF(DJ101+DJ99&lt;0,(DJ118+DJ127)/-(DJ101+DJ99),"")</f>
        <v/>
      </c>
      <c r="DK187" s="52" t="str">
        <f aca="false">IF(DK101+DK99&lt;0,(DK118+DK127)/-(DK101+DK99),"")</f>
        <v/>
      </c>
      <c r="DL187" s="52" t="str">
        <f aca="false">IF(DL101+DL99&lt;0,(DL118+DL127)/-(DL101+DL99),"")</f>
        <v/>
      </c>
      <c r="DM187" s="52" t="str">
        <f aca="false">IF(DM101+DM99&lt;0,(DM118+DM127)/-(DM101+DM99),"")</f>
        <v/>
      </c>
      <c r="DN187" s="52" t="str">
        <f aca="false">IF(DN101+DN99&lt;0,(DN118+DN127)/-(DN101+DN99),"")</f>
        <v/>
      </c>
      <c r="DO187" s="52" t="str">
        <f aca="false">IF(DO101+DO99&lt;0,(DO118+DO127)/-(DO101+DO99),"")</f>
        <v/>
      </c>
      <c r="DP187" s="52" t="str">
        <f aca="false">IF(DP101+DP99&lt;0,(DP118+DP127)/-(DP101+DP99),"")</f>
        <v/>
      </c>
      <c r="DQ187" s="52" t="str">
        <f aca="false">IF(DQ101+DQ99&lt;0,(DQ118+DQ127)/-(DQ101+DQ99),"")</f>
        <v/>
      </c>
      <c r="DR187" s="52" t="str">
        <f aca="false">IF(DR101+DR99&lt;0,(DR118+DR127)/-(DR101+DR99),"")</f>
        <v/>
      </c>
      <c r="DS187" s="52" t="str">
        <f aca="false">IF(DS101+DS99&lt;0,(DS118+DS127)/-(DS101+DS99),"")</f>
        <v/>
      </c>
      <c r="DT187" s="52" t="str">
        <f aca="false">IF(DT101+DT99&lt;0,(DT118+DT127)/-(DT101+DT99),"")</f>
        <v/>
      </c>
      <c r="DU187" s="52" t="str">
        <f aca="false">IF(DU101+DU99&lt;0,(DU118+DU127)/-(DU101+DU99),"")</f>
        <v/>
      </c>
      <c r="DV187" s="52" t="str">
        <f aca="false">IF(DV101+DV99&lt;0,(DV118+DV127)/-(DV101+DV99),"")</f>
        <v/>
      </c>
      <c r="DW187" s="52" t="str">
        <f aca="false">IF(DW101+DW99&lt;0,(DW118+DW127)/-(DW101+DW99),"")</f>
        <v/>
      </c>
      <c r="DX187" s="52" t="str">
        <f aca="false">IF(DX101+DX99&lt;0,(DX118+DX127)/-(DX101+DX99),"")</f>
        <v/>
      </c>
      <c r="DY187" s="52" t="str">
        <f aca="false">IF(DY101+DY99&lt;0,(DY118+DY127)/-(DY101+DY99),"")</f>
        <v/>
      </c>
      <c r="DZ187" s="52" t="str">
        <f aca="false">IF(DZ101+DZ99&lt;0,(DZ118+DZ127)/-(DZ101+DZ99),"")</f>
        <v/>
      </c>
      <c r="EA187" s="52" t="str">
        <f aca="false">IF(EA101+EA99&lt;0,(EA118+EA127)/-(EA101+EA99),"")</f>
        <v/>
      </c>
      <c r="EB187" s="52" t="str">
        <f aca="false">IF(EB101+EB99&lt;0,(EB118+EB127)/-(EB101+EB99),"")</f>
        <v/>
      </c>
      <c r="EC187" s="52" t="str">
        <f aca="false">IF(EC101+EC99&lt;0,(EC118+EC127)/-(EC101+EC99),"")</f>
        <v/>
      </c>
      <c r="ED187" s="52" t="str">
        <f aca="false">IF(ED101+ED99&lt;0,(ED118+ED127)/-(ED101+ED99),"")</f>
        <v/>
      </c>
      <c r="EE187" s="52" t="str">
        <f aca="false">IF(EE101+EE99&lt;0,(EE118+EE127)/-(EE101+EE99),"")</f>
        <v/>
      </c>
      <c r="EF187" s="52" t="str">
        <f aca="false">IF(EF101+EF99&lt;0,(EF118+EF127)/-(EF101+EF99),"")</f>
        <v/>
      </c>
      <c r="EG187" s="52" t="str">
        <f aca="false">IF(EG101+EG99&lt;0,(EG118+EG127)/-(EG101+EG99),"")</f>
        <v/>
      </c>
      <c r="EH187" s="52" t="str">
        <f aca="false">IF(EH101+EH99&lt;0,(EH118+EH127)/-(EH101+EH99),"")</f>
        <v/>
      </c>
      <c r="EI187" s="52" t="str">
        <f aca="false">IF(EI101+EI99&lt;0,(EI118+EI127)/-(EI101+EI99),"")</f>
        <v/>
      </c>
      <c r="EJ187" s="52" t="str">
        <f aca="false">IF(EJ101+EJ99&lt;0,(EJ118+EJ127)/-(EJ101+EJ99),"")</f>
        <v/>
      </c>
      <c r="EK187" s="52" t="str">
        <f aca="false">IF(EK101+EK99&lt;0,(EK118+EK127)/-(EK101+EK99),"")</f>
        <v/>
      </c>
      <c r="EL187" s="52" t="str">
        <f aca="false">IF(EL101+EL99&lt;0,(EL118+EL127)/-(EL101+EL99),"")</f>
        <v/>
      </c>
      <c r="EM187" s="52" t="str">
        <f aca="false">IF(EM101+EM99&lt;0,(EM118+EM127)/-(EM101+EM99),"")</f>
        <v/>
      </c>
      <c r="EN187" s="52" t="str">
        <f aca="false">IF(EN101+EN99&lt;0,(EN118+EN127)/-(EN101+EN99),"")</f>
        <v/>
      </c>
      <c r="EO187" s="52" t="str">
        <f aca="false">IF(EO101+EO99&lt;0,(EO118+EO127)/-(EO101+EO99),"")</f>
        <v/>
      </c>
      <c r="EP187" s="52" t="str">
        <f aca="false">IF(EP101+EP99&lt;0,(EP118+EP127)/-(EP101+EP99),"")</f>
        <v/>
      </c>
      <c r="EQ187" s="52" t="str">
        <f aca="false">IF(EQ101+EQ99&lt;0,(EQ118+EQ127)/-(EQ101+EQ99),"")</f>
        <v/>
      </c>
      <c r="ER187" s="52" t="str">
        <f aca="false">IF(ER101+ER99&lt;0,(ER118+ER127)/-(ER101+ER99),"")</f>
        <v/>
      </c>
      <c r="ES187" s="52" t="str">
        <f aca="false">IF(ES101+ES99&lt;0,(ES118+ES127)/-(ES101+ES99),"")</f>
        <v/>
      </c>
      <c r="ET187" s="52" t="str">
        <f aca="false">IF(ET101+ET99&lt;0,(ET118+ET127)/-(ET101+ET99),"")</f>
        <v/>
      </c>
    </row>
    <row r="189" customFormat="false" ht="15" hidden="false" customHeight="false" outlineLevel="0" collapsed="false">
      <c r="C189" s="4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T1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0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8" min="7" style="1" width="2"/>
    <col collapsed="false" customWidth="true" hidden="false" outlineLevel="0" max="9" min="9" style="1" width="12"/>
    <col collapsed="false" customWidth="true" hidden="false" outlineLevel="0" max="150" min="10" style="1" width="11"/>
    <col collapsed="false" customWidth="false" hidden="true" outlineLevel="1" max="16384" min="151" style="1" width="13"/>
  </cols>
  <sheetData>
    <row r="1" customFormat="false" ht="15" hidden="false" customHeight="false" outlineLevel="0" collapsed="false">
      <c r="A1" s="45" t="n">
        <v>2</v>
      </c>
      <c r="C1" s="14" t="s">
        <v>437</v>
      </c>
    </row>
    <row r="2" customFormat="false" ht="15" hidden="false" customHeight="false" outlineLevel="0" collapsed="false">
      <c r="A2" s="2"/>
      <c r="B2" s="2" t="str">
        <f aca="false">Dashboard!$C$3&amp;" – Calculations – "&amp;INDEX(Bid_Labels,1,$A$1)</f>
        <v>Project Bora – Calculations – BORA 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</row>
    <row r="3" customFormat="false" ht="15" hidden="false" customHeight="false" outlineLevel="0" collapsed="false">
      <c r="C3" s="1" t="s">
        <v>438</v>
      </c>
      <c r="D3" s="12" t="s">
        <v>62</v>
      </c>
      <c r="J3" s="44" t="n">
        <f aca="false">I$4+1</f>
        <v>46204</v>
      </c>
      <c r="K3" s="44" t="n">
        <f aca="false">J$4+1</f>
        <v>46296</v>
      </c>
      <c r="L3" s="44" t="n">
        <f aca="false">K$4+1</f>
        <v>46388</v>
      </c>
      <c r="M3" s="44" t="n">
        <f aca="false">L$4+1</f>
        <v>46478</v>
      </c>
      <c r="N3" s="44" t="n">
        <f aca="false">M$4+1</f>
        <v>46569</v>
      </c>
      <c r="O3" s="44" t="n">
        <f aca="false">N$4+1</f>
        <v>46661</v>
      </c>
      <c r="P3" s="44" t="n">
        <f aca="false">O$4+1</f>
        <v>46753</v>
      </c>
      <c r="Q3" s="44" t="n">
        <f aca="false">P$4+1</f>
        <v>46844</v>
      </c>
      <c r="R3" s="44" t="n">
        <f aca="false">Q$4+1</f>
        <v>46935</v>
      </c>
      <c r="S3" s="44" t="n">
        <f aca="false">R$4+1</f>
        <v>47027</v>
      </c>
      <c r="T3" s="44" t="n">
        <f aca="false">S$4+1</f>
        <v>47119</v>
      </c>
      <c r="U3" s="44" t="n">
        <f aca="false">T$4+1</f>
        <v>47209</v>
      </c>
      <c r="V3" s="44" t="n">
        <f aca="false">U$4+1</f>
        <v>47300</v>
      </c>
      <c r="W3" s="44" t="n">
        <f aca="false">V$4+1</f>
        <v>47392</v>
      </c>
      <c r="X3" s="44" t="n">
        <f aca="false">W$4+1</f>
        <v>47484</v>
      </c>
      <c r="Y3" s="44" t="n">
        <f aca="false">X$4+1</f>
        <v>47574</v>
      </c>
      <c r="Z3" s="44" t="n">
        <f aca="false">Y$4+1</f>
        <v>47665</v>
      </c>
      <c r="AA3" s="44" t="n">
        <f aca="false">Z$4+1</f>
        <v>47757</v>
      </c>
      <c r="AB3" s="44" t="n">
        <f aca="false">AA$4+1</f>
        <v>47849</v>
      </c>
      <c r="AC3" s="44" t="n">
        <f aca="false">AB$4+1</f>
        <v>47939</v>
      </c>
      <c r="AD3" s="44" t="n">
        <f aca="false">AC$4+1</f>
        <v>48030</v>
      </c>
      <c r="AE3" s="44" t="n">
        <f aca="false">AD$4+1</f>
        <v>48122</v>
      </c>
      <c r="AF3" s="44" t="n">
        <f aca="false">AE$4+1</f>
        <v>48214</v>
      </c>
      <c r="AG3" s="44" t="n">
        <f aca="false">AF$4+1</f>
        <v>48305</v>
      </c>
      <c r="AH3" s="44" t="n">
        <f aca="false">AG$4+1</f>
        <v>48396</v>
      </c>
      <c r="AI3" s="44" t="n">
        <f aca="false">AH$4+1</f>
        <v>48488</v>
      </c>
      <c r="AJ3" s="44" t="n">
        <f aca="false">AI$4+1</f>
        <v>48580</v>
      </c>
      <c r="AK3" s="44" t="n">
        <f aca="false">AJ$4+1</f>
        <v>48670</v>
      </c>
      <c r="AL3" s="44" t="n">
        <f aca="false">AK$4+1</f>
        <v>48761</v>
      </c>
      <c r="AM3" s="44" t="n">
        <f aca="false">AL$4+1</f>
        <v>48853</v>
      </c>
      <c r="AN3" s="44" t="n">
        <f aca="false">AM$4+1</f>
        <v>48945</v>
      </c>
      <c r="AO3" s="44" t="n">
        <f aca="false">AN$4+1</f>
        <v>49035</v>
      </c>
      <c r="AP3" s="44" t="n">
        <f aca="false">AO$4+1</f>
        <v>49126</v>
      </c>
      <c r="AQ3" s="44" t="n">
        <f aca="false">AP$4+1</f>
        <v>49218</v>
      </c>
      <c r="AR3" s="44" t="n">
        <f aca="false">AQ$4+1</f>
        <v>49310</v>
      </c>
      <c r="AS3" s="44" t="n">
        <f aca="false">AR$4+1</f>
        <v>49400</v>
      </c>
      <c r="AT3" s="44" t="n">
        <f aca="false">AS$4+1</f>
        <v>49491</v>
      </c>
      <c r="AU3" s="44" t="n">
        <f aca="false">AT$4+1</f>
        <v>49583</v>
      </c>
      <c r="AV3" s="44" t="n">
        <f aca="false">AU$4+1</f>
        <v>49675</v>
      </c>
      <c r="AW3" s="44" t="n">
        <f aca="false">AV$4+1</f>
        <v>49766</v>
      </c>
      <c r="AX3" s="44" t="n">
        <f aca="false">AW$4+1</f>
        <v>49857</v>
      </c>
      <c r="AY3" s="44" t="n">
        <f aca="false">AX$4+1</f>
        <v>49949</v>
      </c>
      <c r="AZ3" s="44" t="n">
        <f aca="false">AY$4+1</f>
        <v>50041</v>
      </c>
      <c r="BA3" s="44" t="n">
        <f aca="false">AZ$4+1</f>
        <v>50131</v>
      </c>
      <c r="BB3" s="44" t="n">
        <f aca="false">BA$4+1</f>
        <v>50222</v>
      </c>
      <c r="BC3" s="44" t="n">
        <f aca="false">BB$4+1</f>
        <v>50314</v>
      </c>
      <c r="BD3" s="44" t="n">
        <f aca="false">BC$4+1</f>
        <v>50406</v>
      </c>
      <c r="BE3" s="44" t="n">
        <f aca="false">BD$4+1</f>
        <v>50496</v>
      </c>
      <c r="BF3" s="44" t="n">
        <f aca="false">BE$4+1</f>
        <v>50587</v>
      </c>
      <c r="BG3" s="44" t="n">
        <f aca="false">BF$4+1</f>
        <v>50679</v>
      </c>
      <c r="BH3" s="44" t="n">
        <f aca="false">BG$4+1</f>
        <v>50771</v>
      </c>
      <c r="BI3" s="44" t="n">
        <f aca="false">BH$4+1</f>
        <v>50861</v>
      </c>
      <c r="BJ3" s="44" t="n">
        <f aca="false">BI$4+1</f>
        <v>50952</v>
      </c>
      <c r="BK3" s="44" t="n">
        <f aca="false">BJ$4+1</f>
        <v>51044</v>
      </c>
      <c r="BL3" s="44" t="n">
        <f aca="false">BK$4+1</f>
        <v>51136</v>
      </c>
      <c r="BM3" s="44" t="n">
        <f aca="false">BL$4+1</f>
        <v>51227</v>
      </c>
      <c r="BN3" s="44" t="n">
        <f aca="false">BM$4+1</f>
        <v>51318</v>
      </c>
      <c r="BO3" s="44" t="n">
        <f aca="false">BN$4+1</f>
        <v>51410</v>
      </c>
      <c r="BP3" s="44" t="n">
        <f aca="false">BO$4+1</f>
        <v>51502</v>
      </c>
      <c r="BQ3" s="44" t="n">
        <f aca="false">BP$4+1</f>
        <v>51592</v>
      </c>
      <c r="BR3" s="44" t="n">
        <f aca="false">BQ$4+1</f>
        <v>51683</v>
      </c>
      <c r="BS3" s="44" t="n">
        <f aca="false">BR$4+1</f>
        <v>51775</v>
      </c>
      <c r="BT3" s="44" t="n">
        <f aca="false">BS$4+1</f>
        <v>51867</v>
      </c>
      <c r="BU3" s="44" t="n">
        <f aca="false">BT$4+1</f>
        <v>51957</v>
      </c>
      <c r="BV3" s="44" t="n">
        <f aca="false">BU$4+1</f>
        <v>52048</v>
      </c>
      <c r="BW3" s="44" t="n">
        <f aca="false">BV$4+1</f>
        <v>52140</v>
      </c>
      <c r="BX3" s="44" t="n">
        <f aca="false">BW$4+1</f>
        <v>52232</v>
      </c>
      <c r="BY3" s="44" t="n">
        <f aca="false">BX$4+1</f>
        <v>52322</v>
      </c>
      <c r="BZ3" s="44" t="n">
        <f aca="false">BY$4+1</f>
        <v>52413</v>
      </c>
      <c r="CA3" s="44" t="n">
        <f aca="false">BZ$4+1</f>
        <v>52505</v>
      </c>
      <c r="CB3" s="44" t="n">
        <f aca="false">CA$4+1</f>
        <v>52597</v>
      </c>
      <c r="CC3" s="44" t="n">
        <f aca="false">CB$4+1</f>
        <v>52688</v>
      </c>
      <c r="CD3" s="44" t="n">
        <f aca="false">CC$4+1</f>
        <v>52779</v>
      </c>
      <c r="CE3" s="44" t="n">
        <f aca="false">CD$4+1</f>
        <v>52871</v>
      </c>
      <c r="CF3" s="44" t="n">
        <f aca="false">CE$4+1</f>
        <v>52963</v>
      </c>
      <c r="CG3" s="44" t="n">
        <f aca="false">CF$4+1</f>
        <v>53053</v>
      </c>
      <c r="CH3" s="44" t="n">
        <f aca="false">CG$4+1</f>
        <v>53144</v>
      </c>
      <c r="CI3" s="44" t="n">
        <f aca="false">CH$4+1</f>
        <v>53236</v>
      </c>
      <c r="CJ3" s="44" t="n">
        <f aca="false">CI$4+1</f>
        <v>53328</v>
      </c>
      <c r="CK3" s="44" t="n">
        <f aca="false">CJ$4+1</f>
        <v>53418</v>
      </c>
      <c r="CL3" s="44" t="n">
        <f aca="false">CK$4+1</f>
        <v>53509</v>
      </c>
      <c r="CM3" s="44" t="n">
        <f aca="false">CL$4+1</f>
        <v>53601</v>
      </c>
      <c r="CN3" s="44" t="n">
        <f aca="false">CM$4+1</f>
        <v>53693</v>
      </c>
      <c r="CO3" s="44" t="n">
        <f aca="false">CN$4+1</f>
        <v>53783</v>
      </c>
      <c r="CP3" s="44" t="n">
        <f aca="false">CO$4+1</f>
        <v>53874</v>
      </c>
      <c r="CQ3" s="44" t="n">
        <f aca="false">CP$4+1</f>
        <v>53966</v>
      </c>
      <c r="CR3" s="44" t="n">
        <f aca="false">CQ$4+1</f>
        <v>54058</v>
      </c>
      <c r="CS3" s="44" t="n">
        <f aca="false">CR$4+1</f>
        <v>54149</v>
      </c>
      <c r="CT3" s="44" t="n">
        <f aca="false">CS$4+1</f>
        <v>54240</v>
      </c>
      <c r="CU3" s="44" t="n">
        <f aca="false">CT$4+1</f>
        <v>54332</v>
      </c>
      <c r="CV3" s="44" t="n">
        <f aca="false">CU$4+1</f>
        <v>54424</v>
      </c>
      <c r="CW3" s="44" t="n">
        <f aca="false">CV$4+1</f>
        <v>54514</v>
      </c>
      <c r="CX3" s="44" t="n">
        <f aca="false">CW$4+1</f>
        <v>54605</v>
      </c>
      <c r="CY3" s="44" t="n">
        <f aca="false">CX$4+1</f>
        <v>54697</v>
      </c>
      <c r="CZ3" s="44" t="n">
        <f aca="false">CY$4+1</f>
        <v>54789</v>
      </c>
      <c r="DA3" s="44" t="n">
        <f aca="false">CZ$4+1</f>
        <v>54879</v>
      </c>
      <c r="DB3" s="44" t="n">
        <f aca="false">DA$4+1</f>
        <v>54970</v>
      </c>
      <c r="DC3" s="44" t="n">
        <f aca="false">DB$4+1</f>
        <v>55062</v>
      </c>
      <c r="DD3" s="44" t="n">
        <f aca="false">DC$4+1</f>
        <v>55154</v>
      </c>
      <c r="DE3" s="44" t="n">
        <f aca="false">DD$4+1</f>
        <v>55244</v>
      </c>
      <c r="DF3" s="44" t="n">
        <f aca="false">DE$4+1</f>
        <v>55335</v>
      </c>
      <c r="DG3" s="44" t="n">
        <f aca="false">DF$4+1</f>
        <v>55427</v>
      </c>
      <c r="DH3" s="44" t="n">
        <f aca="false">DG$4+1</f>
        <v>55519</v>
      </c>
      <c r="DI3" s="44" t="n">
        <f aca="false">DH$4+1</f>
        <v>55610</v>
      </c>
      <c r="DJ3" s="44" t="n">
        <f aca="false">DI$4+1</f>
        <v>55701</v>
      </c>
      <c r="DK3" s="44" t="n">
        <f aca="false">DJ$4+1</f>
        <v>55793</v>
      </c>
      <c r="DL3" s="44" t="n">
        <f aca="false">DK$4+1</f>
        <v>55885</v>
      </c>
      <c r="DM3" s="44" t="n">
        <f aca="false">DL$4+1</f>
        <v>55975</v>
      </c>
      <c r="DN3" s="44" t="n">
        <f aca="false">DM$4+1</f>
        <v>56066</v>
      </c>
      <c r="DO3" s="44" t="n">
        <f aca="false">DN$4+1</f>
        <v>56158</v>
      </c>
      <c r="DP3" s="44" t="n">
        <f aca="false">DO$4+1</f>
        <v>56250</v>
      </c>
      <c r="DQ3" s="44" t="n">
        <f aca="false">DP$4+1</f>
        <v>56340</v>
      </c>
      <c r="DR3" s="44" t="n">
        <f aca="false">DQ$4+1</f>
        <v>56431</v>
      </c>
      <c r="DS3" s="44" t="n">
        <f aca="false">DR$4+1</f>
        <v>56523</v>
      </c>
      <c r="DT3" s="44" t="n">
        <f aca="false">DS$4+1</f>
        <v>56615</v>
      </c>
      <c r="DU3" s="44" t="n">
        <f aca="false">DT$4+1</f>
        <v>56705</v>
      </c>
      <c r="DV3" s="44" t="n">
        <f aca="false">DU$4+1</f>
        <v>56796</v>
      </c>
      <c r="DW3" s="44" t="n">
        <f aca="false">DV$4+1</f>
        <v>56888</v>
      </c>
      <c r="DX3" s="44" t="n">
        <f aca="false">DW$4+1</f>
        <v>56980</v>
      </c>
      <c r="DY3" s="44" t="n">
        <f aca="false">DX$4+1</f>
        <v>57071</v>
      </c>
      <c r="DZ3" s="44" t="n">
        <f aca="false">DY$4+1</f>
        <v>57162</v>
      </c>
      <c r="EA3" s="44" t="n">
        <f aca="false">DZ$4+1</f>
        <v>57254</v>
      </c>
      <c r="EB3" s="44" t="n">
        <f aca="false">EA$4+1</f>
        <v>57346</v>
      </c>
      <c r="EC3" s="44" t="n">
        <f aca="false">EB$4+1</f>
        <v>57436</v>
      </c>
      <c r="ED3" s="44" t="n">
        <f aca="false">EC$4+1</f>
        <v>57527</v>
      </c>
      <c r="EE3" s="44" t="n">
        <f aca="false">ED$4+1</f>
        <v>57619</v>
      </c>
      <c r="EF3" s="44" t="n">
        <f aca="false">EE$4+1</f>
        <v>57711</v>
      </c>
      <c r="EG3" s="44" t="n">
        <f aca="false">EF$4+1</f>
        <v>57801</v>
      </c>
      <c r="EH3" s="44" t="n">
        <f aca="false">EG$4+1</f>
        <v>57892</v>
      </c>
      <c r="EI3" s="44" t="n">
        <f aca="false">EH$4+1</f>
        <v>57984</v>
      </c>
      <c r="EJ3" s="44" t="n">
        <f aca="false">EI$4+1</f>
        <v>58076</v>
      </c>
      <c r="EK3" s="44" t="n">
        <f aca="false">EJ$4+1</f>
        <v>58166</v>
      </c>
      <c r="EL3" s="44" t="n">
        <f aca="false">EK$4+1</f>
        <v>58257</v>
      </c>
      <c r="EM3" s="44" t="n">
        <f aca="false">EL$4+1</f>
        <v>58349</v>
      </c>
      <c r="EN3" s="44" t="n">
        <f aca="false">EM$4+1</f>
        <v>58441</v>
      </c>
      <c r="EO3" s="44" t="n">
        <f aca="false">EN$4+1</f>
        <v>58532</v>
      </c>
      <c r="EP3" s="44" t="n">
        <f aca="false">EO$4+1</f>
        <v>58623</v>
      </c>
      <c r="EQ3" s="44" t="n">
        <f aca="false">EP$4+1</f>
        <v>58715</v>
      </c>
      <c r="ER3" s="44" t="n">
        <f aca="false">EQ$4+1</f>
        <v>58807</v>
      </c>
      <c r="ES3" s="44" t="n">
        <f aca="false">ER$4+1</f>
        <v>58897</v>
      </c>
      <c r="ET3" s="44" t="n">
        <f aca="false">ES$4+1</f>
        <v>58988</v>
      </c>
    </row>
    <row r="4" customFormat="false" ht="15" hidden="false" customHeight="false" outlineLevel="0" collapsed="false">
      <c r="C4" s="1" t="s">
        <v>439</v>
      </c>
      <c r="D4" s="12" t="s">
        <v>62</v>
      </c>
      <c r="I4" s="44" t="n">
        <f aca="false">In_Model_Start-1</f>
        <v>46203</v>
      </c>
      <c r="J4" s="53" t="n">
        <f aca="false">EOMONTH(J$3,Months_Per_Period-1)</f>
        <v>46295</v>
      </c>
      <c r="K4" s="53" t="n">
        <f aca="false">EOMONTH(K$3,Months_Per_Period-1)</f>
        <v>46387</v>
      </c>
      <c r="L4" s="53" t="n">
        <f aca="false">EOMONTH(L$3,Months_Per_Period-1)</f>
        <v>46477</v>
      </c>
      <c r="M4" s="53" t="n">
        <f aca="false">EOMONTH(M$3,Months_Per_Period-1)</f>
        <v>46568</v>
      </c>
      <c r="N4" s="53" t="n">
        <f aca="false">EOMONTH(N$3,Months_Per_Period-1)</f>
        <v>46660</v>
      </c>
      <c r="O4" s="53" t="n">
        <f aca="false">EOMONTH(O$3,Months_Per_Period-1)</f>
        <v>46752</v>
      </c>
      <c r="P4" s="53" t="n">
        <f aca="false">EOMONTH(P$3,Months_Per_Period-1)</f>
        <v>46843</v>
      </c>
      <c r="Q4" s="53" t="n">
        <f aca="false">EOMONTH(Q$3,Months_Per_Period-1)</f>
        <v>46934</v>
      </c>
      <c r="R4" s="53" t="n">
        <f aca="false">EOMONTH(R$3,Months_Per_Period-1)</f>
        <v>47026</v>
      </c>
      <c r="S4" s="53" t="n">
        <f aca="false">EOMONTH(S$3,Months_Per_Period-1)</f>
        <v>47118</v>
      </c>
      <c r="T4" s="53" t="n">
        <f aca="false">EOMONTH(T$3,Months_Per_Period-1)</f>
        <v>47208</v>
      </c>
      <c r="U4" s="53" t="n">
        <f aca="false">EOMONTH(U$3,Months_Per_Period-1)</f>
        <v>47299</v>
      </c>
      <c r="V4" s="53" t="n">
        <f aca="false">EOMONTH(V$3,Months_Per_Period-1)</f>
        <v>47391</v>
      </c>
      <c r="W4" s="53" t="n">
        <f aca="false">EOMONTH(W$3,Months_Per_Period-1)</f>
        <v>47483</v>
      </c>
      <c r="X4" s="53" t="n">
        <f aca="false">EOMONTH(X$3,Months_Per_Period-1)</f>
        <v>47573</v>
      </c>
      <c r="Y4" s="53" t="n">
        <f aca="false">EOMONTH(Y$3,Months_Per_Period-1)</f>
        <v>47664</v>
      </c>
      <c r="Z4" s="53" t="n">
        <f aca="false">EOMONTH(Z$3,Months_Per_Period-1)</f>
        <v>47756</v>
      </c>
      <c r="AA4" s="53" t="n">
        <f aca="false">EOMONTH(AA$3,Months_Per_Period-1)</f>
        <v>47848</v>
      </c>
      <c r="AB4" s="53" t="n">
        <f aca="false">EOMONTH(AB$3,Months_Per_Period-1)</f>
        <v>47938</v>
      </c>
      <c r="AC4" s="53" t="n">
        <f aca="false">EOMONTH(AC$3,Months_Per_Period-1)</f>
        <v>48029</v>
      </c>
      <c r="AD4" s="53" t="n">
        <f aca="false">EOMONTH(AD$3,Months_Per_Period-1)</f>
        <v>48121</v>
      </c>
      <c r="AE4" s="53" t="n">
        <f aca="false">EOMONTH(AE$3,Months_Per_Period-1)</f>
        <v>48213</v>
      </c>
      <c r="AF4" s="53" t="n">
        <f aca="false">EOMONTH(AF$3,Months_Per_Period-1)</f>
        <v>48304</v>
      </c>
      <c r="AG4" s="53" t="n">
        <f aca="false">EOMONTH(AG$3,Months_Per_Period-1)</f>
        <v>48395</v>
      </c>
      <c r="AH4" s="53" t="n">
        <f aca="false">EOMONTH(AH$3,Months_Per_Period-1)</f>
        <v>48487</v>
      </c>
      <c r="AI4" s="53" t="n">
        <f aca="false">EOMONTH(AI$3,Months_Per_Period-1)</f>
        <v>48579</v>
      </c>
      <c r="AJ4" s="53" t="n">
        <f aca="false">EOMONTH(AJ$3,Months_Per_Period-1)</f>
        <v>48669</v>
      </c>
      <c r="AK4" s="53" t="n">
        <f aca="false">EOMONTH(AK$3,Months_Per_Period-1)</f>
        <v>48760</v>
      </c>
      <c r="AL4" s="53" t="n">
        <f aca="false">EOMONTH(AL$3,Months_Per_Period-1)</f>
        <v>48852</v>
      </c>
      <c r="AM4" s="53" t="n">
        <f aca="false">EOMONTH(AM$3,Months_Per_Period-1)</f>
        <v>48944</v>
      </c>
      <c r="AN4" s="53" t="n">
        <f aca="false">EOMONTH(AN$3,Months_Per_Period-1)</f>
        <v>49034</v>
      </c>
      <c r="AO4" s="53" t="n">
        <f aca="false">EOMONTH(AO$3,Months_Per_Period-1)</f>
        <v>49125</v>
      </c>
      <c r="AP4" s="53" t="n">
        <f aca="false">EOMONTH(AP$3,Months_Per_Period-1)</f>
        <v>49217</v>
      </c>
      <c r="AQ4" s="53" t="n">
        <f aca="false">EOMONTH(AQ$3,Months_Per_Period-1)</f>
        <v>49309</v>
      </c>
      <c r="AR4" s="53" t="n">
        <f aca="false">EOMONTH(AR$3,Months_Per_Period-1)</f>
        <v>49399</v>
      </c>
      <c r="AS4" s="53" t="n">
        <f aca="false">EOMONTH(AS$3,Months_Per_Period-1)</f>
        <v>49490</v>
      </c>
      <c r="AT4" s="53" t="n">
        <f aca="false">EOMONTH(AT$3,Months_Per_Period-1)</f>
        <v>49582</v>
      </c>
      <c r="AU4" s="53" t="n">
        <f aca="false">EOMONTH(AU$3,Months_Per_Period-1)</f>
        <v>49674</v>
      </c>
      <c r="AV4" s="53" t="n">
        <f aca="false">EOMONTH(AV$3,Months_Per_Period-1)</f>
        <v>49765</v>
      </c>
      <c r="AW4" s="53" t="n">
        <f aca="false">EOMONTH(AW$3,Months_Per_Period-1)</f>
        <v>49856</v>
      </c>
      <c r="AX4" s="53" t="n">
        <f aca="false">EOMONTH(AX$3,Months_Per_Period-1)</f>
        <v>49948</v>
      </c>
      <c r="AY4" s="53" t="n">
        <f aca="false">EOMONTH(AY$3,Months_Per_Period-1)</f>
        <v>50040</v>
      </c>
      <c r="AZ4" s="53" t="n">
        <f aca="false">EOMONTH(AZ$3,Months_Per_Period-1)</f>
        <v>50130</v>
      </c>
      <c r="BA4" s="53" t="n">
        <f aca="false">EOMONTH(BA$3,Months_Per_Period-1)</f>
        <v>50221</v>
      </c>
      <c r="BB4" s="53" t="n">
        <f aca="false">EOMONTH(BB$3,Months_Per_Period-1)</f>
        <v>50313</v>
      </c>
      <c r="BC4" s="53" t="n">
        <f aca="false">EOMONTH(BC$3,Months_Per_Period-1)</f>
        <v>50405</v>
      </c>
      <c r="BD4" s="53" t="n">
        <f aca="false">EOMONTH(BD$3,Months_Per_Period-1)</f>
        <v>50495</v>
      </c>
      <c r="BE4" s="53" t="n">
        <f aca="false">EOMONTH(BE$3,Months_Per_Period-1)</f>
        <v>50586</v>
      </c>
      <c r="BF4" s="53" t="n">
        <f aca="false">EOMONTH(BF$3,Months_Per_Period-1)</f>
        <v>50678</v>
      </c>
      <c r="BG4" s="53" t="n">
        <f aca="false">EOMONTH(BG$3,Months_Per_Period-1)</f>
        <v>50770</v>
      </c>
      <c r="BH4" s="53" t="n">
        <f aca="false">EOMONTH(BH$3,Months_Per_Period-1)</f>
        <v>50860</v>
      </c>
      <c r="BI4" s="53" t="n">
        <f aca="false">EOMONTH(BI$3,Months_Per_Period-1)</f>
        <v>50951</v>
      </c>
      <c r="BJ4" s="53" t="n">
        <f aca="false">EOMONTH(BJ$3,Months_Per_Period-1)</f>
        <v>51043</v>
      </c>
      <c r="BK4" s="53" t="n">
        <f aca="false">EOMONTH(BK$3,Months_Per_Period-1)</f>
        <v>51135</v>
      </c>
      <c r="BL4" s="53" t="n">
        <f aca="false">EOMONTH(BL$3,Months_Per_Period-1)</f>
        <v>51226</v>
      </c>
      <c r="BM4" s="53" t="n">
        <f aca="false">EOMONTH(BM$3,Months_Per_Period-1)</f>
        <v>51317</v>
      </c>
      <c r="BN4" s="53" t="n">
        <f aca="false">EOMONTH(BN$3,Months_Per_Period-1)</f>
        <v>51409</v>
      </c>
      <c r="BO4" s="53" t="n">
        <f aca="false">EOMONTH(BO$3,Months_Per_Period-1)</f>
        <v>51501</v>
      </c>
      <c r="BP4" s="53" t="n">
        <f aca="false">EOMONTH(BP$3,Months_Per_Period-1)</f>
        <v>51591</v>
      </c>
      <c r="BQ4" s="53" t="n">
        <f aca="false">EOMONTH(BQ$3,Months_Per_Period-1)</f>
        <v>51682</v>
      </c>
      <c r="BR4" s="53" t="n">
        <f aca="false">EOMONTH(BR$3,Months_Per_Period-1)</f>
        <v>51774</v>
      </c>
      <c r="BS4" s="53" t="n">
        <f aca="false">EOMONTH(BS$3,Months_Per_Period-1)</f>
        <v>51866</v>
      </c>
      <c r="BT4" s="53" t="n">
        <f aca="false">EOMONTH(BT$3,Months_Per_Period-1)</f>
        <v>51956</v>
      </c>
      <c r="BU4" s="53" t="n">
        <f aca="false">EOMONTH(BU$3,Months_Per_Period-1)</f>
        <v>52047</v>
      </c>
      <c r="BV4" s="53" t="n">
        <f aca="false">EOMONTH(BV$3,Months_Per_Period-1)</f>
        <v>52139</v>
      </c>
      <c r="BW4" s="53" t="n">
        <f aca="false">EOMONTH(BW$3,Months_Per_Period-1)</f>
        <v>52231</v>
      </c>
      <c r="BX4" s="53" t="n">
        <f aca="false">EOMONTH(BX$3,Months_Per_Period-1)</f>
        <v>52321</v>
      </c>
      <c r="BY4" s="53" t="n">
        <f aca="false">EOMONTH(BY$3,Months_Per_Period-1)</f>
        <v>52412</v>
      </c>
      <c r="BZ4" s="53" t="n">
        <f aca="false">EOMONTH(BZ$3,Months_Per_Period-1)</f>
        <v>52504</v>
      </c>
      <c r="CA4" s="53" t="n">
        <f aca="false">EOMONTH(CA$3,Months_Per_Period-1)</f>
        <v>52596</v>
      </c>
      <c r="CB4" s="53" t="n">
        <f aca="false">EOMONTH(CB$3,Months_Per_Period-1)</f>
        <v>52687</v>
      </c>
      <c r="CC4" s="53" t="n">
        <f aca="false">EOMONTH(CC$3,Months_Per_Period-1)</f>
        <v>52778</v>
      </c>
      <c r="CD4" s="53" t="n">
        <f aca="false">EOMONTH(CD$3,Months_Per_Period-1)</f>
        <v>52870</v>
      </c>
      <c r="CE4" s="53" t="n">
        <f aca="false">EOMONTH(CE$3,Months_Per_Period-1)</f>
        <v>52962</v>
      </c>
      <c r="CF4" s="53" t="n">
        <f aca="false">EOMONTH(CF$3,Months_Per_Period-1)</f>
        <v>53052</v>
      </c>
      <c r="CG4" s="53" t="n">
        <f aca="false">EOMONTH(CG$3,Months_Per_Period-1)</f>
        <v>53143</v>
      </c>
      <c r="CH4" s="53" t="n">
        <f aca="false">EOMONTH(CH$3,Months_Per_Period-1)</f>
        <v>53235</v>
      </c>
      <c r="CI4" s="53" t="n">
        <f aca="false">EOMONTH(CI$3,Months_Per_Period-1)</f>
        <v>53327</v>
      </c>
      <c r="CJ4" s="53" t="n">
        <f aca="false">EOMONTH(CJ$3,Months_Per_Period-1)</f>
        <v>53417</v>
      </c>
      <c r="CK4" s="53" t="n">
        <f aca="false">EOMONTH(CK$3,Months_Per_Period-1)</f>
        <v>53508</v>
      </c>
      <c r="CL4" s="53" t="n">
        <f aca="false">EOMONTH(CL$3,Months_Per_Period-1)</f>
        <v>53600</v>
      </c>
      <c r="CM4" s="53" t="n">
        <f aca="false">EOMONTH(CM$3,Months_Per_Period-1)</f>
        <v>53692</v>
      </c>
      <c r="CN4" s="53" t="n">
        <f aca="false">EOMONTH(CN$3,Months_Per_Period-1)</f>
        <v>53782</v>
      </c>
      <c r="CO4" s="53" t="n">
        <f aca="false">EOMONTH(CO$3,Months_Per_Period-1)</f>
        <v>53873</v>
      </c>
      <c r="CP4" s="53" t="n">
        <f aca="false">EOMONTH(CP$3,Months_Per_Period-1)</f>
        <v>53965</v>
      </c>
      <c r="CQ4" s="53" t="n">
        <f aca="false">EOMONTH(CQ$3,Months_Per_Period-1)</f>
        <v>54057</v>
      </c>
      <c r="CR4" s="53" t="n">
        <f aca="false">EOMONTH(CR$3,Months_Per_Period-1)</f>
        <v>54148</v>
      </c>
      <c r="CS4" s="53" t="n">
        <f aca="false">EOMONTH(CS$3,Months_Per_Period-1)</f>
        <v>54239</v>
      </c>
      <c r="CT4" s="53" t="n">
        <f aca="false">EOMONTH(CT$3,Months_Per_Period-1)</f>
        <v>54331</v>
      </c>
      <c r="CU4" s="53" t="n">
        <f aca="false">EOMONTH(CU$3,Months_Per_Period-1)</f>
        <v>54423</v>
      </c>
      <c r="CV4" s="53" t="n">
        <f aca="false">EOMONTH(CV$3,Months_Per_Period-1)</f>
        <v>54513</v>
      </c>
      <c r="CW4" s="53" t="n">
        <f aca="false">EOMONTH(CW$3,Months_Per_Period-1)</f>
        <v>54604</v>
      </c>
      <c r="CX4" s="53" t="n">
        <f aca="false">EOMONTH(CX$3,Months_Per_Period-1)</f>
        <v>54696</v>
      </c>
      <c r="CY4" s="53" t="n">
        <f aca="false">EOMONTH(CY$3,Months_Per_Period-1)</f>
        <v>54788</v>
      </c>
      <c r="CZ4" s="53" t="n">
        <f aca="false">EOMONTH(CZ$3,Months_Per_Period-1)</f>
        <v>54878</v>
      </c>
      <c r="DA4" s="53" t="n">
        <f aca="false">EOMONTH(DA$3,Months_Per_Period-1)</f>
        <v>54969</v>
      </c>
      <c r="DB4" s="53" t="n">
        <f aca="false">EOMONTH(DB$3,Months_Per_Period-1)</f>
        <v>55061</v>
      </c>
      <c r="DC4" s="53" t="n">
        <f aca="false">EOMONTH(DC$3,Months_Per_Period-1)</f>
        <v>55153</v>
      </c>
      <c r="DD4" s="53" t="n">
        <f aca="false">EOMONTH(DD$3,Months_Per_Period-1)</f>
        <v>55243</v>
      </c>
      <c r="DE4" s="53" t="n">
        <f aca="false">EOMONTH(DE$3,Months_Per_Period-1)</f>
        <v>55334</v>
      </c>
      <c r="DF4" s="53" t="n">
        <f aca="false">EOMONTH(DF$3,Months_Per_Period-1)</f>
        <v>55426</v>
      </c>
      <c r="DG4" s="53" t="n">
        <f aca="false">EOMONTH(DG$3,Months_Per_Period-1)</f>
        <v>55518</v>
      </c>
      <c r="DH4" s="53" t="n">
        <f aca="false">EOMONTH(DH$3,Months_Per_Period-1)</f>
        <v>55609</v>
      </c>
      <c r="DI4" s="53" t="n">
        <f aca="false">EOMONTH(DI$3,Months_Per_Period-1)</f>
        <v>55700</v>
      </c>
      <c r="DJ4" s="53" t="n">
        <f aca="false">EOMONTH(DJ$3,Months_Per_Period-1)</f>
        <v>55792</v>
      </c>
      <c r="DK4" s="53" t="n">
        <f aca="false">EOMONTH(DK$3,Months_Per_Period-1)</f>
        <v>55884</v>
      </c>
      <c r="DL4" s="53" t="n">
        <f aca="false">EOMONTH(DL$3,Months_Per_Period-1)</f>
        <v>55974</v>
      </c>
      <c r="DM4" s="53" t="n">
        <f aca="false">EOMONTH(DM$3,Months_Per_Period-1)</f>
        <v>56065</v>
      </c>
      <c r="DN4" s="53" t="n">
        <f aca="false">EOMONTH(DN$3,Months_Per_Period-1)</f>
        <v>56157</v>
      </c>
      <c r="DO4" s="53" t="n">
        <f aca="false">EOMONTH(DO$3,Months_Per_Period-1)</f>
        <v>56249</v>
      </c>
      <c r="DP4" s="53" t="n">
        <f aca="false">EOMONTH(DP$3,Months_Per_Period-1)</f>
        <v>56339</v>
      </c>
      <c r="DQ4" s="53" t="n">
        <f aca="false">EOMONTH(DQ$3,Months_Per_Period-1)</f>
        <v>56430</v>
      </c>
      <c r="DR4" s="53" t="n">
        <f aca="false">EOMONTH(DR$3,Months_Per_Period-1)</f>
        <v>56522</v>
      </c>
      <c r="DS4" s="53" t="n">
        <f aca="false">EOMONTH(DS$3,Months_Per_Period-1)</f>
        <v>56614</v>
      </c>
      <c r="DT4" s="53" t="n">
        <f aca="false">EOMONTH(DT$3,Months_Per_Period-1)</f>
        <v>56704</v>
      </c>
      <c r="DU4" s="53" t="n">
        <f aca="false">EOMONTH(DU$3,Months_Per_Period-1)</f>
        <v>56795</v>
      </c>
      <c r="DV4" s="53" t="n">
        <f aca="false">EOMONTH(DV$3,Months_Per_Period-1)</f>
        <v>56887</v>
      </c>
      <c r="DW4" s="53" t="n">
        <f aca="false">EOMONTH(DW$3,Months_Per_Period-1)</f>
        <v>56979</v>
      </c>
      <c r="DX4" s="53" t="n">
        <f aca="false">EOMONTH(DX$3,Months_Per_Period-1)</f>
        <v>57070</v>
      </c>
      <c r="DY4" s="53" t="n">
        <f aca="false">EOMONTH(DY$3,Months_Per_Period-1)</f>
        <v>57161</v>
      </c>
      <c r="DZ4" s="53" t="n">
        <f aca="false">EOMONTH(DZ$3,Months_Per_Period-1)</f>
        <v>57253</v>
      </c>
      <c r="EA4" s="53" t="n">
        <f aca="false">EOMONTH(EA$3,Months_Per_Period-1)</f>
        <v>57345</v>
      </c>
      <c r="EB4" s="53" t="n">
        <f aca="false">EOMONTH(EB$3,Months_Per_Period-1)</f>
        <v>57435</v>
      </c>
      <c r="EC4" s="53" t="n">
        <f aca="false">EOMONTH(EC$3,Months_Per_Period-1)</f>
        <v>57526</v>
      </c>
      <c r="ED4" s="53" t="n">
        <f aca="false">EOMONTH(ED$3,Months_Per_Period-1)</f>
        <v>57618</v>
      </c>
      <c r="EE4" s="53" t="n">
        <f aca="false">EOMONTH(EE$3,Months_Per_Period-1)</f>
        <v>57710</v>
      </c>
      <c r="EF4" s="53" t="n">
        <f aca="false">EOMONTH(EF$3,Months_Per_Period-1)</f>
        <v>57800</v>
      </c>
      <c r="EG4" s="53" t="n">
        <f aca="false">EOMONTH(EG$3,Months_Per_Period-1)</f>
        <v>57891</v>
      </c>
      <c r="EH4" s="53" t="n">
        <f aca="false">EOMONTH(EH$3,Months_Per_Period-1)</f>
        <v>57983</v>
      </c>
      <c r="EI4" s="53" t="n">
        <f aca="false">EOMONTH(EI$3,Months_Per_Period-1)</f>
        <v>58075</v>
      </c>
      <c r="EJ4" s="53" t="n">
        <f aca="false">EOMONTH(EJ$3,Months_Per_Period-1)</f>
        <v>58165</v>
      </c>
      <c r="EK4" s="53" t="n">
        <f aca="false">EOMONTH(EK$3,Months_Per_Period-1)</f>
        <v>58256</v>
      </c>
      <c r="EL4" s="53" t="n">
        <f aca="false">EOMONTH(EL$3,Months_Per_Period-1)</f>
        <v>58348</v>
      </c>
      <c r="EM4" s="53" t="n">
        <f aca="false">EOMONTH(EM$3,Months_Per_Period-1)</f>
        <v>58440</v>
      </c>
      <c r="EN4" s="53" t="n">
        <f aca="false">EOMONTH(EN$3,Months_Per_Period-1)</f>
        <v>58531</v>
      </c>
      <c r="EO4" s="53" t="n">
        <f aca="false">EOMONTH(EO$3,Months_Per_Period-1)</f>
        <v>58622</v>
      </c>
      <c r="EP4" s="53" t="n">
        <f aca="false">EOMONTH(EP$3,Months_Per_Period-1)</f>
        <v>58714</v>
      </c>
      <c r="EQ4" s="53" t="n">
        <f aca="false">EOMONTH(EQ$3,Months_Per_Period-1)</f>
        <v>58806</v>
      </c>
      <c r="ER4" s="53" t="n">
        <f aca="false">EOMONTH(ER$3,Months_Per_Period-1)</f>
        <v>58896</v>
      </c>
      <c r="ES4" s="53" t="n">
        <f aca="false">EOMONTH(ES$3,Months_Per_Period-1)</f>
        <v>58987</v>
      </c>
      <c r="ET4" s="53" t="n">
        <f aca="false">EOMONTH(ET$3,Months_Per_Period-1)</f>
        <v>59079</v>
      </c>
    </row>
    <row r="5" customFormat="false" ht="15" hidden="false" customHeight="false" outlineLevel="0" collapsed="false">
      <c r="C5" s="1" t="s">
        <v>440</v>
      </c>
      <c r="D5" s="12" t="s">
        <v>184</v>
      </c>
      <c r="J5" s="42" t="n">
        <f aca="false">J$4-J$3+1</f>
        <v>92</v>
      </c>
      <c r="K5" s="42" t="n">
        <f aca="false">K$4-K$3+1</f>
        <v>92</v>
      </c>
      <c r="L5" s="42" t="n">
        <f aca="false">L$4-L$3+1</f>
        <v>90</v>
      </c>
      <c r="M5" s="42" t="n">
        <f aca="false">M$4-M$3+1</f>
        <v>91</v>
      </c>
      <c r="N5" s="42" t="n">
        <f aca="false">N$4-N$3+1</f>
        <v>92</v>
      </c>
      <c r="O5" s="42" t="n">
        <f aca="false">O$4-O$3+1</f>
        <v>92</v>
      </c>
      <c r="P5" s="42" t="n">
        <f aca="false">P$4-P$3+1</f>
        <v>91</v>
      </c>
      <c r="Q5" s="42" t="n">
        <f aca="false">Q$4-Q$3+1</f>
        <v>91</v>
      </c>
      <c r="R5" s="42" t="n">
        <f aca="false">R$4-R$3+1</f>
        <v>92</v>
      </c>
      <c r="S5" s="42" t="n">
        <f aca="false">S$4-S$3+1</f>
        <v>92</v>
      </c>
      <c r="T5" s="42" t="n">
        <f aca="false">T$4-T$3+1</f>
        <v>90</v>
      </c>
      <c r="U5" s="42" t="n">
        <f aca="false">U$4-U$3+1</f>
        <v>91</v>
      </c>
      <c r="V5" s="42" t="n">
        <f aca="false">V$4-V$3+1</f>
        <v>92</v>
      </c>
      <c r="W5" s="42" t="n">
        <f aca="false">W$4-W$3+1</f>
        <v>92</v>
      </c>
      <c r="X5" s="42" t="n">
        <f aca="false">X$4-X$3+1</f>
        <v>90</v>
      </c>
      <c r="Y5" s="42" t="n">
        <f aca="false">Y$4-Y$3+1</f>
        <v>91</v>
      </c>
      <c r="Z5" s="42" t="n">
        <f aca="false">Z$4-Z$3+1</f>
        <v>92</v>
      </c>
      <c r="AA5" s="42" t="n">
        <f aca="false">AA$4-AA$3+1</f>
        <v>92</v>
      </c>
      <c r="AB5" s="42" t="n">
        <f aca="false">AB$4-AB$3+1</f>
        <v>90</v>
      </c>
      <c r="AC5" s="42" t="n">
        <f aca="false">AC$4-AC$3+1</f>
        <v>91</v>
      </c>
      <c r="AD5" s="42" t="n">
        <f aca="false">AD$4-AD$3+1</f>
        <v>92</v>
      </c>
      <c r="AE5" s="42" t="n">
        <f aca="false">AE$4-AE$3+1</f>
        <v>92</v>
      </c>
      <c r="AF5" s="42" t="n">
        <f aca="false">AF$4-AF$3+1</f>
        <v>91</v>
      </c>
      <c r="AG5" s="42" t="n">
        <f aca="false">AG$4-AG$3+1</f>
        <v>91</v>
      </c>
      <c r="AH5" s="42" t="n">
        <f aca="false">AH$4-AH$3+1</f>
        <v>92</v>
      </c>
      <c r="AI5" s="42" t="n">
        <f aca="false">AI$4-AI$3+1</f>
        <v>92</v>
      </c>
      <c r="AJ5" s="42" t="n">
        <f aca="false">AJ$4-AJ$3+1</f>
        <v>90</v>
      </c>
      <c r="AK5" s="42" t="n">
        <f aca="false">AK$4-AK$3+1</f>
        <v>91</v>
      </c>
      <c r="AL5" s="42" t="n">
        <f aca="false">AL$4-AL$3+1</f>
        <v>92</v>
      </c>
      <c r="AM5" s="42" t="n">
        <f aca="false">AM$4-AM$3+1</f>
        <v>92</v>
      </c>
      <c r="AN5" s="42" t="n">
        <f aca="false">AN$4-AN$3+1</f>
        <v>90</v>
      </c>
      <c r="AO5" s="42" t="n">
        <f aca="false">AO$4-AO$3+1</f>
        <v>91</v>
      </c>
      <c r="AP5" s="42" t="n">
        <f aca="false">AP$4-AP$3+1</f>
        <v>92</v>
      </c>
      <c r="AQ5" s="42" t="n">
        <f aca="false">AQ$4-AQ$3+1</f>
        <v>92</v>
      </c>
      <c r="AR5" s="42" t="n">
        <f aca="false">AR$4-AR$3+1</f>
        <v>90</v>
      </c>
      <c r="AS5" s="42" t="n">
        <f aca="false">AS$4-AS$3+1</f>
        <v>91</v>
      </c>
      <c r="AT5" s="42" t="n">
        <f aca="false">AT$4-AT$3+1</f>
        <v>92</v>
      </c>
      <c r="AU5" s="42" t="n">
        <f aca="false">AU$4-AU$3+1</f>
        <v>92</v>
      </c>
      <c r="AV5" s="42" t="n">
        <f aca="false">AV$4-AV$3+1</f>
        <v>91</v>
      </c>
      <c r="AW5" s="42" t="n">
        <f aca="false">AW$4-AW$3+1</f>
        <v>91</v>
      </c>
      <c r="AX5" s="42" t="n">
        <f aca="false">AX$4-AX$3+1</f>
        <v>92</v>
      </c>
      <c r="AY5" s="42" t="n">
        <f aca="false">AY$4-AY$3+1</f>
        <v>92</v>
      </c>
      <c r="AZ5" s="42" t="n">
        <f aca="false">AZ$4-AZ$3+1</f>
        <v>90</v>
      </c>
      <c r="BA5" s="42" t="n">
        <f aca="false">BA$4-BA$3+1</f>
        <v>91</v>
      </c>
      <c r="BB5" s="42" t="n">
        <f aca="false">BB$4-BB$3+1</f>
        <v>92</v>
      </c>
      <c r="BC5" s="42" t="n">
        <f aca="false">BC$4-BC$3+1</f>
        <v>92</v>
      </c>
      <c r="BD5" s="42" t="n">
        <f aca="false">BD$4-BD$3+1</f>
        <v>90</v>
      </c>
      <c r="BE5" s="42" t="n">
        <f aca="false">BE$4-BE$3+1</f>
        <v>91</v>
      </c>
      <c r="BF5" s="42" t="n">
        <f aca="false">BF$4-BF$3+1</f>
        <v>92</v>
      </c>
      <c r="BG5" s="42" t="n">
        <f aca="false">BG$4-BG$3+1</f>
        <v>92</v>
      </c>
      <c r="BH5" s="42" t="n">
        <f aca="false">BH$4-BH$3+1</f>
        <v>90</v>
      </c>
      <c r="BI5" s="42" t="n">
        <f aca="false">BI$4-BI$3+1</f>
        <v>91</v>
      </c>
      <c r="BJ5" s="42" t="n">
        <f aca="false">BJ$4-BJ$3+1</f>
        <v>92</v>
      </c>
      <c r="BK5" s="42" t="n">
        <f aca="false">BK$4-BK$3+1</f>
        <v>92</v>
      </c>
      <c r="BL5" s="42" t="n">
        <f aca="false">BL$4-BL$3+1</f>
        <v>91</v>
      </c>
      <c r="BM5" s="42" t="n">
        <f aca="false">BM$4-BM$3+1</f>
        <v>91</v>
      </c>
      <c r="BN5" s="42" t="n">
        <f aca="false">BN$4-BN$3+1</f>
        <v>92</v>
      </c>
      <c r="BO5" s="42" t="n">
        <f aca="false">BO$4-BO$3+1</f>
        <v>92</v>
      </c>
      <c r="BP5" s="42" t="n">
        <f aca="false">BP$4-BP$3+1</f>
        <v>90</v>
      </c>
      <c r="BQ5" s="42" t="n">
        <f aca="false">BQ$4-BQ$3+1</f>
        <v>91</v>
      </c>
      <c r="BR5" s="42" t="n">
        <f aca="false">BR$4-BR$3+1</f>
        <v>92</v>
      </c>
      <c r="BS5" s="42" t="n">
        <f aca="false">BS$4-BS$3+1</f>
        <v>92</v>
      </c>
      <c r="BT5" s="42" t="n">
        <f aca="false">BT$4-BT$3+1</f>
        <v>90</v>
      </c>
      <c r="BU5" s="42" t="n">
        <f aca="false">BU$4-BU$3+1</f>
        <v>91</v>
      </c>
      <c r="BV5" s="42" t="n">
        <f aca="false">BV$4-BV$3+1</f>
        <v>92</v>
      </c>
      <c r="BW5" s="42" t="n">
        <f aca="false">BW$4-BW$3+1</f>
        <v>92</v>
      </c>
      <c r="BX5" s="42" t="n">
        <f aca="false">BX$4-BX$3+1</f>
        <v>90</v>
      </c>
      <c r="BY5" s="42" t="n">
        <f aca="false">BY$4-BY$3+1</f>
        <v>91</v>
      </c>
      <c r="BZ5" s="42" t="n">
        <f aca="false">BZ$4-BZ$3+1</f>
        <v>92</v>
      </c>
      <c r="CA5" s="42" t="n">
        <f aca="false">CA$4-CA$3+1</f>
        <v>92</v>
      </c>
      <c r="CB5" s="42" t="n">
        <f aca="false">CB$4-CB$3+1</f>
        <v>91</v>
      </c>
      <c r="CC5" s="42" t="n">
        <f aca="false">CC$4-CC$3+1</f>
        <v>91</v>
      </c>
      <c r="CD5" s="42" t="n">
        <f aca="false">CD$4-CD$3+1</f>
        <v>92</v>
      </c>
      <c r="CE5" s="42" t="n">
        <f aca="false">CE$4-CE$3+1</f>
        <v>92</v>
      </c>
      <c r="CF5" s="42" t="n">
        <f aca="false">CF$4-CF$3+1</f>
        <v>90</v>
      </c>
      <c r="CG5" s="42" t="n">
        <f aca="false">CG$4-CG$3+1</f>
        <v>91</v>
      </c>
      <c r="CH5" s="42" t="n">
        <f aca="false">CH$4-CH$3+1</f>
        <v>92</v>
      </c>
      <c r="CI5" s="42" t="n">
        <f aca="false">CI$4-CI$3+1</f>
        <v>92</v>
      </c>
      <c r="CJ5" s="42" t="n">
        <f aca="false">CJ$4-CJ$3+1</f>
        <v>90</v>
      </c>
      <c r="CK5" s="42" t="n">
        <f aca="false">CK$4-CK$3+1</f>
        <v>91</v>
      </c>
      <c r="CL5" s="42" t="n">
        <f aca="false">CL$4-CL$3+1</f>
        <v>92</v>
      </c>
      <c r="CM5" s="42" t="n">
        <f aca="false">CM$4-CM$3+1</f>
        <v>92</v>
      </c>
      <c r="CN5" s="42" t="n">
        <f aca="false">CN$4-CN$3+1</f>
        <v>90</v>
      </c>
      <c r="CO5" s="42" t="n">
        <f aca="false">CO$4-CO$3+1</f>
        <v>91</v>
      </c>
      <c r="CP5" s="42" t="n">
        <f aca="false">CP$4-CP$3+1</f>
        <v>92</v>
      </c>
      <c r="CQ5" s="42" t="n">
        <f aca="false">CQ$4-CQ$3+1</f>
        <v>92</v>
      </c>
      <c r="CR5" s="42" t="n">
        <f aca="false">CR$4-CR$3+1</f>
        <v>91</v>
      </c>
      <c r="CS5" s="42" t="n">
        <f aca="false">CS$4-CS$3+1</f>
        <v>91</v>
      </c>
      <c r="CT5" s="42" t="n">
        <f aca="false">CT$4-CT$3+1</f>
        <v>92</v>
      </c>
      <c r="CU5" s="42" t="n">
        <f aca="false">CU$4-CU$3+1</f>
        <v>92</v>
      </c>
      <c r="CV5" s="42" t="n">
        <f aca="false">CV$4-CV$3+1</f>
        <v>90</v>
      </c>
      <c r="CW5" s="42" t="n">
        <f aca="false">CW$4-CW$3+1</f>
        <v>91</v>
      </c>
      <c r="CX5" s="42" t="n">
        <f aca="false">CX$4-CX$3+1</f>
        <v>92</v>
      </c>
      <c r="CY5" s="42" t="n">
        <f aca="false">CY$4-CY$3+1</f>
        <v>92</v>
      </c>
      <c r="CZ5" s="42" t="n">
        <f aca="false">CZ$4-CZ$3+1</f>
        <v>90</v>
      </c>
      <c r="DA5" s="42" t="n">
        <f aca="false">DA$4-DA$3+1</f>
        <v>91</v>
      </c>
      <c r="DB5" s="42" t="n">
        <f aca="false">DB$4-DB$3+1</f>
        <v>92</v>
      </c>
      <c r="DC5" s="42" t="n">
        <f aca="false">DC$4-DC$3+1</f>
        <v>92</v>
      </c>
      <c r="DD5" s="42" t="n">
        <f aca="false">DD$4-DD$3+1</f>
        <v>90</v>
      </c>
      <c r="DE5" s="42" t="n">
        <f aca="false">DE$4-DE$3+1</f>
        <v>91</v>
      </c>
      <c r="DF5" s="42" t="n">
        <f aca="false">DF$4-DF$3+1</f>
        <v>92</v>
      </c>
      <c r="DG5" s="42" t="n">
        <f aca="false">DG$4-DG$3+1</f>
        <v>92</v>
      </c>
      <c r="DH5" s="42" t="n">
        <f aca="false">DH$4-DH$3+1</f>
        <v>91</v>
      </c>
      <c r="DI5" s="42" t="n">
        <f aca="false">DI$4-DI$3+1</f>
        <v>91</v>
      </c>
      <c r="DJ5" s="42" t="n">
        <f aca="false">DJ$4-DJ$3+1</f>
        <v>92</v>
      </c>
      <c r="DK5" s="42" t="n">
        <f aca="false">DK$4-DK$3+1</f>
        <v>92</v>
      </c>
      <c r="DL5" s="42" t="n">
        <f aca="false">DL$4-DL$3+1</f>
        <v>90</v>
      </c>
      <c r="DM5" s="42" t="n">
        <f aca="false">DM$4-DM$3+1</f>
        <v>91</v>
      </c>
      <c r="DN5" s="42" t="n">
        <f aca="false">DN$4-DN$3+1</f>
        <v>92</v>
      </c>
      <c r="DO5" s="42" t="n">
        <f aca="false">DO$4-DO$3+1</f>
        <v>92</v>
      </c>
      <c r="DP5" s="42" t="n">
        <f aca="false">DP$4-DP$3+1</f>
        <v>90</v>
      </c>
      <c r="DQ5" s="42" t="n">
        <f aca="false">DQ$4-DQ$3+1</f>
        <v>91</v>
      </c>
      <c r="DR5" s="42" t="n">
        <f aca="false">DR$4-DR$3+1</f>
        <v>92</v>
      </c>
      <c r="DS5" s="42" t="n">
        <f aca="false">DS$4-DS$3+1</f>
        <v>92</v>
      </c>
      <c r="DT5" s="42" t="n">
        <f aca="false">DT$4-DT$3+1</f>
        <v>90</v>
      </c>
      <c r="DU5" s="42" t="n">
        <f aca="false">DU$4-DU$3+1</f>
        <v>91</v>
      </c>
      <c r="DV5" s="42" t="n">
        <f aca="false">DV$4-DV$3+1</f>
        <v>92</v>
      </c>
      <c r="DW5" s="42" t="n">
        <f aca="false">DW$4-DW$3+1</f>
        <v>92</v>
      </c>
      <c r="DX5" s="42" t="n">
        <f aca="false">DX$4-DX$3+1</f>
        <v>91</v>
      </c>
      <c r="DY5" s="42" t="n">
        <f aca="false">DY$4-DY$3+1</f>
        <v>91</v>
      </c>
      <c r="DZ5" s="42" t="n">
        <f aca="false">DZ$4-DZ$3+1</f>
        <v>92</v>
      </c>
      <c r="EA5" s="42" t="n">
        <f aca="false">EA$4-EA$3+1</f>
        <v>92</v>
      </c>
      <c r="EB5" s="42" t="n">
        <f aca="false">EB$4-EB$3+1</f>
        <v>90</v>
      </c>
      <c r="EC5" s="42" t="n">
        <f aca="false">EC$4-EC$3+1</f>
        <v>91</v>
      </c>
      <c r="ED5" s="42" t="n">
        <f aca="false">ED$4-ED$3+1</f>
        <v>92</v>
      </c>
      <c r="EE5" s="42" t="n">
        <f aca="false">EE$4-EE$3+1</f>
        <v>92</v>
      </c>
      <c r="EF5" s="42" t="n">
        <f aca="false">EF$4-EF$3+1</f>
        <v>90</v>
      </c>
      <c r="EG5" s="42" t="n">
        <f aca="false">EG$4-EG$3+1</f>
        <v>91</v>
      </c>
      <c r="EH5" s="42" t="n">
        <f aca="false">EH$4-EH$3+1</f>
        <v>92</v>
      </c>
      <c r="EI5" s="42" t="n">
        <f aca="false">EI$4-EI$3+1</f>
        <v>92</v>
      </c>
      <c r="EJ5" s="42" t="n">
        <f aca="false">EJ$4-EJ$3+1</f>
        <v>90</v>
      </c>
      <c r="EK5" s="42" t="n">
        <f aca="false">EK$4-EK$3+1</f>
        <v>91</v>
      </c>
      <c r="EL5" s="42" t="n">
        <f aca="false">EL$4-EL$3+1</f>
        <v>92</v>
      </c>
      <c r="EM5" s="42" t="n">
        <f aca="false">EM$4-EM$3+1</f>
        <v>92</v>
      </c>
      <c r="EN5" s="42" t="n">
        <f aca="false">EN$4-EN$3+1</f>
        <v>91</v>
      </c>
      <c r="EO5" s="42" t="n">
        <f aca="false">EO$4-EO$3+1</f>
        <v>91</v>
      </c>
      <c r="EP5" s="42" t="n">
        <f aca="false">EP$4-EP$3+1</f>
        <v>92</v>
      </c>
      <c r="EQ5" s="42" t="n">
        <f aca="false">EQ$4-EQ$3+1</f>
        <v>92</v>
      </c>
      <c r="ER5" s="42" t="n">
        <f aca="false">ER$4-ER$3+1</f>
        <v>90</v>
      </c>
      <c r="ES5" s="42" t="n">
        <f aca="false">ES$4-ES$3+1</f>
        <v>91</v>
      </c>
      <c r="ET5" s="42" t="n">
        <f aca="false">ET$4-ET$3+1</f>
        <v>92</v>
      </c>
    </row>
    <row r="6" customFormat="false" ht="15" hidden="false" customHeight="false" outlineLevel="0" collapsed="false">
      <c r="C6" s="1" t="s">
        <v>441</v>
      </c>
      <c r="D6" s="12" t="s">
        <v>442</v>
      </c>
      <c r="J6" s="54" t="n">
        <f aca="false">J$5/Days_In_Year</f>
        <v>0.252054794520548</v>
      </c>
      <c r="K6" s="54" t="n">
        <f aca="false">K$5/Days_In_Year</f>
        <v>0.252054794520548</v>
      </c>
      <c r="L6" s="54" t="n">
        <f aca="false">L$5/Days_In_Year</f>
        <v>0.246575342465753</v>
      </c>
      <c r="M6" s="54" t="n">
        <f aca="false">M$5/Days_In_Year</f>
        <v>0.249315068493151</v>
      </c>
      <c r="N6" s="54" t="n">
        <f aca="false">N$5/Days_In_Year</f>
        <v>0.252054794520548</v>
      </c>
      <c r="O6" s="54" t="n">
        <f aca="false">O$5/Days_In_Year</f>
        <v>0.252054794520548</v>
      </c>
      <c r="P6" s="54" t="n">
        <f aca="false">P$5/Days_In_Year</f>
        <v>0.249315068493151</v>
      </c>
      <c r="Q6" s="54" t="n">
        <f aca="false">Q$5/Days_In_Year</f>
        <v>0.249315068493151</v>
      </c>
      <c r="R6" s="54" t="n">
        <f aca="false">R$5/Days_In_Year</f>
        <v>0.252054794520548</v>
      </c>
      <c r="S6" s="54" t="n">
        <f aca="false">S$5/Days_In_Year</f>
        <v>0.252054794520548</v>
      </c>
      <c r="T6" s="54" t="n">
        <f aca="false">T$5/Days_In_Year</f>
        <v>0.246575342465753</v>
      </c>
      <c r="U6" s="54" t="n">
        <f aca="false">U$5/Days_In_Year</f>
        <v>0.249315068493151</v>
      </c>
      <c r="V6" s="54" t="n">
        <f aca="false">V$5/Days_In_Year</f>
        <v>0.252054794520548</v>
      </c>
      <c r="W6" s="54" t="n">
        <f aca="false">W$5/Days_In_Year</f>
        <v>0.252054794520548</v>
      </c>
      <c r="X6" s="54" t="n">
        <f aca="false">X$5/Days_In_Year</f>
        <v>0.246575342465753</v>
      </c>
      <c r="Y6" s="54" t="n">
        <f aca="false">Y$5/Days_In_Year</f>
        <v>0.249315068493151</v>
      </c>
      <c r="Z6" s="54" t="n">
        <f aca="false">Z$5/Days_In_Year</f>
        <v>0.252054794520548</v>
      </c>
      <c r="AA6" s="54" t="n">
        <f aca="false">AA$5/Days_In_Year</f>
        <v>0.252054794520548</v>
      </c>
      <c r="AB6" s="54" t="n">
        <f aca="false">AB$5/Days_In_Year</f>
        <v>0.246575342465753</v>
      </c>
      <c r="AC6" s="54" t="n">
        <f aca="false">AC$5/Days_In_Year</f>
        <v>0.249315068493151</v>
      </c>
      <c r="AD6" s="54" t="n">
        <f aca="false">AD$5/Days_In_Year</f>
        <v>0.252054794520548</v>
      </c>
      <c r="AE6" s="54" t="n">
        <f aca="false">AE$5/Days_In_Year</f>
        <v>0.252054794520548</v>
      </c>
      <c r="AF6" s="54" t="n">
        <f aca="false">AF$5/Days_In_Year</f>
        <v>0.249315068493151</v>
      </c>
      <c r="AG6" s="54" t="n">
        <f aca="false">AG$5/Days_In_Year</f>
        <v>0.249315068493151</v>
      </c>
      <c r="AH6" s="54" t="n">
        <f aca="false">AH$5/Days_In_Year</f>
        <v>0.252054794520548</v>
      </c>
      <c r="AI6" s="54" t="n">
        <f aca="false">AI$5/Days_In_Year</f>
        <v>0.252054794520548</v>
      </c>
      <c r="AJ6" s="54" t="n">
        <f aca="false">AJ$5/Days_In_Year</f>
        <v>0.246575342465753</v>
      </c>
      <c r="AK6" s="54" t="n">
        <f aca="false">AK$5/Days_In_Year</f>
        <v>0.249315068493151</v>
      </c>
      <c r="AL6" s="54" t="n">
        <f aca="false">AL$5/Days_In_Year</f>
        <v>0.252054794520548</v>
      </c>
      <c r="AM6" s="54" t="n">
        <f aca="false">AM$5/Days_In_Year</f>
        <v>0.252054794520548</v>
      </c>
      <c r="AN6" s="54" t="n">
        <f aca="false">AN$5/Days_In_Year</f>
        <v>0.246575342465753</v>
      </c>
      <c r="AO6" s="54" t="n">
        <f aca="false">AO$5/Days_In_Year</f>
        <v>0.249315068493151</v>
      </c>
      <c r="AP6" s="54" t="n">
        <f aca="false">AP$5/Days_In_Year</f>
        <v>0.252054794520548</v>
      </c>
      <c r="AQ6" s="54" t="n">
        <f aca="false">AQ$5/Days_In_Year</f>
        <v>0.252054794520548</v>
      </c>
      <c r="AR6" s="54" t="n">
        <f aca="false">AR$5/Days_In_Year</f>
        <v>0.246575342465753</v>
      </c>
      <c r="AS6" s="54" t="n">
        <f aca="false">AS$5/Days_In_Year</f>
        <v>0.249315068493151</v>
      </c>
      <c r="AT6" s="54" t="n">
        <f aca="false">AT$5/Days_In_Year</f>
        <v>0.252054794520548</v>
      </c>
      <c r="AU6" s="54" t="n">
        <f aca="false">AU$5/Days_In_Year</f>
        <v>0.252054794520548</v>
      </c>
      <c r="AV6" s="54" t="n">
        <f aca="false">AV$5/Days_In_Year</f>
        <v>0.249315068493151</v>
      </c>
      <c r="AW6" s="54" t="n">
        <f aca="false">AW$5/Days_In_Year</f>
        <v>0.249315068493151</v>
      </c>
      <c r="AX6" s="54" t="n">
        <f aca="false">AX$5/Days_In_Year</f>
        <v>0.252054794520548</v>
      </c>
      <c r="AY6" s="54" t="n">
        <f aca="false">AY$5/Days_In_Year</f>
        <v>0.252054794520548</v>
      </c>
      <c r="AZ6" s="54" t="n">
        <f aca="false">AZ$5/Days_In_Year</f>
        <v>0.246575342465753</v>
      </c>
      <c r="BA6" s="54" t="n">
        <f aca="false">BA$5/Days_In_Year</f>
        <v>0.249315068493151</v>
      </c>
      <c r="BB6" s="54" t="n">
        <f aca="false">BB$5/Days_In_Year</f>
        <v>0.252054794520548</v>
      </c>
      <c r="BC6" s="54" t="n">
        <f aca="false">BC$5/Days_In_Year</f>
        <v>0.252054794520548</v>
      </c>
      <c r="BD6" s="54" t="n">
        <f aca="false">BD$5/Days_In_Year</f>
        <v>0.246575342465753</v>
      </c>
      <c r="BE6" s="54" t="n">
        <f aca="false">BE$5/Days_In_Year</f>
        <v>0.249315068493151</v>
      </c>
      <c r="BF6" s="54" t="n">
        <f aca="false">BF$5/Days_In_Year</f>
        <v>0.252054794520548</v>
      </c>
      <c r="BG6" s="54" t="n">
        <f aca="false">BG$5/Days_In_Year</f>
        <v>0.252054794520548</v>
      </c>
      <c r="BH6" s="54" t="n">
        <f aca="false">BH$5/Days_In_Year</f>
        <v>0.246575342465753</v>
      </c>
      <c r="BI6" s="54" t="n">
        <f aca="false">BI$5/Days_In_Year</f>
        <v>0.249315068493151</v>
      </c>
      <c r="BJ6" s="54" t="n">
        <f aca="false">BJ$5/Days_In_Year</f>
        <v>0.252054794520548</v>
      </c>
      <c r="BK6" s="54" t="n">
        <f aca="false">BK$5/Days_In_Year</f>
        <v>0.252054794520548</v>
      </c>
      <c r="BL6" s="54" t="n">
        <f aca="false">BL$5/Days_In_Year</f>
        <v>0.249315068493151</v>
      </c>
      <c r="BM6" s="54" t="n">
        <f aca="false">BM$5/Days_In_Year</f>
        <v>0.249315068493151</v>
      </c>
      <c r="BN6" s="54" t="n">
        <f aca="false">BN$5/Days_In_Year</f>
        <v>0.252054794520548</v>
      </c>
      <c r="BO6" s="54" t="n">
        <f aca="false">BO$5/Days_In_Year</f>
        <v>0.252054794520548</v>
      </c>
      <c r="BP6" s="54" t="n">
        <f aca="false">BP$5/Days_In_Year</f>
        <v>0.246575342465753</v>
      </c>
      <c r="BQ6" s="54" t="n">
        <f aca="false">BQ$5/Days_In_Year</f>
        <v>0.249315068493151</v>
      </c>
      <c r="BR6" s="54" t="n">
        <f aca="false">BR$5/Days_In_Year</f>
        <v>0.252054794520548</v>
      </c>
      <c r="BS6" s="54" t="n">
        <f aca="false">BS$5/Days_In_Year</f>
        <v>0.252054794520548</v>
      </c>
      <c r="BT6" s="54" t="n">
        <f aca="false">BT$5/Days_In_Year</f>
        <v>0.246575342465753</v>
      </c>
      <c r="BU6" s="54" t="n">
        <f aca="false">BU$5/Days_In_Year</f>
        <v>0.249315068493151</v>
      </c>
      <c r="BV6" s="54" t="n">
        <f aca="false">BV$5/Days_In_Year</f>
        <v>0.252054794520548</v>
      </c>
      <c r="BW6" s="54" t="n">
        <f aca="false">BW$5/Days_In_Year</f>
        <v>0.252054794520548</v>
      </c>
      <c r="BX6" s="54" t="n">
        <f aca="false">BX$5/Days_In_Year</f>
        <v>0.246575342465753</v>
      </c>
      <c r="BY6" s="54" t="n">
        <f aca="false">BY$5/Days_In_Year</f>
        <v>0.249315068493151</v>
      </c>
      <c r="BZ6" s="54" t="n">
        <f aca="false">BZ$5/Days_In_Year</f>
        <v>0.252054794520548</v>
      </c>
      <c r="CA6" s="54" t="n">
        <f aca="false">CA$5/Days_In_Year</f>
        <v>0.252054794520548</v>
      </c>
      <c r="CB6" s="54" t="n">
        <f aca="false">CB$5/Days_In_Year</f>
        <v>0.249315068493151</v>
      </c>
      <c r="CC6" s="54" t="n">
        <f aca="false">CC$5/Days_In_Year</f>
        <v>0.249315068493151</v>
      </c>
      <c r="CD6" s="54" t="n">
        <f aca="false">CD$5/Days_In_Year</f>
        <v>0.252054794520548</v>
      </c>
      <c r="CE6" s="54" t="n">
        <f aca="false">CE$5/Days_In_Year</f>
        <v>0.252054794520548</v>
      </c>
      <c r="CF6" s="54" t="n">
        <f aca="false">CF$5/Days_In_Year</f>
        <v>0.246575342465753</v>
      </c>
      <c r="CG6" s="54" t="n">
        <f aca="false">CG$5/Days_In_Year</f>
        <v>0.249315068493151</v>
      </c>
      <c r="CH6" s="54" t="n">
        <f aca="false">CH$5/Days_In_Year</f>
        <v>0.252054794520548</v>
      </c>
      <c r="CI6" s="54" t="n">
        <f aca="false">CI$5/Days_In_Year</f>
        <v>0.252054794520548</v>
      </c>
      <c r="CJ6" s="54" t="n">
        <f aca="false">CJ$5/Days_In_Year</f>
        <v>0.246575342465753</v>
      </c>
      <c r="CK6" s="54" t="n">
        <f aca="false">CK$5/Days_In_Year</f>
        <v>0.249315068493151</v>
      </c>
      <c r="CL6" s="54" t="n">
        <f aca="false">CL$5/Days_In_Year</f>
        <v>0.252054794520548</v>
      </c>
      <c r="CM6" s="54" t="n">
        <f aca="false">CM$5/Days_In_Year</f>
        <v>0.252054794520548</v>
      </c>
      <c r="CN6" s="54" t="n">
        <f aca="false">CN$5/Days_In_Year</f>
        <v>0.246575342465753</v>
      </c>
      <c r="CO6" s="54" t="n">
        <f aca="false">CO$5/Days_In_Year</f>
        <v>0.249315068493151</v>
      </c>
      <c r="CP6" s="54" t="n">
        <f aca="false">CP$5/Days_In_Year</f>
        <v>0.252054794520548</v>
      </c>
      <c r="CQ6" s="54" t="n">
        <f aca="false">CQ$5/Days_In_Year</f>
        <v>0.252054794520548</v>
      </c>
      <c r="CR6" s="54" t="n">
        <f aca="false">CR$5/Days_In_Year</f>
        <v>0.249315068493151</v>
      </c>
      <c r="CS6" s="54" t="n">
        <f aca="false">CS$5/Days_In_Year</f>
        <v>0.249315068493151</v>
      </c>
      <c r="CT6" s="54" t="n">
        <f aca="false">CT$5/Days_In_Year</f>
        <v>0.252054794520548</v>
      </c>
      <c r="CU6" s="54" t="n">
        <f aca="false">CU$5/Days_In_Year</f>
        <v>0.252054794520548</v>
      </c>
      <c r="CV6" s="54" t="n">
        <f aca="false">CV$5/Days_In_Year</f>
        <v>0.246575342465753</v>
      </c>
      <c r="CW6" s="54" t="n">
        <f aca="false">CW$5/Days_In_Year</f>
        <v>0.249315068493151</v>
      </c>
      <c r="CX6" s="54" t="n">
        <f aca="false">CX$5/Days_In_Year</f>
        <v>0.252054794520548</v>
      </c>
      <c r="CY6" s="54" t="n">
        <f aca="false">CY$5/Days_In_Year</f>
        <v>0.252054794520548</v>
      </c>
      <c r="CZ6" s="54" t="n">
        <f aca="false">CZ$5/Days_In_Year</f>
        <v>0.246575342465753</v>
      </c>
      <c r="DA6" s="54" t="n">
        <f aca="false">DA$5/Days_In_Year</f>
        <v>0.249315068493151</v>
      </c>
      <c r="DB6" s="54" t="n">
        <f aca="false">DB$5/Days_In_Year</f>
        <v>0.252054794520548</v>
      </c>
      <c r="DC6" s="54" t="n">
        <f aca="false">DC$5/Days_In_Year</f>
        <v>0.252054794520548</v>
      </c>
      <c r="DD6" s="54" t="n">
        <f aca="false">DD$5/Days_In_Year</f>
        <v>0.246575342465753</v>
      </c>
      <c r="DE6" s="54" t="n">
        <f aca="false">DE$5/Days_In_Year</f>
        <v>0.249315068493151</v>
      </c>
      <c r="DF6" s="54" t="n">
        <f aca="false">DF$5/Days_In_Year</f>
        <v>0.252054794520548</v>
      </c>
      <c r="DG6" s="54" t="n">
        <f aca="false">DG$5/Days_In_Year</f>
        <v>0.252054794520548</v>
      </c>
      <c r="DH6" s="54" t="n">
        <f aca="false">DH$5/Days_In_Year</f>
        <v>0.249315068493151</v>
      </c>
      <c r="DI6" s="54" t="n">
        <f aca="false">DI$5/Days_In_Year</f>
        <v>0.249315068493151</v>
      </c>
      <c r="DJ6" s="54" t="n">
        <f aca="false">DJ$5/Days_In_Year</f>
        <v>0.252054794520548</v>
      </c>
      <c r="DK6" s="54" t="n">
        <f aca="false">DK$5/Days_In_Year</f>
        <v>0.252054794520548</v>
      </c>
      <c r="DL6" s="54" t="n">
        <f aca="false">DL$5/Days_In_Year</f>
        <v>0.246575342465753</v>
      </c>
      <c r="DM6" s="54" t="n">
        <f aca="false">DM$5/Days_In_Year</f>
        <v>0.249315068493151</v>
      </c>
      <c r="DN6" s="54" t="n">
        <f aca="false">DN$5/Days_In_Year</f>
        <v>0.252054794520548</v>
      </c>
      <c r="DO6" s="54" t="n">
        <f aca="false">DO$5/Days_In_Year</f>
        <v>0.252054794520548</v>
      </c>
      <c r="DP6" s="54" t="n">
        <f aca="false">DP$5/Days_In_Year</f>
        <v>0.246575342465753</v>
      </c>
      <c r="DQ6" s="54" t="n">
        <f aca="false">DQ$5/Days_In_Year</f>
        <v>0.249315068493151</v>
      </c>
      <c r="DR6" s="54" t="n">
        <f aca="false">DR$5/Days_In_Year</f>
        <v>0.252054794520548</v>
      </c>
      <c r="DS6" s="54" t="n">
        <f aca="false">DS$5/Days_In_Year</f>
        <v>0.252054794520548</v>
      </c>
      <c r="DT6" s="54" t="n">
        <f aca="false">DT$5/Days_In_Year</f>
        <v>0.246575342465753</v>
      </c>
      <c r="DU6" s="54" t="n">
        <f aca="false">DU$5/Days_In_Year</f>
        <v>0.249315068493151</v>
      </c>
      <c r="DV6" s="54" t="n">
        <f aca="false">DV$5/Days_In_Year</f>
        <v>0.252054794520548</v>
      </c>
      <c r="DW6" s="54" t="n">
        <f aca="false">DW$5/Days_In_Year</f>
        <v>0.252054794520548</v>
      </c>
      <c r="DX6" s="54" t="n">
        <f aca="false">DX$5/Days_In_Year</f>
        <v>0.249315068493151</v>
      </c>
      <c r="DY6" s="54" t="n">
        <f aca="false">DY$5/Days_In_Year</f>
        <v>0.249315068493151</v>
      </c>
      <c r="DZ6" s="54" t="n">
        <f aca="false">DZ$5/Days_In_Year</f>
        <v>0.252054794520548</v>
      </c>
      <c r="EA6" s="54" t="n">
        <f aca="false">EA$5/Days_In_Year</f>
        <v>0.252054794520548</v>
      </c>
      <c r="EB6" s="54" t="n">
        <f aca="false">EB$5/Days_In_Year</f>
        <v>0.246575342465753</v>
      </c>
      <c r="EC6" s="54" t="n">
        <f aca="false">EC$5/Days_In_Year</f>
        <v>0.249315068493151</v>
      </c>
      <c r="ED6" s="54" t="n">
        <f aca="false">ED$5/Days_In_Year</f>
        <v>0.252054794520548</v>
      </c>
      <c r="EE6" s="54" t="n">
        <f aca="false">EE$5/Days_In_Year</f>
        <v>0.252054794520548</v>
      </c>
      <c r="EF6" s="54" t="n">
        <f aca="false">EF$5/Days_In_Year</f>
        <v>0.246575342465753</v>
      </c>
      <c r="EG6" s="54" t="n">
        <f aca="false">EG$5/Days_In_Year</f>
        <v>0.249315068493151</v>
      </c>
      <c r="EH6" s="54" t="n">
        <f aca="false">EH$5/Days_In_Year</f>
        <v>0.252054794520548</v>
      </c>
      <c r="EI6" s="54" t="n">
        <f aca="false">EI$5/Days_In_Year</f>
        <v>0.252054794520548</v>
      </c>
      <c r="EJ6" s="54" t="n">
        <f aca="false">EJ$5/Days_In_Year</f>
        <v>0.246575342465753</v>
      </c>
      <c r="EK6" s="54" t="n">
        <f aca="false">EK$5/Days_In_Year</f>
        <v>0.249315068493151</v>
      </c>
      <c r="EL6" s="54" t="n">
        <f aca="false">EL$5/Days_In_Year</f>
        <v>0.252054794520548</v>
      </c>
      <c r="EM6" s="54" t="n">
        <f aca="false">EM$5/Days_In_Year</f>
        <v>0.252054794520548</v>
      </c>
      <c r="EN6" s="54" t="n">
        <f aca="false">EN$5/Days_In_Year</f>
        <v>0.249315068493151</v>
      </c>
      <c r="EO6" s="54" t="n">
        <f aca="false">EO$5/Days_In_Year</f>
        <v>0.249315068493151</v>
      </c>
      <c r="EP6" s="54" t="n">
        <f aca="false">EP$5/Days_In_Year</f>
        <v>0.252054794520548</v>
      </c>
      <c r="EQ6" s="54" t="n">
        <f aca="false">EQ$5/Days_In_Year</f>
        <v>0.252054794520548</v>
      </c>
      <c r="ER6" s="54" t="n">
        <f aca="false">ER$5/Days_In_Year</f>
        <v>0.246575342465753</v>
      </c>
      <c r="ES6" s="54" t="n">
        <f aca="false">ES$5/Days_In_Year</f>
        <v>0.249315068493151</v>
      </c>
      <c r="ET6" s="54" t="n">
        <f aca="false">ET$5/Days_In_Year</f>
        <v>0.252054794520548</v>
      </c>
    </row>
    <row r="7" customFormat="false" ht="15" hidden="false" customHeight="false" outlineLevel="0" collapsed="false">
      <c r="C7" s="1" t="s">
        <v>443</v>
      </c>
      <c r="D7" s="12" t="s">
        <v>444</v>
      </c>
      <c r="J7" s="42" t="n">
        <f aca="false">YEAR(J$4)</f>
        <v>2026</v>
      </c>
      <c r="K7" s="42" t="n">
        <f aca="false">YEAR(K$4)</f>
        <v>2026</v>
      </c>
      <c r="L7" s="42" t="n">
        <f aca="false">YEAR(L$4)</f>
        <v>2027</v>
      </c>
      <c r="M7" s="42" t="n">
        <f aca="false">YEAR(M$4)</f>
        <v>2027</v>
      </c>
      <c r="N7" s="42" t="n">
        <f aca="false">YEAR(N$4)</f>
        <v>2027</v>
      </c>
      <c r="O7" s="42" t="n">
        <f aca="false">YEAR(O$4)</f>
        <v>2027</v>
      </c>
      <c r="P7" s="42" t="n">
        <f aca="false">YEAR(P$4)</f>
        <v>2028</v>
      </c>
      <c r="Q7" s="42" t="n">
        <f aca="false">YEAR(Q$4)</f>
        <v>2028</v>
      </c>
      <c r="R7" s="42" t="n">
        <f aca="false">YEAR(R$4)</f>
        <v>2028</v>
      </c>
      <c r="S7" s="42" t="n">
        <f aca="false">YEAR(S$4)</f>
        <v>2028</v>
      </c>
      <c r="T7" s="42" t="n">
        <f aca="false">YEAR(T$4)</f>
        <v>2029</v>
      </c>
      <c r="U7" s="42" t="n">
        <f aca="false">YEAR(U$4)</f>
        <v>2029</v>
      </c>
      <c r="V7" s="42" t="n">
        <f aca="false">YEAR(V$4)</f>
        <v>2029</v>
      </c>
      <c r="W7" s="42" t="n">
        <f aca="false">YEAR(W$4)</f>
        <v>2029</v>
      </c>
      <c r="X7" s="42" t="n">
        <f aca="false">YEAR(X$4)</f>
        <v>2030</v>
      </c>
      <c r="Y7" s="42" t="n">
        <f aca="false">YEAR(Y$4)</f>
        <v>2030</v>
      </c>
      <c r="Z7" s="42" t="n">
        <f aca="false">YEAR(Z$4)</f>
        <v>2030</v>
      </c>
      <c r="AA7" s="42" t="n">
        <f aca="false">YEAR(AA$4)</f>
        <v>2030</v>
      </c>
      <c r="AB7" s="42" t="n">
        <f aca="false">YEAR(AB$4)</f>
        <v>2031</v>
      </c>
      <c r="AC7" s="42" t="n">
        <f aca="false">YEAR(AC$4)</f>
        <v>2031</v>
      </c>
      <c r="AD7" s="42" t="n">
        <f aca="false">YEAR(AD$4)</f>
        <v>2031</v>
      </c>
      <c r="AE7" s="42" t="n">
        <f aca="false">YEAR(AE$4)</f>
        <v>2031</v>
      </c>
      <c r="AF7" s="42" t="n">
        <f aca="false">YEAR(AF$4)</f>
        <v>2032</v>
      </c>
      <c r="AG7" s="42" t="n">
        <f aca="false">YEAR(AG$4)</f>
        <v>2032</v>
      </c>
      <c r="AH7" s="42" t="n">
        <f aca="false">YEAR(AH$4)</f>
        <v>2032</v>
      </c>
      <c r="AI7" s="42" t="n">
        <f aca="false">YEAR(AI$4)</f>
        <v>2032</v>
      </c>
      <c r="AJ7" s="42" t="n">
        <f aca="false">YEAR(AJ$4)</f>
        <v>2033</v>
      </c>
      <c r="AK7" s="42" t="n">
        <f aca="false">YEAR(AK$4)</f>
        <v>2033</v>
      </c>
      <c r="AL7" s="42" t="n">
        <f aca="false">YEAR(AL$4)</f>
        <v>2033</v>
      </c>
      <c r="AM7" s="42" t="n">
        <f aca="false">YEAR(AM$4)</f>
        <v>2033</v>
      </c>
      <c r="AN7" s="42" t="n">
        <f aca="false">YEAR(AN$4)</f>
        <v>2034</v>
      </c>
      <c r="AO7" s="42" t="n">
        <f aca="false">YEAR(AO$4)</f>
        <v>2034</v>
      </c>
      <c r="AP7" s="42" t="n">
        <f aca="false">YEAR(AP$4)</f>
        <v>2034</v>
      </c>
      <c r="AQ7" s="42" t="n">
        <f aca="false">YEAR(AQ$4)</f>
        <v>2034</v>
      </c>
      <c r="AR7" s="42" t="n">
        <f aca="false">YEAR(AR$4)</f>
        <v>2035</v>
      </c>
      <c r="AS7" s="42" t="n">
        <f aca="false">YEAR(AS$4)</f>
        <v>2035</v>
      </c>
      <c r="AT7" s="42" t="n">
        <f aca="false">YEAR(AT$4)</f>
        <v>2035</v>
      </c>
      <c r="AU7" s="42" t="n">
        <f aca="false">YEAR(AU$4)</f>
        <v>2035</v>
      </c>
      <c r="AV7" s="42" t="n">
        <f aca="false">YEAR(AV$4)</f>
        <v>2036</v>
      </c>
      <c r="AW7" s="42" t="n">
        <f aca="false">YEAR(AW$4)</f>
        <v>2036</v>
      </c>
      <c r="AX7" s="42" t="n">
        <f aca="false">YEAR(AX$4)</f>
        <v>2036</v>
      </c>
      <c r="AY7" s="42" t="n">
        <f aca="false">YEAR(AY$4)</f>
        <v>2036</v>
      </c>
      <c r="AZ7" s="42" t="n">
        <f aca="false">YEAR(AZ$4)</f>
        <v>2037</v>
      </c>
      <c r="BA7" s="42" t="n">
        <f aca="false">YEAR(BA$4)</f>
        <v>2037</v>
      </c>
      <c r="BB7" s="42" t="n">
        <f aca="false">YEAR(BB$4)</f>
        <v>2037</v>
      </c>
      <c r="BC7" s="42" t="n">
        <f aca="false">YEAR(BC$4)</f>
        <v>2037</v>
      </c>
      <c r="BD7" s="42" t="n">
        <f aca="false">YEAR(BD$4)</f>
        <v>2038</v>
      </c>
      <c r="BE7" s="42" t="n">
        <f aca="false">YEAR(BE$4)</f>
        <v>2038</v>
      </c>
      <c r="BF7" s="42" t="n">
        <f aca="false">YEAR(BF$4)</f>
        <v>2038</v>
      </c>
      <c r="BG7" s="42" t="n">
        <f aca="false">YEAR(BG$4)</f>
        <v>2038</v>
      </c>
      <c r="BH7" s="42" t="n">
        <f aca="false">YEAR(BH$4)</f>
        <v>2039</v>
      </c>
      <c r="BI7" s="42" t="n">
        <f aca="false">YEAR(BI$4)</f>
        <v>2039</v>
      </c>
      <c r="BJ7" s="42" t="n">
        <f aca="false">YEAR(BJ$4)</f>
        <v>2039</v>
      </c>
      <c r="BK7" s="42" t="n">
        <f aca="false">YEAR(BK$4)</f>
        <v>2039</v>
      </c>
      <c r="BL7" s="42" t="n">
        <f aca="false">YEAR(BL$4)</f>
        <v>2040</v>
      </c>
      <c r="BM7" s="42" t="n">
        <f aca="false">YEAR(BM$4)</f>
        <v>2040</v>
      </c>
      <c r="BN7" s="42" t="n">
        <f aca="false">YEAR(BN$4)</f>
        <v>2040</v>
      </c>
      <c r="BO7" s="42" t="n">
        <f aca="false">YEAR(BO$4)</f>
        <v>2040</v>
      </c>
      <c r="BP7" s="42" t="n">
        <f aca="false">YEAR(BP$4)</f>
        <v>2041</v>
      </c>
      <c r="BQ7" s="42" t="n">
        <f aca="false">YEAR(BQ$4)</f>
        <v>2041</v>
      </c>
      <c r="BR7" s="42" t="n">
        <f aca="false">YEAR(BR$4)</f>
        <v>2041</v>
      </c>
      <c r="BS7" s="42" t="n">
        <f aca="false">YEAR(BS$4)</f>
        <v>2041</v>
      </c>
      <c r="BT7" s="42" t="n">
        <f aca="false">YEAR(BT$4)</f>
        <v>2042</v>
      </c>
      <c r="BU7" s="42" t="n">
        <f aca="false">YEAR(BU$4)</f>
        <v>2042</v>
      </c>
      <c r="BV7" s="42" t="n">
        <f aca="false">YEAR(BV$4)</f>
        <v>2042</v>
      </c>
      <c r="BW7" s="42" t="n">
        <f aca="false">YEAR(BW$4)</f>
        <v>2042</v>
      </c>
      <c r="BX7" s="42" t="n">
        <f aca="false">YEAR(BX$4)</f>
        <v>2043</v>
      </c>
      <c r="BY7" s="42" t="n">
        <f aca="false">YEAR(BY$4)</f>
        <v>2043</v>
      </c>
      <c r="BZ7" s="42" t="n">
        <f aca="false">YEAR(BZ$4)</f>
        <v>2043</v>
      </c>
      <c r="CA7" s="42" t="n">
        <f aca="false">YEAR(CA$4)</f>
        <v>2043</v>
      </c>
      <c r="CB7" s="42" t="n">
        <f aca="false">YEAR(CB$4)</f>
        <v>2044</v>
      </c>
      <c r="CC7" s="42" t="n">
        <f aca="false">YEAR(CC$4)</f>
        <v>2044</v>
      </c>
      <c r="CD7" s="42" t="n">
        <f aca="false">YEAR(CD$4)</f>
        <v>2044</v>
      </c>
      <c r="CE7" s="42" t="n">
        <f aca="false">YEAR(CE$4)</f>
        <v>2044</v>
      </c>
      <c r="CF7" s="42" t="n">
        <f aca="false">YEAR(CF$4)</f>
        <v>2045</v>
      </c>
      <c r="CG7" s="42" t="n">
        <f aca="false">YEAR(CG$4)</f>
        <v>2045</v>
      </c>
      <c r="CH7" s="42" t="n">
        <f aca="false">YEAR(CH$4)</f>
        <v>2045</v>
      </c>
      <c r="CI7" s="42" t="n">
        <f aca="false">YEAR(CI$4)</f>
        <v>2045</v>
      </c>
      <c r="CJ7" s="42" t="n">
        <f aca="false">YEAR(CJ$4)</f>
        <v>2046</v>
      </c>
      <c r="CK7" s="42" t="n">
        <f aca="false">YEAR(CK$4)</f>
        <v>2046</v>
      </c>
      <c r="CL7" s="42" t="n">
        <f aca="false">YEAR(CL$4)</f>
        <v>2046</v>
      </c>
      <c r="CM7" s="42" t="n">
        <f aca="false">YEAR(CM$4)</f>
        <v>2046</v>
      </c>
      <c r="CN7" s="42" t="n">
        <f aca="false">YEAR(CN$4)</f>
        <v>2047</v>
      </c>
      <c r="CO7" s="42" t="n">
        <f aca="false">YEAR(CO$4)</f>
        <v>2047</v>
      </c>
      <c r="CP7" s="42" t="n">
        <f aca="false">YEAR(CP$4)</f>
        <v>2047</v>
      </c>
      <c r="CQ7" s="42" t="n">
        <f aca="false">YEAR(CQ$4)</f>
        <v>2047</v>
      </c>
      <c r="CR7" s="42" t="n">
        <f aca="false">YEAR(CR$4)</f>
        <v>2048</v>
      </c>
      <c r="CS7" s="42" t="n">
        <f aca="false">YEAR(CS$4)</f>
        <v>2048</v>
      </c>
      <c r="CT7" s="42" t="n">
        <f aca="false">YEAR(CT$4)</f>
        <v>2048</v>
      </c>
      <c r="CU7" s="42" t="n">
        <f aca="false">YEAR(CU$4)</f>
        <v>2048</v>
      </c>
      <c r="CV7" s="42" t="n">
        <f aca="false">YEAR(CV$4)</f>
        <v>2049</v>
      </c>
      <c r="CW7" s="42" t="n">
        <f aca="false">YEAR(CW$4)</f>
        <v>2049</v>
      </c>
      <c r="CX7" s="42" t="n">
        <f aca="false">YEAR(CX$4)</f>
        <v>2049</v>
      </c>
      <c r="CY7" s="42" t="n">
        <f aca="false">YEAR(CY$4)</f>
        <v>2049</v>
      </c>
      <c r="CZ7" s="42" t="n">
        <f aca="false">YEAR(CZ$4)</f>
        <v>2050</v>
      </c>
      <c r="DA7" s="42" t="n">
        <f aca="false">YEAR(DA$4)</f>
        <v>2050</v>
      </c>
      <c r="DB7" s="42" t="n">
        <f aca="false">YEAR(DB$4)</f>
        <v>2050</v>
      </c>
      <c r="DC7" s="42" t="n">
        <f aca="false">YEAR(DC$4)</f>
        <v>2050</v>
      </c>
      <c r="DD7" s="42" t="n">
        <f aca="false">YEAR(DD$4)</f>
        <v>2051</v>
      </c>
      <c r="DE7" s="42" t="n">
        <f aca="false">YEAR(DE$4)</f>
        <v>2051</v>
      </c>
      <c r="DF7" s="42" t="n">
        <f aca="false">YEAR(DF$4)</f>
        <v>2051</v>
      </c>
      <c r="DG7" s="42" t="n">
        <f aca="false">YEAR(DG$4)</f>
        <v>2051</v>
      </c>
      <c r="DH7" s="42" t="n">
        <f aca="false">YEAR(DH$4)</f>
        <v>2052</v>
      </c>
      <c r="DI7" s="42" t="n">
        <f aca="false">YEAR(DI$4)</f>
        <v>2052</v>
      </c>
      <c r="DJ7" s="42" t="n">
        <f aca="false">YEAR(DJ$4)</f>
        <v>2052</v>
      </c>
      <c r="DK7" s="42" t="n">
        <f aca="false">YEAR(DK$4)</f>
        <v>2052</v>
      </c>
      <c r="DL7" s="42" t="n">
        <f aca="false">YEAR(DL$4)</f>
        <v>2053</v>
      </c>
      <c r="DM7" s="42" t="n">
        <f aca="false">YEAR(DM$4)</f>
        <v>2053</v>
      </c>
      <c r="DN7" s="42" t="n">
        <f aca="false">YEAR(DN$4)</f>
        <v>2053</v>
      </c>
      <c r="DO7" s="42" t="n">
        <f aca="false">YEAR(DO$4)</f>
        <v>2053</v>
      </c>
      <c r="DP7" s="42" t="n">
        <f aca="false">YEAR(DP$4)</f>
        <v>2054</v>
      </c>
      <c r="DQ7" s="42" t="n">
        <f aca="false">YEAR(DQ$4)</f>
        <v>2054</v>
      </c>
      <c r="DR7" s="42" t="n">
        <f aca="false">YEAR(DR$4)</f>
        <v>2054</v>
      </c>
      <c r="DS7" s="42" t="n">
        <f aca="false">YEAR(DS$4)</f>
        <v>2054</v>
      </c>
      <c r="DT7" s="42" t="n">
        <f aca="false">YEAR(DT$4)</f>
        <v>2055</v>
      </c>
      <c r="DU7" s="42" t="n">
        <f aca="false">YEAR(DU$4)</f>
        <v>2055</v>
      </c>
      <c r="DV7" s="42" t="n">
        <f aca="false">YEAR(DV$4)</f>
        <v>2055</v>
      </c>
      <c r="DW7" s="42" t="n">
        <f aca="false">YEAR(DW$4)</f>
        <v>2055</v>
      </c>
      <c r="DX7" s="42" t="n">
        <f aca="false">YEAR(DX$4)</f>
        <v>2056</v>
      </c>
      <c r="DY7" s="42" t="n">
        <f aca="false">YEAR(DY$4)</f>
        <v>2056</v>
      </c>
      <c r="DZ7" s="42" t="n">
        <f aca="false">YEAR(DZ$4)</f>
        <v>2056</v>
      </c>
      <c r="EA7" s="42" t="n">
        <f aca="false">YEAR(EA$4)</f>
        <v>2056</v>
      </c>
      <c r="EB7" s="42" t="n">
        <f aca="false">YEAR(EB$4)</f>
        <v>2057</v>
      </c>
      <c r="EC7" s="42" t="n">
        <f aca="false">YEAR(EC$4)</f>
        <v>2057</v>
      </c>
      <c r="ED7" s="42" t="n">
        <f aca="false">YEAR(ED$4)</f>
        <v>2057</v>
      </c>
      <c r="EE7" s="42" t="n">
        <f aca="false">YEAR(EE$4)</f>
        <v>2057</v>
      </c>
      <c r="EF7" s="42" t="n">
        <f aca="false">YEAR(EF$4)</f>
        <v>2058</v>
      </c>
      <c r="EG7" s="42" t="n">
        <f aca="false">YEAR(EG$4)</f>
        <v>2058</v>
      </c>
      <c r="EH7" s="42" t="n">
        <f aca="false">YEAR(EH$4)</f>
        <v>2058</v>
      </c>
      <c r="EI7" s="42" t="n">
        <f aca="false">YEAR(EI$4)</f>
        <v>2058</v>
      </c>
      <c r="EJ7" s="42" t="n">
        <f aca="false">YEAR(EJ$4)</f>
        <v>2059</v>
      </c>
      <c r="EK7" s="42" t="n">
        <f aca="false">YEAR(EK$4)</f>
        <v>2059</v>
      </c>
      <c r="EL7" s="42" t="n">
        <f aca="false">YEAR(EL$4)</f>
        <v>2059</v>
      </c>
      <c r="EM7" s="42" t="n">
        <f aca="false">YEAR(EM$4)</f>
        <v>2059</v>
      </c>
      <c r="EN7" s="42" t="n">
        <f aca="false">YEAR(EN$4)</f>
        <v>2060</v>
      </c>
      <c r="EO7" s="42" t="n">
        <f aca="false">YEAR(EO$4)</f>
        <v>2060</v>
      </c>
      <c r="EP7" s="42" t="n">
        <f aca="false">YEAR(EP$4)</f>
        <v>2060</v>
      </c>
      <c r="EQ7" s="42" t="n">
        <f aca="false">YEAR(EQ$4)</f>
        <v>2060</v>
      </c>
      <c r="ER7" s="42" t="n">
        <f aca="false">YEAR(ER$4)</f>
        <v>2061</v>
      </c>
      <c r="ES7" s="42" t="n">
        <f aca="false">YEAR(ES$4)</f>
        <v>2061</v>
      </c>
      <c r="ET7" s="42" t="n">
        <f aca="false">YEAR(ET$4)</f>
        <v>2061</v>
      </c>
    </row>
    <row r="8" customFormat="false" ht="15" hidden="false" customHeight="false" outlineLevel="0" collapsed="false">
      <c r="C8" s="1" t="s">
        <v>445</v>
      </c>
      <c r="D8" s="12" t="s">
        <v>180</v>
      </c>
      <c r="J8" s="42" t="n">
        <f aca="false">I$8+1</f>
        <v>1</v>
      </c>
      <c r="K8" s="42" t="n">
        <f aca="false">J$8+1</f>
        <v>2</v>
      </c>
      <c r="L8" s="42" t="n">
        <f aca="false">K$8+1</f>
        <v>3</v>
      </c>
      <c r="M8" s="42" t="n">
        <f aca="false">L$8+1</f>
        <v>4</v>
      </c>
      <c r="N8" s="42" t="n">
        <f aca="false">M$8+1</f>
        <v>5</v>
      </c>
      <c r="O8" s="42" t="n">
        <f aca="false">N$8+1</f>
        <v>6</v>
      </c>
      <c r="P8" s="42" t="n">
        <f aca="false">O$8+1</f>
        <v>7</v>
      </c>
      <c r="Q8" s="42" t="n">
        <f aca="false">P$8+1</f>
        <v>8</v>
      </c>
      <c r="R8" s="42" t="n">
        <f aca="false">Q$8+1</f>
        <v>9</v>
      </c>
      <c r="S8" s="42" t="n">
        <f aca="false">R$8+1</f>
        <v>10</v>
      </c>
      <c r="T8" s="42" t="n">
        <f aca="false">S$8+1</f>
        <v>11</v>
      </c>
      <c r="U8" s="42" t="n">
        <f aca="false">T$8+1</f>
        <v>12</v>
      </c>
      <c r="V8" s="42" t="n">
        <f aca="false">U$8+1</f>
        <v>13</v>
      </c>
      <c r="W8" s="42" t="n">
        <f aca="false">V$8+1</f>
        <v>14</v>
      </c>
      <c r="X8" s="42" t="n">
        <f aca="false">W$8+1</f>
        <v>15</v>
      </c>
      <c r="Y8" s="42" t="n">
        <f aca="false">X$8+1</f>
        <v>16</v>
      </c>
      <c r="Z8" s="42" t="n">
        <f aca="false">Y$8+1</f>
        <v>17</v>
      </c>
      <c r="AA8" s="42" t="n">
        <f aca="false">Z$8+1</f>
        <v>18</v>
      </c>
      <c r="AB8" s="42" t="n">
        <f aca="false">AA$8+1</f>
        <v>19</v>
      </c>
      <c r="AC8" s="42" t="n">
        <f aca="false">AB$8+1</f>
        <v>20</v>
      </c>
      <c r="AD8" s="42" t="n">
        <f aca="false">AC$8+1</f>
        <v>21</v>
      </c>
      <c r="AE8" s="42" t="n">
        <f aca="false">AD$8+1</f>
        <v>22</v>
      </c>
      <c r="AF8" s="42" t="n">
        <f aca="false">AE$8+1</f>
        <v>23</v>
      </c>
      <c r="AG8" s="42" t="n">
        <f aca="false">AF$8+1</f>
        <v>24</v>
      </c>
      <c r="AH8" s="42" t="n">
        <f aca="false">AG$8+1</f>
        <v>25</v>
      </c>
      <c r="AI8" s="42" t="n">
        <f aca="false">AH$8+1</f>
        <v>26</v>
      </c>
      <c r="AJ8" s="42" t="n">
        <f aca="false">AI$8+1</f>
        <v>27</v>
      </c>
      <c r="AK8" s="42" t="n">
        <f aca="false">AJ$8+1</f>
        <v>28</v>
      </c>
      <c r="AL8" s="42" t="n">
        <f aca="false">AK$8+1</f>
        <v>29</v>
      </c>
      <c r="AM8" s="42" t="n">
        <f aca="false">AL$8+1</f>
        <v>30</v>
      </c>
      <c r="AN8" s="42" t="n">
        <f aca="false">AM$8+1</f>
        <v>31</v>
      </c>
      <c r="AO8" s="42" t="n">
        <f aca="false">AN$8+1</f>
        <v>32</v>
      </c>
      <c r="AP8" s="42" t="n">
        <f aca="false">AO$8+1</f>
        <v>33</v>
      </c>
      <c r="AQ8" s="42" t="n">
        <f aca="false">AP$8+1</f>
        <v>34</v>
      </c>
      <c r="AR8" s="42" t="n">
        <f aca="false">AQ$8+1</f>
        <v>35</v>
      </c>
      <c r="AS8" s="42" t="n">
        <f aca="false">AR$8+1</f>
        <v>36</v>
      </c>
      <c r="AT8" s="42" t="n">
        <f aca="false">AS$8+1</f>
        <v>37</v>
      </c>
      <c r="AU8" s="42" t="n">
        <f aca="false">AT$8+1</f>
        <v>38</v>
      </c>
      <c r="AV8" s="42" t="n">
        <f aca="false">AU$8+1</f>
        <v>39</v>
      </c>
      <c r="AW8" s="42" t="n">
        <f aca="false">AV$8+1</f>
        <v>40</v>
      </c>
      <c r="AX8" s="42" t="n">
        <f aca="false">AW$8+1</f>
        <v>41</v>
      </c>
      <c r="AY8" s="42" t="n">
        <f aca="false">AX$8+1</f>
        <v>42</v>
      </c>
      <c r="AZ8" s="42" t="n">
        <f aca="false">AY$8+1</f>
        <v>43</v>
      </c>
      <c r="BA8" s="42" t="n">
        <f aca="false">AZ$8+1</f>
        <v>44</v>
      </c>
      <c r="BB8" s="42" t="n">
        <f aca="false">BA$8+1</f>
        <v>45</v>
      </c>
      <c r="BC8" s="42" t="n">
        <f aca="false">BB$8+1</f>
        <v>46</v>
      </c>
      <c r="BD8" s="42" t="n">
        <f aca="false">BC$8+1</f>
        <v>47</v>
      </c>
      <c r="BE8" s="42" t="n">
        <f aca="false">BD$8+1</f>
        <v>48</v>
      </c>
      <c r="BF8" s="42" t="n">
        <f aca="false">BE$8+1</f>
        <v>49</v>
      </c>
      <c r="BG8" s="42" t="n">
        <f aca="false">BF$8+1</f>
        <v>50</v>
      </c>
      <c r="BH8" s="42" t="n">
        <f aca="false">BG$8+1</f>
        <v>51</v>
      </c>
      <c r="BI8" s="42" t="n">
        <f aca="false">BH$8+1</f>
        <v>52</v>
      </c>
      <c r="BJ8" s="42" t="n">
        <f aca="false">BI$8+1</f>
        <v>53</v>
      </c>
      <c r="BK8" s="42" t="n">
        <f aca="false">BJ$8+1</f>
        <v>54</v>
      </c>
      <c r="BL8" s="42" t="n">
        <f aca="false">BK$8+1</f>
        <v>55</v>
      </c>
      <c r="BM8" s="42" t="n">
        <f aca="false">BL$8+1</f>
        <v>56</v>
      </c>
      <c r="BN8" s="42" t="n">
        <f aca="false">BM$8+1</f>
        <v>57</v>
      </c>
      <c r="BO8" s="42" t="n">
        <f aca="false">BN$8+1</f>
        <v>58</v>
      </c>
      <c r="BP8" s="42" t="n">
        <f aca="false">BO$8+1</f>
        <v>59</v>
      </c>
      <c r="BQ8" s="42" t="n">
        <f aca="false">BP$8+1</f>
        <v>60</v>
      </c>
      <c r="BR8" s="42" t="n">
        <f aca="false">BQ$8+1</f>
        <v>61</v>
      </c>
      <c r="BS8" s="42" t="n">
        <f aca="false">BR$8+1</f>
        <v>62</v>
      </c>
      <c r="BT8" s="42" t="n">
        <f aca="false">BS$8+1</f>
        <v>63</v>
      </c>
      <c r="BU8" s="42" t="n">
        <f aca="false">BT$8+1</f>
        <v>64</v>
      </c>
      <c r="BV8" s="42" t="n">
        <f aca="false">BU$8+1</f>
        <v>65</v>
      </c>
      <c r="BW8" s="42" t="n">
        <f aca="false">BV$8+1</f>
        <v>66</v>
      </c>
      <c r="BX8" s="42" t="n">
        <f aca="false">BW$8+1</f>
        <v>67</v>
      </c>
      <c r="BY8" s="42" t="n">
        <f aca="false">BX$8+1</f>
        <v>68</v>
      </c>
      <c r="BZ8" s="42" t="n">
        <f aca="false">BY$8+1</f>
        <v>69</v>
      </c>
      <c r="CA8" s="42" t="n">
        <f aca="false">BZ$8+1</f>
        <v>70</v>
      </c>
      <c r="CB8" s="42" t="n">
        <f aca="false">CA$8+1</f>
        <v>71</v>
      </c>
      <c r="CC8" s="42" t="n">
        <f aca="false">CB$8+1</f>
        <v>72</v>
      </c>
      <c r="CD8" s="42" t="n">
        <f aca="false">CC$8+1</f>
        <v>73</v>
      </c>
      <c r="CE8" s="42" t="n">
        <f aca="false">CD$8+1</f>
        <v>74</v>
      </c>
      <c r="CF8" s="42" t="n">
        <f aca="false">CE$8+1</f>
        <v>75</v>
      </c>
      <c r="CG8" s="42" t="n">
        <f aca="false">CF$8+1</f>
        <v>76</v>
      </c>
      <c r="CH8" s="42" t="n">
        <f aca="false">CG$8+1</f>
        <v>77</v>
      </c>
      <c r="CI8" s="42" t="n">
        <f aca="false">CH$8+1</f>
        <v>78</v>
      </c>
      <c r="CJ8" s="42" t="n">
        <f aca="false">CI$8+1</f>
        <v>79</v>
      </c>
      <c r="CK8" s="42" t="n">
        <f aca="false">CJ$8+1</f>
        <v>80</v>
      </c>
      <c r="CL8" s="42" t="n">
        <f aca="false">CK$8+1</f>
        <v>81</v>
      </c>
      <c r="CM8" s="42" t="n">
        <f aca="false">CL$8+1</f>
        <v>82</v>
      </c>
      <c r="CN8" s="42" t="n">
        <f aca="false">CM$8+1</f>
        <v>83</v>
      </c>
      <c r="CO8" s="42" t="n">
        <f aca="false">CN$8+1</f>
        <v>84</v>
      </c>
      <c r="CP8" s="42" t="n">
        <f aca="false">CO$8+1</f>
        <v>85</v>
      </c>
      <c r="CQ8" s="42" t="n">
        <f aca="false">CP$8+1</f>
        <v>86</v>
      </c>
      <c r="CR8" s="42" t="n">
        <f aca="false">CQ$8+1</f>
        <v>87</v>
      </c>
      <c r="CS8" s="42" t="n">
        <f aca="false">CR$8+1</f>
        <v>88</v>
      </c>
      <c r="CT8" s="42" t="n">
        <f aca="false">CS$8+1</f>
        <v>89</v>
      </c>
      <c r="CU8" s="42" t="n">
        <f aca="false">CT$8+1</f>
        <v>90</v>
      </c>
      <c r="CV8" s="42" t="n">
        <f aca="false">CU$8+1</f>
        <v>91</v>
      </c>
      <c r="CW8" s="42" t="n">
        <f aca="false">CV$8+1</f>
        <v>92</v>
      </c>
      <c r="CX8" s="42" t="n">
        <f aca="false">CW$8+1</f>
        <v>93</v>
      </c>
      <c r="CY8" s="42" t="n">
        <f aca="false">CX$8+1</f>
        <v>94</v>
      </c>
      <c r="CZ8" s="42" t="n">
        <f aca="false">CY$8+1</f>
        <v>95</v>
      </c>
      <c r="DA8" s="42" t="n">
        <f aca="false">CZ$8+1</f>
        <v>96</v>
      </c>
      <c r="DB8" s="42" t="n">
        <f aca="false">DA$8+1</f>
        <v>97</v>
      </c>
      <c r="DC8" s="42" t="n">
        <f aca="false">DB$8+1</f>
        <v>98</v>
      </c>
      <c r="DD8" s="42" t="n">
        <f aca="false">DC$8+1</f>
        <v>99</v>
      </c>
      <c r="DE8" s="42" t="n">
        <f aca="false">DD$8+1</f>
        <v>100</v>
      </c>
      <c r="DF8" s="42" t="n">
        <f aca="false">DE$8+1</f>
        <v>101</v>
      </c>
      <c r="DG8" s="42" t="n">
        <f aca="false">DF$8+1</f>
        <v>102</v>
      </c>
      <c r="DH8" s="42" t="n">
        <f aca="false">DG$8+1</f>
        <v>103</v>
      </c>
      <c r="DI8" s="42" t="n">
        <f aca="false">DH$8+1</f>
        <v>104</v>
      </c>
      <c r="DJ8" s="42" t="n">
        <f aca="false">DI$8+1</f>
        <v>105</v>
      </c>
      <c r="DK8" s="42" t="n">
        <f aca="false">DJ$8+1</f>
        <v>106</v>
      </c>
      <c r="DL8" s="42" t="n">
        <f aca="false">DK$8+1</f>
        <v>107</v>
      </c>
      <c r="DM8" s="42" t="n">
        <f aca="false">DL$8+1</f>
        <v>108</v>
      </c>
      <c r="DN8" s="42" t="n">
        <f aca="false">DM$8+1</f>
        <v>109</v>
      </c>
      <c r="DO8" s="42" t="n">
        <f aca="false">DN$8+1</f>
        <v>110</v>
      </c>
      <c r="DP8" s="42" t="n">
        <f aca="false">DO$8+1</f>
        <v>111</v>
      </c>
      <c r="DQ8" s="42" t="n">
        <f aca="false">DP$8+1</f>
        <v>112</v>
      </c>
      <c r="DR8" s="42" t="n">
        <f aca="false">DQ$8+1</f>
        <v>113</v>
      </c>
      <c r="DS8" s="42" t="n">
        <f aca="false">DR$8+1</f>
        <v>114</v>
      </c>
      <c r="DT8" s="42" t="n">
        <f aca="false">DS$8+1</f>
        <v>115</v>
      </c>
      <c r="DU8" s="42" t="n">
        <f aca="false">DT$8+1</f>
        <v>116</v>
      </c>
      <c r="DV8" s="42" t="n">
        <f aca="false">DU$8+1</f>
        <v>117</v>
      </c>
      <c r="DW8" s="42" t="n">
        <f aca="false">DV$8+1</f>
        <v>118</v>
      </c>
      <c r="DX8" s="42" t="n">
        <f aca="false">DW$8+1</f>
        <v>119</v>
      </c>
      <c r="DY8" s="42" t="n">
        <f aca="false">DX$8+1</f>
        <v>120</v>
      </c>
      <c r="DZ8" s="42" t="n">
        <f aca="false">DY$8+1</f>
        <v>121</v>
      </c>
      <c r="EA8" s="42" t="n">
        <f aca="false">DZ$8+1</f>
        <v>122</v>
      </c>
      <c r="EB8" s="42" t="n">
        <f aca="false">EA$8+1</f>
        <v>123</v>
      </c>
      <c r="EC8" s="42" t="n">
        <f aca="false">EB$8+1</f>
        <v>124</v>
      </c>
      <c r="ED8" s="42" t="n">
        <f aca="false">EC$8+1</f>
        <v>125</v>
      </c>
      <c r="EE8" s="42" t="n">
        <f aca="false">ED$8+1</f>
        <v>126</v>
      </c>
      <c r="EF8" s="42" t="n">
        <f aca="false">EE$8+1</f>
        <v>127</v>
      </c>
      <c r="EG8" s="42" t="n">
        <f aca="false">EF$8+1</f>
        <v>128</v>
      </c>
      <c r="EH8" s="42" t="n">
        <f aca="false">EG$8+1</f>
        <v>129</v>
      </c>
      <c r="EI8" s="42" t="n">
        <f aca="false">EH$8+1</f>
        <v>130</v>
      </c>
      <c r="EJ8" s="42" t="n">
        <f aca="false">EI$8+1</f>
        <v>131</v>
      </c>
      <c r="EK8" s="42" t="n">
        <f aca="false">EJ$8+1</f>
        <v>132</v>
      </c>
      <c r="EL8" s="42" t="n">
        <f aca="false">EK$8+1</f>
        <v>133</v>
      </c>
      <c r="EM8" s="42" t="n">
        <f aca="false">EL$8+1</f>
        <v>134</v>
      </c>
      <c r="EN8" s="42" t="n">
        <f aca="false">EM$8+1</f>
        <v>135</v>
      </c>
      <c r="EO8" s="42" t="n">
        <f aca="false">EN$8+1</f>
        <v>136</v>
      </c>
      <c r="EP8" s="42" t="n">
        <f aca="false">EO$8+1</f>
        <v>137</v>
      </c>
      <c r="EQ8" s="42" t="n">
        <f aca="false">EP$8+1</f>
        <v>138</v>
      </c>
      <c r="ER8" s="42" t="n">
        <f aca="false">EQ$8+1</f>
        <v>139</v>
      </c>
      <c r="ES8" s="42" t="n">
        <f aca="false">ER$8+1</f>
        <v>140</v>
      </c>
      <c r="ET8" s="42" t="n">
        <f aca="false">ES$8+1</f>
        <v>141</v>
      </c>
    </row>
    <row r="11" customFormat="false" ht="15" hidden="false" customHeight="false" outlineLevel="0" collapsed="false">
      <c r="A11" s="10" t="s">
        <v>13</v>
      </c>
      <c r="B11" s="10"/>
      <c r="C11" s="10" t="s">
        <v>446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</row>
    <row r="12" customFormat="false" ht="15" hidden="false" customHeight="false" outlineLevel="0" collapsed="false">
      <c r="C12" s="1" t="s">
        <v>116</v>
      </c>
      <c r="D12" s="12" t="s">
        <v>41</v>
      </c>
      <c r="E12" s="44" t="n">
        <f aca="false">INDEX(Dash_Exit_Date,1,$A$1)</f>
        <v>47483</v>
      </c>
      <c r="I12" s="46" t="n">
        <f aca="false">SUM(J12:ET12)</f>
        <v>1</v>
      </c>
      <c r="J12" s="46" t="n">
        <f aca="false">N(AND(J$3&lt;=$E12,J$4&gt;=$E12))</f>
        <v>0</v>
      </c>
      <c r="K12" s="46" t="n">
        <f aca="false">N(AND(K$3&lt;=$E12,K$4&gt;=$E12))</f>
        <v>0</v>
      </c>
      <c r="L12" s="46" t="n">
        <f aca="false">N(AND(L$3&lt;=$E12,L$4&gt;=$E12))</f>
        <v>0</v>
      </c>
      <c r="M12" s="46" t="n">
        <f aca="false">N(AND(M$3&lt;=$E12,M$4&gt;=$E12))</f>
        <v>0</v>
      </c>
      <c r="N12" s="46" t="n">
        <f aca="false">N(AND(N$3&lt;=$E12,N$4&gt;=$E12))</f>
        <v>0</v>
      </c>
      <c r="O12" s="46" t="n">
        <f aca="false">N(AND(O$3&lt;=$E12,O$4&gt;=$E12))</f>
        <v>0</v>
      </c>
      <c r="P12" s="46" t="n">
        <f aca="false">N(AND(P$3&lt;=$E12,P$4&gt;=$E12))</f>
        <v>0</v>
      </c>
      <c r="Q12" s="46" t="n">
        <f aca="false">N(AND(Q$3&lt;=$E12,Q$4&gt;=$E12))</f>
        <v>0</v>
      </c>
      <c r="R12" s="46" t="n">
        <f aca="false">N(AND(R$3&lt;=$E12,R$4&gt;=$E12))</f>
        <v>0</v>
      </c>
      <c r="S12" s="46" t="n">
        <f aca="false">N(AND(S$3&lt;=$E12,S$4&gt;=$E12))</f>
        <v>0</v>
      </c>
      <c r="T12" s="46" t="n">
        <f aca="false">N(AND(T$3&lt;=$E12,T$4&gt;=$E12))</f>
        <v>0</v>
      </c>
      <c r="U12" s="46" t="n">
        <f aca="false">N(AND(U$3&lt;=$E12,U$4&gt;=$E12))</f>
        <v>0</v>
      </c>
      <c r="V12" s="46" t="n">
        <f aca="false">N(AND(V$3&lt;=$E12,V$4&gt;=$E12))</f>
        <v>0</v>
      </c>
      <c r="W12" s="46" t="n">
        <f aca="false">N(AND(W$3&lt;=$E12,W$4&gt;=$E12))</f>
        <v>1</v>
      </c>
      <c r="X12" s="46" t="n">
        <f aca="false">N(AND(X$3&lt;=$E12,X$4&gt;=$E12))</f>
        <v>0</v>
      </c>
      <c r="Y12" s="46" t="n">
        <f aca="false">N(AND(Y$3&lt;=$E12,Y$4&gt;=$E12))</f>
        <v>0</v>
      </c>
      <c r="Z12" s="46" t="n">
        <f aca="false">N(AND(Z$3&lt;=$E12,Z$4&gt;=$E12))</f>
        <v>0</v>
      </c>
      <c r="AA12" s="46" t="n">
        <f aca="false">N(AND(AA$3&lt;=$E12,AA$4&gt;=$E12))</f>
        <v>0</v>
      </c>
      <c r="AB12" s="46" t="n">
        <f aca="false">N(AND(AB$3&lt;=$E12,AB$4&gt;=$E12))</f>
        <v>0</v>
      </c>
      <c r="AC12" s="46" t="n">
        <f aca="false">N(AND(AC$3&lt;=$E12,AC$4&gt;=$E12))</f>
        <v>0</v>
      </c>
      <c r="AD12" s="46" t="n">
        <f aca="false">N(AND(AD$3&lt;=$E12,AD$4&gt;=$E12))</f>
        <v>0</v>
      </c>
      <c r="AE12" s="46" t="n">
        <f aca="false">N(AND(AE$3&lt;=$E12,AE$4&gt;=$E12))</f>
        <v>0</v>
      </c>
      <c r="AF12" s="46" t="n">
        <f aca="false">N(AND(AF$3&lt;=$E12,AF$4&gt;=$E12))</f>
        <v>0</v>
      </c>
      <c r="AG12" s="46" t="n">
        <f aca="false">N(AND(AG$3&lt;=$E12,AG$4&gt;=$E12))</f>
        <v>0</v>
      </c>
      <c r="AH12" s="46" t="n">
        <f aca="false">N(AND(AH$3&lt;=$E12,AH$4&gt;=$E12))</f>
        <v>0</v>
      </c>
      <c r="AI12" s="46" t="n">
        <f aca="false">N(AND(AI$3&lt;=$E12,AI$4&gt;=$E12))</f>
        <v>0</v>
      </c>
      <c r="AJ12" s="46" t="n">
        <f aca="false">N(AND(AJ$3&lt;=$E12,AJ$4&gt;=$E12))</f>
        <v>0</v>
      </c>
      <c r="AK12" s="46" t="n">
        <f aca="false">N(AND(AK$3&lt;=$E12,AK$4&gt;=$E12))</f>
        <v>0</v>
      </c>
      <c r="AL12" s="46" t="n">
        <f aca="false">N(AND(AL$3&lt;=$E12,AL$4&gt;=$E12))</f>
        <v>0</v>
      </c>
      <c r="AM12" s="46" t="n">
        <f aca="false">N(AND(AM$3&lt;=$E12,AM$4&gt;=$E12))</f>
        <v>0</v>
      </c>
      <c r="AN12" s="46" t="n">
        <f aca="false">N(AND(AN$3&lt;=$E12,AN$4&gt;=$E12))</f>
        <v>0</v>
      </c>
      <c r="AO12" s="46" t="n">
        <f aca="false">N(AND(AO$3&lt;=$E12,AO$4&gt;=$E12))</f>
        <v>0</v>
      </c>
      <c r="AP12" s="46" t="n">
        <f aca="false">N(AND(AP$3&lt;=$E12,AP$4&gt;=$E12))</f>
        <v>0</v>
      </c>
      <c r="AQ12" s="46" t="n">
        <f aca="false">N(AND(AQ$3&lt;=$E12,AQ$4&gt;=$E12))</f>
        <v>0</v>
      </c>
      <c r="AR12" s="46" t="n">
        <f aca="false">N(AND(AR$3&lt;=$E12,AR$4&gt;=$E12))</f>
        <v>0</v>
      </c>
      <c r="AS12" s="46" t="n">
        <f aca="false">N(AND(AS$3&lt;=$E12,AS$4&gt;=$E12))</f>
        <v>0</v>
      </c>
      <c r="AT12" s="46" t="n">
        <f aca="false">N(AND(AT$3&lt;=$E12,AT$4&gt;=$E12))</f>
        <v>0</v>
      </c>
      <c r="AU12" s="46" t="n">
        <f aca="false">N(AND(AU$3&lt;=$E12,AU$4&gt;=$E12))</f>
        <v>0</v>
      </c>
      <c r="AV12" s="46" t="n">
        <f aca="false">N(AND(AV$3&lt;=$E12,AV$4&gt;=$E12))</f>
        <v>0</v>
      </c>
      <c r="AW12" s="46" t="n">
        <f aca="false">N(AND(AW$3&lt;=$E12,AW$4&gt;=$E12))</f>
        <v>0</v>
      </c>
      <c r="AX12" s="46" t="n">
        <f aca="false">N(AND(AX$3&lt;=$E12,AX$4&gt;=$E12))</f>
        <v>0</v>
      </c>
      <c r="AY12" s="46" t="n">
        <f aca="false">N(AND(AY$3&lt;=$E12,AY$4&gt;=$E12))</f>
        <v>0</v>
      </c>
      <c r="AZ12" s="46" t="n">
        <f aca="false">N(AND(AZ$3&lt;=$E12,AZ$4&gt;=$E12))</f>
        <v>0</v>
      </c>
      <c r="BA12" s="46" t="n">
        <f aca="false">N(AND(BA$3&lt;=$E12,BA$4&gt;=$E12))</f>
        <v>0</v>
      </c>
      <c r="BB12" s="46" t="n">
        <f aca="false">N(AND(BB$3&lt;=$E12,BB$4&gt;=$E12))</f>
        <v>0</v>
      </c>
      <c r="BC12" s="46" t="n">
        <f aca="false">N(AND(BC$3&lt;=$E12,BC$4&gt;=$E12))</f>
        <v>0</v>
      </c>
      <c r="BD12" s="46" t="n">
        <f aca="false">N(AND(BD$3&lt;=$E12,BD$4&gt;=$E12))</f>
        <v>0</v>
      </c>
      <c r="BE12" s="46" t="n">
        <f aca="false">N(AND(BE$3&lt;=$E12,BE$4&gt;=$E12))</f>
        <v>0</v>
      </c>
      <c r="BF12" s="46" t="n">
        <f aca="false">N(AND(BF$3&lt;=$E12,BF$4&gt;=$E12))</f>
        <v>0</v>
      </c>
      <c r="BG12" s="46" t="n">
        <f aca="false">N(AND(BG$3&lt;=$E12,BG$4&gt;=$E12))</f>
        <v>0</v>
      </c>
      <c r="BH12" s="46" t="n">
        <f aca="false">N(AND(BH$3&lt;=$E12,BH$4&gt;=$E12))</f>
        <v>0</v>
      </c>
      <c r="BI12" s="46" t="n">
        <f aca="false">N(AND(BI$3&lt;=$E12,BI$4&gt;=$E12))</f>
        <v>0</v>
      </c>
      <c r="BJ12" s="46" t="n">
        <f aca="false">N(AND(BJ$3&lt;=$E12,BJ$4&gt;=$E12))</f>
        <v>0</v>
      </c>
      <c r="BK12" s="46" t="n">
        <f aca="false">N(AND(BK$3&lt;=$E12,BK$4&gt;=$E12))</f>
        <v>0</v>
      </c>
      <c r="BL12" s="46" t="n">
        <f aca="false">N(AND(BL$3&lt;=$E12,BL$4&gt;=$E12))</f>
        <v>0</v>
      </c>
      <c r="BM12" s="46" t="n">
        <f aca="false">N(AND(BM$3&lt;=$E12,BM$4&gt;=$E12))</f>
        <v>0</v>
      </c>
      <c r="BN12" s="46" t="n">
        <f aca="false">N(AND(BN$3&lt;=$E12,BN$4&gt;=$E12))</f>
        <v>0</v>
      </c>
      <c r="BO12" s="46" t="n">
        <f aca="false">N(AND(BO$3&lt;=$E12,BO$4&gt;=$E12))</f>
        <v>0</v>
      </c>
      <c r="BP12" s="46" t="n">
        <f aca="false">N(AND(BP$3&lt;=$E12,BP$4&gt;=$E12))</f>
        <v>0</v>
      </c>
      <c r="BQ12" s="46" t="n">
        <f aca="false">N(AND(BQ$3&lt;=$E12,BQ$4&gt;=$E12))</f>
        <v>0</v>
      </c>
      <c r="BR12" s="46" t="n">
        <f aca="false">N(AND(BR$3&lt;=$E12,BR$4&gt;=$E12))</f>
        <v>0</v>
      </c>
      <c r="BS12" s="46" t="n">
        <f aca="false">N(AND(BS$3&lt;=$E12,BS$4&gt;=$E12))</f>
        <v>0</v>
      </c>
      <c r="BT12" s="46" t="n">
        <f aca="false">N(AND(BT$3&lt;=$E12,BT$4&gt;=$E12))</f>
        <v>0</v>
      </c>
      <c r="BU12" s="46" t="n">
        <f aca="false">N(AND(BU$3&lt;=$E12,BU$4&gt;=$E12))</f>
        <v>0</v>
      </c>
      <c r="BV12" s="46" t="n">
        <f aca="false">N(AND(BV$3&lt;=$E12,BV$4&gt;=$E12))</f>
        <v>0</v>
      </c>
      <c r="BW12" s="46" t="n">
        <f aca="false">N(AND(BW$3&lt;=$E12,BW$4&gt;=$E12))</f>
        <v>0</v>
      </c>
      <c r="BX12" s="46" t="n">
        <f aca="false">N(AND(BX$3&lt;=$E12,BX$4&gt;=$E12))</f>
        <v>0</v>
      </c>
      <c r="BY12" s="46" t="n">
        <f aca="false">N(AND(BY$3&lt;=$E12,BY$4&gt;=$E12))</f>
        <v>0</v>
      </c>
      <c r="BZ12" s="46" t="n">
        <f aca="false">N(AND(BZ$3&lt;=$E12,BZ$4&gt;=$E12))</f>
        <v>0</v>
      </c>
      <c r="CA12" s="46" t="n">
        <f aca="false">N(AND(CA$3&lt;=$E12,CA$4&gt;=$E12))</f>
        <v>0</v>
      </c>
      <c r="CB12" s="46" t="n">
        <f aca="false">N(AND(CB$3&lt;=$E12,CB$4&gt;=$E12))</f>
        <v>0</v>
      </c>
      <c r="CC12" s="46" t="n">
        <f aca="false">N(AND(CC$3&lt;=$E12,CC$4&gt;=$E12))</f>
        <v>0</v>
      </c>
      <c r="CD12" s="46" t="n">
        <f aca="false">N(AND(CD$3&lt;=$E12,CD$4&gt;=$E12))</f>
        <v>0</v>
      </c>
      <c r="CE12" s="46" t="n">
        <f aca="false">N(AND(CE$3&lt;=$E12,CE$4&gt;=$E12))</f>
        <v>0</v>
      </c>
      <c r="CF12" s="46" t="n">
        <f aca="false">N(AND(CF$3&lt;=$E12,CF$4&gt;=$E12))</f>
        <v>0</v>
      </c>
      <c r="CG12" s="46" t="n">
        <f aca="false">N(AND(CG$3&lt;=$E12,CG$4&gt;=$E12))</f>
        <v>0</v>
      </c>
      <c r="CH12" s="46" t="n">
        <f aca="false">N(AND(CH$3&lt;=$E12,CH$4&gt;=$E12))</f>
        <v>0</v>
      </c>
      <c r="CI12" s="46" t="n">
        <f aca="false">N(AND(CI$3&lt;=$E12,CI$4&gt;=$E12))</f>
        <v>0</v>
      </c>
      <c r="CJ12" s="46" t="n">
        <f aca="false">N(AND(CJ$3&lt;=$E12,CJ$4&gt;=$E12))</f>
        <v>0</v>
      </c>
      <c r="CK12" s="46" t="n">
        <f aca="false">N(AND(CK$3&lt;=$E12,CK$4&gt;=$E12))</f>
        <v>0</v>
      </c>
      <c r="CL12" s="46" t="n">
        <f aca="false">N(AND(CL$3&lt;=$E12,CL$4&gt;=$E12))</f>
        <v>0</v>
      </c>
      <c r="CM12" s="46" t="n">
        <f aca="false">N(AND(CM$3&lt;=$E12,CM$4&gt;=$E12))</f>
        <v>0</v>
      </c>
      <c r="CN12" s="46" t="n">
        <f aca="false">N(AND(CN$3&lt;=$E12,CN$4&gt;=$E12))</f>
        <v>0</v>
      </c>
      <c r="CO12" s="46" t="n">
        <f aca="false">N(AND(CO$3&lt;=$E12,CO$4&gt;=$E12))</f>
        <v>0</v>
      </c>
      <c r="CP12" s="46" t="n">
        <f aca="false">N(AND(CP$3&lt;=$E12,CP$4&gt;=$E12))</f>
        <v>0</v>
      </c>
      <c r="CQ12" s="46" t="n">
        <f aca="false">N(AND(CQ$3&lt;=$E12,CQ$4&gt;=$E12))</f>
        <v>0</v>
      </c>
      <c r="CR12" s="46" t="n">
        <f aca="false">N(AND(CR$3&lt;=$E12,CR$4&gt;=$E12))</f>
        <v>0</v>
      </c>
      <c r="CS12" s="46" t="n">
        <f aca="false">N(AND(CS$3&lt;=$E12,CS$4&gt;=$E12))</f>
        <v>0</v>
      </c>
      <c r="CT12" s="46" t="n">
        <f aca="false">N(AND(CT$3&lt;=$E12,CT$4&gt;=$E12))</f>
        <v>0</v>
      </c>
      <c r="CU12" s="46" t="n">
        <f aca="false">N(AND(CU$3&lt;=$E12,CU$4&gt;=$E12))</f>
        <v>0</v>
      </c>
      <c r="CV12" s="46" t="n">
        <f aca="false">N(AND(CV$3&lt;=$E12,CV$4&gt;=$E12))</f>
        <v>0</v>
      </c>
      <c r="CW12" s="46" t="n">
        <f aca="false">N(AND(CW$3&lt;=$E12,CW$4&gt;=$E12))</f>
        <v>0</v>
      </c>
      <c r="CX12" s="46" t="n">
        <f aca="false">N(AND(CX$3&lt;=$E12,CX$4&gt;=$E12))</f>
        <v>0</v>
      </c>
      <c r="CY12" s="46" t="n">
        <f aca="false">N(AND(CY$3&lt;=$E12,CY$4&gt;=$E12))</f>
        <v>0</v>
      </c>
      <c r="CZ12" s="46" t="n">
        <f aca="false">N(AND(CZ$3&lt;=$E12,CZ$4&gt;=$E12))</f>
        <v>0</v>
      </c>
      <c r="DA12" s="46" t="n">
        <f aca="false">N(AND(DA$3&lt;=$E12,DA$4&gt;=$E12))</f>
        <v>0</v>
      </c>
      <c r="DB12" s="46" t="n">
        <f aca="false">N(AND(DB$3&lt;=$E12,DB$4&gt;=$E12))</f>
        <v>0</v>
      </c>
      <c r="DC12" s="46" t="n">
        <f aca="false">N(AND(DC$3&lt;=$E12,DC$4&gt;=$E12))</f>
        <v>0</v>
      </c>
      <c r="DD12" s="46" t="n">
        <f aca="false">N(AND(DD$3&lt;=$E12,DD$4&gt;=$E12))</f>
        <v>0</v>
      </c>
      <c r="DE12" s="46" t="n">
        <f aca="false">N(AND(DE$3&lt;=$E12,DE$4&gt;=$E12))</f>
        <v>0</v>
      </c>
      <c r="DF12" s="46" t="n">
        <f aca="false">N(AND(DF$3&lt;=$E12,DF$4&gt;=$E12))</f>
        <v>0</v>
      </c>
      <c r="DG12" s="46" t="n">
        <f aca="false">N(AND(DG$3&lt;=$E12,DG$4&gt;=$E12))</f>
        <v>0</v>
      </c>
      <c r="DH12" s="46" t="n">
        <f aca="false">N(AND(DH$3&lt;=$E12,DH$4&gt;=$E12))</f>
        <v>0</v>
      </c>
      <c r="DI12" s="46" t="n">
        <f aca="false">N(AND(DI$3&lt;=$E12,DI$4&gt;=$E12))</f>
        <v>0</v>
      </c>
      <c r="DJ12" s="46" t="n">
        <f aca="false">N(AND(DJ$3&lt;=$E12,DJ$4&gt;=$E12))</f>
        <v>0</v>
      </c>
      <c r="DK12" s="46" t="n">
        <f aca="false">N(AND(DK$3&lt;=$E12,DK$4&gt;=$E12))</f>
        <v>0</v>
      </c>
      <c r="DL12" s="46" t="n">
        <f aca="false">N(AND(DL$3&lt;=$E12,DL$4&gt;=$E12))</f>
        <v>0</v>
      </c>
      <c r="DM12" s="46" t="n">
        <f aca="false">N(AND(DM$3&lt;=$E12,DM$4&gt;=$E12))</f>
        <v>0</v>
      </c>
      <c r="DN12" s="46" t="n">
        <f aca="false">N(AND(DN$3&lt;=$E12,DN$4&gt;=$E12))</f>
        <v>0</v>
      </c>
      <c r="DO12" s="46" t="n">
        <f aca="false">N(AND(DO$3&lt;=$E12,DO$4&gt;=$E12))</f>
        <v>0</v>
      </c>
      <c r="DP12" s="46" t="n">
        <f aca="false">N(AND(DP$3&lt;=$E12,DP$4&gt;=$E12))</f>
        <v>0</v>
      </c>
      <c r="DQ12" s="46" t="n">
        <f aca="false">N(AND(DQ$3&lt;=$E12,DQ$4&gt;=$E12))</f>
        <v>0</v>
      </c>
      <c r="DR12" s="46" t="n">
        <f aca="false">N(AND(DR$3&lt;=$E12,DR$4&gt;=$E12))</f>
        <v>0</v>
      </c>
      <c r="DS12" s="46" t="n">
        <f aca="false">N(AND(DS$3&lt;=$E12,DS$4&gt;=$E12))</f>
        <v>0</v>
      </c>
      <c r="DT12" s="46" t="n">
        <f aca="false">N(AND(DT$3&lt;=$E12,DT$4&gt;=$E12))</f>
        <v>0</v>
      </c>
      <c r="DU12" s="46" t="n">
        <f aca="false">N(AND(DU$3&lt;=$E12,DU$4&gt;=$E12))</f>
        <v>0</v>
      </c>
      <c r="DV12" s="46" t="n">
        <f aca="false">N(AND(DV$3&lt;=$E12,DV$4&gt;=$E12))</f>
        <v>0</v>
      </c>
      <c r="DW12" s="46" t="n">
        <f aca="false">N(AND(DW$3&lt;=$E12,DW$4&gt;=$E12))</f>
        <v>0</v>
      </c>
      <c r="DX12" s="46" t="n">
        <f aca="false">N(AND(DX$3&lt;=$E12,DX$4&gt;=$E12))</f>
        <v>0</v>
      </c>
      <c r="DY12" s="46" t="n">
        <f aca="false">N(AND(DY$3&lt;=$E12,DY$4&gt;=$E12))</f>
        <v>0</v>
      </c>
      <c r="DZ12" s="46" t="n">
        <f aca="false">N(AND(DZ$3&lt;=$E12,DZ$4&gt;=$E12))</f>
        <v>0</v>
      </c>
      <c r="EA12" s="46" t="n">
        <f aca="false">N(AND(EA$3&lt;=$E12,EA$4&gt;=$E12))</f>
        <v>0</v>
      </c>
      <c r="EB12" s="46" t="n">
        <f aca="false">N(AND(EB$3&lt;=$E12,EB$4&gt;=$E12))</f>
        <v>0</v>
      </c>
      <c r="EC12" s="46" t="n">
        <f aca="false">N(AND(EC$3&lt;=$E12,EC$4&gt;=$E12))</f>
        <v>0</v>
      </c>
      <c r="ED12" s="46" t="n">
        <f aca="false">N(AND(ED$3&lt;=$E12,ED$4&gt;=$E12))</f>
        <v>0</v>
      </c>
      <c r="EE12" s="46" t="n">
        <f aca="false">N(AND(EE$3&lt;=$E12,EE$4&gt;=$E12))</f>
        <v>0</v>
      </c>
      <c r="EF12" s="46" t="n">
        <f aca="false">N(AND(EF$3&lt;=$E12,EF$4&gt;=$E12))</f>
        <v>0</v>
      </c>
      <c r="EG12" s="46" t="n">
        <f aca="false">N(AND(EG$3&lt;=$E12,EG$4&gt;=$E12))</f>
        <v>0</v>
      </c>
      <c r="EH12" s="46" t="n">
        <f aca="false">N(AND(EH$3&lt;=$E12,EH$4&gt;=$E12))</f>
        <v>0</v>
      </c>
      <c r="EI12" s="46" t="n">
        <f aca="false">N(AND(EI$3&lt;=$E12,EI$4&gt;=$E12))</f>
        <v>0</v>
      </c>
      <c r="EJ12" s="46" t="n">
        <f aca="false">N(AND(EJ$3&lt;=$E12,EJ$4&gt;=$E12))</f>
        <v>0</v>
      </c>
      <c r="EK12" s="46" t="n">
        <f aca="false">N(AND(EK$3&lt;=$E12,EK$4&gt;=$E12))</f>
        <v>0</v>
      </c>
      <c r="EL12" s="46" t="n">
        <f aca="false">N(AND(EL$3&lt;=$E12,EL$4&gt;=$E12))</f>
        <v>0</v>
      </c>
      <c r="EM12" s="46" t="n">
        <f aca="false">N(AND(EM$3&lt;=$E12,EM$4&gt;=$E12))</f>
        <v>0</v>
      </c>
      <c r="EN12" s="46" t="n">
        <f aca="false">N(AND(EN$3&lt;=$E12,EN$4&gt;=$E12))</f>
        <v>0</v>
      </c>
      <c r="EO12" s="46" t="n">
        <f aca="false">N(AND(EO$3&lt;=$E12,EO$4&gt;=$E12))</f>
        <v>0</v>
      </c>
      <c r="EP12" s="46" t="n">
        <f aca="false">N(AND(EP$3&lt;=$E12,EP$4&gt;=$E12))</f>
        <v>0</v>
      </c>
      <c r="EQ12" s="46" t="n">
        <f aca="false">N(AND(EQ$3&lt;=$E12,EQ$4&gt;=$E12))</f>
        <v>0</v>
      </c>
      <c r="ER12" s="46" t="n">
        <f aca="false">N(AND(ER$3&lt;=$E12,ER$4&gt;=$E12))</f>
        <v>0</v>
      </c>
      <c r="ES12" s="46" t="n">
        <f aca="false">N(AND(ES$3&lt;=$E12,ES$4&gt;=$E12))</f>
        <v>0</v>
      </c>
      <c r="ET12" s="46" t="n">
        <f aca="false">N(AND(ET$3&lt;=$E12,ET$4&gt;=$E12))</f>
        <v>0</v>
      </c>
    </row>
    <row r="13" customFormat="false" ht="15" hidden="false" customHeight="false" outlineLevel="0" collapsed="false">
      <c r="C13" s="1" t="s">
        <v>447</v>
      </c>
      <c r="D13" s="12" t="s">
        <v>442</v>
      </c>
      <c r="E13" s="44" t="n">
        <f aca="false">In_NTP+1</f>
        <v>47392</v>
      </c>
      <c r="F13" s="28" t="n">
        <f aca="false">In_COD</f>
        <v>48121</v>
      </c>
      <c r="I13" s="54" t="n">
        <f aca="false">SUM(J13:ET13)</f>
        <v>1</v>
      </c>
      <c r="J13" s="54" t="n">
        <f aca="false">MAX(0,MIN($F13,J$4)-MAX($E13,J$3)+1)/($F13-$E13+1)</f>
        <v>0</v>
      </c>
      <c r="K13" s="54" t="n">
        <f aca="false">MAX(0,MIN($F13,K$4)-MAX($E13,K$3)+1)/($F13-$E13+1)</f>
        <v>0</v>
      </c>
      <c r="L13" s="54" t="n">
        <f aca="false">MAX(0,MIN($F13,L$4)-MAX($E13,L$3)+1)/($F13-$E13+1)</f>
        <v>0</v>
      </c>
      <c r="M13" s="54" t="n">
        <f aca="false">MAX(0,MIN($F13,M$4)-MAX($E13,M$3)+1)/($F13-$E13+1)</f>
        <v>0</v>
      </c>
      <c r="N13" s="54" t="n">
        <f aca="false">MAX(0,MIN($F13,N$4)-MAX($E13,N$3)+1)/($F13-$E13+1)</f>
        <v>0</v>
      </c>
      <c r="O13" s="54" t="n">
        <f aca="false">MAX(0,MIN($F13,O$4)-MAX($E13,O$3)+1)/($F13-$E13+1)</f>
        <v>0</v>
      </c>
      <c r="P13" s="54" t="n">
        <f aca="false">MAX(0,MIN($F13,P$4)-MAX($E13,P$3)+1)/($F13-$E13+1)</f>
        <v>0</v>
      </c>
      <c r="Q13" s="54" t="n">
        <f aca="false">MAX(0,MIN($F13,Q$4)-MAX($E13,Q$3)+1)/($F13-$E13+1)</f>
        <v>0</v>
      </c>
      <c r="R13" s="54" t="n">
        <f aca="false">MAX(0,MIN($F13,R$4)-MAX($E13,R$3)+1)/($F13-$E13+1)</f>
        <v>0</v>
      </c>
      <c r="S13" s="54" t="n">
        <f aca="false">MAX(0,MIN($F13,S$4)-MAX($E13,S$3)+1)/($F13-$E13+1)</f>
        <v>0</v>
      </c>
      <c r="T13" s="54" t="n">
        <f aca="false">MAX(0,MIN($F13,T$4)-MAX($E13,T$3)+1)/($F13-$E13+1)</f>
        <v>0</v>
      </c>
      <c r="U13" s="54" t="n">
        <f aca="false">MAX(0,MIN($F13,U$4)-MAX($E13,U$3)+1)/($F13-$E13+1)</f>
        <v>0</v>
      </c>
      <c r="V13" s="54" t="n">
        <f aca="false">MAX(0,MIN($F13,V$4)-MAX($E13,V$3)+1)/($F13-$E13+1)</f>
        <v>0</v>
      </c>
      <c r="W13" s="54" t="n">
        <f aca="false">MAX(0,MIN($F13,W$4)-MAX($E13,W$3)+1)/($F13-$E13+1)</f>
        <v>0.126027397260274</v>
      </c>
      <c r="X13" s="54" t="n">
        <f aca="false">MAX(0,MIN($F13,X$4)-MAX($E13,X$3)+1)/($F13-$E13+1)</f>
        <v>0.123287671232877</v>
      </c>
      <c r="Y13" s="54" t="n">
        <f aca="false">MAX(0,MIN($F13,Y$4)-MAX($E13,Y$3)+1)/($F13-$E13+1)</f>
        <v>0.124657534246575</v>
      </c>
      <c r="Z13" s="54" t="n">
        <f aca="false">MAX(0,MIN($F13,Z$4)-MAX($E13,Z$3)+1)/($F13-$E13+1)</f>
        <v>0.126027397260274</v>
      </c>
      <c r="AA13" s="54" t="n">
        <f aca="false">MAX(0,MIN($F13,AA$4)-MAX($E13,AA$3)+1)/($F13-$E13+1)</f>
        <v>0.126027397260274</v>
      </c>
      <c r="AB13" s="54" t="n">
        <f aca="false">MAX(0,MIN($F13,AB$4)-MAX($E13,AB$3)+1)/($F13-$E13+1)</f>
        <v>0.123287671232877</v>
      </c>
      <c r="AC13" s="54" t="n">
        <f aca="false">MAX(0,MIN($F13,AC$4)-MAX($E13,AC$3)+1)/($F13-$E13+1)</f>
        <v>0.124657534246575</v>
      </c>
      <c r="AD13" s="54" t="n">
        <f aca="false">MAX(0,MIN($F13,AD$4)-MAX($E13,AD$3)+1)/($F13-$E13+1)</f>
        <v>0.126027397260274</v>
      </c>
      <c r="AE13" s="54" t="n">
        <f aca="false">MAX(0,MIN($F13,AE$4)-MAX($E13,AE$3)+1)/($F13-$E13+1)</f>
        <v>0</v>
      </c>
      <c r="AF13" s="54" t="n">
        <f aca="false">MAX(0,MIN($F13,AF$4)-MAX($E13,AF$3)+1)/($F13-$E13+1)</f>
        <v>0</v>
      </c>
      <c r="AG13" s="54" t="n">
        <f aca="false">MAX(0,MIN($F13,AG$4)-MAX($E13,AG$3)+1)/($F13-$E13+1)</f>
        <v>0</v>
      </c>
      <c r="AH13" s="54" t="n">
        <f aca="false">MAX(0,MIN($F13,AH$4)-MAX($E13,AH$3)+1)/($F13-$E13+1)</f>
        <v>0</v>
      </c>
      <c r="AI13" s="54" t="n">
        <f aca="false">MAX(0,MIN($F13,AI$4)-MAX($E13,AI$3)+1)/($F13-$E13+1)</f>
        <v>0</v>
      </c>
      <c r="AJ13" s="54" t="n">
        <f aca="false">MAX(0,MIN($F13,AJ$4)-MAX($E13,AJ$3)+1)/($F13-$E13+1)</f>
        <v>0</v>
      </c>
      <c r="AK13" s="54" t="n">
        <f aca="false">MAX(0,MIN($F13,AK$4)-MAX($E13,AK$3)+1)/($F13-$E13+1)</f>
        <v>0</v>
      </c>
      <c r="AL13" s="54" t="n">
        <f aca="false">MAX(0,MIN($F13,AL$4)-MAX($E13,AL$3)+1)/($F13-$E13+1)</f>
        <v>0</v>
      </c>
      <c r="AM13" s="54" t="n">
        <f aca="false">MAX(0,MIN($F13,AM$4)-MAX($E13,AM$3)+1)/($F13-$E13+1)</f>
        <v>0</v>
      </c>
      <c r="AN13" s="54" t="n">
        <f aca="false">MAX(0,MIN($F13,AN$4)-MAX($E13,AN$3)+1)/($F13-$E13+1)</f>
        <v>0</v>
      </c>
      <c r="AO13" s="54" t="n">
        <f aca="false">MAX(0,MIN($F13,AO$4)-MAX($E13,AO$3)+1)/($F13-$E13+1)</f>
        <v>0</v>
      </c>
      <c r="AP13" s="54" t="n">
        <f aca="false">MAX(0,MIN($F13,AP$4)-MAX($E13,AP$3)+1)/($F13-$E13+1)</f>
        <v>0</v>
      </c>
      <c r="AQ13" s="54" t="n">
        <f aca="false">MAX(0,MIN($F13,AQ$4)-MAX($E13,AQ$3)+1)/($F13-$E13+1)</f>
        <v>0</v>
      </c>
      <c r="AR13" s="54" t="n">
        <f aca="false">MAX(0,MIN($F13,AR$4)-MAX($E13,AR$3)+1)/($F13-$E13+1)</f>
        <v>0</v>
      </c>
      <c r="AS13" s="54" t="n">
        <f aca="false">MAX(0,MIN($F13,AS$4)-MAX($E13,AS$3)+1)/($F13-$E13+1)</f>
        <v>0</v>
      </c>
      <c r="AT13" s="54" t="n">
        <f aca="false">MAX(0,MIN($F13,AT$4)-MAX($E13,AT$3)+1)/($F13-$E13+1)</f>
        <v>0</v>
      </c>
      <c r="AU13" s="54" t="n">
        <f aca="false">MAX(0,MIN($F13,AU$4)-MAX($E13,AU$3)+1)/($F13-$E13+1)</f>
        <v>0</v>
      </c>
      <c r="AV13" s="54" t="n">
        <f aca="false">MAX(0,MIN($F13,AV$4)-MAX($E13,AV$3)+1)/($F13-$E13+1)</f>
        <v>0</v>
      </c>
      <c r="AW13" s="54" t="n">
        <f aca="false">MAX(0,MIN($F13,AW$4)-MAX($E13,AW$3)+1)/($F13-$E13+1)</f>
        <v>0</v>
      </c>
      <c r="AX13" s="54" t="n">
        <f aca="false">MAX(0,MIN($F13,AX$4)-MAX($E13,AX$3)+1)/($F13-$E13+1)</f>
        <v>0</v>
      </c>
      <c r="AY13" s="54" t="n">
        <f aca="false">MAX(0,MIN($F13,AY$4)-MAX($E13,AY$3)+1)/($F13-$E13+1)</f>
        <v>0</v>
      </c>
      <c r="AZ13" s="54" t="n">
        <f aca="false">MAX(0,MIN($F13,AZ$4)-MAX($E13,AZ$3)+1)/($F13-$E13+1)</f>
        <v>0</v>
      </c>
      <c r="BA13" s="54" t="n">
        <f aca="false">MAX(0,MIN($F13,BA$4)-MAX($E13,BA$3)+1)/($F13-$E13+1)</f>
        <v>0</v>
      </c>
      <c r="BB13" s="54" t="n">
        <f aca="false">MAX(0,MIN($F13,BB$4)-MAX($E13,BB$3)+1)/($F13-$E13+1)</f>
        <v>0</v>
      </c>
      <c r="BC13" s="54" t="n">
        <f aca="false">MAX(0,MIN($F13,BC$4)-MAX($E13,BC$3)+1)/($F13-$E13+1)</f>
        <v>0</v>
      </c>
      <c r="BD13" s="54" t="n">
        <f aca="false">MAX(0,MIN($F13,BD$4)-MAX($E13,BD$3)+1)/($F13-$E13+1)</f>
        <v>0</v>
      </c>
      <c r="BE13" s="54" t="n">
        <f aca="false">MAX(0,MIN($F13,BE$4)-MAX($E13,BE$3)+1)/($F13-$E13+1)</f>
        <v>0</v>
      </c>
      <c r="BF13" s="54" t="n">
        <f aca="false">MAX(0,MIN($F13,BF$4)-MAX($E13,BF$3)+1)/($F13-$E13+1)</f>
        <v>0</v>
      </c>
      <c r="BG13" s="54" t="n">
        <f aca="false">MAX(0,MIN($F13,BG$4)-MAX($E13,BG$3)+1)/($F13-$E13+1)</f>
        <v>0</v>
      </c>
      <c r="BH13" s="54" t="n">
        <f aca="false">MAX(0,MIN($F13,BH$4)-MAX($E13,BH$3)+1)/($F13-$E13+1)</f>
        <v>0</v>
      </c>
      <c r="BI13" s="54" t="n">
        <f aca="false">MAX(0,MIN($F13,BI$4)-MAX($E13,BI$3)+1)/($F13-$E13+1)</f>
        <v>0</v>
      </c>
      <c r="BJ13" s="54" t="n">
        <f aca="false">MAX(0,MIN($F13,BJ$4)-MAX($E13,BJ$3)+1)/($F13-$E13+1)</f>
        <v>0</v>
      </c>
      <c r="BK13" s="54" t="n">
        <f aca="false">MAX(0,MIN($F13,BK$4)-MAX($E13,BK$3)+1)/($F13-$E13+1)</f>
        <v>0</v>
      </c>
      <c r="BL13" s="54" t="n">
        <f aca="false">MAX(0,MIN($F13,BL$4)-MAX($E13,BL$3)+1)/($F13-$E13+1)</f>
        <v>0</v>
      </c>
      <c r="BM13" s="54" t="n">
        <f aca="false">MAX(0,MIN($F13,BM$4)-MAX($E13,BM$3)+1)/($F13-$E13+1)</f>
        <v>0</v>
      </c>
      <c r="BN13" s="54" t="n">
        <f aca="false">MAX(0,MIN($F13,BN$4)-MAX($E13,BN$3)+1)/($F13-$E13+1)</f>
        <v>0</v>
      </c>
      <c r="BO13" s="54" t="n">
        <f aca="false">MAX(0,MIN($F13,BO$4)-MAX($E13,BO$3)+1)/($F13-$E13+1)</f>
        <v>0</v>
      </c>
      <c r="BP13" s="54" t="n">
        <f aca="false">MAX(0,MIN($F13,BP$4)-MAX($E13,BP$3)+1)/($F13-$E13+1)</f>
        <v>0</v>
      </c>
      <c r="BQ13" s="54" t="n">
        <f aca="false">MAX(0,MIN($F13,BQ$4)-MAX($E13,BQ$3)+1)/($F13-$E13+1)</f>
        <v>0</v>
      </c>
      <c r="BR13" s="54" t="n">
        <f aca="false">MAX(0,MIN($F13,BR$4)-MAX($E13,BR$3)+1)/($F13-$E13+1)</f>
        <v>0</v>
      </c>
      <c r="BS13" s="54" t="n">
        <f aca="false">MAX(0,MIN($F13,BS$4)-MAX($E13,BS$3)+1)/($F13-$E13+1)</f>
        <v>0</v>
      </c>
      <c r="BT13" s="54" t="n">
        <f aca="false">MAX(0,MIN($F13,BT$4)-MAX($E13,BT$3)+1)/($F13-$E13+1)</f>
        <v>0</v>
      </c>
      <c r="BU13" s="54" t="n">
        <f aca="false">MAX(0,MIN($F13,BU$4)-MAX($E13,BU$3)+1)/($F13-$E13+1)</f>
        <v>0</v>
      </c>
      <c r="BV13" s="54" t="n">
        <f aca="false">MAX(0,MIN($F13,BV$4)-MAX($E13,BV$3)+1)/($F13-$E13+1)</f>
        <v>0</v>
      </c>
      <c r="BW13" s="54" t="n">
        <f aca="false">MAX(0,MIN($F13,BW$4)-MAX($E13,BW$3)+1)/($F13-$E13+1)</f>
        <v>0</v>
      </c>
      <c r="BX13" s="54" t="n">
        <f aca="false">MAX(0,MIN($F13,BX$4)-MAX($E13,BX$3)+1)/($F13-$E13+1)</f>
        <v>0</v>
      </c>
      <c r="BY13" s="54" t="n">
        <f aca="false">MAX(0,MIN($F13,BY$4)-MAX($E13,BY$3)+1)/($F13-$E13+1)</f>
        <v>0</v>
      </c>
      <c r="BZ13" s="54" t="n">
        <f aca="false">MAX(0,MIN($F13,BZ$4)-MAX($E13,BZ$3)+1)/($F13-$E13+1)</f>
        <v>0</v>
      </c>
      <c r="CA13" s="54" t="n">
        <f aca="false">MAX(0,MIN($F13,CA$4)-MAX($E13,CA$3)+1)/($F13-$E13+1)</f>
        <v>0</v>
      </c>
      <c r="CB13" s="54" t="n">
        <f aca="false">MAX(0,MIN($F13,CB$4)-MAX($E13,CB$3)+1)/($F13-$E13+1)</f>
        <v>0</v>
      </c>
      <c r="CC13" s="54" t="n">
        <f aca="false">MAX(0,MIN($F13,CC$4)-MAX($E13,CC$3)+1)/($F13-$E13+1)</f>
        <v>0</v>
      </c>
      <c r="CD13" s="54" t="n">
        <f aca="false">MAX(0,MIN($F13,CD$4)-MAX($E13,CD$3)+1)/($F13-$E13+1)</f>
        <v>0</v>
      </c>
      <c r="CE13" s="54" t="n">
        <f aca="false">MAX(0,MIN($F13,CE$4)-MAX($E13,CE$3)+1)/($F13-$E13+1)</f>
        <v>0</v>
      </c>
      <c r="CF13" s="54" t="n">
        <f aca="false">MAX(0,MIN($F13,CF$4)-MAX($E13,CF$3)+1)/($F13-$E13+1)</f>
        <v>0</v>
      </c>
      <c r="CG13" s="54" t="n">
        <f aca="false">MAX(0,MIN($F13,CG$4)-MAX($E13,CG$3)+1)/($F13-$E13+1)</f>
        <v>0</v>
      </c>
      <c r="CH13" s="54" t="n">
        <f aca="false">MAX(0,MIN($F13,CH$4)-MAX($E13,CH$3)+1)/($F13-$E13+1)</f>
        <v>0</v>
      </c>
      <c r="CI13" s="54" t="n">
        <f aca="false">MAX(0,MIN($F13,CI$4)-MAX($E13,CI$3)+1)/($F13-$E13+1)</f>
        <v>0</v>
      </c>
      <c r="CJ13" s="54" t="n">
        <f aca="false">MAX(0,MIN($F13,CJ$4)-MAX($E13,CJ$3)+1)/($F13-$E13+1)</f>
        <v>0</v>
      </c>
      <c r="CK13" s="54" t="n">
        <f aca="false">MAX(0,MIN($F13,CK$4)-MAX($E13,CK$3)+1)/($F13-$E13+1)</f>
        <v>0</v>
      </c>
      <c r="CL13" s="54" t="n">
        <f aca="false">MAX(0,MIN($F13,CL$4)-MAX($E13,CL$3)+1)/($F13-$E13+1)</f>
        <v>0</v>
      </c>
      <c r="CM13" s="54" t="n">
        <f aca="false">MAX(0,MIN($F13,CM$4)-MAX($E13,CM$3)+1)/($F13-$E13+1)</f>
        <v>0</v>
      </c>
      <c r="CN13" s="54" t="n">
        <f aca="false">MAX(0,MIN($F13,CN$4)-MAX($E13,CN$3)+1)/($F13-$E13+1)</f>
        <v>0</v>
      </c>
      <c r="CO13" s="54" t="n">
        <f aca="false">MAX(0,MIN($F13,CO$4)-MAX($E13,CO$3)+1)/($F13-$E13+1)</f>
        <v>0</v>
      </c>
      <c r="CP13" s="54" t="n">
        <f aca="false">MAX(0,MIN($F13,CP$4)-MAX($E13,CP$3)+1)/($F13-$E13+1)</f>
        <v>0</v>
      </c>
      <c r="CQ13" s="54" t="n">
        <f aca="false">MAX(0,MIN($F13,CQ$4)-MAX($E13,CQ$3)+1)/($F13-$E13+1)</f>
        <v>0</v>
      </c>
      <c r="CR13" s="54" t="n">
        <f aca="false">MAX(0,MIN($F13,CR$4)-MAX($E13,CR$3)+1)/($F13-$E13+1)</f>
        <v>0</v>
      </c>
      <c r="CS13" s="54" t="n">
        <f aca="false">MAX(0,MIN($F13,CS$4)-MAX($E13,CS$3)+1)/($F13-$E13+1)</f>
        <v>0</v>
      </c>
      <c r="CT13" s="54" t="n">
        <f aca="false">MAX(0,MIN($F13,CT$4)-MAX($E13,CT$3)+1)/($F13-$E13+1)</f>
        <v>0</v>
      </c>
      <c r="CU13" s="54" t="n">
        <f aca="false">MAX(0,MIN($F13,CU$4)-MAX($E13,CU$3)+1)/($F13-$E13+1)</f>
        <v>0</v>
      </c>
      <c r="CV13" s="54" t="n">
        <f aca="false">MAX(0,MIN($F13,CV$4)-MAX($E13,CV$3)+1)/($F13-$E13+1)</f>
        <v>0</v>
      </c>
      <c r="CW13" s="54" t="n">
        <f aca="false">MAX(0,MIN($F13,CW$4)-MAX($E13,CW$3)+1)/($F13-$E13+1)</f>
        <v>0</v>
      </c>
      <c r="CX13" s="54" t="n">
        <f aca="false">MAX(0,MIN($F13,CX$4)-MAX($E13,CX$3)+1)/($F13-$E13+1)</f>
        <v>0</v>
      </c>
      <c r="CY13" s="54" t="n">
        <f aca="false">MAX(0,MIN($F13,CY$4)-MAX($E13,CY$3)+1)/($F13-$E13+1)</f>
        <v>0</v>
      </c>
      <c r="CZ13" s="54" t="n">
        <f aca="false">MAX(0,MIN($F13,CZ$4)-MAX($E13,CZ$3)+1)/($F13-$E13+1)</f>
        <v>0</v>
      </c>
      <c r="DA13" s="54" t="n">
        <f aca="false">MAX(0,MIN($F13,DA$4)-MAX($E13,DA$3)+1)/($F13-$E13+1)</f>
        <v>0</v>
      </c>
      <c r="DB13" s="54" t="n">
        <f aca="false">MAX(0,MIN($F13,DB$4)-MAX($E13,DB$3)+1)/($F13-$E13+1)</f>
        <v>0</v>
      </c>
      <c r="DC13" s="54" t="n">
        <f aca="false">MAX(0,MIN($F13,DC$4)-MAX($E13,DC$3)+1)/($F13-$E13+1)</f>
        <v>0</v>
      </c>
      <c r="DD13" s="54" t="n">
        <f aca="false">MAX(0,MIN($F13,DD$4)-MAX($E13,DD$3)+1)/($F13-$E13+1)</f>
        <v>0</v>
      </c>
      <c r="DE13" s="54" t="n">
        <f aca="false">MAX(0,MIN($F13,DE$4)-MAX($E13,DE$3)+1)/($F13-$E13+1)</f>
        <v>0</v>
      </c>
      <c r="DF13" s="54" t="n">
        <f aca="false">MAX(0,MIN($F13,DF$4)-MAX($E13,DF$3)+1)/($F13-$E13+1)</f>
        <v>0</v>
      </c>
      <c r="DG13" s="54" t="n">
        <f aca="false">MAX(0,MIN($F13,DG$4)-MAX($E13,DG$3)+1)/($F13-$E13+1)</f>
        <v>0</v>
      </c>
      <c r="DH13" s="54" t="n">
        <f aca="false">MAX(0,MIN($F13,DH$4)-MAX($E13,DH$3)+1)/($F13-$E13+1)</f>
        <v>0</v>
      </c>
      <c r="DI13" s="54" t="n">
        <f aca="false">MAX(0,MIN($F13,DI$4)-MAX($E13,DI$3)+1)/($F13-$E13+1)</f>
        <v>0</v>
      </c>
      <c r="DJ13" s="54" t="n">
        <f aca="false">MAX(0,MIN($F13,DJ$4)-MAX($E13,DJ$3)+1)/($F13-$E13+1)</f>
        <v>0</v>
      </c>
      <c r="DK13" s="54" t="n">
        <f aca="false">MAX(0,MIN($F13,DK$4)-MAX($E13,DK$3)+1)/($F13-$E13+1)</f>
        <v>0</v>
      </c>
      <c r="DL13" s="54" t="n">
        <f aca="false">MAX(0,MIN($F13,DL$4)-MAX($E13,DL$3)+1)/($F13-$E13+1)</f>
        <v>0</v>
      </c>
      <c r="DM13" s="54" t="n">
        <f aca="false">MAX(0,MIN($F13,DM$4)-MAX($E13,DM$3)+1)/($F13-$E13+1)</f>
        <v>0</v>
      </c>
      <c r="DN13" s="54" t="n">
        <f aca="false">MAX(0,MIN($F13,DN$4)-MAX($E13,DN$3)+1)/($F13-$E13+1)</f>
        <v>0</v>
      </c>
      <c r="DO13" s="54" t="n">
        <f aca="false">MAX(0,MIN($F13,DO$4)-MAX($E13,DO$3)+1)/($F13-$E13+1)</f>
        <v>0</v>
      </c>
      <c r="DP13" s="54" t="n">
        <f aca="false">MAX(0,MIN($F13,DP$4)-MAX($E13,DP$3)+1)/($F13-$E13+1)</f>
        <v>0</v>
      </c>
      <c r="DQ13" s="54" t="n">
        <f aca="false">MAX(0,MIN($F13,DQ$4)-MAX($E13,DQ$3)+1)/($F13-$E13+1)</f>
        <v>0</v>
      </c>
      <c r="DR13" s="54" t="n">
        <f aca="false">MAX(0,MIN($F13,DR$4)-MAX($E13,DR$3)+1)/($F13-$E13+1)</f>
        <v>0</v>
      </c>
      <c r="DS13" s="54" t="n">
        <f aca="false">MAX(0,MIN($F13,DS$4)-MAX($E13,DS$3)+1)/($F13-$E13+1)</f>
        <v>0</v>
      </c>
      <c r="DT13" s="54" t="n">
        <f aca="false">MAX(0,MIN($F13,DT$4)-MAX($E13,DT$3)+1)/($F13-$E13+1)</f>
        <v>0</v>
      </c>
      <c r="DU13" s="54" t="n">
        <f aca="false">MAX(0,MIN($F13,DU$4)-MAX($E13,DU$3)+1)/($F13-$E13+1)</f>
        <v>0</v>
      </c>
      <c r="DV13" s="54" t="n">
        <f aca="false">MAX(0,MIN($F13,DV$4)-MAX($E13,DV$3)+1)/($F13-$E13+1)</f>
        <v>0</v>
      </c>
      <c r="DW13" s="54" t="n">
        <f aca="false">MAX(0,MIN($F13,DW$4)-MAX($E13,DW$3)+1)/($F13-$E13+1)</f>
        <v>0</v>
      </c>
      <c r="DX13" s="54" t="n">
        <f aca="false">MAX(0,MIN($F13,DX$4)-MAX($E13,DX$3)+1)/($F13-$E13+1)</f>
        <v>0</v>
      </c>
      <c r="DY13" s="54" t="n">
        <f aca="false">MAX(0,MIN($F13,DY$4)-MAX($E13,DY$3)+1)/($F13-$E13+1)</f>
        <v>0</v>
      </c>
      <c r="DZ13" s="54" t="n">
        <f aca="false">MAX(0,MIN($F13,DZ$4)-MAX($E13,DZ$3)+1)/($F13-$E13+1)</f>
        <v>0</v>
      </c>
      <c r="EA13" s="54" t="n">
        <f aca="false">MAX(0,MIN($F13,EA$4)-MAX($E13,EA$3)+1)/($F13-$E13+1)</f>
        <v>0</v>
      </c>
      <c r="EB13" s="54" t="n">
        <f aca="false">MAX(0,MIN($F13,EB$4)-MAX($E13,EB$3)+1)/($F13-$E13+1)</f>
        <v>0</v>
      </c>
      <c r="EC13" s="54" t="n">
        <f aca="false">MAX(0,MIN($F13,EC$4)-MAX($E13,EC$3)+1)/($F13-$E13+1)</f>
        <v>0</v>
      </c>
      <c r="ED13" s="54" t="n">
        <f aca="false">MAX(0,MIN($F13,ED$4)-MAX($E13,ED$3)+1)/($F13-$E13+1)</f>
        <v>0</v>
      </c>
      <c r="EE13" s="54" t="n">
        <f aca="false">MAX(0,MIN($F13,EE$4)-MAX($E13,EE$3)+1)/($F13-$E13+1)</f>
        <v>0</v>
      </c>
      <c r="EF13" s="54" t="n">
        <f aca="false">MAX(0,MIN($F13,EF$4)-MAX($E13,EF$3)+1)/($F13-$E13+1)</f>
        <v>0</v>
      </c>
      <c r="EG13" s="54" t="n">
        <f aca="false">MAX(0,MIN($F13,EG$4)-MAX($E13,EG$3)+1)/($F13-$E13+1)</f>
        <v>0</v>
      </c>
      <c r="EH13" s="54" t="n">
        <f aca="false">MAX(0,MIN($F13,EH$4)-MAX($E13,EH$3)+1)/($F13-$E13+1)</f>
        <v>0</v>
      </c>
      <c r="EI13" s="54" t="n">
        <f aca="false">MAX(0,MIN($F13,EI$4)-MAX($E13,EI$3)+1)/($F13-$E13+1)</f>
        <v>0</v>
      </c>
      <c r="EJ13" s="54" t="n">
        <f aca="false">MAX(0,MIN($F13,EJ$4)-MAX($E13,EJ$3)+1)/($F13-$E13+1)</f>
        <v>0</v>
      </c>
      <c r="EK13" s="54" t="n">
        <f aca="false">MAX(0,MIN($F13,EK$4)-MAX($E13,EK$3)+1)/($F13-$E13+1)</f>
        <v>0</v>
      </c>
      <c r="EL13" s="54" t="n">
        <f aca="false">MAX(0,MIN($F13,EL$4)-MAX($E13,EL$3)+1)/($F13-$E13+1)</f>
        <v>0</v>
      </c>
      <c r="EM13" s="54" t="n">
        <f aca="false">MAX(0,MIN($F13,EM$4)-MAX($E13,EM$3)+1)/($F13-$E13+1)</f>
        <v>0</v>
      </c>
      <c r="EN13" s="54" t="n">
        <f aca="false">MAX(0,MIN($F13,EN$4)-MAX($E13,EN$3)+1)/($F13-$E13+1)</f>
        <v>0</v>
      </c>
      <c r="EO13" s="54" t="n">
        <f aca="false">MAX(0,MIN($F13,EO$4)-MAX($E13,EO$3)+1)/($F13-$E13+1)</f>
        <v>0</v>
      </c>
      <c r="EP13" s="54" t="n">
        <f aca="false">MAX(0,MIN($F13,EP$4)-MAX($E13,EP$3)+1)/($F13-$E13+1)</f>
        <v>0</v>
      </c>
      <c r="EQ13" s="54" t="n">
        <f aca="false">MAX(0,MIN($F13,EQ$4)-MAX($E13,EQ$3)+1)/($F13-$E13+1)</f>
        <v>0</v>
      </c>
      <c r="ER13" s="54" t="n">
        <f aca="false">MAX(0,MIN($F13,ER$4)-MAX($E13,ER$3)+1)/($F13-$E13+1)</f>
        <v>0</v>
      </c>
      <c r="ES13" s="54" t="n">
        <f aca="false">MAX(0,MIN($F13,ES$4)-MAX($E13,ES$3)+1)/($F13-$E13+1)</f>
        <v>0</v>
      </c>
      <c r="ET13" s="54" t="n">
        <f aca="false">MAX(0,MIN($F13,ET$4)-MAX($E13,ET$3)+1)/($F13-$E13+1)</f>
        <v>0</v>
      </c>
    </row>
    <row r="14" customFormat="false" ht="15" hidden="false" customHeight="false" outlineLevel="0" collapsed="false">
      <c r="C14" s="1" t="s">
        <v>61</v>
      </c>
      <c r="D14" s="12" t="s">
        <v>41</v>
      </c>
      <c r="E14" s="28" t="n">
        <f aca="false">In_COD</f>
        <v>48121</v>
      </c>
      <c r="I14" s="46" t="n">
        <f aca="false">SUM(J14:ET14)</f>
        <v>1</v>
      </c>
      <c r="J14" s="46" t="n">
        <f aca="false">N(AND(J$3&lt;=$E14,J$4&gt;=$E14))</f>
        <v>0</v>
      </c>
      <c r="K14" s="46" t="n">
        <f aca="false">N(AND(K$3&lt;=$E14,K$4&gt;=$E14))</f>
        <v>0</v>
      </c>
      <c r="L14" s="46" t="n">
        <f aca="false">N(AND(L$3&lt;=$E14,L$4&gt;=$E14))</f>
        <v>0</v>
      </c>
      <c r="M14" s="46" t="n">
        <f aca="false">N(AND(M$3&lt;=$E14,M$4&gt;=$E14))</f>
        <v>0</v>
      </c>
      <c r="N14" s="46" t="n">
        <f aca="false">N(AND(N$3&lt;=$E14,N$4&gt;=$E14))</f>
        <v>0</v>
      </c>
      <c r="O14" s="46" t="n">
        <f aca="false">N(AND(O$3&lt;=$E14,O$4&gt;=$E14))</f>
        <v>0</v>
      </c>
      <c r="P14" s="46" t="n">
        <f aca="false">N(AND(P$3&lt;=$E14,P$4&gt;=$E14))</f>
        <v>0</v>
      </c>
      <c r="Q14" s="46" t="n">
        <f aca="false">N(AND(Q$3&lt;=$E14,Q$4&gt;=$E14))</f>
        <v>0</v>
      </c>
      <c r="R14" s="46" t="n">
        <f aca="false">N(AND(R$3&lt;=$E14,R$4&gt;=$E14))</f>
        <v>0</v>
      </c>
      <c r="S14" s="46" t="n">
        <f aca="false">N(AND(S$3&lt;=$E14,S$4&gt;=$E14))</f>
        <v>0</v>
      </c>
      <c r="T14" s="46" t="n">
        <f aca="false">N(AND(T$3&lt;=$E14,T$4&gt;=$E14))</f>
        <v>0</v>
      </c>
      <c r="U14" s="46" t="n">
        <f aca="false">N(AND(U$3&lt;=$E14,U$4&gt;=$E14))</f>
        <v>0</v>
      </c>
      <c r="V14" s="46" t="n">
        <f aca="false">N(AND(V$3&lt;=$E14,V$4&gt;=$E14))</f>
        <v>0</v>
      </c>
      <c r="W14" s="46" t="n">
        <f aca="false">N(AND(W$3&lt;=$E14,W$4&gt;=$E14))</f>
        <v>0</v>
      </c>
      <c r="X14" s="46" t="n">
        <f aca="false">N(AND(X$3&lt;=$E14,X$4&gt;=$E14))</f>
        <v>0</v>
      </c>
      <c r="Y14" s="46" t="n">
        <f aca="false">N(AND(Y$3&lt;=$E14,Y$4&gt;=$E14))</f>
        <v>0</v>
      </c>
      <c r="Z14" s="46" t="n">
        <f aca="false">N(AND(Z$3&lt;=$E14,Z$4&gt;=$E14))</f>
        <v>0</v>
      </c>
      <c r="AA14" s="46" t="n">
        <f aca="false">N(AND(AA$3&lt;=$E14,AA$4&gt;=$E14))</f>
        <v>0</v>
      </c>
      <c r="AB14" s="46" t="n">
        <f aca="false">N(AND(AB$3&lt;=$E14,AB$4&gt;=$E14))</f>
        <v>0</v>
      </c>
      <c r="AC14" s="46" t="n">
        <f aca="false">N(AND(AC$3&lt;=$E14,AC$4&gt;=$E14))</f>
        <v>0</v>
      </c>
      <c r="AD14" s="46" t="n">
        <f aca="false">N(AND(AD$3&lt;=$E14,AD$4&gt;=$E14))</f>
        <v>1</v>
      </c>
      <c r="AE14" s="46" t="n">
        <f aca="false">N(AND(AE$3&lt;=$E14,AE$4&gt;=$E14))</f>
        <v>0</v>
      </c>
      <c r="AF14" s="46" t="n">
        <f aca="false">N(AND(AF$3&lt;=$E14,AF$4&gt;=$E14))</f>
        <v>0</v>
      </c>
      <c r="AG14" s="46" t="n">
        <f aca="false">N(AND(AG$3&lt;=$E14,AG$4&gt;=$E14))</f>
        <v>0</v>
      </c>
      <c r="AH14" s="46" t="n">
        <f aca="false">N(AND(AH$3&lt;=$E14,AH$4&gt;=$E14))</f>
        <v>0</v>
      </c>
      <c r="AI14" s="46" t="n">
        <f aca="false">N(AND(AI$3&lt;=$E14,AI$4&gt;=$E14))</f>
        <v>0</v>
      </c>
      <c r="AJ14" s="46" t="n">
        <f aca="false">N(AND(AJ$3&lt;=$E14,AJ$4&gt;=$E14))</f>
        <v>0</v>
      </c>
      <c r="AK14" s="46" t="n">
        <f aca="false">N(AND(AK$3&lt;=$E14,AK$4&gt;=$E14))</f>
        <v>0</v>
      </c>
      <c r="AL14" s="46" t="n">
        <f aca="false">N(AND(AL$3&lt;=$E14,AL$4&gt;=$E14))</f>
        <v>0</v>
      </c>
      <c r="AM14" s="46" t="n">
        <f aca="false">N(AND(AM$3&lt;=$E14,AM$4&gt;=$E14))</f>
        <v>0</v>
      </c>
      <c r="AN14" s="46" t="n">
        <f aca="false">N(AND(AN$3&lt;=$E14,AN$4&gt;=$E14))</f>
        <v>0</v>
      </c>
      <c r="AO14" s="46" t="n">
        <f aca="false">N(AND(AO$3&lt;=$E14,AO$4&gt;=$E14))</f>
        <v>0</v>
      </c>
      <c r="AP14" s="46" t="n">
        <f aca="false">N(AND(AP$3&lt;=$E14,AP$4&gt;=$E14))</f>
        <v>0</v>
      </c>
      <c r="AQ14" s="46" t="n">
        <f aca="false">N(AND(AQ$3&lt;=$E14,AQ$4&gt;=$E14))</f>
        <v>0</v>
      </c>
      <c r="AR14" s="46" t="n">
        <f aca="false">N(AND(AR$3&lt;=$E14,AR$4&gt;=$E14))</f>
        <v>0</v>
      </c>
      <c r="AS14" s="46" t="n">
        <f aca="false">N(AND(AS$3&lt;=$E14,AS$4&gt;=$E14))</f>
        <v>0</v>
      </c>
      <c r="AT14" s="46" t="n">
        <f aca="false">N(AND(AT$3&lt;=$E14,AT$4&gt;=$E14))</f>
        <v>0</v>
      </c>
      <c r="AU14" s="46" t="n">
        <f aca="false">N(AND(AU$3&lt;=$E14,AU$4&gt;=$E14))</f>
        <v>0</v>
      </c>
      <c r="AV14" s="46" t="n">
        <f aca="false">N(AND(AV$3&lt;=$E14,AV$4&gt;=$E14))</f>
        <v>0</v>
      </c>
      <c r="AW14" s="46" t="n">
        <f aca="false">N(AND(AW$3&lt;=$E14,AW$4&gt;=$E14))</f>
        <v>0</v>
      </c>
      <c r="AX14" s="46" t="n">
        <f aca="false">N(AND(AX$3&lt;=$E14,AX$4&gt;=$E14))</f>
        <v>0</v>
      </c>
      <c r="AY14" s="46" t="n">
        <f aca="false">N(AND(AY$3&lt;=$E14,AY$4&gt;=$E14))</f>
        <v>0</v>
      </c>
      <c r="AZ14" s="46" t="n">
        <f aca="false">N(AND(AZ$3&lt;=$E14,AZ$4&gt;=$E14))</f>
        <v>0</v>
      </c>
      <c r="BA14" s="46" t="n">
        <f aca="false">N(AND(BA$3&lt;=$E14,BA$4&gt;=$E14))</f>
        <v>0</v>
      </c>
      <c r="BB14" s="46" t="n">
        <f aca="false">N(AND(BB$3&lt;=$E14,BB$4&gt;=$E14))</f>
        <v>0</v>
      </c>
      <c r="BC14" s="46" t="n">
        <f aca="false">N(AND(BC$3&lt;=$E14,BC$4&gt;=$E14))</f>
        <v>0</v>
      </c>
      <c r="BD14" s="46" t="n">
        <f aca="false">N(AND(BD$3&lt;=$E14,BD$4&gt;=$E14))</f>
        <v>0</v>
      </c>
      <c r="BE14" s="46" t="n">
        <f aca="false">N(AND(BE$3&lt;=$E14,BE$4&gt;=$E14))</f>
        <v>0</v>
      </c>
      <c r="BF14" s="46" t="n">
        <f aca="false">N(AND(BF$3&lt;=$E14,BF$4&gt;=$E14))</f>
        <v>0</v>
      </c>
      <c r="BG14" s="46" t="n">
        <f aca="false">N(AND(BG$3&lt;=$E14,BG$4&gt;=$E14))</f>
        <v>0</v>
      </c>
      <c r="BH14" s="46" t="n">
        <f aca="false">N(AND(BH$3&lt;=$E14,BH$4&gt;=$E14))</f>
        <v>0</v>
      </c>
      <c r="BI14" s="46" t="n">
        <f aca="false">N(AND(BI$3&lt;=$E14,BI$4&gt;=$E14))</f>
        <v>0</v>
      </c>
      <c r="BJ14" s="46" t="n">
        <f aca="false">N(AND(BJ$3&lt;=$E14,BJ$4&gt;=$E14))</f>
        <v>0</v>
      </c>
      <c r="BK14" s="46" t="n">
        <f aca="false">N(AND(BK$3&lt;=$E14,BK$4&gt;=$E14))</f>
        <v>0</v>
      </c>
      <c r="BL14" s="46" t="n">
        <f aca="false">N(AND(BL$3&lt;=$E14,BL$4&gt;=$E14))</f>
        <v>0</v>
      </c>
      <c r="BM14" s="46" t="n">
        <f aca="false">N(AND(BM$3&lt;=$E14,BM$4&gt;=$E14))</f>
        <v>0</v>
      </c>
      <c r="BN14" s="46" t="n">
        <f aca="false">N(AND(BN$3&lt;=$E14,BN$4&gt;=$E14))</f>
        <v>0</v>
      </c>
      <c r="BO14" s="46" t="n">
        <f aca="false">N(AND(BO$3&lt;=$E14,BO$4&gt;=$E14))</f>
        <v>0</v>
      </c>
      <c r="BP14" s="46" t="n">
        <f aca="false">N(AND(BP$3&lt;=$E14,BP$4&gt;=$E14))</f>
        <v>0</v>
      </c>
      <c r="BQ14" s="46" t="n">
        <f aca="false">N(AND(BQ$3&lt;=$E14,BQ$4&gt;=$E14))</f>
        <v>0</v>
      </c>
      <c r="BR14" s="46" t="n">
        <f aca="false">N(AND(BR$3&lt;=$E14,BR$4&gt;=$E14))</f>
        <v>0</v>
      </c>
      <c r="BS14" s="46" t="n">
        <f aca="false">N(AND(BS$3&lt;=$E14,BS$4&gt;=$E14))</f>
        <v>0</v>
      </c>
      <c r="BT14" s="46" t="n">
        <f aca="false">N(AND(BT$3&lt;=$E14,BT$4&gt;=$E14))</f>
        <v>0</v>
      </c>
      <c r="BU14" s="46" t="n">
        <f aca="false">N(AND(BU$3&lt;=$E14,BU$4&gt;=$E14))</f>
        <v>0</v>
      </c>
      <c r="BV14" s="46" t="n">
        <f aca="false">N(AND(BV$3&lt;=$E14,BV$4&gt;=$E14))</f>
        <v>0</v>
      </c>
      <c r="BW14" s="46" t="n">
        <f aca="false">N(AND(BW$3&lt;=$E14,BW$4&gt;=$E14))</f>
        <v>0</v>
      </c>
      <c r="BX14" s="46" t="n">
        <f aca="false">N(AND(BX$3&lt;=$E14,BX$4&gt;=$E14))</f>
        <v>0</v>
      </c>
      <c r="BY14" s="46" t="n">
        <f aca="false">N(AND(BY$3&lt;=$E14,BY$4&gt;=$E14))</f>
        <v>0</v>
      </c>
      <c r="BZ14" s="46" t="n">
        <f aca="false">N(AND(BZ$3&lt;=$E14,BZ$4&gt;=$E14))</f>
        <v>0</v>
      </c>
      <c r="CA14" s="46" t="n">
        <f aca="false">N(AND(CA$3&lt;=$E14,CA$4&gt;=$E14))</f>
        <v>0</v>
      </c>
      <c r="CB14" s="46" t="n">
        <f aca="false">N(AND(CB$3&lt;=$E14,CB$4&gt;=$E14))</f>
        <v>0</v>
      </c>
      <c r="CC14" s="46" t="n">
        <f aca="false">N(AND(CC$3&lt;=$E14,CC$4&gt;=$E14))</f>
        <v>0</v>
      </c>
      <c r="CD14" s="46" t="n">
        <f aca="false">N(AND(CD$3&lt;=$E14,CD$4&gt;=$E14))</f>
        <v>0</v>
      </c>
      <c r="CE14" s="46" t="n">
        <f aca="false">N(AND(CE$3&lt;=$E14,CE$4&gt;=$E14))</f>
        <v>0</v>
      </c>
      <c r="CF14" s="46" t="n">
        <f aca="false">N(AND(CF$3&lt;=$E14,CF$4&gt;=$E14))</f>
        <v>0</v>
      </c>
      <c r="CG14" s="46" t="n">
        <f aca="false">N(AND(CG$3&lt;=$E14,CG$4&gt;=$E14))</f>
        <v>0</v>
      </c>
      <c r="CH14" s="46" t="n">
        <f aca="false">N(AND(CH$3&lt;=$E14,CH$4&gt;=$E14))</f>
        <v>0</v>
      </c>
      <c r="CI14" s="46" t="n">
        <f aca="false">N(AND(CI$3&lt;=$E14,CI$4&gt;=$E14))</f>
        <v>0</v>
      </c>
      <c r="CJ14" s="46" t="n">
        <f aca="false">N(AND(CJ$3&lt;=$E14,CJ$4&gt;=$E14))</f>
        <v>0</v>
      </c>
      <c r="CK14" s="46" t="n">
        <f aca="false">N(AND(CK$3&lt;=$E14,CK$4&gt;=$E14))</f>
        <v>0</v>
      </c>
      <c r="CL14" s="46" t="n">
        <f aca="false">N(AND(CL$3&lt;=$E14,CL$4&gt;=$E14))</f>
        <v>0</v>
      </c>
      <c r="CM14" s="46" t="n">
        <f aca="false">N(AND(CM$3&lt;=$E14,CM$4&gt;=$E14))</f>
        <v>0</v>
      </c>
      <c r="CN14" s="46" t="n">
        <f aca="false">N(AND(CN$3&lt;=$E14,CN$4&gt;=$E14))</f>
        <v>0</v>
      </c>
      <c r="CO14" s="46" t="n">
        <f aca="false">N(AND(CO$3&lt;=$E14,CO$4&gt;=$E14))</f>
        <v>0</v>
      </c>
      <c r="CP14" s="46" t="n">
        <f aca="false">N(AND(CP$3&lt;=$E14,CP$4&gt;=$E14))</f>
        <v>0</v>
      </c>
      <c r="CQ14" s="46" t="n">
        <f aca="false">N(AND(CQ$3&lt;=$E14,CQ$4&gt;=$E14))</f>
        <v>0</v>
      </c>
      <c r="CR14" s="46" t="n">
        <f aca="false">N(AND(CR$3&lt;=$E14,CR$4&gt;=$E14))</f>
        <v>0</v>
      </c>
      <c r="CS14" s="46" t="n">
        <f aca="false">N(AND(CS$3&lt;=$E14,CS$4&gt;=$E14))</f>
        <v>0</v>
      </c>
      <c r="CT14" s="46" t="n">
        <f aca="false">N(AND(CT$3&lt;=$E14,CT$4&gt;=$E14))</f>
        <v>0</v>
      </c>
      <c r="CU14" s="46" t="n">
        <f aca="false">N(AND(CU$3&lt;=$E14,CU$4&gt;=$E14))</f>
        <v>0</v>
      </c>
      <c r="CV14" s="46" t="n">
        <f aca="false">N(AND(CV$3&lt;=$E14,CV$4&gt;=$E14))</f>
        <v>0</v>
      </c>
      <c r="CW14" s="46" t="n">
        <f aca="false">N(AND(CW$3&lt;=$E14,CW$4&gt;=$E14))</f>
        <v>0</v>
      </c>
      <c r="CX14" s="46" t="n">
        <f aca="false">N(AND(CX$3&lt;=$E14,CX$4&gt;=$E14))</f>
        <v>0</v>
      </c>
      <c r="CY14" s="46" t="n">
        <f aca="false">N(AND(CY$3&lt;=$E14,CY$4&gt;=$E14))</f>
        <v>0</v>
      </c>
      <c r="CZ14" s="46" t="n">
        <f aca="false">N(AND(CZ$3&lt;=$E14,CZ$4&gt;=$E14))</f>
        <v>0</v>
      </c>
      <c r="DA14" s="46" t="n">
        <f aca="false">N(AND(DA$3&lt;=$E14,DA$4&gt;=$E14))</f>
        <v>0</v>
      </c>
      <c r="DB14" s="46" t="n">
        <f aca="false">N(AND(DB$3&lt;=$E14,DB$4&gt;=$E14))</f>
        <v>0</v>
      </c>
      <c r="DC14" s="46" t="n">
        <f aca="false">N(AND(DC$3&lt;=$E14,DC$4&gt;=$E14))</f>
        <v>0</v>
      </c>
      <c r="DD14" s="46" t="n">
        <f aca="false">N(AND(DD$3&lt;=$E14,DD$4&gt;=$E14))</f>
        <v>0</v>
      </c>
      <c r="DE14" s="46" t="n">
        <f aca="false">N(AND(DE$3&lt;=$E14,DE$4&gt;=$E14))</f>
        <v>0</v>
      </c>
      <c r="DF14" s="46" t="n">
        <f aca="false">N(AND(DF$3&lt;=$E14,DF$4&gt;=$E14))</f>
        <v>0</v>
      </c>
      <c r="DG14" s="46" t="n">
        <f aca="false">N(AND(DG$3&lt;=$E14,DG$4&gt;=$E14))</f>
        <v>0</v>
      </c>
      <c r="DH14" s="46" t="n">
        <f aca="false">N(AND(DH$3&lt;=$E14,DH$4&gt;=$E14))</f>
        <v>0</v>
      </c>
      <c r="DI14" s="46" t="n">
        <f aca="false">N(AND(DI$3&lt;=$E14,DI$4&gt;=$E14))</f>
        <v>0</v>
      </c>
      <c r="DJ14" s="46" t="n">
        <f aca="false">N(AND(DJ$3&lt;=$E14,DJ$4&gt;=$E14))</f>
        <v>0</v>
      </c>
      <c r="DK14" s="46" t="n">
        <f aca="false">N(AND(DK$3&lt;=$E14,DK$4&gt;=$E14))</f>
        <v>0</v>
      </c>
      <c r="DL14" s="46" t="n">
        <f aca="false">N(AND(DL$3&lt;=$E14,DL$4&gt;=$E14))</f>
        <v>0</v>
      </c>
      <c r="DM14" s="46" t="n">
        <f aca="false">N(AND(DM$3&lt;=$E14,DM$4&gt;=$E14))</f>
        <v>0</v>
      </c>
      <c r="DN14" s="46" t="n">
        <f aca="false">N(AND(DN$3&lt;=$E14,DN$4&gt;=$E14))</f>
        <v>0</v>
      </c>
      <c r="DO14" s="46" t="n">
        <f aca="false">N(AND(DO$3&lt;=$E14,DO$4&gt;=$E14))</f>
        <v>0</v>
      </c>
      <c r="DP14" s="46" t="n">
        <f aca="false">N(AND(DP$3&lt;=$E14,DP$4&gt;=$E14))</f>
        <v>0</v>
      </c>
      <c r="DQ14" s="46" t="n">
        <f aca="false">N(AND(DQ$3&lt;=$E14,DQ$4&gt;=$E14))</f>
        <v>0</v>
      </c>
      <c r="DR14" s="46" t="n">
        <f aca="false">N(AND(DR$3&lt;=$E14,DR$4&gt;=$E14))</f>
        <v>0</v>
      </c>
      <c r="DS14" s="46" t="n">
        <f aca="false">N(AND(DS$3&lt;=$E14,DS$4&gt;=$E14))</f>
        <v>0</v>
      </c>
      <c r="DT14" s="46" t="n">
        <f aca="false">N(AND(DT$3&lt;=$E14,DT$4&gt;=$E14))</f>
        <v>0</v>
      </c>
      <c r="DU14" s="46" t="n">
        <f aca="false">N(AND(DU$3&lt;=$E14,DU$4&gt;=$E14))</f>
        <v>0</v>
      </c>
      <c r="DV14" s="46" t="n">
        <f aca="false">N(AND(DV$3&lt;=$E14,DV$4&gt;=$E14))</f>
        <v>0</v>
      </c>
      <c r="DW14" s="46" t="n">
        <f aca="false">N(AND(DW$3&lt;=$E14,DW$4&gt;=$E14))</f>
        <v>0</v>
      </c>
      <c r="DX14" s="46" t="n">
        <f aca="false">N(AND(DX$3&lt;=$E14,DX$4&gt;=$E14))</f>
        <v>0</v>
      </c>
      <c r="DY14" s="46" t="n">
        <f aca="false">N(AND(DY$3&lt;=$E14,DY$4&gt;=$E14))</f>
        <v>0</v>
      </c>
      <c r="DZ14" s="46" t="n">
        <f aca="false">N(AND(DZ$3&lt;=$E14,DZ$4&gt;=$E14))</f>
        <v>0</v>
      </c>
      <c r="EA14" s="46" t="n">
        <f aca="false">N(AND(EA$3&lt;=$E14,EA$4&gt;=$E14))</f>
        <v>0</v>
      </c>
      <c r="EB14" s="46" t="n">
        <f aca="false">N(AND(EB$3&lt;=$E14,EB$4&gt;=$E14))</f>
        <v>0</v>
      </c>
      <c r="EC14" s="46" t="n">
        <f aca="false">N(AND(EC$3&lt;=$E14,EC$4&gt;=$E14))</f>
        <v>0</v>
      </c>
      <c r="ED14" s="46" t="n">
        <f aca="false">N(AND(ED$3&lt;=$E14,ED$4&gt;=$E14))</f>
        <v>0</v>
      </c>
      <c r="EE14" s="46" t="n">
        <f aca="false">N(AND(EE$3&lt;=$E14,EE$4&gt;=$E14))</f>
        <v>0</v>
      </c>
      <c r="EF14" s="46" t="n">
        <f aca="false">N(AND(EF$3&lt;=$E14,EF$4&gt;=$E14))</f>
        <v>0</v>
      </c>
      <c r="EG14" s="46" t="n">
        <f aca="false">N(AND(EG$3&lt;=$E14,EG$4&gt;=$E14))</f>
        <v>0</v>
      </c>
      <c r="EH14" s="46" t="n">
        <f aca="false">N(AND(EH$3&lt;=$E14,EH$4&gt;=$E14))</f>
        <v>0</v>
      </c>
      <c r="EI14" s="46" t="n">
        <f aca="false">N(AND(EI$3&lt;=$E14,EI$4&gt;=$E14))</f>
        <v>0</v>
      </c>
      <c r="EJ14" s="46" t="n">
        <f aca="false">N(AND(EJ$3&lt;=$E14,EJ$4&gt;=$E14))</f>
        <v>0</v>
      </c>
      <c r="EK14" s="46" t="n">
        <f aca="false">N(AND(EK$3&lt;=$E14,EK$4&gt;=$E14))</f>
        <v>0</v>
      </c>
      <c r="EL14" s="46" t="n">
        <f aca="false">N(AND(EL$3&lt;=$E14,EL$4&gt;=$E14))</f>
        <v>0</v>
      </c>
      <c r="EM14" s="46" t="n">
        <f aca="false">N(AND(EM$3&lt;=$E14,EM$4&gt;=$E14))</f>
        <v>0</v>
      </c>
      <c r="EN14" s="46" t="n">
        <f aca="false">N(AND(EN$3&lt;=$E14,EN$4&gt;=$E14))</f>
        <v>0</v>
      </c>
      <c r="EO14" s="46" t="n">
        <f aca="false">N(AND(EO$3&lt;=$E14,EO$4&gt;=$E14))</f>
        <v>0</v>
      </c>
      <c r="EP14" s="46" t="n">
        <f aca="false">N(AND(EP$3&lt;=$E14,EP$4&gt;=$E14))</f>
        <v>0</v>
      </c>
      <c r="EQ14" s="46" t="n">
        <f aca="false">N(AND(EQ$3&lt;=$E14,EQ$4&gt;=$E14))</f>
        <v>0</v>
      </c>
      <c r="ER14" s="46" t="n">
        <f aca="false">N(AND(ER$3&lt;=$E14,ER$4&gt;=$E14))</f>
        <v>0</v>
      </c>
      <c r="ES14" s="46" t="n">
        <f aca="false">N(AND(ES$3&lt;=$E14,ES$4&gt;=$E14))</f>
        <v>0</v>
      </c>
      <c r="ET14" s="46" t="n">
        <f aca="false">N(AND(ET$3&lt;=$E14,ET$4&gt;=$E14))</f>
        <v>0</v>
      </c>
    </row>
    <row r="15" customFormat="false" ht="15" hidden="false" customHeight="false" outlineLevel="0" collapsed="false">
      <c r="C15" s="1" t="s">
        <v>331</v>
      </c>
      <c r="D15" s="12" t="s">
        <v>41</v>
      </c>
      <c r="E15" s="44" t="n">
        <f aca="false">In_COD+1</f>
        <v>48122</v>
      </c>
      <c r="F15" s="44" t="n">
        <f aca="false">EDATE(In_COD,In_Life*Months_In_Year)</f>
        <v>59079</v>
      </c>
      <c r="J15" s="54" t="n">
        <f aca="false">MAX(0,(MIN($F15,J$4)-MAX($E15,J$3)+1)/J$5)</f>
        <v>0</v>
      </c>
      <c r="K15" s="54" t="n">
        <f aca="false">MAX(0,(MIN($F15,K$4)-MAX($E15,K$3)+1)/K$5)</f>
        <v>0</v>
      </c>
      <c r="L15" s="54" t="n">
        <f aca="false">MAX(0,(MIN($F15,L$4)-MAX($E15,L$3)+1)/L$5)</f>
        <v>0</v>
      </c>
      <c r="M15" s="54" t="n">
        <f aca="false">MAX(0,(MIN($F15,M$4)-MAX($E15,M$3)+1)/M$5)</f>
        <v>0</v>
      </c>
      <c r="N15" s="54" t="n">
        <f aca="false">MAX(0,(MIN($F15,N$4)-MAX($E15,N$3)+1)/N$5)</f>
        <v>0</v>
      </c>
      <c r="O15" s="54" t="n">
        <f aca="false">MAX(0,(MIN($F15,O$4)-MAX($E15,O$3)+1)/O$5)</f>
        <v>0</v>
      </c>
      <c r="P15" s="54" t="n">
        <f aca="false">MAX(0,(MIN($F15,P$4)-MAX($E15,P$3)+1)/P$5)</f>
        <v>0</v>
      </c>
      <c r="Q15" s="54" t="n">
        <f aca="false">MAX(0,(MIN($F15,Q$4)-MAX($E15,Q$3)+1)/Q$5)</f>
        <v>0</v>
      </c>
      <c r="R15" s="54" t="n">
        <f aca="false">MAX(0,(MIN($F15,R$4)-MAX($E15,R$3)+1)/R$5)</f>
        <v>0</v>
      </c>
      <c r="S15" s="54" t="n">
        <f aca="false">MAX(0,(MIN($F15,S$4)-MAX($E15,S$3)+1)/S$5)</f>
        <v>0</v>
      </c>
      <c r="T15" s="54" t="n">
        <f aca="false">MAX(0,(MIN($F15,T$4)-MAX($E15,T$3)+1)/T$5)</f>
        <v>0</v>
      </c>
      <c r="U15" s="54" t="n">
        <f aca="false">MAX(0,(MIN($F15,U$4)-MAX($E15,U$3)+1)/U$5)</f>
        <v>0</v>
      </c>
      <c r="V15" s="54" t="n">
        <f aca="false">MAX(0,(MIN($F15,V$4)-MAX($E15,V$3)+1)/V$5)</f>
        <v>0</v>
      </c>
      <c r="W15" s="54" t="n">
        <f aca="false">MAX(0,(MIN($F15,W$4)-MAX($E15,W$3)+1)/W$5)</f>
        <v>0</v>
      </c>
      <c r="X15" s="54" t="n">
        <f aca="false">MAX(0,(MIN($F15,X$4)-MAX($E15,X$3)+1)/X$5)</f>
        <v>0</v>
      </c>
      <c r="Y15" s="54" t="n">
        <f aca="false">MAX(0,(MIN($F15,Y$4)-MAX($E15,Y$3)+1)/Y$5)</f>
        <v>0</v>
      </c>
      <c r="Z15" s="54" t="n">
        <f aca="false">MAX(0,(MIN($F15,Z$4)-MAX($E15,Z$3)+1)/Z$5)</f>
        <v>0</v>
      </c>
      <c r="AA15" s="54" t="n">
        <f aca="false">MAX(0,(MIN($F15,AA$4)-MAX($E15,AA$3)+1)/AA$5)</f>
        <v>0</v>
      </c>
      <c r="AB15" s="54" t="n">
        <f aca="false">MAX(0,(MIN($F15,AB$4)-MAX($E15,AB$3)+1)/AB$5)</f>
        <v>0</v>
      </c>
      <c r="AC15" s="54" t="n">
        <f aca="false">MAX(0,(MIN($F15,AC$4)-MAX($E15,AC$3)+1)/AC$5)</f>
        <v>0</v>
      </c>
      <c r="AD15" s="54" t="n">
        <f aca="false">MAX(0,(MIN($F15,AD$4)-MAX($E15,AD$3)+1)/AD$5)</f>
        <v>0</v>
      </c>
      <c r="AE15" s="54" t="n">
        <f aca="false">MAX(0,(MIN($F15,AE$4)-MAX($E15,AE$3)+1)/AE$5)</f>
        <v>1</v>
      </c>
      <c r="AF15" s="54" t="n">
        <f aca="false">MAX(0,(MIN($F15,AF$4)-MAX($E15,AF$3)+1)/AF$5)</f>
        <v>1</v>
      </c>
      <c r="AG15" s="54" t="n">
        <f aca="false">MAX(0,(MIN($F15,AG$4)-MAX($E15,AG$3)+1)/AG$5)</f>
        <v>1</v>
      </c>
      <c r="AH15" s="54" t="n">
        <f aca="false">MAX(0,(MIN($F15,AH$4)-MAX($E15,AH$3)+1)/AH$5)</f>
        <v>1</v>
      </c>
      <c r="AI15" s="54" t="n">
        <f aca="false">MAX(0,(MIN($F15,AI$4)-MAX($E15,AI$3)+1)/AI$5)</f>
        <v>1</v>
      </c>
      <c r="AJ15" s="54" t="n">
        <f aca="false">MAX(0,(MIN($F15,AJ$4)-MAX($E15,AJ$3)+1)/AJ$5)</f>
        <v>1</v>
      </c>
      <c r="AK15" s="54" t="n">
        <f aca="false">MAX(0,(MIN($F15,AK$4)-MAX($E15,AK$3)+1)/AK$5)</f>
        <v>1</v>
      </c>
      <c r="AL15" s="54" t="n">
        <f aca="false">MAX(0,(MIN($F15,AL$4)-MAX($E15,AL$3)+1)/AL$5)</f>
        <v>1</v>
      </c>
      <c r="AM15" s="54" t="n">
        <f aca="false">MAX(0,(MIN($F15,AM$4)-MAX($E15,AM$3)+1)/AM$5)</f>
        <v>1</v>
      </c>
      <c r="AN15" s="54" t="n">
        <f aca="false">MAX(0,(MIN($F15,AN$4)-MAX($E15,AN$3)+1)/AN$5)</f>
        <v>1</v>
      </c>
      <c r="AO15" s="54" t="n">
        <f aca="false">MAX(0,(MIN($F15,AO$4)-MAX($E15,AO$3)+1)/AO$5)</f>
        <v>1</v>
      </c>
      <c r="AP15" s="54" t="n">
        <f aca="false">MAX(0,(MIN($F15,AP$4)-MAX($E15,AP$3)+1)/AP$5)</f>
        <v>1</v>
      </c>
      <c r="AQ15" s="54" t="n">
        <f aca="false">MAX(0,(MIN($F15,AQ$4)-MAX($E15,AQ$3)+1)/AQ$5)</f>
        <v>1</v>
      </c>
      <c r="AR15" s="54" t="n">
        <f aca="false">MAX(0,(MIN($F15,AR$4)-MAX($E15,AR$3)+1)/AR$5)</f>
        <v>1</v>
      </c>
      <c r="AS15" s="54" t="n">
        <f aca="false">MAX(0,(MIN($F15,AS$4)-MAX($E15,AS$3)+1)/AS$5)</f>
        <v>1</v>
      </c>
      <c r="AT15" s="54" t="n">
        <f aca="false">MAX(0,(MIN($F15,AT$4)-MAX($E15,AT$3)+1)/AT$5)</f>
        <v>1</v>
      </c>
      <c r="AU15" s="54" t="n">
        <f aca="false">MAX(0,(MIN($F15,AU$4)-MAX($E15,AU$3)+1)/AU$5)</f>
        <v>1</v>
      </c>
      <c r="AV15" s="54" t="n">
        <f aca="false">MAX(0,(MIN($F15,AV$4)-MAX($E15,AV$3)+1)/AV$5)</f>
        <v>1</v>
      </c>
      <c r="AW15" s="54" t="n">
        <f aca="false">MAX(0,(MIN($F15,AW$4)-MAX($E15,AW$3)+1)/AW$5)</f>
        <v>1</v>
      </c>
      <c r="AX15" s="54" t="n">
        <f aca="false">MAX(0,(MIN($F15,AX$4)-MAX($E15,AX$3)+1)/AX$5)</f>
        <v>1</v>
      </c>
      <c r="AY15" s="54" t="n">
        <f aca="false">MAX(0,(MIN($F15,AY$4)-MAX($E15,AY$3)+1)/AY$5)</f>
        <v>1</v>
      </c>
      <c r="AZ15" s="54" t="n">
        <f aca="false">MAX(0,(MIN($F15,AZ$4)-MAX($E15,AZ$3)+1)/AZ$5)</f>
        <v>1</v>
      </c>
      <c r="BA15" s="54" t="n">
        <f aca="false">MAX(0,(MIN($F15,BA$4)-MAX($E15,BA$3)+1)/BA$5)</f>
        <v>1</v>
      </c>
      <c r="BB15" s="54" t="n">
        <f aca="false">MAX(0,(MIN($F15,BB$4)-MAX($E15,BB$3)+1)/BB$5)</f>
        <v>1</v>
      </c>
      <c r="BC15" s="54" t="n">
        <f aca="false">MAX(0,(MIN($F15,BC$4)-MAX($E15,BC$3)+1)/BC$5)</f>
        <v>1</v>
      </c>
      <c r="BD15" s="54" t="n">
        <f aca="false">MAX(0,(MIN($F15,BD$4)-MAX($E15,BD$3)+1)/BD$5)</f>
        <v>1</v>
      </c>
      <c r="BE15" s="54" t="n">
        <f aca="false">MAX(0,(MIN($F15,BE$4)-MAX($E15,BE$3)+1)/BE$5)</f>
        <v>1</v>
      </c>
      <c r="BF15" s="54" t="n">
        <f aca="false">MAX(0,(MIN($F15,BF$4)-MAX($E15,BF$3)+1)/BF$5)</f>
        <v>1</v>
      </c>
      <c r="BG15" s="54" t="n">
        <f aca="false">MAX(0,(MIN($F15,BG$4)-MAX($E15,BG$3)+1)/BG$5)</f>
        <v>1</v>
      </c>
      <c r="BH15" s="54" t="n">
        <f aca="false">MAX(0,(MIN($F15,BH$4)-MAX($E15,BH$3)+1)/BH$5)</f>
        <v>1</v>
      </c>
      <c r="BI15" s="54" t="n">
        <f aca="false">MAX(0,(MIN($F15,BI$4)-MAX($E15,BI$3)+1)/BI$5)</f>
        <v>1</v>
      </c>
      <c r="BJ15" s="54" t="n">
        <f aca="false">MAX(0,(MIN($F15,BJ$4)-MAX($E15,BJ$3)+1)/BJ$5)</f>
        <v>1</v>
      </c>
      <c r="BK15" s="54" t="n">
        <f aca="false">MAX(0,(MIN($F15,BK$4)-MAX($E15,BK$3)+1)/BK$5)</f>
        <v>1</v>
      </c>
      <c r="BL15" s="54" t="n">
        <f aca="false">MAX(0,(MIN($F15,BL$4)-MAX($E15,BL$3)+1)/BL$5)</f>
        <v>1</v>
      </c>
      <c r="BM15" s="54" t="n">
        <f aca="false">MAX(0,(MIN($F15,BM$4)-MAX($E15,BM$3)+1)/BM$5)</f>
        <v>1</v>
      </c>
      <c r="BN15" s="54" t="n">
        <f aca="false">MAX(0,(MIN($F15,BN$4)-MAX($E15,BN$3)+1)/BN$5)</f>
        <v>1</v>
      </c>
      <c r="BO15" s="54" t="n">
        <f aca="false">MAX(0,(MIN($F15,BO$4)-MAX($E15,BO$3)+1)/BO$5)</f>
        <v>1</v>
      </c>
      <c r="BP15" s="54" t="n">
        <f aca="false">MAX(0,(MIN($F15,BP$4)-MAX($E15,BP$3)+1)/BP$5)</f>
        <v>1</v>
      </c>
      <c r="BQ15" s="54" t="n">
        <f aca="false">MAX(0,(MIN($F15,BQ$4)-MAX($E15,BQ$3)+1)/BQ$5)</f>
        <v>1</v>
      </c>
      <c r="BR15" s="54" t="n">
        <f aca="false">MAX(0,(MIN($F15,BR$4)-MAX($E15,BR$3)+1)/BR$5)</f>
        <v>1</v>
      </c>
      <c r="BS15" s="54" t="n">
        <f aca="false">MAX(0,(MIN($F15,BS$4)-MAX($E15,BS$3)+1)/BS$5)</f>
        <v>1</v>
      </c>
      <c r="BT15" s="54" t="n">
        <f aca="false">MAX(0,(MIN($F15,BT$4)-MAX($E15,BT$3)+1)/BT$5)</f>
        <v>1</v>
      </c>
      <c r="BU15" s="54" t="n">
        <f aca="false">MAX(0,(MIN($F15,BU$4)-MAX($E15,BU$3)+1)/BU$5)</f>
        <v>1</v>
      </c>
      <c r="BV15" s="54" t="n">
        <f aca="false">MAX(0,(MIN($F15,BV$4)-MAX($E15,BV$3)+1)/BV$5)</f>
        <v>1</v>
      </c>
      <c r="BW15" s="54" t="n">
        <f aca="false">MAX(0,(MIN($F15,BW$4)-MAX($E15,BW$3)+1)/BW$5)</f>
        <v>1</v>
      </c>
      <c r="BX15" s="54" t="n">
        <f aca="false">MAX(0,(MIN($F15,BX$4)-MAX($E15,BX$3)+1)/BX$5)</f>
        <v>1</v>
      </c>
      <c r="BY15" s="54" t="n">
        <f aca="false">MAX(0,(MIN($F15,BY$4)-MAX($E15,BY$3)+1)/BY$5)</f>
        <v>1</v>
      </c>
      <c r="BZ15" s="54" t="n">
        <f aca="false">MAX(0,(MIN($F15,BZ$4)-MAX($E15,BZ$3)+1)/BZ$5)</f>
        <v>1</v>
      </c>
      <c r="CA15" s="54" t="n">
        <f aca="false">MAX(0,(MIN($F15,CA$4)-MAX($E15,CA$3)+1)/CA$5)</f>
        <v>1</v>
      </c>
      <c r="CB15" s="54" t="n">
        <f aca="false">MAX(0,(MIN($F15,CB$4)-MAX($E15,CB$3)+1)/CB$5)</f>
        <v>1</v>
      </c>
      <c r="CC15" s="54" t="n">
        <f aca="false">MAX(0,(MIN($F15,CC$4)-MAX($E15,CC$3)+1)/CC$5)</f>
        <v>1</v>
      </c>
      <c r="CD15" s="54" t="n">
        <f aca="false">MAX(0,(MIN($F15,CD$4)-MAX($E15,CD$3)+1)/CD$5)</f>
        <v>1</v>
      </c>
      <c r="CE15" s="54" t="n">
        <f aca="false">MAX(0,(MIN($F15,CE$4)-MAX($E15,CE$3)+1)/CE$5)</f>
        <v>1</v>
      </c>
      <c r="CF15" s="54" t="n">
        <f aca="false">MAX(0,(MIN($F15,CF$4)-MAX($E15,CF$3)+1)/CF$5)</f>
        <v>1</v>
      </c>
      <c r="CG15" s="54" t="n">
        <f aca="false">MAX(0,(MIN($F15,CG$4)-MAX($E15,CG$3)+1)/CG$5)</f>
        <v>1</v>
      </c>
      <c r="CH15" s="54" t="n">
        <f aca="false">MAX(0,(MIN($F15,CH$4)-MAX($E15,CH$3)+1)/CH$5)</f>
        <v>1</v>
      </c>
      <c r="CI15" s="54" t="n">
        <f aca="false">MAX(0,(MIN($F15,CI$4)-MAX($E15,CI$3)+1)/CI$5)</f>
        <v>1</v>
      </c>
      <c r="CJ15" s="54" t="n">
        <f aca="false">MAX(0,(MIN($F15,CJ$4)-MAX($E15,CJ$3)+1)/CJ$5)</f>
        <v>1</v>
      </c>
      <c r="CK15" s="54" t="n">
        <f aca="false">MAX(0,(MIN($F15,CK$4)-MAX($E15,CK$3)+1)/CK$5)</f>
        <v>1</v>
      </c>
      <c r="CL15" s="54" t="n">
        <f aca="false">MAX(0,(MIN($F15,CL$4)-MAX($E15,CL$3)+1)/CL$5)</f>
        <v>1</v>
      </c>
      <c r="CM15" s="54" t="n">
        <f aca="false">MAX(0,(MIN($F15,CM$4)-MAX($E15,CM$3)+1)/CM$5)</f>
        <v>1</v>
      </c>
      <c r="CN15" s="54" t="n">
        <f aca="false">MAX(0,(MIN($F15,CN$4)-MAX($E15,CN$3)+1)/CN$5)</f>
        <v>1</v>
      </c>
      <c r="CO15" s="54" t="n">
        <f aca="false">MAX(0,(MIN($F15,CO$4)-MAX($E15,CO$3)+1)/CO$5)</f>
        <v>1</v>
      </c>
      <c r="CP15" s="54" t="n">
        <f aca="false">MAX(0,(MIN($F15,CP$4)-MAX($E15,CP$3)+1)/CP$5)</f>
        <v>1</v>
      </c>
      <c r="CQ15" s="54" t="n">
        <f aca="false">MAX(0,(MIN($F15,CQ$4)-MAX($E15,CQ$3)+1)/CQ$5)</f>
        <v>1</v>
      </c>
      <c r="CR15" s="54" t="n">
        <f aca="false">MAX(0,(MIN($F15,CR$4)-MAX($E15,CR$3)+1)/CR$5)</f>
        <v>1</v>
      </c>
      <c r="CS15" s="54" t="n">
        <f aca="false">MAX(0,(MIN($F15,CS$4)-MAX($E15,CS$3)+1)/CS$5)</f>
        <v>1</v>
      </c>
      <c r="CT15" s="54" t="n">
        <f aca="false">MAX(0,(MIN($F15,CT$4)-MAX($E15,CT$3)+1)/CT$5)</f>
        <v>1</v>
      </c>
      <c r="CU15" s="54" t="n">
        <f aca="false">MAX(0,(MIN($F15,CU$4)-MAX($E15,CU$3)+1)/CU$5)</f>
        <v>1</v>
      </c>
      <c r="CV15" s="54" t="n">
        <f aca="false">MAX(0,(MIN($F15,CV$4)-MAX($E15,CV$3)+1)/CV$5)</f>
        <v>1</v>
      </c>
      <c r="CW15" s="54" t="n">
        <f aca="false">MAX(0,(MIN($F15,CW$4)-MAX($E15,CW$3)+1)/CW$5)</f>
        <v>1</v>
      </c>
      <c r="CX15" s="54" t="n">
        <f aca="false">MAX(0,(MIN($F15,CX$4)-MAX($E15,CX$3)+1)/CX$5)</f>
        <v>1</v>
      </c>
      <c r="CY15" s="54" t="n">
        <f aca="false">MAX(0,(MIN($F15,CY$4)-MAX($E15,CY$3)+1)/CY$5)</f>
        <v>1</v>
      </c>
      <c r="CZ15" s="54" t="n">
        <f aca="false">MAX(0,(MIN($F15,CZ$4)-MAX($E15,CZ$3)+1)/CZ$5)</f>
        <v>1</v>
      </c>
      <c r="DA15" s="54" t="n">
        <f aca="false">MAX(0,(MIN($F15,DA$4)-MAX($E15,DA$3)+1)/DA$5)</f>
        <v>1</v>
      </c>
      <c r="DB15" s="54" t="n">
        <f aca="false">MAX(0,(MIN($F15,DB$4)-MAX($E15,DB$3)+1)/DB$5)</f>
        <v>1</v>
      </c>
      <c r="DC15" s="54" t="n">
        <f aca="false">MAX(0,(MIN($F15,DC$4)-MAX($E15,DC$3)+1)/DC$5)</f>
        <v>1</v>
      </c>
      <c r="DD15" s="54" t="n">
        <f aca="false">MAX(0,(MIN($F15,DD$4)-MAX($E15,DD$3)+1)/DD$5)</f>
        <v>1</v>
      </c>
      <c r="DE15" s="54" t="n">
        <f aca="false">MAX(0,(MIN($F15,DE$4)-MAX($E15,DE$3)+1)/DE$5)</f>
        <v>1</v>
      </c>
      <c r="DF15" s="54" t="n">
        <f aca="false">MAX(0,(MIN($F15,DF$4)-MAX($E15,DF$3)+1)/DF$5)</f>
        <v>1</v>
      </c>
      <c r="DG15" s="54" t="n">
        <f aca="false">MAX(0,(MIN($F15,DG$4)-MAX($E15,DG$3)+1)/DG$5)</f>
        <v>1</v>
      </c>
      <c r="DH15" s="54" t="n">
        <f aca="false">MAX(0,(MIN($F15,DH$4)-MAX($E15,DH$3)+1)/DH$5)</f>
        <v>1</v>
      </c>
      <c r="DI15" s="54" t="n">
        <f aca="false">MAX(0,(MIN($F15,DI$4)-MAX($E15,DI$3)+1)/DI$5)</f>
        <v>1</v>
      </c>
      <c r="DJ15" s="54" t="n">
        <f aca="false">MAX(0,(MIN($F15,DJ$4)-MAX($E15,DJ$3)+1)/DJ$5)</f>
        <v>1</v>
      </c>
      <c r="DK15" s="54" t="n">
        <f aca="false">MAX(0,(MIN($F15,DK$4)-MAX($E15,DK$3)+1)/DK$5)</f>
        <v>1</v>
      </c>
      <c r="DL15" s="54" t="n">
        <f aca="false">MAX(0,(MIN($F15,DL$4)-MAX($E15,DL$3)+1)/DL$5)</f>
        <v>1</v>
      </c>
      <c r="DM15" s="54" t="n">
        <f aca="false">MAX(0,(MIN($F15,DM$4)-MAX($E15,DM$3)+1)/DM$5)</f>
        <v>1</v>
      </c>
      <c r="DN15" s="54" t="n">
        <f aca="false">MAX(0,(MIN($F15,DN$4)-MAX($E15,DN$3)+1)/DN$5)</f>
        <v>1</v>
      </c>
      <c r="DO15" s="54" t="n">
        <f aca="false">MAX(0,(MIN($F15,DO$4)-MAX($E15,DO$3)+1)/DO$5)</f>
        <v>1</v>
      </c>
      <c r="DP15" s="54" t="n">
        <f aca="false">MAX(0,(MIN($F15,DP$4)-MAX($E15,DP$3)+1)/DP$5)</f>
        <v>1</v>
      </c>
      <c r="DQ15" s="54" t="n">
        <f aca="false">MAX(0,(MIN($F15,DQ$4)-MAX($E15,DQ$3)+1)/DQ$5)</f>
        <v>1</v>
      </c>
      <c r="DR15" s="54" t="n">
        <f aca="false">MAX(0,(MIN($F15,DR$4)-MAX($E15,DR$3)+1)/DR$5)</f>
        <v>1</v>
      </c>
      <c r="DS15" s="54" t="n">
        <f aca="false">MAX(0,(MIN($F15,DS$4)-MAX($E15,DS$3)+1)/DS$5)</f>
        <v>1</v>
      </c>
      <c r="DT15" s="54" t="n">
        <f aca="false">MAX(0,(MIN($F15,DT$4)-MAX($E15,DT$3)+1)/DT$5)</f>
        <v>1</v>
      </c>
      <c r="DU15" s="54" t="n">
        <f aca="false">MAX(0,(MIN($F15,DU$4)-MAX($E15,DU$3)+1)/DU$5)</f>
        <v>1</v>
      </c>
      <c r="DV15" s="54" t="n">
        <f aca="false">MAX(0,(MIN($F15,DV$4)-MAX($E15,DV$3)+1)/DV$5)</f>
        <v>1</v>
      </c>
      <c r="DW15" s="54" t="n">
        <f aca="false">MAX(0,(MIN($F15,DW$4)-MAX($E15,DW$3)+1)/DW$5)</f>
        <v>1</v>
      </c>
      <c r="DX15" s="54" t="n">
        <f aca="false">MAX(0,(MIN($F15,DX$4)-MAX($E15,DX$3)+1)/DX$5)</f>
        <v>1</v>
      </c>
      <c r="DY15" s="54" t="n">
        <f aca="false">MAX(0,(MIN($F15,DY$4)-MAX($E15,DY$3)+1)/DY$5)</f>
        <v>1</v>
      </c>
      <c r="DZ15" s="54" t="n">
        <f aca="false">MAX(0,(MIN($F15,DZ$4)-MAX($E15,DZ$3)+1)/DZ$5)</f>
        <v>1</v>
      </c>
      <c r="EA15" s="54" t="n">
        <f aca="false">MAX(0,(MIN($F15,EA$4)-MAX($E15,EA$3)+1)/EA$5)</f>
        <v>1</v>
      </c>
      <c r="EB15" s="54" t="n">
        <f aca="false">MAX(0,(MIN($F15,EB$4)-MAX($E15,EB$3)+1)/EB$5)</f>
        <v>1</v>
      </c>
      <c r="EC15" s="54" t="n">
        <f aca="false">MAX(0,(MIN($F15,EC$4)-MAX($E15,EC$3)+1)/EC$5)</f>
        <v>1</v>
      </c>
      <c r="ED15" s="54" t="n">
        <f aca="false">MAX(0,(MIN($F15,ED$4)-MAX($E15,ED$3)+1)/ED$5)</f>
        <v>1</v>
      </c>
      <c r="EE15" s="54" t="n">
        <f aca="false">MAX(0,(MIN($F15,EE$4)-MAX($E15,EE$3)+1)/EE$5)</f>
        <v>1</v>
      </c>
      <c r="EF15" s="54" t="n">
        <f aca="false">MAX(0,(MIN($F15,EF$4)-MAX($E15,EF$3)+1)/EF$5)</f>
        <v>1</v>
      </c>
      <c r="EG15" s="54" t="n">
        <f aca="false">MAX(0,(MIN($F15,EG$4)-MAX($E15,EG$3)+1)/EG$5)</f>
        <v>1</v>
      </c>
      <c r="EH15" s="54" t="n">
        <f aca="false">MAX(0,(MIN($F15,EH$4)-MAX($E15,EH$3)+1)/EH$5)</f>
        <v>1</v>
      </c>
      <c r="EI15" s="54" t="n">
        <f aca="false">MAX(0,(MIN($F15,EI$4)-MAX($E15,EI$3)+1)/EI$5)</f>
        <v>1</v>
      </c>
      <c r="EJ15" s="54" t="n">
        <f aca="false">MAX(0,(MIN($F15,EJ$4)-MAX($E15,EJ$3)+1)/EJ$5)</f>
        <v>1</v>
      </c>
      <c r="EK15" s="54" t="n">
        <f aca="false">MAX(0,(MIN($F15,EK$4)-MAX($E15,EK$3)+1)/EK$5)</f>
        <v>1</v>
      </c>
      <c r="EL15" s="54" t="n">
        <f aca="false">MAX(0,(MIN($F15,EL$4)-MAX($E15,EL$3)+1)/EL$5)</f>
        <v>1</v>
      </c>
      <c r="EM15" s="54" t="n">
        <f aca="false">MAX(0,(MIN($F15,EM$4)-MAX($E15,EM$3)+1)/EM$5)</f>
        <v>1</v>
      </c>
      <c r="EN15" s="54" t="n">
        <f aca="false">MAX(0,(MIN($F15,EN$4)-MAX($E15,EN$3)+1)/EN$5)</f>
        <v>1</v>
      </c>
      <c r="EO15" s="54" t="n">
        <f aca="false">MAX(0,(MIN($F15,EO$4)-MAX($E15,EO$3)+1)/EO$5)</f>
        <v>1</v>
      </c>
      <c r="EP15" s="54" t="n">
        <f aca="false">MAX(0,(MIN($F15,EP$4)-MAX($E15,EP$3)+1)/EP$5)</f>
        <v>1</v>
      </c>
      <c r="EQ15" s="54" t="n">
        <f aca="false">MAX(0,(MIN($F15,EQ$4)-MAX($E15,EQ$3)+1)/EQ$5)</f>
        <v>1</v>
      </c>
      <c r="ER15" s="54" t="n">
        <f aca="false">MAX(0,(MIN($F15,ER$4)-MAX($E15,ER$3)+1)/ER$5)</f>
        <v>1</v>
      </c>
      <c r="ES15" s="54" t="n">
        <f aca="false">MAX(0,(MIN($F15,ES$4)-MAX($E15,ES$3)+1)/ES$5)</f>
        <v>1</v>
      </c>
      <c r="ET15" s="54" t="n">
        <f aca="false">MAX(0,(MIN($F15,ET$4)-MAX($E15,ET$3)+1)/ET$5)</f>
        <v>1</v>
      </c>
    </row>
    <row r="16" customFormat="false" ht="15" hidden="false" customHeight="false" outlineLevel="0" collapsed="false">
      <c r="C16" s="1" t="s">
        <v>448</v>
      </c>
      <c r="D16" s="12" t="s">
        <v>41</v>
      </c>
      <c r="E16" s="44" t="n">
        <f aca="false">In_NTP+1</f>
        <v>47392</v>
      </c>
      <c r="F16" s="44" t="n">
        <f aca="false">EDATE(In_COD,In_Life*Months_In_Year)</f>
        <v>59079</v>
      </c>
      <c r="J16" s="54" t="n">
        <f aca="false">MAX(0,(MIN($F16,J$4)-MAX($E16,J$3)+1)/J$5)</f>
        <v>0</v>
      </c>
      <c r="K16" s="54" t="n">
        <f aca="false">MAX(0,(MIN($F16,K$4)-MAX($E16,K$3)+1)/K$5)</f>
        <v>0</v>
      </c>
      <c r="L16" s="54" t="n">
        <f aca="false">MAX(0,(MIN($F16,L$4)-MAX($E16,L$3)+1)/L$5)</f>
        <v>0</v>
      </c>
      <c r="M16" s="54" t="n">
        <f aca="false">MAX(0,(MIN($F16,M$4)-MAX($E16,M$3)+1)/M$5)</f>
        <v>0</v>
      </c>
      <c r="N16" s="54" t="n">
        <f aca="false">MAX(0,(MIN($F16,N$4)-MAX($E16,N$3)+1)/N$5)</f>
        <v>0</v>
      </c>
      <c r="O16" s="54" t="n">
        <f aca="false">MAX(0,(MIN($F16,O$4)-MAX($E16,O$3)+1)/O$5)</f>
        <v>0</v>
      </c>
      <c r="P16" s="54" t="n">
        <f aca="false">MAX(0,(MIN($F16,P$4)-MAX($E16,P$3)+1)/P$5)</f>
        <v>0</v>
      </c>
      <c r="Q16" s="54" t="n">
        <f aca="false">MAX(0,(MIN($F16,Q$4)-MAX($E16,Q$3)+1)/Q$5)</f>
        <v>0</v>
      </c>
      <c r="R16" s="54" t="n">
        <f aca="false">MAX(0,(MIN($F16,R$4)-MAX($E16,R$3)+1)/R$5)</f>
        <v>0</v>
      </c>
      <c r="S16" s="54" t="n">
        <f aca="false">MAX(0,(MIN($F16,S$4)-MAX($E16,S$3)+1)/S$5)</f>
        <v>0</v>
      </c>
      <c r="T16" s="54" t="n">
        <f aca="false">MAX(0,(MIN($F16,T$4)-MAX($E16,T$3)+1)/T$5)</f>
        <v>0</v>
      </c>
      <c r="U16" s="54" t="n">
        <f aca="false">MAX(0,(MIN($F16,U$4)-MAX($E16,U$3)+1)/U$5)</f>
        <v>0</v>
      </c>
      <c r="V16" s="54" t="n">
        <f aca="false">MAX(0,(MIN($F16,V$4)-MAX($E16,V$3)+1)/V$5)</f>
        <v>0</v>
      </c>
      <c r="W16" s="54" t="n">
        <f aca="false">MAX(0,(MIN($F16,W$4)-MAX($E16,W$3)+1)/W$5)</f>
        <v>1</v>
      </c>
      <c r="X16" s="54" t="n">
        <f aca="false">MAX(0,(MIN($F16,X$4)-MAX($E16,X$3)+1)/X$5)</f>
        <v>1</v>
      </c>
      <c r="Y16" s="54" t="n">
        <f aca="false">MAX(0,(MIN($F16,Y$4)-MAX($E16,Y$3)+1)/Y$5)</f>
        <v>1</v>
      </c>
      <c r="Z16" s="54" t="n">
        <f aca="false">MAX(0,(MIN($F16,Z$4)-MAX($E16,Z$3)+1)/Z$5)</f>
        <v>1</v>
      </c>
      <c r="AA16" s="54" t="n">
        <f aca="false">MAX(0,(MIN($F16,AA$4)-MAX($E16,AA$3)+1)/AA$5)</f>
        <v>1</v>
      </c>
      <c r="AB16" s="54" t="n">
        <f aca="false">MAX(0,(MIN($F16,AB$4)-MAX($E16,AB$3)+1)/AB$5)</f>
        <v>1</v>
      </c>
      <c r="AC16" s="54" t="n">
        <f aca="false">MAX(0,(MIN($F16,AC$4)-MAX($E16,AC$3)+1)/AC$5)</f>
        <v>1</v>
      </c>
      <c r="AD16" s="54" t="n">
        <f aca="false">MAX(0,(MIN($F16,AD$4)-MAX($E16,AD$3)+1)/AD$5)</f>
        <v>1</v>
      </c>
      <c r="AE16" s="54" t="n">
        <f aca="false">MAX(0,(MIN($F16,AE$4)-MAX($E16,AE$3)+1)/AE$5)</f>
        <v>1</v>
      </c>
      <c r="AF16" s="54" t="n">
        <f aca="false">MAX(0,(MIN($F16,AF$4)-MAX($E16,AF$3)+1)/AF$5)</f>
        <v>1</v>
      </c>
      <c r="AG16" s="54" t="n">
        <f aca="false">MAX(0,(MIN($F16,AG$4)-MAX($E16,AG$3)+1)/AG$5)</f>
        <v>1</v>
      </c>
      <c r="AH16" s="54" t="n">
        <f aca="false">MAX(0,(MIN($F16,AH$4)-MAX($E16,AH$3)+1)/AH$5)</f>
        <v>1</v>
      </c>
      <c r="AI16" s="54" t="n">
        <f aca="false">MAX(0,(MIN($F16,AI$4)-MAX($E16,AI$3)+1)/AI$5)</f>
        <v>1</v>
      </c>
      <c r="AJ16" s="54" t="n">
        <f aca="false">MAX(0,(MIN($F16,AJ$4)-MAX($E16,AJ$3)+1)/AJ$5)</f>
        <v>1</v>
      </c>
      <c r="AK16" s="54" t="n">
        <f aca="false">MAX(0,(MIN($F16,AK$4)-MAX($E16,AK$3)+1)/AK$5)</f>
        <v>1</v>
      </c>
      <c r="AL16" s="54" t="n">
        <f aca="false">MAX(0,(MIN($F16,AL$4)-MAX($E16,AL$3)+1)/AL$5)</f>
        <v>1</v>
      </c>
      <c r="AM16" s="54" t="n">
        <f aca="false">MAX(0,(MIN($F16,AM$4)-MAX($E16,AM$3)+1)/AM$5)</f>
        <v>1</v>
      </c>
      <c r="AN16" s="54" t="n">
        <f aca="false">MAX(0,(MIN($F16,AN$4)-MAX($E16,AN$3)+1)/AN$5)</f>
        <v>1</v>
      </c>
      <c r="AO16" s="54" t="n">
        <f aca="false">MAX(0,(MIN($F16,AO$4)-MAX($E16,AO$3)+1)/AO$5)</f>
        <v>1</v>
      </c>
      <c r="AP16" s="54" t="n">
        <f aca="false">MAX(0,(MIN($F16,AP$4)-MAX($E16,AP$3)+1)/AP$5)</f>
        <v>1</v>
      </c>
      <c r="AQ16" s="54" t="n">
        <f aca="false">MAX(0,(MIN($F16,AQ$4)-MAX($E16,AQ$3)+1)/AQ$5)</f>
        <v>1</v>
      </c>
      <c r="AR16" s="54" t="n">
        <f aca="false">MAX(0,(MIN($F16,AR$4)-MAX($E16,AR$3)+1)/AR$5)</f>
        <v>1</v>
      </c>
      <c r="AS16" s="54" t="n">
        <f aca="false">MAX(0,(MIN($F16,AS$4)-MAX($E16,AS$3)+1)/AS$5)</f>
        <v>1</v>
      </c>
      <c r="AT16" s="54" t="n">
        <f aca="false">MAX(0,(MIN($F16,AT$4)-MAX($E16,AT$3)+1)/AT$5)</f>
        <v>1</v>
      </c>
      <c r="AU16" s="54" t="n">
        <f aca="false">MAX(0,(MIN($F16,AU$4)-MAX($E16,AU$3)+1)/AU$5)</f>
        <v>1</v>
      </c>
      <c r="AV16" s="54" t="n">
        <f aca="false">MAX(0,(MIN($F16,AV$4)-MAX($E16,AV$3)+1)/AV$5)</f>
        <v>1</v>
      </c>
      <c r="AW16" s="54" t="n">
        <f aca="false">MAX(0,(MIN($F16,AW$4)-MAX($E16,AW$3)+1)/AW$5)</f>
        <v>1</v>
      </c>
      <c r="AX16" s="54" t="n">
        <f aca="false">MAX(0,(MIN($F16,AX$4)-MAX($E16,AX$3)+1)/AX$5)</f>
        <v>1</v>
      </c>
      <c r="AY16" s="54" t="n">
        <f aca="false">MAX(0,(MIN($F16,AY$4)-MAX($E16,AY$3)+1)/AY$5)</f>
        <v>1</v>
      </c>
      <c r="AZ16" s="54" t="n">
        <f aca="false">MAX(0,(MIN($F16,AZ$4)-MAX($E16,AZ$3)+1)/AZ$5)</f>
        <v>1</v>
      </c>
      <c r="BA16" s="54" t="n">
        <f aca="false">MAX(0,(MIN($F16,BA$4)-MAX($E16,BA$3)+1)/BA$5)</f>
        <v>1</v>
      </c>
      <c r="BB16" s="54" t="n">
        <f aca="false">MAX(0,(MIN($F16,BB$4)-MAX($E16,BB$3)+1)/BB$5)</f>
        <v>1</v>
      </c>
      <c r="BC16" s="54" t="n">
        <f aca="false">MAX(0,(MIN($F16,BC$4)-MAX($E16,BC$3)+1)/BC$5)</f>
        <v>1</v>
      </c>
      <c r="BD16" s="54" t="n">
        <f aca="false">MAX(0,(MIN($F16,BD$4)-MAX($E16,BD$3)+1)/BD$5)</f>
        <v>1</v>
      </c>
      <c r="BE16" s="54" t="n">
        <f aca="false">MAX(0,(MIN($F16,BE$4)-MAX($E16,BE$3)+1)/BE$5)</f>
        <v>1</v>
      </c>
      <c r="BF16" s="54" t="n">
        <f aca="false">MAX(0,(MIN($F16,BF$4)-MAX($E16,BF$3)+1)/BF$5)</f>
        <v>1</v>
      </c>
      <c r="BG16" s="54" t="n">
        <f aca="false">MAX(0,(MIN($F16,BG$4)-MAX($E16,BG$3)+1)/BG$5)</f>
        <v>1</v>
      </c>
      <c r="BH16" s="54" t="n">
        <f aca="false">MAX(0,(MIN($F16,BH$4)-MAX($E16,BH$3)+1)/BH$5)</f>
        <v>1</v>
      </c>
      <c r="BI16" s="54" t="n">
        <f aca="false">MAX(0,(MIN($F16,BI$4)-MAX($E16,BI$3)+1)/BI$5)</f>
        <v>1</v>
      </c>
      <c r="BJ16" s="54" t="n">
        <f aca="false">MAX(0,(MIN($F16,BJ$4)-MAX($E16,BJ$3)+1)/BJ$5)</f>
        <v>1</v>
      </c>
      <c r="BK16" s="54" t="n">
        <f aca="false">MAX(0,(MIN($F16,BK$4)-MAX($E16,BK$3)+1)/BK$5)</f>
        <v>1</v>
      </c>
      <c r="BL16" s="54" t="n">
        <f aca="false">MAX(0,(MIN($F16,BL$4)-MAX($E16,BL$3)+1)/BL$5)</f>
        <v>1</v>
      </c>
      <c r="BM16" s="54" t="n">
        <f aca="false">MAX(0,(MIN($F16,BM$4)-MAX($E16,BM$3)+1)/BM$5)</f>
        <v>1</v>
      </c>
      <c r="BN16" s="54" t="n">
        <f aca="false">MAX(0,(MIN($F16,BN$4)-MAX($E16,BN$3)+1)/BN$5)</f>
        <v>1</v>
      </c>
      <c r="BO16" s="54" t="n">
        <f aca="false">MAX(0,(MIN($F16,BO$4)-MAX($E16,BO$3)+1)/BO$5)</f>
        <v>1</v>
      </c>
      <c r="BP16" s="54" t="n">
        <f aca="false">MAX(0,(MIN($F16,BP$4)-MAX($E16,BP$3)+1)/BP$5)</f>
        <v>1</v>
      </c>
      <c r="BQ16" s="54" t="n">
        <f aca="false">MAX(0,(MIN($F16,BQ$4)-MAX($E16,BQ$3)+1)/BQ$5)</f>
        <v>1</v>
      </c>
      <c r="BR16" s="54" t="n">
        <f aca="false">MAX(0,(MIN($F16,BR$4)-MAX($E16,BR$3)+1)/BR$5)</f>
        <v>1</v>
      </c>
      <c r="BS16" s="54" t="n">
        <f aca="false">MAX(0,(MIN($F16,BS$4)-MAX($E16,BS$3)+1)/BS$5)</f>
        <v>1</v>
      </c>
      <c r="BT16" s="54" t="n">
        <f aca="false">MAX(0,(MIN($F16,BT$4)-MAX($E16,BT$3)+1)/BT$5)</f>
        <v>1</v>
      </c>
      <c r="BU16" s="54" t="n">
        <f aca="false">MAX(0,(MIN($F16,BU$4)-MAX($E16,BU$3)+1)/BU$5)</f>
        <v>1</v>
      </c>
      <c r="BV16" s="54" t="n">
        <f aca="false">MAX(0,(MIN($F16,BV$4)-MAX($E16,BV$3)+1)/BV$5)</f>
        <v>1</v>
      </c>
      <c r="BW16" s="54" t="n">
        <f aca="false">MAX(0,(MIN($F16,BW$4)-MAX($E16,BW$3)+1)/BW$5)</f>
        <v>1</v>
      </c>
      <c r="BX16" s="54" t="n">
        <f aca="false">MAX(0,(MIN($F16,BX$4)-MAX($E16,BX$3)+1)/BX$5)</f>
        <v>1</v>
      </c>
      <c r="BY16" s="54" t="n">
        <f aca="false">MAX(0,(MIN($F16,BY$4)-MAX($E16,BY$3)+1)/BY$5)</f>
        <v>1</v>
      </c>
      <c r="BZ16" s="54" t="n">
        <f aca="false">MAX(0,(MIN($F16,BZ$4)-MAX($E16,BZ$3)+1)/BZ$5)</f>
        <v>1</v>
      </c>
      <c r="CA16" s="54" t="n">
        <f aca="false">MAX(0,(MIN($F16,CA$4)-MAX($E16,CA$3)+1)/CA$5)</f>
        <v>1</v>
      </c>
      <c r="CB16" s="54" t="n">
        <f aca="false">MAX(0,(MIN($F16,CB$4)-MAX($E16,CB$3)+1)/CB$5)</f>
        <v>1</v>
      </c>
      <c r="CC16" s="54" t="n">
        <f aca="false">MAX(0,(MIN($F16,CC$4)-MAX($E16,CC$3)+1)/CC$5)</f>
        <v>1</v>
      </c>
      <c r="CD16" s="54" t="n">
        <f aca="false">MAX(0,(MIN($F16,CD$4)-MAX($E16,CD$3)+1)/CD$5)</f>
        <v>1</v>
      </c>
      <c r="CE16" s="54" t="n">
        <f aca="false">MAX(0,(MIN($F16,CE$4)-MAX($E16,CE$3)+1)/CE$5)</f>
        <v>1</v>
      </c>
      <c r="CF16" s="54" t="n">
        <f aca="false">MAX(0,(MIN($F16,CF$4)-MAX($E16,CF$3)+1)/CF$5)</f>
        <v>1</v>
      </c>
      <c r="CG16" s="54" t="n">
        <f aca="false">MAX(0,(MIN($F16,CG$4)-MAX($E16,CG$3)+1)/CG$5)</f>
        <v>1</v>
      </c>
      <c r="CH16" s="54" t="n">
        <f aca="false">MAX(0,(MIN($F16,CH$4)-MAX($E16,CH$3)+1)/CH$5)</f>
        <v>1</v>
      </c>
      <c r="CI16" s="54" t="n">
        <f aca="false">MAX(0,(MIN($F16,CI$4)-MAX($E16,CI$3)+1)/CI$5)</f>
        <v>1</v>
      </c>
      <c r="CJ16" s="54" t="n">
        <f aca="false">MAX(0,(MIN($F16,CJ$4)-MAX($E16,CJ$3)+1)/CJ$5)</f>
        <v>1</v>
      </c>
      <c r="CK16" s="54" t="n">
        <f aca="false">MAX(0,(MIN($F16,CK$4)-MAX($E16,CK$3)+1)/CK$5)</f>
        <v>1</v>
      </c>
      <c r="CL16" s="54" t="n">
        <f aca="false">MAX(0,(MIN($F16,CL$4)-MAX($E16,CL$3)+1)/CL$5)</f>
        <v>1</v>
      </c>
      <c r="CM16" s="54" t="n">
        <f aca="false">MAX(0,(MIN($F16,CM$4)-MAX($E16,CM$3)+1)/CM$5)</f>
        <v>1</v>
      </c>
      <c r="CN16" s="54" t="n">
        <f aca="false">MAX(0,(MIN($F16,CN$4)-MAX($E16,CN$3)+1)/CN$5)</f>
        <v>1</v>
      </c>
      <c r="CO16" s="54" t="n">
        <f aca="false">MAX(0,(MIN($F16,CO$4)-MAX($E16,CO$3)+1)/CO$5)</f>
        <v>1</v>
      </c>
      <c r="CP16" s="54" t="n">
        <f aca="false">MAX(0,(MIN($F16,CP$4)-MAX($E16,CP$3)+1)/CP$5)</f>
        <v>1</v>
      </c>
      <c r="CQ16" s="54" t="n">
        <f aca="false">MAX(0,(MIN($F16,CQ$4)-MAX($E16,CQ$3)+1)/CQ$5)</f>
        <v>1</v>
      </c>
      <c r="CR16" s="54" t="n">
        <f aca="false">MAX(0,(MIN($F16,CR$4)-MAX($E16,CR$3)+1)/CR$5)</f>
        <v>1</v>
      </c>
      <c r="CS16" s="54" t="n">
        <f aca="false">MAX(0,(MIN($F16,CS$4)-MAX($E16,CS$3)+1)/CS$5)</f>
        <v>1</v>
      </c>
      <c r="CT16" s="54" t="n">
        <f aca="false">MAX(0,(MIN($F16,CT$4)-MAX($E16,CT$3)+1)/CT$5)</f>
        <v>1</v>
      </c>
      <c r="CU16" s="54" t="n">
        <f aca="false">MAX(0,(MIN($F16,CU$4)-MAX($E16,CU$3)+1)/CU$5)</f>
        <v>1</v>
      </c>
      <c r="CV16" s="54" t="n">
        <f aca="false">MAX(0,(MIN($F16,CV$4)-MAX($E16,CV$3)+1)/CV$5)</f>
        <v>1</v>
      </c>
      <c r="CW16" s="54" t="n">
        <f aca="false">MAX(0,(MIN($F16,CW$4)-MAX($E16,CW$3)+1)/CW$5)</f>
        <v>1</v>
      </c>
      <c r="CX16" s="54" t="n">
        <f aca="false">MAX(0,(MIN($F16,CX$4)-MAX($E16,CX$3)+1)/CX$5)</f>
        <v>1</v>
      </c>
      <c r="CY16" s="54" t="n">
        <f aca="false">MAX(0,(MIN($F16,CY$4)-MAX($E16,CY$3)+1)/CY$5)</f>
        <v>1</v>
      </c>
      <c r="CZ16" s="54" t="n">
        <f aca="false">MAX(0,(MIN($F16,CZ$4)-MAX($E16,CZ$3)+1)/CZ$5)</f>
        <v>1</v>
      </c>
      <c r="DA16" s="54" t="n">
        <f aca="false">MAX(0,(MIN($F16,DA$4)-MAX($E16,DA$3)+1)/DA$5)</f>
        <v>1</v>
      </c>
      <c r="DB16" s="54" t="n">
        <f aca="false">MAX(0,(MIN($F16,DB$4)-MAX($E16,DB$3)+1)/DB$5)</f>
        <v>1</v>
      </c>
      <c r="DC16" s="54" t="n">
        <f aca="false">MAX(0,(MIN($F16,DC$4)-MAX($E16,DC$3)+1)/DC$5)</f>
        <v>1</v>
      </c>
      <c r="DD16" s="54" t="n">
        <f aca="false">MAX(0,(MIN($F16,DD$4)-MAX($E16,DD$3)+1)/DD$5)</f>
        <v>1</v>
      </c>
      <c r="DE16" s="54" t="n">
        <f aca="false">MAX(0,(MIN($F16,DE$4)-MAX($E16,DE$3)+1)/DE$5)</f>
        <v>1</v>
      </c>
      <c r="DF16" s="54" t="n">
        <f aca="false">MAX(0,(MIN($F16,DF$4)-MAX($E16,DF$3)+1)/DF$5)</f>
        <v>1</v>
      </c>
      <c r="DG16" s="54" t="n">
        <f aca="false">MAX(0,(MIN($F16,DG$4)-MAX($E16,DG$3)+1)/DG$5)</f>
        <v>1</v>
      </c>
      <c r="DH16" s="54" t="n">
        <f aca="false">MAX(0,(MIN($F16,DH$4)-MAX($E16,DH$3)+1)/DH$5)</f>
        <v>1</v>
      </c>
      <c r="DI16" s="54" t="n">
        <f aca="false">MAX(0,(MIN($F16,DI$4)-MAX($E16,DI$3)+1)/DI$5)</f>
        <v>1</v>
      </c>
      <c r="DJ16" s="54" t="n">
        <f aca="false">MAX(0,(MIN($F16,DJ$4)-MAX($E16,DJ$3)+1)/DJ$5)</f>
        <v>1</v>
      </c>
      <c r="DK16" s="54" t="n">
        <f aca="false">MAX(0,(MIN($F16,DK$4)-MAX($E16,DK$3)+1)/DK$5)</f>
        <v>1</v>
      </c>
      <c r="DL16" s="54" t="n">
        <f aca="false">MAX(0,(MIN($F16,DL$4)-MAX($E16,DL$3)+1)/DL$5)</f>
        <v>1</v>
      </c>
      <c r="DM16" s="54" t="n">
        <f aca="false">MAX(0,(MIN($F16,DM$4)-MAX($E16,DM$3)+1)/DM$5)</f>
        <v>1</v>
      </c>
      <c r="DN16" s="54" t="n">
        <f aca="false">MAX(0,(MIN($F16,DN$4)-MAX($E16,DN$3)+1)/DN$5)</f>
        <v>1</v>
      </c>
      <c r="DO16" s="54" t="n">
        <f aca="false">MAX(0,(MIN($F16,DO$4)-MAX($E16,DO$3)+1)/DO$5)</f>
        <v>1</v>
      </c>
      <c r="DP16" s="54" t="n">
        <f aca="false">MAX(0,(MIN($F16,DP$4)-MAX($E16,DP$3)+1)/DP$5)</f>
        <v>1</v>
      </c>
      <c r="DQ16" s="54" t="n">
        <f aca="false">MAX(0,(MIN($F16,DQ$4)-MAX($E16,DQ$3)+1)/DQ$5)</f>
        <v>1</v>
      </c>
      <c r="DR16" s="54" t="n">
        <f aca="false">MAX(0,(MIN($F16,DR$4)-MAX($E16,DR$3)+1)/DR$5)</f>
        <v>1</v>
      </c>
      <c r="DS16" s="54" t="n">
        <f aca="false">MAX(0,(MIN($F16,DS$4)-MAX($E16,DS$3)+1)/DS$5)</f>
        <v>1</v>
      </c>
      <c r="DT16" s="54" t="n">
        <f aca="false">MAX(0,(MIN($F16,DT$4)-MAX($E16,DT$3)+1)/DT$5)</f>
        <v>1</v>
      </c>
      <c r="DU16" s="54" t="n">
        <f aca="false">MAX(0,(MIN($F16,DU$4)-MAX($E16,DU$3)+1)/DU$5)</f>
        <v>1</v>
      </c>
      <c r="DV16" s="54" t="n">
        <f aca="false">MAX(0,(MIN($F16,DV$4)-MAX($E16,DV$3)+1)/DV$5)</f>
        <v>1</v>
      </c>
      <c r="DW16" s="54" t="n">
        <f aca="false">MAX(0,(MIN($F16,DW$4)-MAX($E16,DW$3)+1)/DW$5)</f>
        <v>1</v>
      </c>
      <c r="DX16" s="54" t="n">
        <f aca="false">MAX(0,(MIN($F16,DX$4)-MAX($E16,DX$3)+1)/DX$5)</f>
        <v>1</v>
      </c>
      <c r="DY16" s="54" t="n">
        <f aca="false">MAX(0,(MIN($F16,DY$4)-MAX($E16,DY$3)+1)/DY$5)</f>
        <v>1</v>
      </c>
      <c r="DZ16" s="54" t="n">
        <f aca="false">MAX(0,(MIN($F16,DZ$4)-MAX($E16,DZ$3)+1)/DZ$5)</f>
        <v>1</v>
      </c>
      <c r="EA16" s="54" t="n">
        <f aca="false">MAX(0,(MIN($F16,EA$4)-MAX($E16,EA$3)+1)/EA$5)</f>
        <v>1</v>
      </c>
      <c r="EB16" s="54" t="n">
        <f aca="false">MAX(0,(MIN($F16,EB$4)-MAX($E16,EB$3)+1)/EB$5)</f>
        <v>1</v>
      </c>
      <c r="EC16" s="54" t="n">
        <f aca="false">MAX(0,(MIN($F16,EC$4)-MAX($E16,EC$3)+1)/EC$5)</f>
        <v>1</v>
      </c>
      <c r="ED16" s="54" t="n">
        <f aca="false">MAX(0,(MIN($F16,ED$4)-MAX($E16,ED$3)+1)/ED$5)</f>
        <v>1</v>
      </c>
      <c r="EE16" s="54" t="n">
        <f aca="false">MAX(0,(MIN($F16,EE$4)-MAX($E16,EE$3)+1)/EE$5)</f>
        <v>1</v>
      </c>
      <c r="EF16" s="54" t="n">
        <f aca="false">MAX(0,(MIN($F16,EF$4)-MAX($E16,EF$3)+1)/EF$5)</f>
        <v>1</v>
      </c>
      <c r="EG16" s="54" t="n">
        <f aca="false">MAX(0,(MIN($F16,EG$4)-MAX($E16,EG$3)+1)/EG$5)</f>
        <v>1</v>
      </c>
      <c r="EH16" s="54" t="n">
        <f aca="false">MAX(0,(MIN($F16,EH$4)-MAX($E16,EH$3)+1)/EH$5)</f>
        <v>1</v>
      </c>
      <c r="EI16" s="54" t="n">
        <f aca="false">MAX(0,(MIN($F16,EI$4)-MAX($E16,EI$3)+1)/EI$5)</f>
        <v>1</v>
      </c>
      <c r="EJ16" s="54" t="n">
        <f aca="false">MAX(0,(MIN($F16,EJ$4)-MAX($E16,EJ$3)+1)/EJ$5)</f>
        <v>1</v>
      </c>
      <c r="EK16" s="54" t="n">
        <f aca="false">MAX(0,(MIN($F16,EK$4)-MAX($E16,EK$3)+1)/EK$5)</f>
        <v>1</v>
      </c>
      <c r="EL16" s="54" t="n">
        <f aca="false">MAX(0,(MIN($F16,EL$4)-MAX($E16,EL$3)+1)/EL$5)</f>
        <v>1</v>
      </c>
      <c r="EM16" s="54" t="n">
        <f aca="false">MAX(0,(MIN($F16,EM$4)-MAX($E16,EM$3)+1)/EM$5)</f>
        <v>1</v>
      </c>
      <c r="EN16" s="54" t="n">
        <f aca="false">MAX(0,(MIN($F16,EN$4)-MAX($E16,EN$3)+1)/EN$5)</f>
        <v>1</v>
      </c>
      <c r="EO16" s="54" t="n">
        <f aca="false">MAX(0,(MIN($F16,EO$4)-MAX($E16,EO$3)+1)/EO$5)</f>
        <v>1</v>
      </c>
      <c r="EP16" s="54" t="n">
        <f aca="false">MAX(0,(MIN($F16,EP$4)-MAX($E16,EP$3)+1)/EP$5)</f>
        <v>1</v>
      </c>
      <c r="EQ16" s="54" t="n">
        <f aca="false">MAX(0,(MIN($F16,EQ$4)-MAX($E16,EQ$3)+1)/EQ$5)</f>
        <v>1</v>
      </c>
      <c r="ER16" s="54" t="n">
        <f aca="false">MAX(0,(MIN($F16,ER$4)-MAX($E16,ER$3)+1)/ER$5)</f>
        <v>1</v>
      </c>
      <c r="ES16" s="54" t="n">
        <f aca="false">MAX(0,(MIN($F16,ES$4)-MAX($E16,ES$3)+1)/ES$5)</f>
        <v>1</v>
      </c>
      <c r="ET16" s="54" t="n">
        <f aca="false">MAX(0,(MIN($F16,ET$4)-MAX($E16,ET$3)+1)/ET$5)</f>
        <v>1</v>
      </c>
    </row>
    <row r="17" customFormat="false" ht="15" hidden="false" customHeight="false" outlineLevel="0" collapsed="false">
      <c r="C17" s="1" t="s">
        <v>449</v>
      </c>
      <c r="D17" s="12" t="s">
        <v>41</v>
      </c>
      <c r="E17" s="44" t="n">
        <f aca="false">In_COD+1</f>
        <v>48122</v>
      </c>
      <c r="F17" s="44" t="n">
        <f aca="false">EDATE(In_COD,In_Debt_Tenor*Months_In_Year)</f>
        <v>51774</v>
      </c>
      <c r="J17" s="54" t="n">
        <f aca="false">MAX(0,(MIN($F17,J$4)-MAX($E17,J$3)+1)/J$5)</f>
        <v>0</v>
      </c>
      <c r="K17" s="54" t="n">
        <f aca="false">MAX(0,(MIN($F17,K$4)-MAX($E17,K$3)+1)/K$5)</f>
        <v>0</v>
      </c>
      <c r="L17" s="54" t="n">
        <f aca="false">MAX(0,(MIN($F17,L$4)-MAX($E17,L$3)+1)/L$5)</f>
        <v>0</v>
      </c>
      <c r="M17" s="54" t="n">
        <f aca="false">MAX(0,(MIN($F17,M$4)-MAX($E17,M$3)+1)/M$5)</f>
        <v>0</v>
      </c>
      <c r="N17" s="54" t="n">
        <f aca="false">MAX(0,(MIN($F17,N$4)-MAX($E17,N$3)+1)/N$5)</f>
        <v>0</v>
      </c>
      <c r="O17" s="54" t="n">
        <f aca="false">MAX(0,(MIN($F17,O$4)-MAX($E17,O$3)+1)/O$5)</f>
        <v>0</v>
      </c>
      <c r="P17" s="54" t="n">
        <f aca="false">MAX(0,(MIN($F17,P$4)-MAX($E17,P$3)+1)/P$5)</f>
        <v>0</v>
      </c>
      <c r="Q17" s="54" t="n">
        <f aca="false">MAX(0,(MIN($F17,Q$4)-MAX($E17,Q$3)+1)/Q$5)</f>
        <v>0</v>
      </c>
      <c r="R17" s="54" t="n">
        <f aca="false">MAX(0,(MIN($F17,R$4)-MAX($E17,R$3)+1)/R$5)</f>
        <v>0</v>
      </c>
      <c r="S17" s="54" t="n">
        <f aca="false">MAX(0,(MIN($F17,S$4)-MAX($E17,S$3)+1)/S$5)</f>
        <v>0</v>
      </c>
      <c r="T17" s="54" t="n">
        <f aca="false">MAX(0,(MIN($F17,T$4)-MAX($E17,T$3)+1)/T$5)</f>
        <v>0</v>
      </c>
      <c r="U17" s="54" t="n">
        <f aca="false">MAX(0,(MIN($F17,U$4)-MAX($E17,U$3)+1)/U$5)</f>
        <v>0</v>
      </c>
      <c r="V17" s="54" t="n">
        <f aca="false">MAX(0,(MIN($F17,V$4)-MAX($E17,V$3)+1)/V$5)</f>
        <v>0</v>
      </c>
      <c r="W17" s="54" t="n">
        <f aca="false">MAX(0,(MIN($F17,W$4)-MAX($E17,W$3)+1)/W$5)</f>
        <v>0</v>
      </c>
      <c r="X17" s="54" t="n">
        <f aca="false">MAX(0,(MIN($F17,X$4)-MAX($E17,X$3)+1)/X$5)</f>
        <v>0</v>
      </c>
      <c r="Y17" s="54" t="n">
        <f aca="false">MAX(0,(MIN($F17,Y$4)-MAX($E17,Y$3)+1)/Y$5)</f>
        <v>0</v>
      </c>
      <c r="Z17" s="54" t="n">
        <f aca="false">MAX(0,(MIN($F17,Z$4)-MAX($E17,Z$3)+1)/Z$5)</f>
        <v>0</v>
      </c>
      <c r="AA17" s="54" t="n">
        <f aca="false">MAX(0,(MIN($F17,AA$4)-MAX($E17,AA$3)+1)/AA$5)</f>
        <v>0</v>
      </c>
      <c r="AB17" s="54" t="n">
        <f aca="false">MAX(0,(MIN($F17,AB$4)-MAX($E17,AB$3)+1)/AB$5)</f>
        <v>0</v>
      </c>
      <c r="AC17" s="54" t="n">
        <f aca="false">MAX(0,(MIN($F17,AC$4)-MAX($E17,AC$3)+1)/AC$5)</f>
        <v>0</v>
      </c>
      <c r="AD17" s="54" t="n">
        <f aca="false">MAX(0,(MIN($F17,AD$4)-MAX($E17,AD$3)+1)/AD$5)</f>
        <v>0</v>
      </c>
      <c r="AE17" s="54" t="n">
        <f aca="false">MAX(0,(MIN($F17,AE$4)-MAX($E17,AE$3)+1)/AE$5)</f>
        <v>1</v>
      </c>
      <c r="AF17" s="54" t="n">
        <f aca="false">MAX(0,(MIN($F17,AF$4)-MAX($E17,AF$3)+1)/AF$5)</f>
        <v>1</v>
      </c>
      <c r="AG17" s="54" t="n">
        <f aca="false">MAX(0,(MIN($F17,AG$4)-MAX($E17,AG$3)+1)/AG$5)</f>
        <v>1</v>
      </c>
      <c r="AH17" s="54" t="n">
        <f aca="false">MAX(0,(MIN($F17,AH$4)-MAX($E17,AH$3)+1)/AH$5)</f>
        <v>1</v>
      </c>
      <c r="AI17" s="54" t="n">
        <f aca="false">MAX(0,(MIN($F17,AI$4)-MAX($E17,AI$3)+1)/AI$5)</f>
        <v>1</v>
      </c>
      <c r="AJ17" s="54" t="n">
        <f aca="false">MAX(0,(MIN($F17,AJ$4)-MAX($E17,AJ$3)+1)/AJ$5)</f>
        <v>1</v>
      </c>
      <c r="AK17" s="54" t="n">
        <f aca="false">MAX(0,(MIN($F17,AK$4)-MAX($E17,AK$3)+1)/AK$5)</f>
        <v>1</v>
      </c>
      <c r="AL17" s="54" t="n">
        <f aca="false">MAX(0,(MIN($F17,AL$4)-MAX($E17,AL$3)+1)/AL$5)</f>
        <v>1</v>
      </c>
      <c r="AM17" s="54" t="n">
        <f aca="false">MAX(0,(MIN($F17,AM$4)-MAX($E17,AM$3)+1)/AM$5)</f>
        <v>1</v>
      </c>
      <c r="AN17" s="54" t="n">
        <f aca="false">MAX(0,(MIN($F17,AN$4)-MAX($E17,AN$3)+1)/AN$5)</f>
        <v>1</v>
      </c>
      <c r="AO17" s="54" t="n">
        <f aca="false">MAX(0,(MIN($F17,AO$4)-MAX($E17,AO$3)+1)/AO$5)</f>
        <v>1</v>
      </c>
      <c r="AP17" s="54" t="n">
        <f aca="false">MAX(0,(MIN($F17,AP$4)-MAX($E17,AP$3)+1)/AP$5)</f>
        <v>1</v>
      </c>
      <c r="AQ17" s="54" t="n">
        <f aca="false">MAX(0,(MIN($F17,AQ$4)-MAX($E17,AQ$3)+1)/AQ$5)</f>
        <v>1</v>
      </c>
      <c r="AR17" s="54" t="n">
        <f aca="false">MAX(0,(MIN($F17,AR$4)-MAX($E17,AR$3)+1)/AR$5)</f>
        <v>1</v>
      </c>
      <c r="AS17" s="54" t="n">
        <f aca="false">MAX(0,(MIN($F17,AS$4)-MAX($E17,AS$3)+1)/AS$5)</f>
        <v>1</v>
      </c>
      <c r="AT17" s="54" t="n">
        <f aca="false">MAX(0,(MIN($F17,AT$4)-MAX($E17,AT$3)+1)/AT$5)</f>
        <v>1</v>
      </c>
      <c r="AU17" s="54" t="n">
        <f aca="false">MAX(0,(MIN($F17,AU$4)-MAX($E17,AU$3)+1)/AU$5)</f>
        <v>1</v>
      </c>
      <c r="AV17" s="54" t="n">
        <f aca="false">MAX(0,(MIN($F17,AV$4)-MAX($E17,AV$3)+1)/AV$5)</f>
        <v>1</v>
      </c>
      <c r="AW17" s="54" t="n">
        <f aca="false">MAX(0,(MIN($F17,AW$4)-MAX($E17,AW$3)+1)/AW$5)</f>
        <v>1</v>
      </c>
      <c r="AX17" s="54" t="n">
        <f aca="false">MAX(0,(MIN($F17,AX$4)-MAX($E17,AX$3)+1)/AX$5)</f>
        <v>1</v>
      </c>
      <c r="AY17" s="54" t="n">
        <f aca="false">MAX(0,(MIN($F17,AY$4)-MAX($E17,AY$3)+1)/AY$5)</f>
        <v>1</v>
      </c>
      <c r="AZ17" s="54" t="n">
        <f aca="false">MAX(0,(MIN($F17,AZ$4)-MAX($E17,AZ$3)+1)/AZ$5)</f>
        <v>1</v>
      </c>
      <c r="BA17" s="54" t="n">
        <f aca="false">MAX(0,(MIN($F17,BA$4)-MAX($E17,BA$3)+1)/BA$5)</f>
        <v>1</v>
      </c>
      <c r="BB17" s="54" t="n">
        <f aca="false">MAX(0,(MIN($F17,BB$4)-MAX($E17,BB$3)+1)/BB$5)</f>
        <v>1</v>
      </c>
      <c r="BC17" s="54" t="n">
        <f aca="false">MAX(0,(MIN($F17,BC$4)-MAX($E17,BC$3)+1)/BC$5)</f>
        <v>1</v>
      </c>
      <c r="BD17" s="54" t="n">
        <f aca="false">MAX(0,(MIN($F17,BD$4)-MAX($E17,BD$3)+1)/BD$5)</f>
        <v>1</v>
      </c>
      <c r="BE17" s="54" t="n">
        <f aca="false">MAX(0,(MIN($F17,BE$4)-MAX($E17,BE$3)+1)/BE$5)</f>
        <v>1</v>
      </c>
      <c r="BF17" s="54" t="n">
        <f aca="false">MAX(0,(MIN($F17,BF$4)-MAX($E17,BF$3)+1)/BF$5)</f>
        <v>1</v>
      </c>
      <c r="BG17" s="54" t="n">
        <f aca="false">MAX(0,(MIN($F17,BG$4)-MAX($E17,BG$3)+1)/BG$5)</f>
        <v>1</v>
      </c>
      <c r="BH17" s="54" t="n">
        <f aca="false">MAX(0,(MIN($F17,BH$4)-MAX($E17,BH$3)+1)/BH$5)</f>
        <v>1</v>
      </c>
      <c r="BI17" s="54" t="n">
        <f aca="false">MAX(0,(MIN($F17,BI$4)-MAX($E17,BI$3)+1)/BI$5)</f>
        <v>1</v>
      </c>
      <c r="BJ17" s="54" t="n">
        <f aca="false">MAX(0,(MIN($F17,BJ$4)-MAX($E17,BJ$3)+1)/BJ$5)</f>
        <v>1</v>
      </c>
      <c r="BK17" s="54" t="n">
        <f aca="false">MAX(0,(MIN($F17,BK$4)-MAX($E17,BK$3)+1)/BK$5)</f>
        <v>1</v>
      </c>
      <c r="BL17" s="54" t="n">
        <f aca="false">MAX(0,(MIN($F17,BL$4)-MAX($E17,BL$3)+1)/BL$5)</f>
        <v>1</v>
      </c>
      <c r="BM17" s="54" t="n">
        <f aca="false">MAX(0,(MIN($F17,BM$4)-MAX($E17,BM$3)+1)/BM$5)</f>
        <v>1</v>
      </c>
      <c r="BN17" s="54" t="n">
        <f aca="false">MAX(0,(MIN($F17,BN$4)-MAX($E17,BN$3)+1)/BN$5)</f>
        <v>1</v>
      </c>
      <c r="BO17" s="54" t="n">
        <f aca="false">MAX(0,(MIN($F17,BO$4)-MAX($E17,BO$3)+1)/BO$5)</f>
        <v>1</v>
      </c>
      <c r="BP17" s="54" t="n">
        <f aca="false">MAX(0,(MIN($F17,BP$4)-MAX($E17,BP$3)+1)/BP$5)</f>
        <v>1</v>
      </c>
      <c r="BQ17" s="54" t="n">
        <f aca="false">MAX(0,(MIN($F17,BQ$4)-MAX($E17,BQ$3)+1)/BQ$5)</f>
        <v>1</v>
      </c>
      <c r="BR17" s="54" t="n">
        <f aca="false">MAX(0,(MIN($F17,BR$4)-MAX($E17,BR$3)+1)/BR$5)</f>
        <v>1</v>
      </c>
      <c r="BS17" s="54" t="n">
        <f aca="false">MAX(0,(MIN($F17,BS$4)-MAX($E17,BS$3)+1)/BS$5)</f>
        <v>0</v>
      </c>
      <c r="BT17" s="54" t="n">
        <f aca="false">MAX(0,(MIN($F17,BT$4)-MAX($E17,BT$3)+1)/BT$5)</f>
        <v>0</v>
      </c>
      <c r="BU17" s="54" t="n">
        <f aca="false">MAX(0,(MIN($F17,BU$4)-MAX($E17,BU$3)+1)/BU$5)</f>
        <v>0</v>
      </c>
      <c r="BV17" s="54" t="n">
        <f aca="false">MAX(0,(MIN($F17,BV$4)-MAX($E17,BV$3)+1)/BV$5)</f>
        <v>0</v>
      </c>
      <c r="BW17" s="54" t="n">
        <f aca="false">MAX(0,(MIN($F17,BW$4)-MAX($E17,BW$3)+1)/BW$5)</f>
        <v>0</v>
      </c>
      <c r="BX17" s="54" t="n">
        <f aca="false">MAX(0,(MIN($F17,BX$4)-MAX($E17,BX$3)+1)/BX$5)</f>
        <v>0</v>
      </c>
      <c r="BY17" s="54" t="n">
        <f aca="false">MAX(0,(MIN($F17,BY$4)-MAX($E17,BY$3)+1)/BY$5)</f>
        <v>0</v>
      </c>
      <c r="BZ17" s="54" t="n">
        <f aca="false">MAX(0,(MIN($F17,BZ$4)-MAX($E17,BZ$3)+1)/BZ$5)</f>
        <v>0</v>
      </c>
      <c r="CA17" s="54" t="n">
        <f aca="false">MAX(0,(MIN($F17,CA$4)-MAX($E17,CA$3)+1)/CA$5)</f>
        <v>0</v>
      </c>
      <c r="CB17" s="54" t="n">
        <f aca="false">MAX(0,(MIN($F17,CB$4)-MAX($E17,CB$3)+1)/CB$5)</f>
        <v>0</v>
      </c>
      <c r="CC17" s="54" t="n">
        <f aca="false">MAX(0,(MIN($F17,CC$4)-MAX($E17,CC$3)+1)/CC$5)</f>
        <v>0</v>
      </c>
      <c r="CD17" s="54" t="n">
        <f aca="false">MAX(0,(MIN($F17,CD$4)-MAX($E17,CD$3)+1)/CD$5)</f>
        <v>0</v>
      </c>
      <c r="CE17" s="54" t="n">
        <f aca="false">MAX(0,(MIN($F17,CE$4)-MAX($E17,CE$3)+1)/CE$5)</f>
        <v>0</v>
      </c>
      <c r="CF17" s="54" t="n">
        <f aca="false">MAX(0,(MIN($F17,CF$4)-MAX($E17,CF$3)+1)/CF$5)</f>
        <v>0</v>
      </c>
      <c r="CG17" s="54" t="n">
        <f aca="false">MAX(0,(MIN($F17,CG$4)-MAX($E17,CG$3)+1)/CG$5)</f>
        <v>0</v>
      </c>
      <c r="CH17" s="54" t="n">
        <f aca="false">MAX(0,(MIN($F17,CH$4)-MAX($E17,CH$3)+1)/CH$5)</f>
        <v>0</v>
      </c>
      <c r="CI17" s="54" t="n">
        <f aca="false">MAX(0,(MIN($F17,CI$4)-MAX($E17,CI$3)+1)/CI$5)</f>
        <v>0</v>
      </c>
      <c r="CJ17" s="54" t="n">
        <f aca="false">MAX(0,(MIN($F17,CJ$4)-MAX($E17,CJ$3)+1)/CJ$5)</f>
        <v>0</v>
      </c>
      <c r="CK17" s="54" t="n">
        <f aca="false">MAX(0,(MIN($F17,CK$4)-MAX($E17,CK$3)+1)/CK$5)</f>
        <v>0</v>
      </c>
      <c r="CL17" s="54" t="n">
        <f aca="false">MAX(0,(MIN($F17,CL$4)-MAX($E17,CL$3)+1)/CL$5)</f>
        <v>0</v>
      </c>
      <c r="CM17" s="54" t="n">
        <f aca="false">MAX(0,(MIN($F17,CM$4)-MAX($E17,CM$3)+1)/CM$5)</f>
        <v>0</v>
      </c>
      <c r="CN17" s="54" t="n">
        <f aca="false">MAX(0,(MIN($F17,CN$4)-MAX($E17,CN$3)+1)/CN$5)</f>
        <v>0</v>
      </c>
      <c r="CO17" s="54" t="n">
        <f aca="false">MAX(0,(MIN($F17,CO$4)-MAX($E17,CO$3)+1)/CO$5)</f>
        <v>0</v>
      </c>
      <c r="CP17" s="54" t="n">
        <f aca="false">MAX(0,(MIN($F17,CP$4)-MAX($E17,CP$3)+1)/CP$5)</f>
        <v>0</v>
      </c>
      <c r="CQ17" s="54" t="n">
        <f aca="false">MAX(0,(MIN($F17,CQ$4)-MAX($E17,CQ$3)+1)/CQ$5)</f>
        <v>0</v>
      </c>
      <c r="CR17" s="54" t="n">
        <f aca="false">MAX(0,(MIN($F17,CR$4)-MAX($E17,CR$3)+1)/CR$5)</f>
        <v>0</v>
      </c>
      <c r="CS17" s="54" t="n">
        <f aca="false">MAX(0,(MIN($F17,CS$4)-MAX($E17,CS$3)+1)/CS$5)</f>
        <v>0</v>
      </c>
      <c r="CT17" s="54" t="n">
        <f aca="false">MAX(0,(MIN($F17,CT$4)-MAX($E17,CT$3)+1)/CT$5)</f>
        <v>0</v>
      </c>
      <c r="CU17" s="54" t="n">
        <f aca="false">MAX(0,(MIN($F17,CU$4)-MAX($E17,CU$3)+1)/CU$5)</f>
        <v>0</v>
      </c>
      <c r="CV17" s="54" t="n">
        <f aca="false">MAX(0,(MIN($F17,CV$4)-MAX($E17,CV$3)+1)/CV$5)</f>
        <v>0</v>
      </c>
      <c r="CW17" s="54" t="n">
        <f aca="false">MAX(0,(MIN($F17,CW$4)-MAX($E17,CW$3)+1)/CW$5)</f>
        <v>0</v>
      </c>
      <c r="CX17" s="54" t="n">
        <f aca="false">MAX(0,(MIN($F17,CX$4)-MAX($E17,CX$3)+1)/CX$5)</f>
        <v>0</v>
      </c>
      <c r="CY17" s="54" t="n">
        <f aca="false">MAX(0,(MIN($F17,CY$4)-MAX($E17,CY$3)+1)/CY$5)</f>
        <v>0</v>
      </c>
      <c r="CZ17" s="54" t="n">
        <f aca="false">MAX(0,(MIN($F17,CZ$4)-MAX($E17,CZ$3)+1)/CZ$5)</f>
        <v>0</v>
      </c>
      <c r="DA17" s="54" t="n">
        <f aca="false">MAX(0,(MIN($F17,DA$4)-MAX($E17,DA$3)+1)/DA$5)</f>
        <v>0</v>
      </c>
      <c r="DB17" s="54" t="n">
        <f aca="false">MAX(0,(MIN($F17,DB$4)-MAX($E17,DB$3)+1)/DB$5)</f>
        <v>0</v>
      </c>
      <c r="DC17" s="54" t="n">
        <f aca="false">MAX(0,(MIN($F17,DC$4)-MAX($E17,DC$3)+1)/DC$5)</f>
        <v>0</v>
      </c>
      <c r="DD17" s="54" t="n">
        <f aca="false">MAX(0,(MIN($F17,DD$4)-MAX($E17,DD$3)+1)/DD$5)</f>
        <v>0</v>
      </c>
      <c r="DE17" s="54" t="n">
        <f aca="false">MAX(0,(MIN($F17,DE$4)-MAX($E17,DE$3)+1)/DE$5)</f>
        <v>0</v>
      </c>
      <c r="DF17" s="54" t="n">
        <f aca="false">MAX(0,(MIN($F17,DF$4)-MAX($E17,DF$3)+1)/DF$5)</f>
        <v>0</v>
      </c>
      <c r="DG17" s="54" t="n">
        <f aca="false">MAX(0,(MIN($F17,DG$4)-MAX($E17,DG$3)+1)/DG$5)</f>
        <v>0</v>
      </c>
      <c r="DH17" s="54" t="n">
        <f aca="false">MAX(0,(MIN($F17,DH$4)-MAX($E17,DH$3)+1)/DH$5)</f>
        <v>0</v>
      </c>
      <c r="DI17" s="54" t="n">
        <f aca="false">MAX(0,(MIN($F17,DI$4)-MAX($E17,DI$3)+1)/DI$5)</f>
        <v>0</v>
      </c>
      <c r="DJ17" s="54" t="n">
        <f aca="false">MAX(0,(MIN($F17,DJ$4)-MAX($E17,DJ$3)+1)/DJ$5)</f>
        <v>0</v>
      </c>
      <c r="DK17" s="54" t="n">
        <f aca="false">MAX(0,(MIN($F17,DK$4)-MAX($E17,DK$3)+1)/DK$5)</f>
        <v>0</v>
      </c>
      <c r="DL17" s="54" t="n">
        <f aca="false">MAX(0,(MIN($F17,DL$4)-MAX($E17,DL$3)+1)/DL$5)</f>
        <v>0</v>
      </c>
      <c r="DM17" s="54" t="n">
        <f aca="false">MAX(0,(MIN($F17,DM$4)-MAX($E17,DM$3)+1)/DM$5)</f>
        <v>0</v>
      </c>
      <c r="DN17" s="54" t="n">
        <f aca="false">MAX(0,(MIN($F17,DN$4)-MAX($E17,DN$3)+1)/DN$5)</f>
        <v>0</v>
      </c>
      <c r="DO17" s="54" t="n">
        <f aca="false">MAX(0,(MIN($F17,DO$4)-MAX($E17,DO$3)+1)/DO$5)</f>
        <v>0</v>
      </c>
      <c r="DP17" s="54" t="n">
        <f aca="false">MAX(0,(MIN($F17,DP$4)-MAX($E17,DP$3)+1)/DP$5)</f>
        <v>0</v>
      </c>
      <c r="DQ17" s="54" t="n">
        <f aca="false">MAX(0,(MIN($F17,DQ$4)-MAX($E17,DQ$3)+1)/DQ$5)</f>
        <v>0</v>
      </c>
      <c r="DR17" s="54" t="n">
        <f aca="false">MAX(0,(MIN($F17,DR$4)-MAX($E17,DR$3)+1)/DR$5)</f>
        <v>0</v>
      </c>
      <c r="DS17" s="54" t="n">
        <f aca="false">MAX(0,(MIN($F17,DS$4)-MAX($E17,DS$3)+1)/DS$5)</f>
        <v>0</v>
      </c>
      <c r="DT17" s="54" t="n">
        <f aca="false">MAX(0,(MIN($F17,DT$4)-MAX($E17,DT$3)+1)/DT$5)</f>
        <v>0</v>
      </c>
      <c r="DU17" s="54" t="n">
        <f aca="false">MAX(0,(MIN($F17,DU$4)-MAX($E17,DU$3)+1)/DU$5)</f>
        <v>0</v>
      </c>
      <c r="DV17" s="54" t="n">
        <f aca="false">MAX(0,(MIN($F17,DV$4)-MAX($E17,DV$3)+1)/DV$5)</f>
        <v>0</v>
      </c>
      <c r="DW17" s="54" t="n">
        <f aca="false">MAX(0,(MIN($F17,DW$4)-MAX($E17,DW$3)+1)/DW$5)</f>
        <v>0</v>
      </c>
      <c r="DX17" s="54" t="n">
        <f aca="false">MAX(0,(MIN($F17,DX$4)-MAX($E17,DX$3)+1)/DX$5)</f>
        <v>0</v>
      </c>
      <c r="DY17" s="54" t="n">
        <f aca="false">MAX(0,(MIN($F17,DY$4)-MAX($E17,DY$3)+1)/DY$5)</f>
        <v>0</v>
      </c>
      <c r="DZ17" s="54" t="n">
        <f aca="false">MAX(0,(MIN($F17,DZ$4)-MAX($E17,DZ$3)+1)/DZ$5)</f>
        <v>0</v>
      </c>
      <c r="EA17" s="54" t="n">
        <f aca="false">MAX(0,(MIN($F17,EA$4)-MAX($E17,EA$3)+1)/EA$5)</f>
        <v>0</v>
      </c>
      <c r="EB17" s="54" t="n">
        <f aca="false">MAX(0,(MIN($F17,EB$4)-MAX($E17,EB$3)+1)/EB$5)</f>
        <v>0</v>
      </c>
      <c r="EC17" s="54" t="n">
        <f aca="false">MAX(0,(MIN($F17,EC$4)-MAX($E17,EC$3)+1)/EC$5)</f>
        <v>0</v>
      </c>
      <c r="ED17" s="54" t="n">
        <f aca="false">MAX(0,(MIN($F17,ED$4)-MAX($E17,ED$3)+1)/ED$5)</f>
        <v>0</v>
      </c>
      <c r="EE17" s="54" t="n">
        <f aca="false">MAX(0,(MIN($F17,EE$4)-MAX($E17,EE$3)+1)/EE$5)</f>
        <v>0</v>
      </c>
      <c r="EF17" s="54" t="n">
        <f aca="false">MAX(0,(MIN($F17,EF$4)-MAX($E17,EF$3)+1)/EF$5)</f>
        <v>0</v>
      </c>
      <c r="EG17" s="54" t="n">
        <f aca="false">MAX(0,(MIN($F17,EG$4)-MAX($E17,EG$3)+1)/EG$5)</f>
        <v>0</v>
      </c>
      <c r="EH17" s="54" t="n">
        <f aca="false">MAX(0,(MIN($F17,EH$4)-MAX($E17,EH$3)+1)/EH$5)</f>
        <v>0</v>
      </c>
      <c r="EI17" s="54" t="n">
        <f aca="false">MAX(0,(MIN($F17,EI$4)-MAX($E17,EI$3)+1)/EI$5)</f>
        <v>0</v>
      </c>
      <c r="EJ17" s="54" t="n">
        <f aca="false">MAX(0,(MIN($F17,EJ$4)-MAX($E17,EJ$3)+1)/EJ$5)</f>
        <v>0</v>
      </c>
      <c r="EK17" s="54" t="n">
        <f aca="false">MAX(0,(MIN($F17,EK$4)-MAX($E17,EK$3)+1)/EK$5)</f>
        <v>0</v>
      </c>
      <c r="EL17" s="54" t="n">
        <f aca="false">MAX(0,(MIN($F17,EL$4)-MAX($E17,EL$3)+1)/EL$5)</f>
        <v>0</v>
      </c>
      <c r="EM17" s="54" t="n">
        <f aca="false">MAX(0,(MIN($F17,EM$4)-MAX($E17,EM$3)+1)/EM$5)</f>
        <v>0</v>
      </c>
      <c r="EN17" s="54" t="n">
        <f aca="false">MAX(0,(MIN($F17,EN$4)-MAX($E17,EN$3)+1)/EN$5)</f>
        <v>0</v>
      </c>
      <c r="EO17" s="54" t="n">
        <f aca="false">MAX(0,(MIN($F17,EO$4)-MAX($E17,EO$3)+1)/EO$5)</f>
        <v>0</v>
      </c>
      <c r="EP17" s="54" t="n">
        <f aca="false">MAX(0,(MIN($F17,EP$4)-MAX($E17,EP$3)+1)/EP$5)</f>
        <v>0</v>
      </c>
      <c r="EQ17" s="54" t="n">
        <f aca="false">MAX(0,(MIN($F17,EQ$4)-MAX($E17,EQ$3)+1)/EQ$5)</f>
        <v>0</v>
      </c>
      <c r="ER17" s="54" t="n">
        <f aca="false">MAX(0,(MIN($F17,ER$4)-MAX($E17,ER$3)+1)/ER$5)</f>
        <v>0</v>
      </c>
      <c r="ES17" s="54" t="n">
        <f aca="false">MAX(0,(MIN($F17,ES$4)-MAX($E17,ES$3)+1)/ES$5)</f>
        <v>0</v>
      </c>
      <c r="ET17" s="54" t="n">
        <f aca="false">MAX(0,(MIN($F17,ET$4)-MAX($E17,ET$3)+1)/ET$5)</f>
        <v>0</v>
      </c>
    </row>
    <row r="18" customFormat="false" ht="15" hidden="false" customHeight="false" outlineLevel="0" collapsed="false">
      <c r="C18" s="1" t="s">
        <v>450</v>
      </c>
      <c r="D18" s="12" t="s">
        <v>442</v>
      </c>
      <c r="E18" s="44" t="n">
        <f aca="false">In_COD+1</f>
        <v>48122</v>
      </c>
      <c r="F18" s="44" t="n">
        <f aca="false">EDATE(In_COD,In_Dep_Years*Months_In_Year)</f>
        <v>55426</v>
      </c>
      <c r="I18" s="54" t="n">
        <f aca="false">SUM(J18:ET18)</f>
        <v>1</v>
      </c>
      <c r="J18" s="54" t="n">
        <f aca="false">MAX(0,MIN($F18,J$4)-MAX($E18,J$3)+1)/($F18-$E18+1)</f>
        <v>0</v>
      </c>
      <c r="K18" s="54" t="n">
        <f aca="false">MAX(0,MIN($F18,K$4)-MAX($E18,K$3)+1)/($F18-$E18+1)</f>
        <v>0</v>
      </c>
      <c r="L18" s="54" t="n">
        <f aca="false">MAX(0,MIN($F18,L$4)-MAX($E18,L$3)+1)/($F18-$E18+1)</f>
        <v>0</v>
      </c>
      <c r="M18" s="54" t="n">
        <f aca="false">MAX(0,MIN($F18,M$4)-MAX($E18,M$3)+1)/($F18-$E18+1)</f>
        <v>0</v>
      </c>
      <c r="N18" s="54" t="n">
        <f aca="false">MAX(0,MIN($F18,N$4)-MAX($E18,N$3)+1)/($F18-$E18+1)</f>
        <v>0</v>
      </c>
      <c r="O18" s="54" t="n">
        <f aca="false">MAX(0,MIN($F18,O$4)-MAX($E18,O$3)+1)/($F18-$E18+1)</f>
        <v>0</v>
      </c>
      <c r="P18" s="54" t="n">
        <f aca="false">MAX(0,MIN($F18,P$4)-MAX($E18,P$3)+1)/($F18-$E18+1)</f>
        <v>0</v>
      </c>
      <c r="Q18" s="54" t="n">
        <f aca="false">MAX(0,MIN($F18,Q$4)-MAX($E18,Q$3)+1)/($F18-$E18+1)</f>
        <v>0</v>
      </c>
      <c r="R18" s="54" t="n">
        <f aca="false">MAX(0,MIN($F18,R$4)-MAX($E18,R$3)+1)/($F18-$E18+1)</f>
        <v>0</v>
      </c>
      <c r="S18" s="54" t="n">
        <f aca="false">MAX(0,MIN($F18,S$4)-MAX($E18,S$3)+1)/($F18-$E18+1)</f>
        <v>0</v>
      </c>
      <c r="T18" s="54" t="n">
        <f aca="false">MAX(0,MIN($F18,T$4)-MAX($E18,T$3)+1)/($F18-$E18+1)</f>
        <v>0</v>
      </c>
      <c r="U18" s="54" t="n">
        <f aca="false">MAX(0,MIN($F18,U$4)-MAX($E18,U$3)+1)/($F18-$E18+1)</f>
        <v>0</v>
      </c>
      <c r="V18" s="54" t="n">
        <f aca="false">MAX(0,MIN($F18,V$4)-MAX($E18,V$3)+1)/($F18-$E18+1)</f>
        <v>0</v>
      </c>
      <c r="W18" s="54" t="n">
        <f aca="false">MAX(0,MIN($F18,W$4)-MAX($E18,W$3)+1)/($F18-$E18+1)</f>
        <v>0</v>
      </c>
      <c r="X18" s="54" t="n">
        <f aca="false">MAX(0,MIN($F18,X$4)-MAX($E18,X$3)+1)/($F18-$E18+1)</f>
        <v>0</v>
      </c>
      <c r="Y18" s="54" t="n">
        <f aca="false">MAX(0,MIN($F18,Y$4)-MAX($E18,Y$3)+1)/($F18-$E18+1)</f>
        <v>0</v>
      </c>
      <c r="Z18" s="54" t="n">
        <f aca="false">MAX(0,MIN($F18,Z$4)-MAX($E18,Z$3)+1)/($F18-$E18+1)</f>
        <v>0</v>
      </c>
      <c r="AA18" s="54" t="n">
        <f aca="false">MAX(0,MIN($F18,AA$4)-MAX($E18,AA$3)+1)/($F18-$E18+1)</f>
        <v>0</v>
      </c>
      <c r="AB18" s="54" t="n">
        <f aca="false">MAX(0,MIN($F18,AB$4)-MAX($E18,AB$3)+1)/($F18-$E18+1)</f>
        <v>0</v>
      </c>
      <c r="AC18" s="54" t="n">
        <f aca="false">MAX(0,MIN($F18,AC$4)-MAX($E18,AC$3)+1)/($F18-$E18+1)</f>
        <v>0</v>
      </c>
      <c r="AD18" s="54" t="n">
        <f aca="false">MAX(0,MIN($F18,AD$4)-MAX($E18,AD$3)+1)/($F18-$E18+1)</f>
        <v>0</v>
      </c>
      <c r="AE18" s="54" t="n">
        <f aca="false">MAX(0,MIN($F18,AE$4)-MAX($E18,AE$3)+1)/($F18-$E18+1)</f>
        <v>0.0125941136208077</v>
      </c>
      <c r="AF18" s="54" t="n">
        <f aca="false">MAX(0,MIN($F18,AF$4)-MAX($E18,AF$3)+1)/($F18-$E18+1)</f>
        <v>0.0124572210814511</v>
      </c>
      <c r="AG18" s="54" t="n">
        <f aca="false">MAX(0,MIN($F18,AG$4)-MAX($E18,AG$3)+1)/($F18-$E18+1)</f>
        <v>0.0124572210814511</v>
      </c>
      <c r="AH18" s="54" t="n">
        <f aca="false">MAX(0,MIN($F18,AH$4)-MAX($E18,AH$3)+1)/($F18-$E18+1)</f>
        <v>0.0125941136208077</v>
      </c>
      <c r="AI18" s="54" t="n">
        <f aca="false">MAX(0,MIN($F18,AI$4)-MAX($E18,AI$3)+1)/($F18-$E18+1)</f>
        <v>0.0125941136208077</v>
      </c>
      <c r="AJ18" s="54" t="n">
        <f aca="false">MAX(0,MIN($F18,AJ$4)-MAX($E18,AJ$3)+1)/($F18-$E18+1)</f>
        <v>0.0123203285420945</v>
      </c>
      <c r="AK18" s="54" t="n">
        <f aca="false">MAX(0,MIN($F18,AK$4)-MAX($E18,AK$3)+1)/($F18-$E18+1)</f>
        <v>0.0124572210814511</v>
      </c>
      <c r="AL18" s="54" t="n">
        <f aca="false">MAX(0,MIN($F18,AL$4)-MAX($E18,AL$3)+1)/($F18-$E18+1)</f>
        <v>0.0125941136208077</v>
      </c>
      <c r="AM18" s="54" t="n">
        <f aca="false">MAX(0,MIN($F18,AM$4)-MAX($E18,AM$3)+1)/($F18-$E18+1)</f>
        <v>0.0125941136208077</v>
      </c>
      <c r="AN18" s="54" t="n">
        <f aca="false">MAX(0,MIN($F18,AN$4)-MAX($E18,AN$3)+1)/($F18-$E18+1)</f>
        <v>0.0123203285420945</v>
      </c>
      <c r="AO18" s="54" t="n">
        <f aca="false">MAX(0,MIN($F18,AO$4)-MAX($E18,AO$3)+1)/($F18-$E18+1)</f>
        <v>0.0124572210814511</v>
      </c>
      <c r="AP18" s="54" t="n">
        <f aca="false">MAX(0,MIN($F18,AP$4)-MAX($E18,AP$3)+1)/($F18-$E18+1)</f>
        <v>0.0125941136208077</v>
      </c>
      <c r="AQ18" s="54" t="n">
        <f aca="false">MAX(0,MIN($F18,AQ$4)-MAX($E18,AQ$3)+1)/($F18-$E18+1)</f>
        <v>0.0125941136208077</v>
      </c>
      <c r="AR18" s="54" t="n">
        <f aca="false">MAX(0,MIN($F18,AR$4)-MAX($E18,AR$3)+1)/($F18-$E18+1)</f>
        <v>0.0123203285420945</v>
      </c>
      <c r="AS18" s="54" t="n">
        <f aca="false">MAX(0,MIN($F18,AS$4)-MAX($E18,AS$3)+1)/($F18-$E18+1)</f>
        <v>0.0124572210814511</v>
      </c>
      <c r="AT18" s="54" t="n">
        <f aca="false">MAX(0,MIN($F18,AT$4)-MAX($E18,AT$3)+1)/($F18-$E18+1)</f>
        <v>0.0125941136208077</v>
      </c>
      <c r="AU18" s="54" t="n">
        <f aca="false">MAX(0,MIN($F18,AU$4)-MAX($E18,AU$3)+1)/($F18-$E18+1)</f>
        <v>0.0125941136208077</v>
      </c>
      <c r="AV18" s="54" t="n">
        <f aca="false">MAX(0,MIN($F18,AV$4)-MAX($E18,AV$3)+1)/($F18-$E18+1)</f>
        <v>0.0124572210814511</v>
      </c>
      <c r="AW18" s="54" t="n">
        <f aca="false">MAX(0,MIN($F18,AW$4)-MAX($E18,AW$3)+1)/($F18-$E18+1)</f>
        <v>0.0124572210814511</v>
      </c>
      <c r="AX18" s="54" t="n">
        <f aca="false">MAX(0,MIN($F18,AX$4)-MAX($E18,AX$3)+1)/($F18-$E18+1)</f>
        <v>0.0125941136208077</v>
      </c>
      <c r="AY18" s="54" t="n">
        <f aca="false">MAX(0,MIN($F18,AY$4)-MAX($E18,AY$3)+1)/($F18-$E18+1)</f>
        <v>0.0125941136208077</v>
      </c>
      <c r="AZ18" s="54" t="n">
        <f aca="false">MAX(0,MIN($F18,AZ$4)-MAX($E18,AZ$3)+1)/($F18-$E18+1)</f>
        <v>0.0123203285420945</v>
      </c>
      <c r="BA18" s="54" t="n">
        <f aca="false">MAX(0,MIN($F18,BA$4)-MAX($E18,BA$3)+1)/($F18-$E18+1)</f>
        <v>0.0124572210814511</v>
      </c>
      <c r="BB18" s="54" t="n">
        <f aca="false">MAX(0,MIN($F18,BB$4)-MAX($E18,BB$3)+1)/($F18-$E18+1)</f>
        <v>0.0125941136208077</v>
      </c>
      <c r="BC18" s="54" t="n">
        <f aca="false">MAX(0,MIN($F18,BC$4)-MAX($E18,BC$3)+1)/($F18-$E18+1)</f>
        <v>0.0125941136208077</v>
      </c>
      <c r="BD18" s="54" t="n">
        <f aca="false">MAX(0,MIN($F18,BD$4)-MAX($E18,BD$3)+1)/($F18-$E18+1)</f>
        <v>0.0123203285420945</v>
      </c>
      <c r="BE18" s="54" t="n">
        <f aca="false">MAX(0,MIN($F18,BE$4)-MAX($E18,BE$3)+1)/($F18-$E18+1)</f>
        <v>0.0124572210814511</v>
      </c>
      <c r="BF18" s="54" t="n">
        <f aca="false">MAX(0,MIN($F18,BF$4)-MAX($E18,BF$3)+1)/($F18-$E18+1)</f>
        <v>0.0125941136208077</v>
      </c>
      <c r="BG18" s="54" t="n">
        <f aca="false">MAX(0,MIN($F18,BG$4)-MAX($E18,BG$3)+1)/($F18-$E18+1)</f>
        <v>0.0125941136208077</v>
      </c>
      <c r="BH18" s="54" t="n">
        <f aca="false">MAX(0,MIN($F18,BH$4)-MAX($E18,BH$3)+1)/($F18-$E18+1)</f>
        <v>0.0123203285420945</v>
      </c>
      <c r="BI18" s="54" t="n">
        <f aca="false">MAX(0,MIN($F18,BI$4)-MAX($E18,BI$3)+1)/($F18-$E18+1)</f>
        <v>0.0124572210814511</v>
      </c>
      <c r="BJ18" s="54" t="n">
        <f aca="false">MAX(0,MIN($F18,BJ$4)-MAX($E18,BJ$3)+1)/($F18-$E18+1)</f>
        <v>0.0125941136208077</v>
      </c>
      <c r="BK18" s="54" t="n">
        <f aca="false">MAX(0,MIN($F18,BK$4)-MAX($E18,BK$3)+1)/($F18-$E18+1)</f>
        <v>0.0125941136208077</v>
      </c>
      <c r="BL18" s="54" t="n">
        <f aca="false">MAX(0,MIN($F18,BL$4)-MAX($E18,BL$3)+1)/($F18-$E18+1)</f>
        <v>0.0124572210814511</v>
      </c>
      <c r="BM18" s="54" t="n">
        <f aca="false">MAX(0,MIN($F18,BM$4)-MAX($E18,BM$3)+1)/($F18-$E18+1)</f>
        <v>0.0124572210814511</v>
      </c>
      <c r="BN18" s="54" t="n">
        <f aca="false">MAX(0,MIN($F18,BN$4)-MAX($E18,BN$3)+1)/($F18-$E18+1)</f>
        <v>0.0125941136208077</v>
      </c>
      <c r="BO18" s="54" t="n">
        <f aca="false">MAX(0,MIN($F18,BO$4)-MAX($E18,BO$3)+1)/($F18-$E18+1)</f>
        <v>0.0125941136208077</v>
      </c>
      <c r="BP18" s="54" t="n">
        <f aca="false">MAX(0,MIN($F18,BP$4)-MAX($E18,BP$3)+1)/($F18-$E18+1)</f>
        <v>0.0123203285420945</v>
      </c>
      <c r="BQ18" s="54" t="n">
        <f aca="false">MAX(0,MIN($F18,BQ$4)-MAX($E18,BQ$3)+1)/($F18-$E18+1)</f>
        <v>0.0124572210814511</v>
      </c>
      <c r="BR18" s="54" t="n">
        <f aca="false">MAX(0,MIN($F18,BR$4)-MAX($E18,BR$3)+1)/($F18-$E18+1)</f>
        <v>0.0125941136208077</v>
      </c>
      <c r="BS18" s="54" t="n">
        <f aca="false">MAX(0,MIN($F18,BS$4)-MAX($E18,BS$3)+1)/($F18-$E18+1)</f>
        <v>0.0125941136208077</v>
      </c>
      <c r="BT18" s="54" t="n">
        <f aca="false">MAX(0,MIN($F18,BT$4)-MAX($E18,BT$3)+1)/($F18-$E18+1)</f>
        <v>0.0123203285420945</v>
      </c>
      <c r="BU18" s="54" t="n">
        <f aca="false">MAX(0,MIN($F18,BU$4)-MAX($E18,BU$3)+1)/($F18-$E18+1)</f>
        <v>0.0124572210814511</v>
      </c>
      <c r="BV18" s="54" t="n">
        <f aca="false">MAX(0,MIN($F18,BV$4)-MAX($E18,BV$3)+1)/($F18-$E18+1)</f>
        <v>0.0125941136208077</v>
      </c>
      <c r="BW18" s="54" t="n">
        <f aca="false">MAX(0,MIN($F18,BW$4)-MAX($E18,BW$3)+1)/($F18-$E18+1)</f>
        <v>0.0125941136208077</v>
      </c>
      <c r="BX18" s="54" t="n">
        <f aca="false">MAX(0,MIN($F18,BX$4)-MAX($E18,BX$3)+1)/($F18-$E18+1)</f>
        <v>0.0123203285420945</v>
      </c>
      <c r="BY18" s="54" t="n">
        <f aca="false">MAX(0,MIN($F18,BY$4)-MAX($E18,BY$3)+1)/($F18-$E18+1)</f>
        <v>0.0124572210814511</v>
      </c>
      <c r="BZ18" s="54" t="n">
        <f aca="false">MAX(0,MIN($F18,BZ$4)-MAX($E18,BZ$3)+1)/($F18-$E18+1)</f>
        <v>0.0125941136208077</v>
      </c>
      <c r="CA18" s="54" t="n">
        <f aca="false">MAX(0,MIN($F18,CA$4)-MAX($E18,CA$3)+1)/($F18-$E18+1)</f>
        <v>0.0125941136208077</v>
      </c>
      <c r="CB18" s="54" t="n">
        <f aca="false">MAX(0,MIN($F18,CB$4)-MAX($E18,CB$3)+1)/($F18-$E18+1)</f>
        <v>0.0124572210814511</v>
      </c>
      <c r="CC18" s="54" t="n">
        <f aca="false">MAX(0,MIN($F18,CC$4)-MAX($E18,CC$3)+1)/($F18-$E18+1)</f>
        <v>0.0124572210814511</v>
      </c>
      <c r="CD18" s="54" t="n">
        <f aca="false">MAX(0,MIN($F18,CD$4)-MAX($E18,CD$3)+1)/($F18-$E18+1)</f>
        <v>0.0125941136208077</v>
      </c>
      <c r="CE18" s="54" t="n">
        <f aca="false">MAX(0,MIN($F18,CE$4)-MAX($E18,CE$3)+1)/($F18-$E18+1)</f>
        <v>0.0125941136208077</v>
      </c>
      <c r="CF18" s="54" t="n">
        <f aca="false">MAX(0,MIN($F18,CF$4)-MAX($E18,CF$3)+1)/($F18-$E18+1)</f>
        <v>0.0123203285420945</v>
      </c>
      <c r="CG18" s="54" t="n">
        <f aca="false">MAX(0,MIN($F18,CG$4)-MAX($E18,CG$3)+1)/($F18-$E18+1)</f>
        <v>0.0124572210814511</v>
      </c>
      <c r="CH18" s="54" t="n">
        <f aca="false">MAX(0,MIN($F18,CH$4)-MAX($E18,CH$3)+1)/($F18-$E18+1)</f>
        <v>0.0125941136208077</v>
      </c>
      <c r="CI18" s="54" t="n">
        <f aca="false">MAX(0,MIN($F18,CI$4)-MAX($E18,CI$3)+1)/($F18-$E18+1)</f>
        <v>0.0125941136208077</v>
      </c>
      <c r="CJ18" s="54" t="n">
        <f aca="false">MAX(0,MIN($F18,CJ$4)-MAX($E18,CJ$3)+1)/($F18-$E18+1)</f>
        <v>0.0123203285420945</v>
      </c>
      <c r="CK18" s="54" t="n">
        <f aca="false">MAX(0,MIN($F18,CK$4)-MAX($E18,CK$3)+1)/($F18-$E18+1)</f>
        <v>0.0124572210814511</v>
      </c>
      <c r="CL18" s="54" t="n">
        <f aca="false">MAX(0,MIN($F18,CL$4)-MAX($E18,CL$3)+1)/($F18-$E18+1)</f>
        <v>0.0125941136208077</v>
      </c>
      <c r="CM18" s="54" t="n">
        <f aca="false">MAX(0,MIN($F18,CM$4)-MAX($E18,CM$3)+1)/($F18-$E18+1)</f>
        <v>0.0125941136208077</v>
      </c>
      <c r="CN18" s="54" t="n">
        <f aca="false">MAX(0,MIN($F18,CN$4)-MAX($E18,CN$3)+1)/($F18-$E18+1)</f>
        <v>0.0123203285420945</v>
      </c>
      <c r="CO18" s="54" t="n">
        <f aca="false">MAX(0,MIN($F18,CO$4)-MAX($E18,CO$3)+1)/($F18-$E18+1)</f>
        <v>0.0124572210814511</v>
      </c>
      <c r="CP18" s="54" t="n">
        <f aca="false">MAX(0,MIN($F18,CP$4)-MAX($E18,CP$3)+1)/($F18-$E18+1)</f>
        <v>0.0125941136208077</v>
      </c>
      <c r="CQ18" s="54" t="n">
        <f aca="false">MAX(0,MIN($F18,CQ$4)-MAX($E18,CQ$3)+1)/($F18-$E18+1)</f>
        <v>0.0125941136208077</v>
      </c>
      <c r="CR18" s="54" t="n">
        <f aca="false">MAX(0,MIN($F18,CR$4)-MAX($E18,CR$3)+1)/($F18-$E18+1)</f>
        <v>0.0124572210814511</v>
      </c>
      <c r="CS18" s="54" t="n">
        <f aca="false">MAX(0,MIN($F18,CS$4)-MAX($E18,CS$3)+1)/($F18-$E18+1)</f>
        <v>0.0124572210814511</v>
      </c>
      <c r="CT18" s="54" t="n">
        <f aca="false">MAX(0,MIN($F18,CT$4)-MAX($E18,CT$3)+1)/($F18-$E18+1)</f>
        <v>0.0125941136208077</v>
      </c>
      <c r="CU18" s="54" t="n">
        <f aca="false">MAX(0,MIN($F18,CU$4)-MAX($E18,CU$3)+1)/($F18-$E18+1)</f>
        <v>0.0125941136208077</v>
      </c>
      <c r="CV18" s="54" t="n">
        <f aca="false">MAX(0,MIN($F18,CV$4)-MAX($E18,CV$3)+1)/($F18-$E18+1)</f>
        <v>0.0123203285420945</v>
      </c>
      <c r="CW18" s="54" t="n">
        <f aca="false">MAX(0,MIN($F18,CW$4)-MAX($E18,CW$3)+1)/($F18-$E18+1)</f>
        <v>0.0124572210814511</v>
      </c>
      <c r="CX18" s="54" t="n">
        <f aca="false">MAX(0,MIN($F18,CX$4)-MAX($E18,CX$3)+1)/($F18-$E18+1)</f>
        <v>0.0125941136208077</v>
      </c>
      <c r="CY18" s="54" t="n">
        <f aca="false">MAX(0,MIN($F18,CY$4)-MAX($E18,CY$3)+1)/($F18-$E18+1)</f>
        <v>0.0125941136208077</v>
      </c>
      <c r="CZ18" s="54" t="n">
        <f aca="false">MAX(0,MIN($F18,CZ$4)-MAX($E18,CZ$3)+1)/($F18-$E18+1)</f>
        <v>0.0123203285420945</v>
      </c>
      <c r="DA18" s="54" t="n">
        <f aca="false">MAX(0,MIN($F18,DA$4)-MAX($E18,DA$3)+1)/($F18-$E18+1)</f>
        <v>0.0124572210814511</v>
      </c>
      <c r="DB18" s="54" t="n">
        <f aca="false">MAX(0,MIN($F18,DB$4)-MAX($E18,DB$3)+1)/($F18-$E18+1)</f>
        <v>0.0125941136208077</v>
      </c>
      <c r="DC18" s="54" t="n">
        <f aca="false">MAX(0,MIN($F18,DC$4)-MAX($E18,DC$3)+1)/($F18-$E18+1)</f>
        <v>0.0125941136208077</v>
      </c>
      <c r="DD18" s="54" t="n">
        <f aca="false">MAX(0,MIN($F18,DD$4)-MAX($E18,DD$3)+1)/($F18-$E18+1)</f>
        <v>0.0123203285420945</v>
      </c>
      <c r="DE18" s="54" t="n">
        <f aca="false">MAX(0,MIN($F18,DE$4)-MAX($E18,DE$3)+1)/($F18-$E18+1)</f>
        <v>0.0124572210814511</v>
      </c>
      <c r="DF18" s="54" t="n">
        <f aca="false">MAX(0,MIN($F18,DF$4)-MAX($E18,DF$3)+1)/($F18-$E18+1)</f>
        <v>0.0125941136208077</v>
      </c>
      <c r="DG18" s="54" t="n">
        <f aca="false">MAX(0,MIN($F18,DG$4)-MAX($E18,DG$3)+1)/($F18-$E18+1)</f>
        <v>0</v>
      </c>
      <c r="DH18" s="54" t="n">
        <f aca="false">MAX(0,MIN($F18,DH$4)-MAX($E18,DH$3)+1)/($F18-$E18+1)</f>
        <v>0</v>
      </c>
      <c r="DI18" s="54" t="n">
        <f aca="false">MAX(0,MIN($F18,DI$4)-MAX($E18,DI$3)+1)/($F18-$E18+1)</f>
        <v>0</v>
      </c>
      <c r="DJ18" s="54" t="n">
        <f aca="false">MAX(0,MIN($F18,DJ$4)-MAX($E18,DJ$3)+1)/($F18-$E18+1)</f>
        <v>0</v>
      </c>
      <c r="DK18" s="54" t="n">
        <f aca="false">MAX(0,MIN($F18,DK$4)-MAX($E18,DK$3)+1)/($F18-$E18+1)</f>
        <v>0</v>
      </c>
      <c r="DL18" s="54" t="n">
        <f aca="false">MAX(0,MIN($F18,DL$4)-MAX($E18,DL$3)+1)/($F18-$E18+1)</f>
        <v>0</v>
      </c>
      <c r="DM18" s="54" t="n">
        <f aca="false">MAX(0,MIN($F18,DM$4)-MAX($E18,DM$3)+1)/($F18-$E18+1)</f>
        <v>0</v>
      </c>
      <c r="DN18" s="54" t="n">
        <f aca="false">MAX(0,MIN($F18,DN$4)-MAX($E18,DN$3)+1)/($F18-$E18+1)</f>
        <v>0</v>
      </c>
      <c r="DO18" s="54" t="n">
        <f aca="false">MAX(0,MIN($F18,DO$4)-MAX($E18,DO$3)+1)/($F18-$E18+1)</f>
        <v>0</v>
      </c>
      <c r="DP18" s="54" t="n">
        <f aca="false">MAX(0,MIN($F18,DP$4)-MAX($E18,DP$3)+1)/($F18-$E18+1)</f>
        <v>0</v>
      </c>
      <c r="DQ18" s="54" t="n">
        <f aca="false">MAX(0,MIN($F18,DQ$4)-MAX($E18,DQ$3)+1)/($F18-$E18+1)</f>
        <v>0</v>
      </c>
      <c r="DR18" s="54" t="n">
        <f aca="false">MAX(0,MIN($F18,DR$4)-MAX($E18,DR$3)+1)/($F18-$E18+1)</f>
        <v>0</v>
      </c>
      <c r="DS18" s="54" t="n">
        <f aca="false">MAX(0,MIN($F18,DS$4)-MAX($E18,DS$3)+1)/($F18-$E18+1)</f>
        <v>0</v>
      </c>
      <c r="DT18" s="54" t="n">
        <f aca="false">MAX(0,MIN($F18,DT$4)-MAX($E18,DT$3)+1)/($F18-$E18+1)</f>
        <v>0</v>
      </c>
      <c r="DU18" s="54" t="n">
        <f aca="false">MAX(0,MIN($F18,DU$4)-MAX($E18,DU$3)+1)/($F18-$E18+1)</f>
        <v>0</v>
      </c>
      <c r="DV18" s="54" t="n">
        <f aca="false">MAX(0,MIN($F18,DV$4)-MAX($E18,DV$3)+1)/($F18-$E18+1)</f>
        <v>0</v>
      </c>
      <c r="DW18" s="54" t="n">
        <f aca="false">MAX(0,MIN($F18,DW$4)-MAX($E18,DW$3)+1)/($F18-$E18+1)</f>
        <v>0</v>
      </c>
      <c r="DX18" s="54" t="n">
        <f aca="false">MAX(0,MIN($F18,DX$4)-MAX($E18,DX$3)+1)/($F18-$E18+1)</f>
        <v>0</v>
      </c>
      <c r="DY18" s="54" t="n">
        <f aca="false">MAX(0,MIN($F18,DY$4)-MAX($E18,DY$3)+1)/($F18-$E18+1)</f>
        <v>0</v>
      </c>
      <c r="DZ18" s="54" t="n">
        <f aca="false">MAX(0,MIN($F18,DZ$4)-MAX($E18,DZ$3)+1)/($F18-$E18+1)</f>
        <v>0</v>
      </c>
      <c r="EA18" s="54" t="n">
        <f aca="false">MAX(0,MIN($F18,EA$4)-MAX($E18,EA$3)+1)/($F18-$E18+1)</f>
        <v>0</v>
      </c>
      <c r="EB18" s="54" t="n">
        <f aca="false">MAX(0,MIN($F18,EB$4)-MAX($E18,EB$3)+1)/($F18-$E18+1)</f>
        <v>0</v>
      </c>
      <c r="EC18" s="54" t="n">
        <f aca="false">MAX(0,MIN($F18,EC$4)-MAX($E18,EC$3)+1)/($F18-$E18+1)</f>
        <v>0</v>
      </c>
      <c r="ED18" s="54" t="n">
        <f aca="false">MAX(0,MIN($F18,ED$4)-MAX($E18,ED$3)+1)/($F18-$E18+1)</f>
        <v>0</v>
      </c>
      <c r="EE18" s="54" t="n">
        <f aca="false">MAX(0,MIN($F18,EE$4)-MAX($E18,EE$3)+1)/($F18-$E18+1)</f>
        <v>0</v>
      </c>
      <c r="EF18" s="54" t="n">
        <f aca="false">MAX(0,MIN($F18,EF$4)-MAX($E18,EF$3)+1)/($F18-$E18+1)</f>
        <v>0</v>
      </c>
      <c r="EG18" s="54" t="n">
        <f aca="false">MAX(0,MIN($F18,EG$4)-MAX($E18,EG$3)+1)/($F18-$E18+1)</f>
        <v>0</v>
      </c>
      <c r="EH18" s="54" t="n">
        <f aca="false">MAX(0,MIN($F18,EH$4)-MAX($E18,EH$3)+1)/($F18-$E18+1)</f>
        <v>0</v>
      </c>
      <c r="EI18" s="54" t="n">
        <f aca="false">MAX(0,MIN($F18,EI$4)-MAX($E18,EI$3)+1)/($F18-$E18+1)</f>
        <v>0</v>
      </c>
      <c r="EJ18" s="54" t="n">
        <f aca="false">MAX(0,MIN($F18,EJ$4)-MAX($E18,EJ$3)+1)/($F18-$E18+1)</f>
        <v>0</v>
      </c>
      <c r="EK18" s="54" t="n">
        <f aca="false">MAX(0,MIN($F18,EK$4)-MAX($E18,EK$3)+1)/($F18-$E18+1)</f>
        <v>0</v>
      </c>
      <c r="EL18" s="54" t="n">
        <f aca="false">MAX(0,MIN($F18,EL$4)-MAX($E18,EL$3)+1)/($F18-$E18+1)</f>
        <v>0</v>
      </c>
      <c r="EM18" s="54" t="n">
        <f aca="false">MAX(0,MIN($F18,EM$4)-MAX($E18,EM$3)+1)/($F18-$E18+1)</f>
        <v>0</v>
      </c>
      <c r="EN18" s="54" t="n">
        <f aca="false">MAX(0,MIN($F18,EN$4)-MAX($E18,EN$3)+1)/($F18-$E18+1)</f>
        <v>0</v>
      </c>
      <c r="EO18" s="54" t="n">
        <f aca="false">MAX(0,MIN($F18,EO$4)-MAX($E18,EO$3)+1)/($F18-$E18+1)</f>
        <v>0</v>
      </c>
      <c r="EP18" s="54" t="n">
        <f aca="false">MAX(0,MIN($F18,EP$4)-MAX($E18,EP$3)+1)/($F18-$E18+1)</f>
        <v>0</v>
      </c>
      <c r="EQ18" s="54" t="n">
        <f aca="false">MAX(0,MIN($F18,EQ$4)-MAX($E18,EQ$3)+1)/($F18-$E18+1)</f>
        <v>0</v>
      </c>
      <c r="ER18" s="54" t="n">
        <f aca="false">MAX(0,MIN($F18,ER$4)-MAX($E18,ER$3)+1)/($F18-$E18+1)</f>
        <v>0</v>
      </c>
      <c r="ES18" s="54" t="n">
        <f aca="false">MAX(0,MIN($F18,ES$4)-MAX($E18,ES$3)+1)/($F18-$E18+1)</f>
        <v>0</v>
      </c>
      <c r="ET18" s="54" t="n">
        <f aca="false">MAX(0,MIN($F18,ET$4)-MAX($E18,ET$3)+1)/($F18-$E18+1)</f>
        <v>0</v>
      </c>
    </row>
    <row r="19" customFormat="false" ht="15" hidden="false" customHeight="false" outlineLevel="0" collapsed="false">
      <c r="C19" s="1" t="s">
        <v>451</v>
      </c>
      <c r="D19" s="12" t="s">
        <v>41</v>
      </c>
      <c r="E19" s="44" t="n">
        <f aca="false">In_Freeze_Start+1</f>
        <v>47300</v>
      </c>
      <c r="F19" s="44" t="n">
        <f aca="false">In_Freeze_Start+In_Freeze_On*(In_Freeze_End-In_Freeze_Start)-1</f>
        <v>47483</v>
      </c>
      <c r="J19" s="54" t="n">
        <f aca="false">MAX(0,(MIN($F19,J$4)-MAX($E19,J$3)+1)/J$5)</f>
        <v>0</v>
      </c>
      <c r="K19" s="54" t="n">
        <f aca="false">MAX(0,(MIN($F19,K$4)-MAX($E19,K$3)+1)/K$5)</f>
        <v>0</v>
      </c>
      <c r="L19" s="54" t="n">
        <f aca="false">MAX(0,(MIN($F19,L$4)-MAX($E19,L$3)+1)/L$5)</f>
        <v>0</v>
      </c>
      <c r="M19" s="54" t="n">
        <f aca="false">MAX(0,(MIN($F19,M$4)-MAX($E19,M$3)+1)/M$5)</f>
        <v>0</v>
      </c>
      <c r="N19" s="54" t="n">
        <f aca="false">MAX(0,(MIN($F19,N$4)-MAX($E19,N$3)+1)/N$5)</f>
        <v>0</v>
      </c>
      <c r="O19" s="54" t="n">
        <f aca="false">MAX(0,(MIN($F19,O$4)-MAX($E19,O$3)+1)/O$5)</f>
        <v>0</v>
      </c>
      <c r="P19" s="54" t="n">
        <f aca="false">MAX(0,(MIN($F19,P$4)-MAX($E19,P$3)+1)/P$5)</f>
        <v>0</v>
      </c>
      <c r="Q19" s="54" t="n">
        <f aca="false">MAX(0,(MIN($F19,Q$4)-MAX($E19,Q$3)+1)/Q$5)</f>
        <v>0</v>
      </c>
      <c r="R19" s="54" t="n">
        <f aca="false">MAX(0,(MIN($F19,R$4)-MAX($E19,R$3)+1)/R$5)</f>
        <v>0</v>
      </c>
      <c r="S19" s="54" t="n">
        <f aca="false">MAX(0,(MIN($F19,S$4)-MAX($E19,S$3)+1)/S$5)</f>
        <v>0</v>
      </c>
      <c r="T19" s="54" t="n">
        <f aca="false">MAX(0,(MIN($F19,T$4)-MAX($E19,T$3)+1)/T$5)</f>
        <v>0</v>
      </c>
      <c r="U19" s="54" t="n">
        <f aca="false">MAX(0,(MIN($F19,U$4)-MAX($E19,U$3)+1)/U$5)</f>
        <v>0</v>
      </c>
      <c r="V19" s="54" t="n">
        <f aca="false">MAX(0,(MIN($F19,V$4)-MAX($E19,V$3)+1)/V$5)</f>
        <v>1</v>
      </c>
      <c r="W19" s="54" t="n">
        <f aca="false">MAX(0,(MIN($F19,W$4)-MAX($E19,W$3)+1)/W$5)</f>
        <v>1</v>
      </c>
      <c r="X19" s="54" t="n">
        <f aca="false">MAX(0,(MIN($F19,X$4)-MAX($E19,X$3)+1)/X$5)</f>
        <v>0</v>
      </c>
      <c r="Y19" s="54" t="n">
        <f aca="false">MAX(0,(MIN($F19,Y$4)-MAX($E19,Y$3)+1)/Y$5)</f>
        <v>0</v>
      </c>
      <c r="Z19" s="54" t="n">
        <f aca="false">MAX(0,(MIN($F19,Z$4)-MAX($E19,Z$3)+1)/Z$5)</f>
        <v>0</v>
      </c>
      <c r="AA19" s="54" t="n">
        <f aca="false">MAX(0,(MIN($F19,AA$4)-MAX($E19,AA$3)+1)/AA$5)</f>
        <v>0</v>
      </c>
      <c r="AB19" s="54" t="n">
        <f aca="false">MAX(0,(MIN($F19,AB$4)-MAX($E19,AB$3)+1)/AB$5)</f>
        <v>0</v>
      </c>
      <c r="AC19" s="54" t="n">
        <f aca="false">MAX(0,(MIN($F19,AC$4)-MAX($E19,AC$3)+1)/AC$5)</f>
        <v>0</v>
      </c>
      <c r="AD19" s="54" t="n">
        <f aca="false">MAX(0,(MIN($F19,AD$4)-MAX($E19,AD$3)+1)/AD$5)</f>
        <v>0</v>
      </c>
      <c r="AE19" s="54" t="n">
        <f aca="false">MAX(0,(MIN($F19,AE$4)-MAX($E19,AE$3)+1)/AE$5)</f>
        <v>0</v>
      </c>
      <c r="AF19" s="54" t="n">
        <f aca="false">MAX(0,(MIN($F19,AF$4)-MAX($E19,AF$3)+1)/AF$5)</f>
        <v>0</v>
      </c>
      <c r="AG19" s="54" t="n">
        <f aca="false">MAX(0,(MIN($F19,AG$4)-MAX($E19,AG$3)+1)/AG$5)</f>
        <v>0</v>
      </c>
      <c r="AH19" s="54" t="n">
        <f aca="false">MAX(0,(MIN($F19,AH$4)-MAX($E19,AH$3)+1)/AH$5)</f>
        <v>0</v>
      </c>
      <c r="AI19" s="54" t="n">
        <f aca="false">MAX(0,(MIN($F19,AI$4)-MAX($E19,AI$3)+1)/AI$5)</f>
        <v>0</v>
      </c>
      <c r="AJ19" s="54" t="n">
        <f aca="false">MAX(0,(MIN($F19,AJ$4)-MAX($E19,AJ$3)+1)/AJ$5)</f>
        <v>0</v>
      </c>
      <c r="AK19" s="54" t="n">
        <f aca="false">MAX(0,(MIN($F19,AK$4)-MAX($E19,AK$3)+1)/AK$5)</f>
        <v>0</v>
      </c>
      <c r="AL19" s="54" t="n">
        <f aca="false">MAX(0,(MIN($F19,AL$4)-MAX($E19,AL$3)+1)/AL$5)</f>
        <v>0</v>
      </c>
      <c r="AM19" s="54" t="n">
        <f aca="false">MAX(0,(MIN($F19,AM$4)-MAX($E19,AM$3)+1)/AM$5)</f>
        <v>0</v>
      </c>
      <c r="AN19" s="54" t="n">
        <f aca="false">MAX(0,(MIN($F19,AN$4)-MAX($E19,AN$3)+1)/AN$5)</f>
        <v>0</v>
      </c>
      <c r="AO19" s="54" t="n">
        <f aca="false">MAX(0,(MIN($F19,AO$4)-MAX($E19,AO$3)+1)/AO$5)</f>
        <v>0</v>
      </c>
      <c r="AP19" s="54" t="n">
        <f aca="false">MAX(0,(MIN($F19,AP$4)-MAX($E19,AP$3)+1)/AP$5)</f>
        <v>0</v>
      </c>
      <c r="AQ19" s="54" t="n">
        <f aca="false">MAX(0,(MIN($F19,AQ$4)-MAX($E19,AQ$3)+1)/AQ$5)</f>
        <v>0</v>
      </c>
      <c r="AR19" s="54" t="n">
        <f aca="false">MAX(0,(MIN($F19,AR$4)-MAX($E19,AR$3)+1)/AR$5)</f>
        <v>0</v>
      </c>
      <c r="AS19" s="54" t="n">
        <f aca="false">MAX(0,(MIN($F19,AS$4)-MAX($E19,AS$3)+1)/AS$5)</f>
        <v>0</v>
      </c>
      <c r="AT19" s="54" t="n">
        <f aca="false">MAX(0,(MIN($F19,AT$4)-MAX($E19,AT$3)+1)/AT$5)</f>
        <v>0</v>
      </c>
      <c r="AU19" s="54" t="n">
        <f aca="false">MAX(0,(MIN($F19,AU$4)-MAX($E19,AU$3)+1)/AU$5)</f>
        <v>0</v>
      </c>
      <c r="AV19" s="54" t="n">
        <f aca="false">MAX(0,(MIN($F19,AV$4)-MAX($E19,AV$3)+1)/AV$5)</f>
        <v>0</v>
      </c>
      <c r="AW19" s="54" t="n">
        <f aca="false">MAX(0,(MIN($F19,AW$4)-MAX($E19,AW$3)+1)/AW$5)</f>
        <v>0</v>
      </c>
      <c r="AX19" s="54" t="n">
        <f aca="false">MAX(0,(MIN($F19,AX$4)-MAX($E19,AX$3)+1)/AX$5)</f>
        <v>0</v>
      </c>
      <c r="AY19" s="54" t="n">
        <f aca="false">MAX(0,(MIN($F19,AY$4)-MAX($E19,AY$3)+1)/AY$5)</f>
        <v>0</v>
      </c>
      <c r="AZ19" s="54" t="n">
        <f aca="false">MAX(0,(MIN($F19,AZ$4)-MAX($E19,AZ$3)+1)/AZ$5)</f>
        <v>0</v>
      </c>
      <c r="BA19" s="54" t="n">
        <f aca="false">MAX(0,(MIN($F19,BA$4)-MAX($E19,BA$3)+1)/BA$5)</f>
        <v>0</v>
      </c>
      <c r="BB19" s="54" t="n">
        <f aca="false">MAX(0,(MIN($F19,BB$4)-MAX($E19,BB$3)+1)/BB$5)</f>
        <v>0</v>
      </c>
      <c r="BC19" s="54" t="n">
        <f aca="false">MAX(0,(MIN($F19,BC$4)-MAX($E19,BC$3)+1)/BC$5)</f>
        <v>0</v>
      </c>
      <c r="BD19" s="54" t="n">
        <f aca="false">MAX(0,(MIN($F19,BD$4)-MAX($E19,BD$3)+1)/BD$5)</f>
        <v>0</v>
      </c>
      <c r="BE19" s="54" t="n">
        <f aca="false">MAX(0,(MIN($F19,BE$4)-MAX($E19,BE$3)+1)/BE$5)</f>
        <v>0</v>
      </c>
      <c r="BF19" s="54" t="n">
        <f aca="false">MAX(0,(MIN($F19,BF$4)-MAX($E19,BF$3)+1)/BF$5)</f>
        <v>0</v>
      </c>
      <c r="BG19" s="54" t="n">
        <f aca="false">MAX(0,(MIN($F19,BG$4)-MAX($E19,BG$3)+1)/BG$5)</f>
        <v>0</v>
      </c>
      <c r="BH19" s="54" t="n">
        <f aca="false">MAX(0,(MIN($F19,BH$4)-MAX($E19,BH$3)+1)/BH$5)</f>
        <v>0</v>
      </c>
      <c r="BI19" s="54" t="n">
        <f aca="false">MAX(0,(MIN($F19,BI$4)-MAX($E19,BI$3)+1)/BI$5)</f>
        <v>0</v>
      </c>
      <c r="BJ19" s="54" t="n">
        <f aca="false">MAX(0,(MIN($F19,BJ$4)-MAX($E19,BJ$3)+1)/BJ$5)</f>
        <v>0</v>
      </c>
      <c r="BK19" s="54" t="n">
        <f aca="false">MAX(0,(MIN($F19,BK$4)-MAX($E19,BK$3)+1)/BK$5)</f>
        <v>0</v>
      </c>
      <c r="BL19" s="54" t="n">
        <f aca="false">MAX(0,(MIN($F19,BL$4)-MAX($E19,BL$3)+1)/BL$5)</f>
        <v>0</v>
      </c>
      <c r="BM19" s="54" t="n">
        <f aca="false">MAX(0,(MIN($F19,BM$4)-MAX($E19,BM$3)+1)/BM$5)</f>
        <v>0</v>
      </c>
      <c r="BN19" s="54" t="n">
        <f aca="false">MAX(0,(MIN($F19,BN$4)-MAX($E19,BN$3)+1)/BN$5)</f>
        <v>0</v>
      </c>
      <c r="BO19" s="54" t="n">
        <f aca="false">MAX(0,(MIN($F19,BO$4)-MAX($E19,BO$3)+1)/BO$5)</f>
        <v>0</v>
      </c>
      <c r="BP19" s="54" t="n">
        <f aca="false">MAX(0,(MIN($F19,BP$4)-MAX($E19,BP$3)+1)/BP$5)</f>
        <v>0</v>
      </c>
      <c r="BQ19" s="54" t="n">
        <f aca="false">MAX(0,(MIN($F19,BQ$4)-MAX($E19,BQ$3)+1)/BQ$5)</f>
        <v>0</v>
      </c>
      <c r="BR19" s="54" t="n">
        <f aca="false">MAX(0,(MIN($F19,BR$4)-MAX($E19,BR$3)+1)/BR$5)</f>
        <v>0</v>
      </c>
      <c r="BS19" s="54" t="n">
        <f aca="false">MAX(0,(MIN($F19,BS$4)-MAX($E19,BS$3)+1)/BS$5)</f>
        <v>0</v>
      </c>
      <c r="BT19" s="54" t="n">
        <f aca="false">MAX(0,(MIN($F19,BT$4)-MAX($E19,BT$3)+1)/BT$5)</f>
        <v>0</v>
      </c>
      <c r="BU19" s="54" t="n">
        <f aca="false">MAX(0,(MIN($F19,BU$4)-MAX($E19,BU$3)+1)/BU$5)</f>
        <v>0</v>
      </c>
      <c r="BV19" s="54" t="n">
        <f aca="false">MAX(0,(MIN($F19,BV$4)-MAX($E19,BV$3)+1)/BV$5)</f>
        <v>0</v>
      </c>
      <c r="BW19" s="54" t="n">
        <f aca="false">MAX(0,(MIN($F19,BW$4)-MAX($E19,BW$3)+1)/BW$5)</f>
        <v>0</v>
      </c>
      <c r="BX19" s="54" t="n">
        <f aca="false">MAX(0,(MIN($F19,BX$4)-MAX($E19,BX$3)+1)/BX$5)</f>
        <v>0</v>
      </c>
      <c r="BY19" s="54" t="n">
        <f aca="false">MAX(0,(MIN($F19,BY$4)-MAX($E19,BY$3)+1)/BY$5)</f>
        <v>0</v>
      </c>
      <c r="BZ19" s="54" t="n">
        <f aca="false">MAX(0,(MIN($F19,BZ$4)-MAX($E19,BZ$3)+1)/BZ$5)</f>
        <v>0</v>
      </c>
      <c r="CA19" s="54" t="n">
        <f aca="false">MAX(0,(MIN($F19,CA$4)-MAX($E19,CA$3)+1)/CA$5)</f>
        <v>0</v>
      </c>
      <c r="CB19" s="54" t="n">
        <f aca="false">MAX(0,(MIN($F19,CB$4)-MAX($E19,CB$3)+1)/CB$5)</f>
        <v>0</v>
      </c>
      <c r="CC19" s="54" t="n">
        <f aca="false">MAX(0,(MIN($F19,CC$4)-MAX($E19,CC$3)+1)/CC$5)</f>
        <v>0</v>
      </c>
      <c r="CD19" s="54" t="n">
        <f aca="false">MAX(0,(MIN($F19,CD$4)-MAX($E19,CD$3)+1)/CD$5)</f>
        <v>0</v>
      </c>
      <c r="CE19" s="54" t="n">
        <f aca="false">MAX(0,(MIN($F19,CE$4)-MAX($E19,CE$3)+1)/CE$5)</f>
        <v>0</v>
      </c>
      <c r="CF19" s="54" t="n">
        <f aca="false">MAX(0,(MIN($F19,CF$4)-MAX($E19,CF$3)+1)/CF$5)</f>
        <v>0</v>
      </c>
      <c r="CG19" s="54" t="n">
        <f aca="false">MAX(0,(MIN($F19,CG$4)-MAX($E19,CG$3)+1)/CG$5)</f>
        <v>0</v>
      </c>
      <c r="CH19" s="54" t="n">
        <f aca="false">MAX(0,(MIN($F19,CH$4)-MAX($E19,CH$3)+1)/CH$5)</f>
        <v>0</v>
      </c>
      <c r="CI19" s="54" t="n">
        <f aca="false">MAX(0,(MIN($F19,CI$4)-MAX($E19,CI$3)+1)/CI$5)</f>
        <v>0</v>
      </c>
      <c r="CJ19" s="54" t="n">
        <f aca="false">MAX(0,(MIN($F19,CJ$4)-MAX($E19,CJ$3)+1)/CJ$5)</f>
        <v>0</v>
      </c>
      <c r="CK19" s="54" t="n">
        <f aca="false">MAX(0,(MIN($F19,CK$4)-MAX($E19,CK$3)+1)/CK$5)</f>
        <v>0</v>
      </c>
      <c r="CL19" s="54" t="n">
        <f aca="false">MAX(0,(MIN($F19,CL$4)-MAX($E19,CL$3)+1)/CL$5)</f>
        <v>0</v>
      </c>
      <c r="CM19" s="54" t="n">
        <f aca="false">MAX(0,(MIN($F19,CM$4)-MAX($E19,CM$3)+1)/CM$5)</f>
        <v>0</v>
      </c>
      <c r="CN19" s="54" t="n">
        <f aca="false">MAX(0,(MIN($F19,CN$4)-MAX($E19,CN$3)+1)/CN$5)</f>
        <v>0</v>
      </c>
      <c r="CO19" s="54" t="n">
        <f aca="false">MAX(0,(MIN($F19,CO$4)-MAX($E19,CO$3)+1)/CO$5)</f>
        <v>0</v>
      </c>
      <c r="CP19" s="54" t="n">
        <f aca="false">MAX(0,(MIN($F19,CP$4)-MAX($E19,CP$3)+1)/CP$5)</f>
        <v>0</v>
      </c>
      <c r="CQ19" s="54" t="n">
        <f aca="false">MAX(0,(MIN($F19,CQ$4)-MAX($E19,CQ$3)+1)/CQ$5)</f>
        <v>0</v>
      </c>
      <c r="CR19" s="54" t="n">
        <f aca="false">MAX(0,(MIN($F19,CR$4)-MAX($E19,CR$3)+1)/CR$5)</f>
        <v>0</v>
      </c>
      <c r="CS19" s="54" t="n">
        <f aca="false">MAX(0,(MIN($F19,CS$4)-MAX($E19,CS$3)+1)/CS$5)</f>
        <v>0</v>
      </c>
      <c r="CT19" s="54" t="n">
        <f aca="false">MAX(0,(MIN($F19,CT$4)-MAX($E19,CT$3)+1)/CT$5)</f>
        <v>0</v>
      </c>
      <c r="CU19" s="54" t="n">
        <f aca="false">MAX(0,(MIN($F19,CU$4)-MAX($E19,CU$3)+1)/CU$5)</f>
        <v>0</v>
      </c>
      <c r="CV19" s="54" t="n">
        <f aca="false">MAX(0,(MIN($F19,CV$4)-MAX($E19,CV$3)+1)/CV$5)</f>
        <v>0</v>
      </c>
      <c r="CW19" s="54" t="n">
        <f aca="false">MAX(0,(MIN($F19,CW$4)-MAX($E19,CW$3)+1)/CW$5)</f>
        <v>0</v>
      </c>
      <c r="CX19" s="54" t="n">
        <f aca="false">MAX(0,(MIN($F19,CX$4)-MAX($E19,CX$3)+1)/CX$5)</f>
        <v>0</v>
      </c>
      <c r="CY19" s="54" t="n">
        <f aca="false">MAX(0,(MIN($F19,CY$4)-MAX($E19,CY$3)+1)/CY$5)</f>
        <v>0</v>
      </c>
      <c r="CZ19" s="54" t="n">
        <f aca="false">MAX(0,(MIN($F19,CZ$4)-MAX($E19,CZ$3)+1)/CZ$5)</f>
        <v>0</v>
      </c>
      <c r="DA19" s="54" t="n">
        <f aca="false">MAX(0,(MIN($F19,DA$4)-MAX($E19,DA$3)+1)/DA$5)</f>
        <v>0</v>
      </c>
      <c r="DB19" s="54" t="n">
        <f aca="false">MAX(0,(MIN($F19,DB$4)-MAX($E19,DB$3)+1)/DB$5)</f>
        <v>0</v>
      </c>
      <c r="DC19" s="54" t="n">
        <f aca="false">MAX(0,(MIN($F19,DC$4)-MAX($E19,DC$3)+1)/DC$5)</f>
        <v>0</v>
      </c>
      <c r="DD19" s="54" t="n">
        <f aca="false">MAX(0,(MIN($F19,DD$4)-MAX($E19,DD$3)+1)/DD$5)</f>
        <v>0</v>
      </c>
      <c r="DE19" s="54" t="n">
        <f aca="false">MAX(0,(MIN($F19,DE$4)-MAX($E19,DE$3)+1)/DE$5)</f>
        <v>0</v>
      </c>
      <c r="DF19" s="54" t="n">
        <f aca="false">MAX(0,(MIN($F19,DF$4)-MAX($E19,DF$3)+1)/DF$5)</f>
        <v>0</v>
      </c>
      <c r="DG19" s="54" t="n">
        <f aca="false">MAX(0,(MIN($F19,DG$4)-MAX($E19,DG$3)+1)/DG$5)</f>
        <v>0</v>
      </c>
      <c r="DH19" s="54" t="n">
        <f aca="false">MAX(0,(MIN($F19,DH$4)-MAX($E19,DH$3)+1)/DH$5)</f>
        <v>0</v>
      </c>
      <c r="DI19" s="54" t="n">
        <f aca="false">MAX(0,(MIN($F19,DI$4)-MAX($E19,DI$3)+1)/DI$5)</f>
        <v>0</v>
      </c>
      <c r="DJ19" s="54" t="n">
        <f aca="false">MAX(0,(MIN($F19,DJ$4)-MAX($E19,DJ$3)+1)/DJ$5)</f>
        <v>0</v>
      </c>
      <c r="DK19" s="54" t="n">
        <f aca="false">MAX(0,(MIN($F19,DK$4)-MAX($E19,DK$3)+1)/DK$5)</f>
        <v>0</v>
      </c>
      <c r="DL19" s="54" t="n">
        <f aca="false">MAX(0,(MIN($F19,DL$4)-MAX($E19,DL$3)+1)/DL$5)</f>
        <v>0</v>
      </c>
      <c r="DM19" s="54" t="n">
        <f aca="false">MAX(0,(MIN($F19,DM$4)-MAX($E19,DM$3)+1)/DM$5)</f>
        <v>0</v>
      </c>
      <c r="DN19" s="54" t="n">
        <f aca="false">MAX(0,(MIN($F19,DN$4)-MAX($E19,DN$3)+1)/DN$5)</f>
        <v>0</v>
      </c>
      <c r="DO19" s="54" t="n">
        <f aca="false">MAX(0,(MIN($F19,DO$4)-MAX($E19,DO$3)+1)/DO$5)</f>
        <v>0</v>
      </c>
      <c r="DP19" s="54" t="n">
        <f aca="false">MAX(0,(MIN($F19,DP$4)-MAX($E19,DP$3)+1)/DP$5)</f>
        <v>0</v>
      </c>
      <c r="DQ19" s="54" t="n">
        <f aca="false">MAX(0,(MIN($F19,DQ$4)-MAX($E19,DQ$3)+1)/DQ$5)</f>
        <v>0</v>
      </c>
      <c r="DR19" s="54" t="n">
        <f aca="false">MAX(0,(MIN($F19,DR$4)-MAX($E19,DR$3)+1)/DR$5)</f>
        <v>0</v>
      </c>
      <c r="DS19" s="54" t="n">
        <f aca="false">MAX(0,(MIN($F19,DS$4)-MAX($E19,DS$3)+1)/DS$5)</f>
        <v>0</v>
      </c>
      <c r="DT19" s="54" t="n">
        <f aca="false">MAX(0,(MIN($F19,DT$4)-MAX($E19,DT$3)+1)/DT$5)</f>
        <v>0</v>
      </c>
      <c r="DU19" s="54" t="n">
        <f aca="false">MAX(0,(MIN($F19,DU$4)-MAX($E19,DU$3)+1)/DU$5)</f>
        <v>0</v>
      </c>
      <c r="DV19" s="54" t="n">
        <f aca="false">MAX(0,(MIN($F19,DV$4)-MAX($E19,DV$3)+1)/DV$5)</f>
        <v>0</v>
      </c>
      <c r="DW19" s="54" t="n">
        <f aca="false">MAX(0,(MIN($F19,DW$4)-MAX($E19,DW$3)+1)/DW$5)</f>
        <v>0</v>
      </c>
      <c r="DX19" s="54" t="n">
        <f aca="false">MAX(0,(MIN($F19,DX$4)-MAX($E19,DX$3)+1)/DX$5)</f>
        <v>0</v>
      </c>
      <c r="DY19" s="54" t="n">
        <f aca="false">MAX(0,(MIN($F19,DY$4)-MAX($E19,DY$3)+1)/DY$5)</f>
        <v>0</v>
      </c>
      <c r="DZ19" s="54" t="n">
        <f aca="false">MAX(0,(MIN($F19,DZ$4)-MAX($E19,DZ$3)+1)/DZ$5)</f>
        <v>0</v>
      </c>
      <c r="EA19" s="54" t="n">
        <f aca="false">MAX(0,(MIN($F19,EA$4)-MAX($E19,EA$3)+1)/EA$5)</f>
        <v>0</v>
      </c>
      <c r="EB19" s="54" t="n">
        <f aca="false">MAX(0,(MIN($F19,EB$4)-MAX($E19,EB$3)+1)/EB$5)</f>
        <v>0</v>
      </c>
      <c r="EC19" s="54" t="n">
        <f aca="false">MAX(0,(MIN($F19,EC$4)-MAX($E19,EC$3)+1)/EC$5)</f>
        <v>0</v>
      </c>
      <c r="ED19" s="54" t="n">
        <f aca="false">MAX(0,(MIN($F19,ED$4)-MAX($E19,ED$3)+1)/ED$5)</f>
        <v>0</v>
      </c>
      <c r="EE19" s="54" t="n">
        <f aca="false">MAX(0,(MIN($F19,EE$4)-MAX($E19,EE$3)+1)/EE$5)</f>
        <v>0</v>
      </c>
      <c r="EF19" s="54" t="n">
        <f aca="false">MAX(0,(MIN($F19,EF$4)-MAX($E19,EF$3)+1)/EF$5)</f>
        <v>0</v>
      </c>
      <c r="EG19" s="54" t="n">
        <f aca="false">MAX(0,(MIN($F19,EG$4)-MAX($E19,EG$3)+1)/EG$5)</f>
        <v>0</v>
      </c>
      <c r="EH19" s="54" t="n">
        <f aca="false">MAX(0,(MIN($F19,EH$4)-MAX($E19,EH$3)+1)/EH$5)</f>
        <v>0</v>
      </c>
      <c r="EI19" s="54" t="n">
        <f aca="false">MAX(0,(MIN($F19,EI$4)-MAX($E19,EI$3)+1)/EI$5)</f>
        <v>0</v>
      </c>
      <c r="EJ19" s="54" t="n">
        <f aca="false">MAX(0,(MIN($F19,EJ$4)-MAX($E19,EJ$3)+1)/EJ$5)</f>
        <v>0</v>
      </c>
      <c r="EK19" s="54" t="n">
        <f aca="false">MAX(0,(MIN($F19,EK$4)-MAX($E19,EK$3)+1)/EK$5)</f>
        <v>0</v>
      </c>
      <c r="EL19" s="54" t="n">
        <f aca="false">MAX(0,(MIN($F19,EL$4)-MAX($E19,EL$3)+1)/EL$5)</f>
        <v>0</v>
      </c>
      <c r="EM19" s="54" t="n">
        <f aca="false">MAX(0,(MIN($F19,EM$4)-MAX($E19,EM$3)+1)/EM$5)</f>
        <v>0</v>
      </c>
      <c r="EN19" s="54" t="n">
        <f aca="false">MAX(0,(MIN($F19,EN$4)-MAX($E19,EN$3)+1)/EN$5)</f>
        <v>0</v>
      </c>
      <c r="EO19" s="54" t="n">
        <f aca="false">MAX(0,(MIN($F19,EO$4)-MAX($E19,EO$3)+1)/EO$5)</f>
        <v>0</v>
      </c>
      <c r="EP19" s="54" t="n">
        <f aca="false">MAX(0,(MIN($F19,EP$4)-MAX($E19,EP$3)+1)/EP$5)</f>
        <v>0</v>
      </c>
      <c r="EQ19" s="54" t="n">
        <f aca="false">MAX(0,(MIN($F19,EQ$4)-MAX($E19,EQ$3)+1)/EQ$5)</f>
        <v>0</v>
      </c>
      <c r="ER19" s="54" t="n">
        <f aca="false">MAX(0,(MIN($F19,ER$4)-MAX($E19,ER$3)+1)/ER$5)</f>
        <v>0</v>
      </c>
      <c r="ES19" s="54" t="n">
        <f aca="false">MAX(0,(MIN($F19,ES$4)-MAX($E19,ES$3)+1)/ES$5)</f>
        <v>0</v>
      </c>
      <c r="ET19" s="54" t="n">
        <f aca="false">MAX(0,(MIN($F19,ET$4)-MAX($E19,ET$3)+1)/ET$5)</f>
        <v>0</v>
      </c>
    </row>
    <row r="20" customFormat="false" ht="15" hidden="false" customHeight="false" outlineLevel="0" collapsed="false">
      <c r="C20" s="1" t="s">
        <v>452</v>
      </c>
      <c r="D20" s="12" t="s">
        <v>41</v>
      </c>
      <c r="J20" s="46" t="n">
        <f aca="false">N(MONTH(J$4)=Months_In_Year)</f>
        <v>0</v>
      </c>
      <c r="K20" s="46" t="n">
        <f aca="false">N(MONTH(K$4)=Months_In_Year)</f>
        <v>1</v>
      </c>
      <c r="L20" s="46" t="n">
        <f aca="false">N(MONTH(L$4)=Months_In_Year)</f>
        <v>0</v>
      </c>
      <c r="M20" s="46" t="n">
        <f aca="false">N(MONTH(M$4)=Months_In_Year)</f>
        <v>0</v>
      </c>
      <c r="N20" s="46" t="n">
        <f aca="false">N(MONTH(N$4)=Months_In_Year)</f>
        <v>0</v>
      </c>
      <c r="O20" s="46" t="n">
        <f aca="false">N(MONTH(O$4)=Months_In_Year)</f>
        <v>1</v>
      </c>
      <c r="P20" s="46" t="n">
        <f aca="false">N(MONTH(P$4)=Months_In_Year)</f>
        <v>0</v>
      </c>
      <c r="Q20" s="46" t="n">
        <f aca="false">N(MONTH(Q$4)=Months_In_Year)</f>
        <v>0</v>
      </c>
      <c r="R20" s="46" t="n">
        <f aca="false">N(MONTH(R$4)=Months_In_Year)</f>
        <v>0</v>
      </c>
      <c r="S20" s="46" t="n">
        <f aca="false">N(MONTH(S$4)=Months_In_Year)</f>
        <v>1</v>
      </c>
      <c r="T20" s="46" t="n">
        <f aca="false">N(MONTH(T$4)=Months_In_Year)</f>
        <v>0</v>
      </c>
      <c r="U20" s="46" t="n">
        <f aca="false">N(MONTH(U$4)=Months_In_Year)</f>
        <v>0</v>
      </c>
      <c r="V20" s="46" t="n">
        <f aca="false">N(MONTH(V$4)=Months_In_Year)</f>
        <v>0</v>
      </c>
      <c r="W20" s="46" t="n">
        <f aca="false">N(MONTH(W$4)=Months_In_Year)</f>
        <v>1</v>
      </c>
      <c r="X20" s="46" t="n">
        <f aca="false">N(MONTH(X$4)=Months_In_Year)</f>
        <v>0</v>
      </c>
      <c r="Y20" s="46" t="n">
        <f aca="false">N(MONTH(Y$4)=Months_In_Year)</f>
        <v>0</v>
      </c>
      <c r="Z20" s="46" t="n">
        <f aca="false">N(MONTH(Z$4)=Months_In_Year)</f>
        <v>0</v>
      </c>
      <c r="AA20" s="46" t="n">
        <f aca="false">N(MONTH(AA$4)=Months_In_Year)</f>
        <v>1</v>
      </c>
      <c r="AB20" s="46" t="n">
        <f aca="false">N(MONTH(AB$4)=Months_In_Year)</f>
        <v>0</v>
      </c>
      <c r="AC20" s="46" t="n">
        <f aca="false">N(MONTH(AC$4)=Months_In_Year)</f>
        <v>0</v>
      </c>
      <c r="AD20" s="46" t="n">
        <f aca="false">N(MONTH(AD$4)=Months_In_Year)</f>
        <v>0</v>
      </c>
      <c r="AE20" s="46" t="n">
        <f aca="false">N(MONTH(AE$4)=Months_In_Year)</f>
        <v>1</v>
      </c>
      <c r="AF20" s="46" t="n">
        <f aca="false">N(MONTH(AF$4)=Months_In_Year)</f>
        <v>0</v>
      </c>
      <c r="AG20" s="46" t="n">
        <f aca="false">N(MONTH(AG$4)=Months_In_Year)</f>
        <v>0</v>
      </c>
      <c r="AH20" s="46" t="n">
        <f aca="false">N(MONTH(AH$4)=Months_In_Year)</f>
        <v>0</v>
      </c>
      <c r="AI20" s="46" t="n">
        <f aca="false">N(MONTH(AI$4)=Months_In_Year)</f>
        <v>1</v>
      </c>
      <c r="AJ20" s="46" t="n">
        <f aca="false">N(MONTH(AJ$4)=Months_In_Year)</f>
        <v>0</v>
      </c>
      <c r="AK20" s="46" t="n">
        <f aca="false">N(MONTH(AK$4)=Months_In_Year)</f>
        <v>0</v>
      </c>
      <c r="AL20" s="46" t="n">
        <f aca="false">N(MONTH(AL$4)=Months_In_Year)</f>
        <v>0</v>
      </c>
      <c r="AM20" s="46" t="n">
        <f aca="false">N(MONTH(AM$4)=Months_In_Year)</f>
        <v>1</v>
      </c>
      <c r="AN20" s="46" t="n">
        <f aca="false">N(MONTH(AN$4)=Months_In_Year)</f>
        <v>0</v>
      </c>
      <c r="AO20" s="46" t="n">
        <f aca="false">N(MONTH(AO$4)=Months_In_Year)</f>
        <v>0</v>
      </c>
      <c r="AP20" s="46" t="n">
        <f aca="false">N(MONTH(AP$4)=Months_In_Year)</f>
        <v>0</v>
      </c>
      <c r="AQ20" s="46" t="n">
        <f aca="false">N(MONTH(AQ$4)=Months_In_Year)</f>
        <v>1</v>
      </c>
      <c r="AR20" s="46" t="n">
        <f aca="false">N(MONTH(AR$4)=Months_In_Year)</f>
        <v>0</v>
      </c>
      <c r="AS20" s="46" t="n">
        <f aca="false">N(MONTH(AS$4)=Months_In_Year)</f>
        <v>0</v>
      </c>
      <c r="AT20" s="46" t="n">
        <f aca="false">N(MONTH(AT$4)=Months_In_Year)</f>
        <v>0</v>
      </c>
      <c r="AU20" s="46" t="n">
        <f aca="false">N(MONTH(AU$4)=Months_In_Year)</f>
        <v>1</v>
      </c>
      <c r="AV20" s="46" t="n">
        <f aca="false">N(MONTH(AV$4)=Months_In_Year)</f>
        <v>0</v>
      </c>
      <c r="AW20" s="46" t="n">
        <f aca="false">N(MONTH(AW$4)=Months_In_Year)</f>
        <v>0</v>
      </c>
      <c r="AX20" s="46" t="n">
        <f aca="false">N(MONTH(AX$4)=Months_In_Year)</f>
        <v>0</v>
      </c>
      <c r="AY20" s="46" t="n">
        <f aca="false">N(MONTH(AY$4)=Months_In_Year)</f>
        <v>1</v>
      </c>
      <c r="AZ20" s="46" t="n">
        <f aca="false">N(MONTH(AZ$4)=Months_In_Year)</f>
        <v>0</v>
      </c>
      <c r="BA20" s="46" t="n">
        <f aca="false">N(MONTH(BA$4)=Months_In_Year)</f>
        <v>0</v>
      </c>
      <c r="BB20" s="46" t="n">
        <f aca="false">N(MONTH(BB$4)=Months_In_Year)</f>
        <v>0</v>
      </c>
      <c r="BC20" s="46" t="n">
        <f aca="false">N(MONTH(BC$4)=Months_In_Year)</f>
        <v>1</v>
      </c>
      <c r="BD20" s="46" t="n">
        <f aca="false">N(MONTH(BD$4)=Months_In_Year)</f>
        <v>0</v>
      </c>
      <c r="BE20" s="46" t="n">
        <f aca="false">N(MONTH(BE$4)=Months_In_Year)</f>
        <v>0</v>
      </c>
      <c r="BF20" s="46" t="n">
        <f aca="false">N(MONTH(BF$4)=Months_In_Year)</f>
        <v>0</v>
      </c>
      <c r="BG20" s="46" t="n">
        <f aca="false">N(MONTH(BG$4)=Months_In_Year)</f>
        <v>1</v>
      </c>
      <c r="BH20" s="46" t="n">
        <f aca="false">N(MONTH(BH$4)=Months_In_Year)</f>
        <v>0</v>
      </c>
      <c r="BI20" s="46" t="n">
        <f aca="false">N(MONTH(BI$4)=Months_In_Year)</f>
        <v>0</v>
      </c>
      <c r="BJ20" s="46" t="n">
        <f aca="false">N(MONTH(BJ$4)=Months_In_Year)</f>
        <v>0</v>
      </c>
      <c r="BK20" s="46" t="n">
        <f aca="false">N(MONTH(BK$4)=Months_In_Year)</f>
        <v>1</v>
      </c>
      <c r="BL20" s="46" t="n">
        <f aca="false">N(MONTH(BL$4)=Months_In_Year)</f>
        <v>0</v>
      </c>
      <c r="BM20" s="46" t="n">
        <f aca="false">N(MONTH(BM$4)=Months_In_Year)</f>
        <v>0</v>
      </c>
      <c r="BN20" s="46" t="n">
        <f aca="false">N(MONTH(BN$4)=Months_In_Year)</f>
        <v>0</v>
      </c>
      <c r="BO20" s="46" t="n">
        <f aca="false">N(MONTH(BO$4)=Months_In_Year)</f>
        <v>1</v>
      </c>
      <c r="BP20" s="46" t="n">
        <f aca="false">N(MONTH(BP$4)=Months_In_Year)</f>
        <v>0</v>
      </c>
      <c r="BQ20" s="46" t="n">
        <f aca="false">N(MONTH(BQ$4)=Months_In_Year)</f>
        <v>0</v>
      </c>
      <c r="BR20" s="46" t="n">
        <f aca="false">N(MONTH(BR$4)=Months_In_Year)</f>
        <v>0</v>
      </c>
      <c r="BS20" s="46" t="n">
        <f aca="false">N(MONTH(BS$4)=Months_In_Year)</f>
        <v>1</v>
      </c>
      <c r="BT20" s="46" t="n">
        <f aca="false">N(MONTH(BT$4)=Months_In_Year)</f>
        <v>0</v>
      </c>
      <c r="BU20" s="46" t="n">
        <f aca="false">N(MONTH(BU$4)=Months_In_Year)</f>
        <v>0</v>
      </c>
      <c r="BV20" s="46" t="n">
        <f aca="false">N(MONTH(BV$4)=Months_In_Year)</f>
        <v>0</v>
      </c>
      <c r="BW20" s="46" t="n">
        <f aca="false">N(MONTH(BW$4)=Months_In_Year)</f>
        <v>1</v>
      </c>
      <c r="BX20" s="46" t="n">
        <f aca="false">N(MONTH(BX$4)=Months_In_Year)</f>
        <v>0</v>
      </c>
      <c r="BY20" s="46" t="n">
        <f aca="false">N(MONTH(BY$4)=Months_In_Year)</f>
        <v>0</v>
      </c>
      <c r="BZ20" s="46" t="n">
        <f aca="false">N(MONTH(BZ$4)=Months_In_Year)</f>
        <v>0</v>
      </c>
      <c r="CA20" s="46" t="n">
        <f aca="false">N(MONTH(CA$4)=Months_In_Year)</f>
        <v>1</v>
      </c>
      <c r="CB20" s="46" t="n">
        <f aca="false">N(MONTH(CB$4)=Months_In_Year)</f>
        <v>0</v>
      </c>
      <c r="CC20" s="46" t="n">
        <f aca="false">N(MONTH(CC$4)=Months_In_Year)</f>
        <v>0</v>
      </c>
      <c r="CD20" s="46" t="n">
        <f aca="false">N(MONTH(CD$4)=Months_In_Year)</f>
        <v>0</v>
      </c>
      <c r="CE20" s="46" t="n">
        <f aca="false">N(MONTH(CE$4)=Months_In_Year)</f>
        <v>1</v>
      </c>
      <c r="CF20" s="46" t="n">
        <f aca="false">N(MONTH(CF$4)=Months_In_Year)</f>
        <v>0</v>
      </c>
      <c r="CG20" s="46" t="n">
        <f aca="false">N(MONTH(CG$4)=Months_In_Year)</f>
        <v>0</v>
      </c>
      <c r="CH20" s="46" t="n">
        <f aca="false">N(MONTH(CH$4)=Months_In_Year)</f>
        <v>0</v>
      </c>
      <c r="CI20" s="46" t="n">
        <f aca="false">N(MONTH(CI$4)=Months_In_Year)</f>
        <v>1</v>
      </c>
      <c r="CJ20" s="46" t="n">
        <f aca="false">N(MONTH(CJ$4)=Months_In_Year)</f>
        <v>0</v>
      </c>
      <c r="CK20" s="46" t="n">
        <f aca="false">N(MONTH(CK$4)=Months_In_Year)</f>
        <v>0</v>
      </c>
      <c r="CL20" s="46" t="n">
        <f aca="false">N(MONTH(CL$4)=Months_In_Year)</f>
        <v>0</v>
      </c>
      <c r="CM20" s="46" t="n">
        <f aca="false">N(MONTH(CM$4)=Months_In_Year)</f>
        <v>1</v>
      </c>
      <c r="CN20" s="46" t="n">
        <f aca="false">N(MONTH(CN$4)=Months_In_Year)</f>
        <v>0</v>
      </c>
      <c r="CO20" s="46" t="n">
        <f aca="false">N(MONTH(CO$4)=Months_In_Year)</f>
        <v>0</v>
      </c>
      <c r="CP20" s="46" t="n">
        <f aca="false">N(MONTH(CP$4)=Months_In_Year)</f>
        <v>0</v>
      </c>
      <c r="CQ20" s="46" t="n">
        <f aca="false">N(MONTH(CQ$4)=Months_In_Year)</f>
        <v>1</v>
      </c>
      <c r="CR20" s="46" t="n">
        <f aca="false">N(MONTH(CR$4)=Months_In_Year)</f>
        <v>0</v>
      </c>
      <c r="CS20" s="46" t="n">
        <f aca="false">N(MONTH(CS$4)=Months_In_Year)</f>
        <v>0</v>
      </c>
      <c r="CT20" s="46" t="n">
        <f aca="false">N(MONTH(CT$4)=Months_In_Year)</f>
        <v>0</v>
      </c>
      <c r="CU20" s="46" t="n">
        <f aca="false">N(MONTH(CU$4)=Months_In_Year)</f>
        <v>1</v>
      </c>
      <c r="CV20" s="46" t="n">
        <f aca="false">N(MONTH(CV$4)=Months_In_Year)</f>
        <v>0</v>
      </c>
      <c r="CW20" s="46" t="n">
        <f aca="false">N(MONTH(CW$4)=Months_In_Year)</f>
        <v>0</v>
      </c>
      <c r="CX20" s="46" t="n">
        <f aca="false">N(MONTH(CX$4)=Months_In_Year)</f>
        <v>0</v>
      </c>
      <c r="CY20" s="46" t="n">
        <f aca="false">N(MONTH(CY$4)=Months_In_Year)</f>
        <v>1</v>
      </c>
      <c r="CZ20" s="46" t="n">
        <f aca="false">N(MONTH(CZ$4)=Months_In_Year)</f>
        <v>0</v>
      </c>
      <c r="DA20" s="46" t="n">
        <f aca="false">N(MONTH(DA$4)=Months_In_Year)</f>
        <v>0</v>
      </c>
      <c r="DB20" s="46" t="n">
        <f aca="false">N(MONTH(DB$4)=Months_In_Year)</f>
        <v>0</v>
      </c>
      <c r="DC20" s="46" t="n">
        <f aca="false">N(MONTH(DC$4)=Months_In_Year)</f>
        <v>1</v>
      </c>
      <c r="DD20" s="46" t="n">
        <f aca="false">N(MONTH(DD$4)=Months_In_Year)</f>
        <v>0</v>
      </c>
      <c r="DE20" s="46" t="n">
        <f aca="false">N(MONTH(DE$4)=Months_In_Year)</f>
        <v>0</v>
      </c>
      <c r="DF20" s="46" t="n">
        <f aca="false">N(MONTH(DF$4)=Months_In_Year)</f>
        <v>0</v>
      </c>
      <c r="DG20" s="46" t="n">
        <f aca="false">N(MONTH(DG$4)=Months_In_Year)</f>
        <v>1</v>
      </c>
      <c r="DH20" s="46" t="n">
        <f aca="false">N(MONTH(DH$4)=Months_In_Year)</f>
        <v>0</v>
      </c>
      <c r="DI20" s="46" t="n">
        <f aca="false">N(MONTH(DI$4)=Months_In_Year)</f>
        <v>0</v>
      </c>
      <c r="DJ20" s="46" t="n">
        <f aca="false">N(MONTH(DJ$4)=Months_In_Year)</f>
        <v>0</v>
      </c>
      <c r="DK20" s="46" t="n">
        <f aca="false">N(MONTH(DK$4)=Months_In_Year)</f>
        <v>1</v>
      </c>
      <c r="DL20" s="46" t="n">
        <f aca="false">N(MONTH(DL$4)=Months_In_Year)</f>
        <v>0</v>
      </c>
      <c r="DM20" s="46" t="n">
        <f aca="false">N(MONTH(DM$4)=Months_In_Year)</f>
        <v>0</v>
      </c>
      <c r="DN20" s="46" t="n">
        <f aca="false">N(MONTH(DN$4)=Months_In_Year)</f>
        <v>0</v>
      </c>
      <c r="DO20" s="46" t="n">
        <f aca="false">N(MONTH(DO$4)=Months_In_Year)</f>
        <v>1</v>
      </c>
      <c r="DP20" s="46" t="n">
        <f aca="false">N(MONTH(DP$4)=Months_In_Year)</f>
        <v>0</v>
      </c>
      <c r="DQ20" s="46" t="n">
        <f aca="false">N(MONTH(DQ$4)=Months_In_Year)</f>
        <v>0</v>
      </c>
      <c r="DR20" s="46" t="n">
        <f aca="false">N(MONTH(DR$4)=Months_In_Year)</f>
        <v>0</v>
      </c>
      <c r="DS20" s="46" t="n">
        <f aca="false">N(MONTH(DS$4)=Months_In_Year)</f>
        <v>1</v>
      </c>
      <c r="DT20" s="46" t="n">
        <f aca="false">N(MONTH(DT$4)=Months_In_Year)</f>
        <v>0</v>
      </c>
      <c r="DU20" s="46" t="n">
        <f aca="false">N(MONTH(DU$4)=Months_In_Year)</f>
        <v>0</v>
      </c>
      <c r="DV20" s="46" t="n">
        <f aca="false">N(MONTH(DV$4)=Months_In_Year)</f>
        <v>0</v>
      </c>
      <c r="DW20" s="46" t="n">
        <f aca="false">N(MONTH(DW$4)=Months_In_Year)</f>
        <v>1</v>
      </c>
      <c r="DX20" s="46" t="n">
        <f aca="false">N(MONTH(DX$4)=Months_In_Year)</f>
        <v>0</v>
      </c>
      <c r="DY20" s="46" t="n">
        <f aca="false">N(MONTH(DY$4)=Months_In_Year)</f>
        <v>0</v>
      </c>
      <c r="DZ20" s="46" t="n">
        <f aca="false">N(MONTH(DZ$4)=Months_In_Year)</f>
        <v>0</v>
      </c>
      <c r="EA20" s="46" t="n">
        <f aca="false">N(MONTH(EA$4)=Months_In_Year)</f>
        <v>1</v>
      </c>
      <c r="EB20" s="46" t="n">
        <f aca="false">N(MONTH(EB$4)=Months_In_Year)</f>
        <v>0</v>
      </c>
      <c r="EC20" s="46" t="n">
        <f aca="false">N(MONTH(EC$4)=Months_In_Year)</f>
        <v>0</v>
      </c>
      <c r="ED20" s="46" t="n">
        <f aca="false">N(MONTH(ED$4)=Months_In_Year)</f>
        <v>0</v>
      </c>
      <c r="EE20" s="46" t="n">
        <f aca="false">N(MONTH(EE$4)=Months_In_Year)</f>
        <v>1</v>
      </c>
      <c r="EF20" s="46" t="n">
        <f aca="false">N(MONTH(EF$4)=Months_In_Year)</f>
        <v>0</v>
      </c>
      <c r="EG20" s="46" t="n">
        <f aca="false">N(MONTH(EG$4)=Months_In_Year)</f>
        <v>0</v>
      </c>
      <c r="EH20" s="46" t="n">
        <f aca="false">N(MONTH(EH$4)=Months_In_Year)</f>
        <v>0</v>
      </c>
      <c r="EI20" s="46" t="n">
        <f aca="false">N(MONTH(EI$4)=Months_In_Year)</f>
        <v>1</v>
      </c>
      <c r="EJ20" s="46" t="n">
        <f aca="false">N(MONTH(EJ$4)=Months_In_Year)</f>
        <v>0</v>
      </c>
      <c r="EK20" s="46" t="n">
        <f aca="false">N(MONTH(EK$4)=Months_In_Year)</f>
        <v>0</v>
      </c>
      <c r="EL20" s="46" t="n">
        <f aca="false">N(MONTH(EL$4)=Months_In_Year)</f>
        <v>0</v>
      </c>
      <c r="EM20" s="46" t="n">
        <f aca="false">N(MONTH(EM$4)=Months_In_Year)</f>
        <v>1</v>
      </c>
      <c r="EN20" s="46" t="n">
        <f aca="false">N(MONTH(EN$4)=Months_In_Year)</f>
        <v>0</v>
      </c>
      <c r="EO20" s="46" t="n">
        <f aca="false">N(MONTH(EO$4)=Months_In_Year)</f>
        <v>0</v>
      </c>
      <c r="EP20" s="46" t="n">
        <f aca="false">N(MONTH(EP$4)=Months_In_Year)</f>
        <v>0</v>
      </c>
      <c r="EQ20" s="46" t="n">
        <f aca="false">N(MONTH(EQ$4)=Months_In_Year)</f>
        <v>1</v>
      </c>
      <c r="ER20" s="46" t="n">
        <f aca="false">N(MONTH(ER$4)=Months_In_Year)</f>
        <v>0</v>
      </c>
      <c r="ES20" s="46" t="n">
        <f aca="false">N(MONTH(ES$4)=Months_In_Year)</f>
        <v>0</v>
      </c>
      <c r="ET20" s="46" t="n">
        <f aca="false">N(MONTH(ET$4)=Months_In_Year)</f>
        <v>0</v>
      </c>
    </row>
    <row r="21" customFormat="false" ht="15" hidden="false" customHeight="false" outlineLevel="0" collapsed="false">
      <c r="C21" s="1" t="s">
        <v>453</v>
      </c>
      <c r="D21" s="12" t="s">
        <v>442</v>
      </c>
      <c r="J21" s="54" t="n">
        <f aca="false">1/(1+In_Buyer_Rate)^(MAX(0,J$4-In_COD)/Days_In_Year)</f>
        <v>1</v>
      </c>
      <c r="K21" s="54" t="n">
        <f aca="false">1/(1+In_Buyer_Rate)^(MAX(0,K$4-In_COD)/Days_In_Year)</f>
        <v>1</v>
      </c>
      <c r="L21" s="54" t="n">
        <f aca="false">1/(1+In_Buyer_Rate)^(MAX(0,L$4-In_COD)/Days_In_Year)</f>
        <v>1</v>
      </c>
      <c r="M21" s="54" t="n">
        <f aca="false">1/(1+In_Buyer_Rate)^(MAX(0,M$4-In_COD)/Days_In_Year)</f>
        <v>1</v>
      </c>
      <c r="N21" s="54" t="n">
        <f aca="false">1/(1+In_Buyer_Rate)^(MAX(0,N$4-In_COD)/Days_In_Year)</f>
        <v>1</v>
      </c>
      <c r="O21" s="54" t="n">
        <f aca="false">1/(1+In_Buyer_Rate)^(MAX(0,O$4-In_COD)/Days_In_Year)</f>
        <v>1</v>
      </c>
      <c r="P21" s="54" t="n">
        <f aca="false">1/(1+In_Buyer_Rate)^(MAX(0,P$4-In_COD)/Days_In_Year)</f>
        <v>1</v>
      </c>
      <c r="Q21" s="54" t="n">
        <f aca="false">1/(1+In_Buyer_Rate)^(MAX(0,Q$4-In_COD)/Days_In_Year)</f>
        <v>1</v>
      </c>
      <c r="R21" s="54" t="n">
        <f aca="false">1/(1+In_Buyer_Rate)^(MAX(0,R$4-In_COD)/Days_In_Year)</f>
        <v>1</v>
      </c>
      <c r="S21" s="54" t="n">
        <f aca="false">1/(1+In_Buyer_Rate)^(MAX(0,S$4-In_COD)/Days_In_Year)</f>
        <v>1</v>
      </c>
      <c r="T21" s="54" t="n">
        <f aca="false">1/(1+In_Buyer_Rate)^(MAX(0,T$4-In_COD)/Days_In_Year)</f>
        <v>1</v>
      </c>
      <c r="U21" s="54" t="n">
        <f aca="false">1/(1+In_Buyer_Rate)^(MAX(0,U$4-In_COD)/Days_In_Year)</f>
        <v>1</v>
      </c>
      <c r="V21" s="54" t="n">
        <f aca="false">1/(1+In_Buyer_Rate)^(MAX(0,V$4-In_COD)/Days_In_Year)</f>
        <v>1</v>
      </c>
      <c r="W21" s="54" t="n">
        <f aca="false">1/(1+In_Buyer_Rate)^(MAX(0,W$4-In_COD)/Days_In_Year)</f>
        <v>1</v>
      </c>
      <c r="X21" s="54" t="n">
        <f aca="false">1/(1+In_Buyer_Rate)^(MAX(0,X$4-In_COD)/Days_In_Year)</f>
        <v>1</v>
      </c>
      <c r="Y21" s="54" t="n">
        <f aca="false">1/(1+In_Buyer_Rate)^(MAX(0,Y$4-In_COD)/Days_In_Year)</f>
        <v>1</v>
      </c>
      <c r="Z21" s="54" t="n">
        <f aca="false">1/(1+In_Buyer_Rate)^(MAX(0,Z$4-In_COD)/Days_In_Year)</f>
        <v>1</v>
      </c>
      <c r="AA21" s="54" t="n">
        <f aca="false">1/(1+In_Buyer_Rate)^(MAX(0,AA$4-In_COD)/Days_In_Year)</f>
        <v>1</v>
      </c>
      <c r="AB21" s="54" t="n">
        <f aca="false">1/(1+In_Buyer_Rate)^(MAX(0,AB$4-In_COD)/Days_In_Year)</f>
        <v>1</v>
      </c>
      <c r="AC21" s="54" t="n">
        <f aca="false">1/(1+In_Buyer_Rate)^(MAX(0,AC$4-In_COD)/Days_In_Year)</f>
        <v>1</v>
      </c>
      <c r="AD21" s="54" t="n">
        <f aca="false">1/(1+In_Buyer_Rate)^(MAX(0,AD$4-In_COD)/Days_In_Year)</f>
        <v>1</v>
      </c>
      <c r="AE21" s="54" t="n">
        <f aca="false">1/(1+In_Buyer_Rate)^(MAX(0,AE$4-In_COD)/Days_In_Year)</f>
        <v>0.980788538821203</v>
      </c>
      <c r="AF21" s="54" t="n">
        <f aca="false">1/(1+In_Buyer_Rate)^(MAX(0,AF$4-In_COD)/Days_In_Year)</f>
        <v>0.962149007700345</v>
      </c>
      <c r="AG21" s="54" t="n">
        <f aca="false">1/(1+In_Buyer_Rate)^(MAX(0,AG$4-In_COD)/Days_In_Year)</f>
        <v>0.943863714120663</v>
      </c>
      <c r="AH21" s="54" t="n">
        <f aca="false">1/(1+In_Buyer_Rate)^(MAX(0,AH$4-In_COD)/Days_In_Year)</f>
        <v>0.925730713018759</v>
      </c>
      <c r="AI21" s="54" t="n">
        <f aca="false">1/(1+In_Buyer_Rate)^(MAX(0,AI$4-In_COD)/Days_In_Year)</f>
        <v>0.907946073363579</v>
      </c>
      <c r="AJ21" s="54" t="n">
        <f aca="false">1/(1+In_Buyer_Rate)^(MAX(0,AJ$4-In_COD)/Days_In_Year)</f>
        <v>0.890878710833653</v>
      </c>
      <c r="AK21" s="54" t="n">
        <f aca="false">1/(1+In_Buyer_Rate)^(MAX(0,AK$4-In_COD)/Days_In_Year)</f>
        <v>0.873947883445058</v>
      </c>
      <c r="AL21" s="54" t="n">
        <f aca="false">1/(1+In_Buyer_Rate)^(MAX(0,AL$4-In_COD)/Days_In_Year)</f>
        <v>0.857158067609962</v>
      </c>
      <c r="AM21" s="54" t="n">
        <f aca="false">1/(1+In_Buyer_Rate)^(MAX(0,AM$4-In_COD)/Days_In_Year)</f>
        <v>0.840690808669981</v>
      </c>
      <c r="AN21" s="54" t="n">
        <f aca="false">1/(1+In_Buyer_Rate)^(MAX(0,AN$4-In_COD)/Days_In_Year)</f>
        <v>0.824887695216345</v>
      </c>
      <c r="AO21" s="54" t="n">
        <f aca="false">1/(1+In_Buyer_Rate)^(MAX(0,AO$4-In_COD)/Days_In_Year)</f>
        <v>0.809211003189869</v>
      </c>
      <c r="AP21" s="54" t="n">
        <f aca="false">1/(1+In_Buyer_Rate)^(MAX(0,AP$4-In_COD)/Days_In_Year)</f>
        <v>0.793664877416631</v>
      </c>
      <c r="AQ21" s="54" t="n">
        <f aca="false">1/(1+In_Buyer_Rate)^(MAX(0,AQ$4-In_COD)/Days_In_Year)</f>
        <v>0.778417415435167</v>
      </c>
      <c r="AR21" s="54" t="n">
        <f aca="false">1/(1+In_Buyer_Rate)^(MAX(0,AR$4-In_COD)/Days_In_Year)</f>
        <v>0.763784902978097</v>
      </c>
      <c r="AS21" s="54" t="n">
        <f aca="false">1/(1+In_Buyer_Rate)^(MAX(0,AS$4-In_COD)/Days_In_Year)</f>
        <v>0.749269447398027</v>
      </c>
      <c r="AT21" s="54" t="n">
        <f aca="false">1/(1+In_Buyer_Rate)^(MAX(0,AT$4-In_COD)/Days_In_Year)</f>
        <v>0.734874886496881</v>
      </c>
      <c r="AU21" s="54" t="n">
        <f aca="false">1/(1+In_Buyer_Rate)^(MAX(0,AU$4-In_COD)/Days_In_Year)</f>
        <v>0.720756866143673</v>
      </c>
      <c r="AV21" s="54" t="n">
        <f aca="false">1/(1+In_Buyer_Rate)^(MAX(0,AV$4-In_COD)/Days_In_Year)</f>
        <v>0.707059142826878</v>
      </c>
      <c r="AW21" s="54" t="n">
        <f aca="false">1/(1+In_Buyer_Rate)^(MAX(0,AW$4-In_COD)/Days_In_Year)</f>
        <v>0.693621739782947</v>
      </c>
      <c r="AX21" s="54" t="n">
        <f aca="false">1/(1+In_Buyer_Rate)^(MAX(0,AX$4-In_COD)/Days_In_Year)</f>
        <v>0.680296252656337</v>
      </c>
      <c r="AY21" s="54" t="n">
        <f aca="false">1/(1+In_Buyer_Rate)^(MAX(0,AY$4-In_COD)/Days_In_Year)</f>
        <v>0.667226767608349</v>
      </c>
      <c r="AZ21" s="54" t="n">
        <f aca="false">1/(1+In_Buyer_Rate)^(MAX(0,AZ$4-In_COD)/Days_In_Year)</f>
        <v>0.654684391506368</v>
      </c>
      <c r="BA21" s="54" t="n">
        <f aca="false">1/(1+In_Buyer_Rate)^(MAX(0,BA$4-In_COD)/Days_In_Year)</f>
        <v>0.642242351650877</v>
      </c>
      <c r="BB21" s="54" t="n">
        <f aca="false">1/(1+In_Buyer_Rate)^(MAX(0,BB$4-In_COD)/Days_In_Year)</f>
        <v>0.629903937644757</v>
      </c>
      <c r="BC21" s="54" t="n">
        <f aca="false">1/(1+In_Buyer_Rate)^(MAX(0,BC$4-In_COD)/Days_In_Year)</f>
        <v>0.617802562600323</v>
      </c>
      <c r="BD21" s="54" t="n">
        <f aca="false">1/(1+In_Buyer_Rate)^(MAX(0,BD$4-In_COD)/Days_In_Year)</f>
        <v>0.606189251394785</v>
      </c>
      <c r="BE21" s="54" t="n">
        <f aca="false">1/(1+In_Buyer_Rate)^(MAX(0,BE$4-In_COD)/Days_In_Year)</f>
        <v>0.594668844121182</v>
      </c>
      <c r="BF21" s="54" t="n">
        <f aca="false">1/(1+In_Buyer_Rate)^(MAX(0,BF$4-In_COD)/Days_In_Year)</f>
        <v>0.583244386708108</v>
      </c>
      <c r="BG21" s="54" t="n">
        <f aca="false">1/(1+In_Buyer_Rate)^(MAX(0,BG$4-In_COD)/Days_In_Year)</f>
        <v>0.572039409815114</v>
      </c>
      <c r="BH21" s="54" t="n">
        <f aca="false">1/(1+In_Buyer_Rate)^(MAX(0,BH$4-In_COD)/Days_In_Year)</f>
        <v>0.561286343884061</v>
      </c>
      <c r="BI21" s="54" t="n">
        <f aca="false">1/(1+In_Buyer_Rate)^(MAX(0,BI$4-In_COD)/Days_In_Year)</f>
        <v>0.550619300112206</v>
      </c>
      <c r="BJ21" s="54" t="n">
        <f aca="false">1/(1+In_Buyer_Rate)^(MAX(0,BJ$4-In_COD)/Days_In_Year)</f>
        <v>0.540041098803804</v>
      </c>
      <c r="BK21" s="54" t="n">
        <f aca="false">1/(1+In_Buyer_Rate)^(MAX(0,BK$4-In_COD)/Days_In_Year)</f>
        <v>0.529666120199179</v>
      </c>
      <c r="BL21" s="54" t="n">
        <f aca="false">1/(1+In_Buyer_Rate)^(MAX(0,BL$4-In_COD)/Days_In_Year)</f>
        <v>0.519600007331484</v>
      </c>
      <c r="BM21" s="54" t="n">
        <f aca="false">1/(1+In_Buyer_Rate)^(MAX(0,BM$4-In_COD)/Days_In_Year)</f>
        <v>0.509725197294762</v>
      </c>
      <c r="BN21" s="54" t="n">
        <f aca="false">1/(1+In_Buyer_Rate)^(MAX(0,BN$4-In_COD)/Days_In_Year)</f>
        <v>0.499932631455079</v>
      </c>
      <c r="BO21" s="54" t="n">
        <f aca="false">1/(1+In_Buyer_Rate)^(MAX(0,BO$4-In_COD)/Days_In_Year)</f>
        <v>0.490328195113866</v>
      </c>
      <c r="BP21" s="54" t="n">
        <f aca="false">1/(1+In_Buyer_Rate)^(MAX(0,BP$4-In_COD)/Days_In_Year)</f>
        <v>0.481111117899522</v>
      </c>
      <c r="BQ21" s="54" t="n">
        <f aca="false">1/(1+In_Buyer_Rate)^(MAX(0,BQ$4-In_COD)/Days_In_Year)</f>
        <v>0.471967775272928</v>
      </c>
      <c r="BR21" s="54" t="n">
        <f aca="false">1/(1+In_Buyer_Rate)^(MAX(0,BR$4-In_COD)/Days_In_Year)</f>
        <v>0.462900584680629</v>
      </c>
      <c r="BS21" s="54" t="n">
        <f aca="false">1/(1+In_Buyer_Rate)^(MAX(0,BS$4-In_COD)/Days_In_Year)</f>
        <v>0.454007588068395</v>
      </c>
      <c r="BT21" s="54" t="n">
        <f aca="false">1/(1+In_Buyer_Rate)^(MAX(0,BT$4-In_COD)/Days_In_Year)</f>
        <v>0.445473257314372</v>
      </c>
      <c r="BU21" s="54" t="n">
        <f aca="false">1/(1+In_Buyer_Rate)^(MAX(0,BU$4-In_COD)/Days_In_Year)</f>
        <v>0.437007199326785</v>
      </c>
      <c r="BV21" s="54" t="n">
        <f aca="false">1/(1+In_Buyer_Rate)^(MAX(0,BV$4-In_COD)/Days_In_Year)</f>
        <v>0.428611652482064</v>
      </c>
      <c r="BW21" s="54" t="n">
        <f aca="false">1/(1+In_Buyer_Rate)^(MAX(0,BW$4-In_COD)/Days_In_Year)</f>
        <v>0.420377396359624</v>
      </c>
      <c r="BX21" s="54" t="n">
        <f aca="false">1/(1+In_Buyer_Rate)^(MAX(0,BX$4-In_COD)/Days_In_Year)</f>
        <v>0.412475238254048</v>
      </c>
      <c r="BY21" s="54" t="n">
        <f aca="false">1/(1+In_Buyer_Rate)^(MAX(0,BY$4-In_COD)/Days_In_Year)</f>
        <v>0.404636295672949</v>
      </c>
      <c r="BZ21" s="54" t="n">
        <f aca="false">1/(1+In_Buyer_Rate)^(MAX(0,BZ$4-In_COD)/Days_In_Year)</f>
        <v>0.396862641187096</v>
      </c>
      <c r="CA21" s="54" t="n">
        <f aca="false">1/(1+In_Buyer_Rate)^(MAX(0,CA$4-In_COD)/Days_In_Year)</f>
        <v>0.389238329962615</v>
      </c>
      <c r="CB21" s="54" t="n">
        <f aca="false">1/(1+In_Buyer_Rate)^(MAX(0,CB$4-In_COD)/Days_In_Year)</f>
        <v>0.381840996411503</v>
      </c>
      <c r="CC21" s="54" t="n">
        <f aca="false">1/(1+In_Buyer_Rate)^(MAX(0,CC$4-In_COD)/Days_In_Year)</f>
        <v>0.374584246506588</v>
      </c>
      <c r="CD21" s="54" t="n">
        <f aca="false">1/(1+In_Buyer_Rate)^(MAX(0,CD$4-In_COD)/Days_In_Year)</f>
        <v>0.367387935796638</v>
      </c>
      <c r="CE21" s="54" t="n">
        <f aca="false">1/(1+In_Buyer_Rate)^(MAX(0,CE$4-In_COD)/Days_In_Year)</f>
        <v>0.360329876730523</v>
      </c>
      <c r="CF21" s="54" t="n">
        <f aca="false">1/(1+In_Buyer_Rate)^(MAX(0,CF$4-In_COD)/Days_In_Year)</f>
        <v>0.353556478158799</v>
      </c>
      <c r="CG21" s="54" t="n">
        <f aca="false">1/(1+In_Buyer_Rate)^(MAX(0,CG$4-In_COD)/Days_In_Year)</f>
        <v>0.346837265283878</v>
      </c>
      <c r="CH21" s="54" t="n">
        <f aca="false">1/(1+In_Buyer_Rate)^(MAX(0,CH$4-In_COD)/Days_In_Year)</f>
        <v>0.340174014626517</v>
      </c>
      <c r="CI21" s="54" t="n">
        <f aca="false">1/(1+In_Buyer_Rate)^(MAX(0,CI$4-In_COD)/Days_In_Year)</f>
        <v>0.333638774750484</v>
      </c>
      <c r="CJ21" s="54" t="n">
        <f aca="false">1/(1+In_Buyer_Rate)^(MAX(0,CJ$4-In_COD)/Days_In_Year)</f>
        <v>0.327367109406295</v>
      </c>
      <c r="CK21" s="54" t="n">
        <f aca="false">1/(1+In_Buyer_Rate)^(MAX(0,CK$4-In_COD)/Days_In_Year)</f>
        <v>0.321145616003591</v>
      </c>
      <c r="CL21" s="54" t="n">
        <f aca="false">1/(1+In_Buyer_Rate)^(MAX(0,CL$4-In_COD)/Days_In_Year)</f>
        <v>0.314975939468997</v>
      </c>
      <c r="CM21" s="54" t="n">
        <f aca="false">1/(1+In_Buyer_Rate)^(MAX(0,CM$4-In_COD)/Days_In_Year)</f>
        <v>0.308924791435633</v>
      </c>
      <c r="CN21" s="54" t="n">
        <f aca="false">1/(1+In_Buyer_Rate)^(MAX(0,CN$4-In_COD)/Days_In_Year)</f>
        <v>0.303117693894718</v>
      </c>
      <c r="CO21" s="54" t="n">
        <f aca="false">1/(1+In_Buyer_Rate)^(MAX(0,CO$4-In_COD)/Days_In_Year)</f>
        <v>0.297357051855177</v>
      </c>
      <c r="CP21" s="54" t="n">
        <f aca="false">1/(1+In_Buyer_Rate)^(MAX(0,CP$4-In_COD)/Days_In_Year)</f>
        <v>0.291644388397219</v>
      </c>
      <c r="CQ21" s="54" t="n">
        <f aca="false">1/(1+In_Buyer_Rate)^(MAX(0,CQ$4-In_COD)/Days_In_Year)</f>
        <v>0.286041473551512</v>
      </c>
      <c r="CR21" s="54" t="n">
        <f aca="false">1/(1+In_Buyer_Rate)^(MAX(0,CR$4-In_COD)/Days_In_Year)</f>
        <v>0.280605358897759</v>
      </c>
      <c r="CS21" s="54" t="n">
        <f aca="false">1/(1+In_Buyer_Rate)^(MAX(0,CS$4-In_COD)/Days_In_Year)</f>
        <v>0.275272555635049</v>
      </c>
      <c r="CT21" s="54" t="n">
        <f aca="false">1/(1+In_Buyer_Rate)^(MAX(0,CT$4-In_COD)/Days_In_Year)</f>
        <v>0.269984167618878</v>
      </c>
      <c r="CU21" s="54" t="n">
        <f aca="false">1/(1+In_Buyer_Rate)^(MAX(0,CU$4-In_COD)/Days_In_Year)</f>
        <v>0.264797377263778</v>
      </c>
      <c r="CV21" s="54" t="n">
        <f aca="false">1/(1+In_Buyer_Rate)^(MAX(0,CV$4-In_COD)/Days_In_Year)</f>
        <v>0.259819776757184</v>
      </c>
      <c r="CW21" s="54" t="n">
        <f aca="false">1/(1+In_Buyer_Rate)^(MAX(0,CW$4-In_COD)/Days_In_Year)</f>
        <v>0.254881995958379</v>
      </c>
      <c r="CX21" s="54" t="n">
        <f aca="false">1/(1+In_Buyer_Rate)^(MAX(0,CX$4-In_COD)/Days_In_Year)</f>
        <v>0.24998534038785</v>
      </c>
      <c r="CY21" s="54" t="n">
        <f aca="false">1/(1+In_Buyer_Rate)^(MAX(0,CY$4-In_COD)/Days_In_Year)</f>
        <v>0.24518275672572</v>
      </c>
      <c r="CZ21" s="54" t="n">
        <f aca="false">1/(1+In_Buyer_Rate)^(MAX(0,CZ$4-In_COD)/Days_In_Year)</f>
        <v>0.240573867367763</v>
      </c>
      <c r="DA21" s="54" t="n">
        <f aca="false">1/(1+In_Buyer_Rate)^(MAX(0,DA$4-In_COD)/Days_In_Year)</f>
        <v>0.23600184810961</v>
      </c>
      <c r="DB21" s="54" t="n">
        <f aca="false">1/(1+In_Buyer_Rate)^(MAX(0,DB$4-In_COD)/Days_In_Year)</f>
        <v>0.231467907766528</v>
      </c>
      <c r="DC21" s="54" t="n">
        <f aca="false">1/(1+In_Buyer_Rate)^(MAX(0,DC$4-In_COD)/Days_In_Year)</f>
        <v>0.227021071042334</v>
      </c>
      <c r="DD21" s="54" t="n">
        <f aca="false">1/(1+In_Buyer_Rate)^(MAX(0,DD$4-In_COD)/Days_In_Year)</f>
        <v>0.222753580896077</v>
      </c>
      <c r="DE21" s="54" t="n">
        <f aca="false">1/(1+In_Buyer_Rate)^(MAX(0,DE$4-In_COD)/Days_In_Year)</f>
        <v>0.21852022973112</v>
      </c>
      <c r="DF21" s="54" t="n">
        <f aca="false">1/(1+In_Buyer_Rate)^(MAX(0,DF$4-In_COD)/Days_In_Year)</f>
        <v>0.214322136820859</v>
      </c>
      <c r="DG21" s="54" t="n">
        <f aca="false">1/(1+In_Buyer_Rate)^(MAX(0,DG$4-In_COD)/Days_In_Year)</f>
        <v>0.210204695409568</v>
      </c>
      <c r="DH21" s="54" t="n">
        <f aca="false">1/(1+In_Buyer_Rate)^(MAX(0,DH$4-In_COD)/Days_In_Year)</f>
        <v>0.206209831270407</v>
      </c>
      <c r="DI21" s="54" t="n">
        <f aca="false">1/(1+In_Buyer_Rate)^(MAX(0,DI$4-In_COD)/Days_In_Year)</f>
        <v>0.202290888078013</v>
      </c>
      <c r="DJ21" s="54" t="n">
        <f aca="false">1/(1+In_Buyer_Rate)^(MAX(0,DJ$4-In_COD)/Days_In_Year)</f>
        <v>0.198404584534878</v>
      </c>
      <c r="DK21" s="54" t="n">
        <f aca="false">1/(1+In_Buyer_Rate)^(MAX(0,DK$4-In_COD)/Days_In_Year)</f>
        <v>0.194592942561391</v>
      </c>
      <c r="DL21" s="54" t="n">
        <f aca="false">1/(1+In_Buyer_Rate)^(MAX(0,DL$4-In_COD)/Days_In_Year)</f>
        <v>0.190935028954081</v>
      </c>
      <c r="DM21" s="54" t="n">
        <f aca="false">1/(1+In_Buyer_Rate)^(MAX(0,DM$4-In_COD)/Days_In_Year)</f>
        <v>0.187306377850012</v>
      </c>
      <c r="DN21" s="54" t="n">
        <f aca="false">1/(1+In_Buyer_Rate)^(MAX(0,DN$4-In_COD)/Days_In_Year)</f>
        <v>0.183707948643405</v>
      </c>
      <c r="DO21" s="54" t="n">
        <f aca="false">1/(1+In_Buyer_Rate)^(MAX(0,DO$4-In_COD)/Days_In_Year)</f>
        <v>0.180178650519806</v>
      </c>
      <c r="DP21" s="54" t="n">
        <f aca="false">1/(1+In_Buyer_Rate)^(MAX(0,DP$4-In_COD)/Days_In_Year)</f>
        <v>0.176791693476001</v>
      </c>
      <c r="DQ21" s="54" t="n">
        <f aca="false">1/(1+In_Buyer_Rate)^(MAX(0,DQ$4-In_COD)/Days_In_Year)</f>
        <v>0.173431831342604</v>
      </c>
      <c r="DR21" s="54" t="n">
        <f aca="false">1/(1+In_Buyer_Rate)^(MAX(0,DR$4-In_COD)/Days_In_Year)</f>
        <v>0.170099952447597</v>
      </c>
      <c r="DS21" s="54" t="n">
        <f aca="false">1/(1+In_Buyer_Rate)^(MAX(0,DS$4-In_COD)/Days_In_Year)</f>
        <v>0.166832083814635</v>
      </c>
      <c r="DT21" s="54" t="n">
        <f aca="false">1/(1+In_Buyer_Rate)^(MAX(0,DT$4-In_COD)/Days_In_Year)</f>
        <v>0.163696012477778</v>
      </c>
      <c r="DU21" s="54" t="n">
        <f aca="false">1/(1+In_Buyer_Rate)^(MAX(0,DU$4-In_COD)/Days_In_Year)</f>
        <v>0.160585029020929</v>
      </c>
      <c r="DV21" s="54" t="n">
        <f aca="false">1/(1+In_Buyer_Rate)^(MAX(0,DV$4-In_COD)/Days_In_Year)</f>
        <v>0.157499955969998</v>
      </c>
      <c r="DW21" s="54" t="n">
        <f aca="false">1/(1+In_Buyer_Rate)^(MAX(0,DW$4-In_COD)/Days_In_Year)</f>
        <v>0.154474151680218</v>
      </c>
      <c r="DX21" s="54" t="n">
        <f aca="false">1/(1+In_Buyer_Rate)^(MAX(0,DX$4-In_COD)/Days_In_Year)</f>
        <v>0.151538426349381</v>
      </c>
      <c r="DY21" s="54" t="n">
        <f aca="false">1/(1+In_Buyer_Rate)^(MAX(0,DY$4-In_COD)/Days_In_Year)</f>
        <v>0.148658493415683</v>
      </c>
      <c r="DZ21" s="54" t="n">
        <f aca="false">1/(1+In_Buyer_Rate)^(MAX(0,DZ$4-In_COD)/Days_In_Year)</f>
        <v>0.145802546540529</v>
      </c>
      <c r="EA21" s="54" t="n">
        <f aca="false">1/(1+In_Buyer_Rate)^(MAX(0,EA$4-In_COD)/Days_In_Year)</f>
        <v>0.143001466577896</v>
      </c>
      <c r="EB21" s="54" t="n">
        <f aca="false">1/(1+In_Buyer_Rate)^(MAX(0,EB$4-In_COD)/Days_In_Year)</f>
        <v>0.140313357730909</v>
      </c>
      <c r="EC21" s="54" t="n">
        <f aca="false">1/(1+In_Buyer_Rate)^(MAX(0,EC$4-In_COD)/Days_In_Year)</f>
        <v>0.137646753162669</v>
      </c>
      <c r="ED21" s="54" t="n">
        <f aca="false">1/(1+In_Buyer_Rate)^(MAX(0,ED$4-In_COD)/Days_In_Year)</f>
        <v>0.135002357907897</v>
      </c>
      <c r="EE21" s="54" t="n">
        <f aca="false">1/(1+In_Buyer_Rate)^(MAX(0,EE$4-In_COD)/Days_In_Year)</f>
        <v>0.132408765349904</v>
      </c>
      <c r="EF21" s="54" t="n">
        <f aca="false">1/(1+In_Buyer_Rate)^(MAX(0,EF$4-In_COD)/Days_In_Year)</f>
        <v>0.129919775676767</v>
      </c>
      <c r="EG21" s="54" t="n">
        <f aca="false">1/(1+In_Buyer_Rate)^(MAX(0,EG$4-In_COD)/Days_In_Year)</f>
        <v>0.127450697372842</v>
      </c>
      <c r="EH21" s="54" t="n">
        <f aca="false">1/(1+In_Buyer_Rate)^(MAX(0,EH$4-In_COD)/Days_In_Year)</f>
        <v>0.125002183248053</v>
      </c>
      <c r="EI21" s="54" t="n">
        <f aca="false">1/(1+In_Buyer_Rate)^(MAX(0,EI$4-In_COD)/Days_In_Year)</f>
        <v>0.122600708657318</v>
      </c>
      <c r="EJ21" s="54" t="n">
        <f aca="false">1/(1+In_Buyer_Rate)^(MAX(0,EJ$4-In_COD)/Days_In_Year)</f>
        <v>0.120296088589599</v>
      </c>
      <c r="EK21" s="54" t="n">
        <f aca="false">1/(1+In_Buyer_Rate)^(MAX(0,EK$4-In_COD)/Days_In_Year)</f>
        <v>0.118009904974854</v>
      </c>
      <c r="EL21" s="54" t="n">
        <f aca="false">1/(1+In_Buyer_Rate)^(MAX(0,EL$4-In_COD)/Days_In_Year)</f>
        <v>0.115742762266716</v>
      </c>
      <c r="EM21" s="54" t="n">
        <f aca="false">1/(1+In_Buyer_Rate)^(MAX(0,EM$4-In_COD)/Days_In_Year)</f>
        <v>0.113519174682702</v>
      </c>
      <c r="EN21" s="54" t="n">
        <f aca="false">1/(1+In_Buyer_Rate)^(MAX(0,EN$4-In_COD)/Days_In_Year)</f>
        <v>0.111361783863418</v>
      </c>
      <c r="EO21" s="54" t="n">
        <f aca="false">1/(1+In_Buyer_Rate)^(MAX(0,EO$4-In_COD)/Days_In_Year)</f>
        <v>0.109245393475647</v>
      </c>
      <c r="EP21" s="54" t="n">
        <f aca="false">1/(1+In_Buyer_Rate)^(MAX(0,EP$4-In_COD)/Days_In_Year)</f>
        <v>0.107146629839927</v>
      </c>
      <c r="EQ21" s="54" t="n">
        <f aca="false">1/(1+In_Buyer_Rate)^(MAX(0,EQ$4-In_COD)/Days_In_Year)</f>
        <v>0.105088186520319</v>
      </c>
      <c r="ER21" s="54" t="n">
        <f aca="false">1/(1+In_Buyer_Rate)^(MAX(0,ER$4-In_COD)/Days_In_Year)</f>
        <v>0.103112762836498</v>
      </c>
      <c r="ES21" s="54" t="n">
        <f aca="false">1/(1+In_Buyer_Rate)^(MAX(0,ES$4-In_COD)/Days_In_Year)</f>
        <v>0.101153142107081</v>
      </c>
      <c r="ET21" s="54" t="n">
        <f aca="false">1/(1+In_Buyer_Rate)^(MAX(0,ET$4-In_COD)/Days_In_Year)</f>
        <v>0.0992098424443773</v>
      </c>
    </row>
    <row r="23" customFormat="false" ht="15" hidden="false" customHeight="false" outlineLevel="0" collapsed="false">
      <c r="A23" s="10" t="s">
        <v>13</v>
      </c>
      <c r="B23" s="10"/>
      <c r="C23" s="10" t="s">
        <v>454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</row>
    <row r="24" customFormat="false" ht="15" hidden="false" customHeight="false" outlineLevel="0" collapsed="false">
      <c r="C24" s="1" t="s">
        <v>455</v>
      </c>
      <c r="D24" s="12" t="s">
        <v>93</v>
      </c>
      <c r="E24" s="49" t="n">
        <f aca="false">In_MVA*(1+INDEX(Dash_Overbuild,1,$A$1))</f>
        <v>140</v>
      </c>
      <c r="F24" s="49" t="n">
        <f aca="false">In_MVA+($E24-In_MVA)*In_Overbuild_Built</f>
        <v>100</v>
      </c>
    </row>
    <row r="25" customFormat="false" ht="15" hidden="false" customHeight="false" outlineLevel="0" collapsed="false">
      <c r="C25" s="1" t="s">
        <v>456</v>
      </c>
      <c r="D25" s="12" t="s">
        <v>93</v>
      </c>
      <c r="E25" s="49" t="n">
        <f aca="false">INDEX(Dash_BESS,1,$A$1)*In_MVA</f>
        <v>40</v>
      </c>
      <c r="F25" s="49" t="n">
        <f aca="false">$E25*In_BESS_Built</f>
        <v>40</v>
      </c>
    </row>
    <row r="26" customFormat="false" ht="15" hidden="false" customHeight="false" outlineLevel="0" collapsed="false">
      <c r="C26" s="1" t="s">
        <v>457</v>
      </c>
      <c r="D26" s="12" t="s">
        <v>458</v>
      </c>
      <c r="E26" s="49" t="n">
        <f aca="false">$E25*INDEX(Dash_BESS_Hours,1,$A$1)</f>
        <v>160</v>
      </c>
    </row>
    <row r="27" customFormat="false" ht="15" hidden="false" customHeight="false" outlineLevel="0" collapsed="false">
      <c r="C27" s="1" t="s">
        <v>459</v>
      </c>
      <c r="D27" s="12" t="s">
        <v>35</v>
      </c>
      <c r="E27" s="55" t="n">
        <f aca="false">($F24-In_MVA)/$F24*In_Bottleneck_Loss</f>
        <v>0</v>
      </c>
    </row>
    <row r="29" customFormat="false" ht="15" hidden="false" customHeight="false" outlineLevel="0" collapsed="false">
      <c r="A29" s="10" t="s">
        <v>13</v>
      </c>
      <c r="B29" s="10"/>
      <c r="C29" s="10" t="s">
        <v>460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</row>
    <row r="30" customFormat="false" ht="15" hidden="false" customHeight="false" outlineLevel="0" collapsed="false">
      <c r="C30" s="1" t="s">
        <v>461</v>
      </c>
      <c r="D30" s="12" t="s">
        <v>27</v>
      </c>
      <c r="E30" s="29" t="n">
        <f aca="false">INDEX(Dash_Municipal,1,$A$1)</f>
        <v>50</v>
      </c>
      <c r="F30" s="29" t="n">
        <f aca="false">INDEX(Osz1_Pts,1+SUMPRODUCT((Osz1_LB&lt;$E30)+(Osz1_LB=$E30)*Osz1_Incl))*Osz1_W</f>
        <v>20</v>
      </c>
    </row>
    <row r="31" customFormat="false" ht="15" hidden="false" customHeight="false" outlineLevel="0" collapsed="false">
      <c r="C31" s="1" t="s">
        <v>462</v>
      </c>
      <c r="D31" s="12" t="s">
        <v>32</v>
      </c>
      <c r="E31" s="29" t="n">
        <f aca="false">INDEX(Dash_Community,1,$A$1)</f>
        <v>2.01</v>
      </c>
      <c r="F31" s="29" t="n">
        <f aca="false">INDEX(Osz2_Pts,1+SUMPRODUCT((Osz2_LB&lt;$E31)+(Osz2_LB=$E31)*Osz2_Incl))*Osz2_W</f>
        <v>0.75</v>
      </c>
    </row>
    <row r="32" customFormat="false" ht="15" hidden="false" customHeight="false" outlineLevel="0" collapsed="false">
      <c r="C32" s="1" t="s">
        <v>463</v>
      </c>
      <c r="D32" s="12" t="s">
        <v>35</v>
      </c>
      <c r="E32" s="48" t="n">
        <f aca="false">INDEX(Dash_Overbuild,1,$A$1)</f>
        <v>0.4</v>
      </c>
      <c r="F32" s="29" t="n">
        <f aca="false">INDEX(Osz3_Pts,1+SUMPRODUCT((Osz3_LB&lt;$E32)+(Osz3_LB=$E32)*Osz3_Incl))*Osz3_W</f>
        <v>9</v>
      </c>
    </row>
    <row r="33" customFormat="false" ht="15" hidden="false" customHeight="false" outlineLevel="0" collapsed="false">
      <c r="C33" s="1" t="s">
        <v>464</v>
      </c>
      <c r="D33" s="12" t="s">
        <v>35</v>
      </c>
      <c r="E33" s="48" t="n">
        <f aca="false">INDEX(Dash_BESS,1,$A$1)/IF(In_OSZ4_Basis=1,$E24/In_MVA,1)</f>
        <v>0.4</v>
      </c>
      <c r="F33" s="29" t="n">
        <f aca="false">INDEX(Osz4_Pts,1+SUMPRODUCT((Osz4_LB&lt;$E33)+(Osz4_LB=$E33)*Osz4_Incl))*Osz4_W*($E33&gt;=Osz4_Min)</f>
        <v>13.5</v>
      </c>
    </row>
    <row r="34" customFormat="false" ht="15" hidden="false" customHeight="false" outlineLevel="0" collapsed="false">
      <c r="C34" s="1" t="s">
        <v>465</v>
      </c>
      <c r="D34" s="12" t="s">
        <v>41</v>
      </c>
      <c r="E34" s="46" t="n">
        <f aca="false">INDEX(Dash_Partial,1,$A$1)</f>
        <v>1</v>
      </c>
      <c r="F34" s="29" t="n">
        <f aca="false">$E34*Osz5_Pts*Osz5_W</f>
        <v>5</v>
      </c>
    </row>
    <row r="35" customFormat="false" ht="15" hidden="false" customHeight="false" outlineLevel="0" collapsed="false">
      <c r="C35" s="1" t="s">
        <v>466</v>
      </c>
      <c r="D35" s="12" t="s">
        <v>13</v>
      </c>
      <c r="E35" s="52" t="n">
        <f aca="false">INDEX(Dash_PB_Mult,1,$A$1)</f>
        <v>1</v>
      </c>
      <c r="F35" s="29" t="n">
        <f aca="false">INDEX(Osz6_Pts,1+SUMPRODUCT((Osz6_LB&lt;$E35)+(Osz6_LB=$E35)*Osz6_Incl))*Osz6_W</f>
        <v>0</v>
      </c>
    </row>
    <row r="36" customFormat="false" ht="15" hidden="false" customHeight="false" outlineLevel="0" collapsed="false">
      <c r="C36" s="1" t="s">
        <v>467</v>
      </c>
      <c r="D36" s="12" t="s">
        <v>41</v>
      </c>
      <c r="E36" s="46" t="n">
        <f aca="false">INDEX(Dash_Brownfield,1,$A$1)</f>
        <v>0</v>
      </c>
      <c r="F36" s="29" t="n">
        <f aca="false">$E36*Osz7_Pts*Osz7_W</f>
        <v>0</v>
      </c>
    </row>
    <row r="37" customFormat="false" ht="15" hidden="false" customHeight="false" outlineLevel="0" collapsed="false">
      <c r="C37" s="1" t="s">
        <v>468</v>
      </c>
      <c r="D37" s="12" t="s">
        <v>41</v>
      </c>
      <c r="E37" s="46" t="n">
        <f aca="false">INDEX(Dash_Shared,1,$A$1)</f>
        <v>1</v>
      </c>
      <c r="F37" s="29" t="n">
        <f aca="false">$E37*Osz8_Pts*Osz8_W</f>
        <v>5</v>
      </c>
    </row>
    <row r="38" customFormat="false" ht="15" hidden="false" customHeight="false" outlineLevel="0" collapsed="false">
      <c r="C38" s="1" t="s">
        <v>469</v>
      </c>
      <c r="D38" s="12" t="s">
        <v>41</v>
      </c>
      <c r="E38" s="46" t="n">
        <f aca="false">INDEX(Dash_EU_Turbine,1,$A$1)</f>
        <v>1</v>
      </c>
      <c r="F38" s="29" t="n">
        <f aca="false">$E38*Osz9a_Pts*Osz9_W</f>
        <v>12</v>
      </c>
    </row>
    <row r="39" customFormat="false" ht="15" hidden="false" customHeight="false" outlineLevel="0" collapsed="false">
      <c r="C39" s="1" t="s">
        <v>470</v>
      </c>
      <c r="D39" s="12" t="s">
        <v>41</v>
      </c>
      <c r="E39" s="46" t="n">
        <f aca="false">INDEX(Dash_EU_Transformer,1,$A$1)</f>
        <v>1</v>
      </c>
      <c r="F39" s="29" t="n">
        <f aca="false">$E39*Osz9b_Pts*Osz9_W</f>
        <v>3</v>
      </c>
    </row>
    <row r="40" customFormat="false" ht="15" hidden="false" customHeight="false" outlineLevel="0" collapsed="false">
      <c r="C40" s="31" t="s">
        <v>471</v>
      </c>
      <c r="D40" s="12" t="s">
        <v>70</v>
      </c>
      <c r="E40" s="32" t="n">
        <f aca="false">ROUND(SUM($F30:$F39),Points_Decimals)</f>
        <v>68.25</v>
      </c>
      <c r="F40" s="32" t="n">
        <f aca="false">ROUND(SUM($F30:$F37),Points_Decimals)</f>
        <v>53.25</v>
      </c>
    </row>
    <row r="41" customFormat="false" ht="15" hidden="false" customHeight="false" outlineLevel="0" collapsed="false">
      <c r="C41" s="1" t="s">
        <v>69</v>
      </c>
      <c r="D41" s="12" t="s">
        <v>70</v>
      </c>
      <c r="E41" s="29" t="n">
        <f aca="false">IF(In_CN_Turbine=1,$F40,$E40)</f>
        <v>68.25</v>
      </c>
    </row>
    <row r="42" customFormat="false" ht="15" hidden="false" customHeight="false" outlineLevel="0" collapsed="false">
      <c r="C42" s="1" t="s">
        <v>472</v>
      </c>
      <c r="D42" s="12" t="s">
        <v>180</v>
      </c>
      <c r="E42" s="42" t="n">
        <f aca="false">N(In_MVA&gt;In_Group_Cap)+N($E24&lt;In_MVA)+N($E25&gt;$E24)+N($E26&lt;$E25*In_Min_Hours)</f>
        <v>0</v>
      </c>
      <c r="F42" s="42" t="n">
        <f aca="false">($E30&lt;&gt;0)*($E30&lt;Osz1_Min)+($E30&gt;Osz1_Max)+($E31&lt;&gt;0)*($E31&lt;Osz2_Min)+($E31&gt;Osz2_Max)</f>
        <v>0</v>
      </c>
    </row>
    <row r="44" customFormat="false" ht="15" hidden="false" customHeight="false" outlineLevel="0" collapsed="false">
      <c r="A44" s="10" t="s">
        <v>13</v>
      </c>
      <c r="B44" s="10"/>
      <c r="C44" s="10" t="s">
        <v>473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</row>
    <row r="45" customFormat="false" ht="15" hidden="false" customHeight="false" outlineLevel="0" collapsed="false">
      <c r="C45" s="1" t="s">
        <v>474</v>
      </c>
      <c r="D45" s="12" t="s">
        <v>256</v>
      </c>
      <c r="E45" s="47" t="n">
        <f aca="false">$E24*In_Bench_Wind+$E26*In_Bench_BESS</f>
        <v>88840</v>
      </c>
    </row>
    <row r="46" customFormat="false" ht="15" hidden="false" customHeight="false" outlineLevel="0" collapsed="false">
      <c r="C46" s="1" t="s">
        <v>475</v>
      </c>
      <c r="D46" s="12" t="s">
        <v>222</v>
      </c>
      <c r="E46" s="47" t="n">
        <f aca="false">In_Signing_Fee+In_DD</f>
        <v>400</v>
      </c>
      <c r="F46" s="28" t="n">
        <f aca="false">In_Invest_Date</f>
        <v>46234</v>
      </c>
      <c r="I46" s="47" t="n">
        <f aca="false">SUM(J46:ET46)</f>
        <v>-400</v>
      </c>
      <c r="J46" s="47" t="n">
        <f aca="false">-$E46*N(AND(J$3&lt;=$F46,J$4&gt;=$F46))</f>
        <v>-400</v>
      </c>
      <c r="K46" s="47" t="n">
        <f aca="false">-$E46*N(AND(K$3&lt;=$F46,K$4&gt;=$F46))</f>
        <v>-0</v>
      </c>
      <c r="L46" s="47" t="n">
        <f aca="false">-$E46*N(AND(L$3&lt;=$F46,L$4&gt;=$F46))</f>
        <v>-0</v>
      </c>
      <c r="M46" s="47" t="n">
        <f aca="false">-$E46*N(AND(M$3&lt;=$F46,M$4&gt;=$F46))</f>
        <v>-0</v>
      </c>
      <c r="N46" s="47" t="n">
        <f aca="false">-$E46*N(AND(N$3&lt;=$F46,N$4&gt;=$F46))</f>
        <v>-0</v>
      </c>
      <c r="O46" s="47" t="n">
        <f aca="false">-$E46*N(AND(O$3&lt;=$F46,O$4&gt;=$F46))</f>
        <v>-0</v>
      </c>
      <c r="P46" s="47" t="n">
        <f aca="false">-$E46*N(AND(P$3&lt;=$F46,P$4&gt;=$F46))</f>
        <v>-0</v>
      </c>
      <c r="Q46" s="47" t="n">
        <f aca="false">-$E46*N(AND(Q$3&lt;=$F46,Q$4&gt;=$F46))</f>
        <v>-0</v>
      </c>
      <c r="R46" s="47" t="n">
        <f aca="false">-$E46*N(AND(R$3&lt;=$F46,R$4&gt;=$F46))</f>
        <v>-0</v>
      </c>
      <c r="S46" s="47" t="n">
        <f aca="false">-$E46*N(AND(S$3&lt;=$F46,S$4&gt;=$F46))</f>
        <v>-0</v>
      </c>
      <c r="T46" s="47" t="n">
        <f aca="false">-$E46*N(AND(T$3&lt;=$F46,T$4&gt;=$F46))</f>
        <v>-0</v>
      </c>
      <c r="U46" s="47" t="n">
        <f aca="false">-$E46*N(AND(U$3&lt;=$F46,U$4&gt;=$F46))</f>
        <v>-0</v>
      </c>
      <c r="V46" s="47" t="n">
        <f aca="false">-$E46*N(AND(V$3&lt;=$F46,V$4&gt;=$F46))</f>
        <v>-0</v>
      </c>
      <c r="W46" s="47" t="n">
        <f aca="false">-$E46*N(AND(W$3&lt;=$F46,W$4&gt;=$F46))</f>
        <v>-0</v>
      </c>
      <c r="X46" s="47" t="n">
        <f aca="false">-$E46*N(AND(X$3&lt;=$F46,X$4&gt;=$F46))</f>
        <v>-0</v>
      </c>
      <c r="Y46" s="47" t="n">
        <f aca="false">-$E46*N(AND(Y$3&lt;=$F46,Y$4&gt;=$F46))</f>
        <v>-0</v>
      </c>
      <c r="Z46" s="47" t="n">
        <f aca="false">-$E46*N(AND(Z$3&lt;=$F46,Z$4&gt;=$F46))</f>
        <v>-0</v>
      </c>
      <c r="AA46" s="47" t="n">
        <f aca="false">-$E46*N(AND(AA$3&lt;=$F46,AA$4&gt;=$F46))</f>
        <v>-0</v>
      </c>
      <c r="AB46" s="47" t="n">
        <f aca="false">-$E46*N(AND(AB$3&lt;=$F46,AB$4&gt;=$F46))</f>
        <v>-0</v>
      </c>
      <c r="AC46" s="47" t="n">
        <f aca="false">-$E46*N(AND(AC$3&lt;=$F46,AC$4&gt;=$F46))</f>
        <v>-0</v>
      </c>
      <c r="AD46" s="47" t="n">
        <f aca="false">-$E46*N(AND(AD$3&lt;=$F46,AD$4&gt;=$F46))</f>
        <v>-0</v>
      </c>
      <c r="AE46" s="47" t="n">
        <f aca="false">-$E46*N(AND(AE$3&lt;=$F46,AE$4&gt;=$F46))</f>
        <v>-0</v>
      </c>
      <c r="AF46" s="47" t="n">
        <f aca="false">-$E46*N(AND(AF$3&lt;=$F46,AF$4&gt;=$F46))</f>
        <v>-0</v>
      </c>
      <c r="AG46" s="47" t="n">
        <f aca="false">-$E46*N(AND(AG$3&lt;=$F46,AG$4&gt;=$F46))</f>
        <v>-0</v>
      </c>
      <c r="AH46" s="47" t="n">
        <f aca="false">-$E46*N(AND(AH$3&lt;=$F46,AH$4&gt;=$F46))</f>
        <v>-0</v>
      </c>
      <c r="AI46" s="47" t="n">
        <f aca="false">-$E46*N(AND(AI$3&lt;=$F46,AI$4&gt;=$F46))</f>
        <v>-0</v>
      </c>
      <c r="AJ46" s="47" t="n">
        <f aca="false">-$E46*N(AND(AJ$3&lt;=$F46,AJ$4&gt;=$F46))</f>
        <v>-0</v>
      </c>
      <c r="AK46" s="47" t="n">
        <f aca="false">-$E46*N(AND(AK$3&lt;=$F46,AK$4&gt;=$F46))</f>
        <v>-0</v>
      </c>
      <c r="AL46" s="47" t="n">
        <f aca="false">-$E46*N(AND(AL$3&lt;=$F46,AL$4&gt;=$F46))</f>
        <v>-0</v>
      </c>
      <c r="AM46" s="47" t="n">
        <f aca="false">-$E46*N(AND(AM$3&lt;=$F46,AM$4&gt;=$F46))</f>
        <v>-0</v>
      </c>
      <c r="AN46" s="47" t="n">
        <f aca="false">-$E46*N(AND(AN$3&lt;=$F46,AN$4&gt;=$F46))</f>
        <v>-0</v>
      </c>
      <c r="AO46" s="47" t="n">
        <f aca="false">-$E46*N(AND(AO$3&lt;=$F46,AO$4&gt;=$F46))</f>
        <v>-0</v>
      </c>
      <c r="AP46" s="47" t="n">
        <f aca="false">-$E46*N(AND(AP$3&lt;=$F46,AP$4&gt;=$F46))</f>
        <v>-0</v>
      </c>
      <c r="AQ46" s="47" t="n">
        <f aca="false">-$E46*N(AND(AQ$3&lt;=$F46,AQ$4&gt;=$F46))</f>
        <v>-0</v>
      </c>
      <c r="AR46" s="47" t="n">
        <f aca="false">-$E46*N(AND(AR$3&lt;=$F46,AR$4&gt;=$F46))</f>
        <v>-0</v>
      </c>
      <c r="AS46" s="47" t="n">
        <f aca="false">-$E46*N(AND(AS$3&lt;=$F46,AS$4&gt;=$F46))</f>
        <v>-0</v>
      </c>
      <c r="AT46" s="47" t="n">
        <f aca="false">-$E46*N(AND(AT$3&lt;=$F46,AT$4&gt;=$F46))</f>
        <v>-0</v>
      </c>
      <c r="AU46" s="47" t="n">
        <f aca="false">-$E46*N(AND(AU$3&lt;=$F46,AU$4&gt;=$F46))</f>
        <v>-0</v>
      </c>
      <c r="AV46" s="47" t="n">
        <f aca="false">-$E46*N(AND(AV$3&lt;=$F46,AV$4&gt;=$F46))</f>
        <v>-0</v>
      </c>
      <c r="AW46" s="47" t="n">
        <f aca="false">-$E46*N(AND(AW$3&lt;=$F46,AW$4&gt;=$F46))</f>
        <v>-0</v>
      </c>
      <c r="AX46" s="47" t="n">
        <f aca="false">-$E46*N(AND(AX$3&lt;=$F46,AX$4&gt;=$F46))</f>
        <v>-0</v>
      </c>
      <c r="AY46" s="47" t="n">
        <f aca="false">-$E46*N(AND(AY$3&lt;=$F46,AY$4&gt;=$F46))</f>
        <v>-0</v>
      </c>
      <c r="AZ46" s="47" t="n">
        <f aca="false">-$E46*N(AND(AZ$3&lt;=$F46,AZ$4&gt;=$F46))</f>
        <v>-0</v>
      </c>
      <c r="BA46" s="47" t="n">
        <f aca="false">-$E46*N(AND(BA$3&lt;=$F46,BA$4&gt;=$F46))</f>
        <v>-0</v>
      </c>
      <c r="BB46" s="47" t="n">
        <f aca="false">-$E46*N(AND(BB$3&lt;=$F46,BB$4&gt;=$F46))</f>
        <v>-0</v>
      </c>
      <c r="BC46" s="47" t="n">
        <f aca="false">-$E46*N(AND(BC$3&lt;=$F46,BC$4&gt;=$F46))</f>
        <v>-0</v>
      </c>
      <c r="BD46" s="47" t="n">
        <f aca="false">-$E46*N(AND(BD$3&lt;=$F46,BD$4&gt;=$F46))</f>
        <v>-0</v>
      </c>
      <c r="BE46" s="47" t="n">
        <f aca="false">-$E46*N(AND(BE$3&lt;=$F46,BE$4&gt;=$F46))</f>
        <v>-0</v>
      </c>
      <c r="BF46" s="47" t="n">
        <f aca="false">-$E46*N(AND(BF$3&lt;=$F46,BF$4&gt;=$F46))</f>
        <v>-0</v>
      </c>
      <c r="BG46" s="47" t="n">
        <f aca="false">-$E46*N(AND(BG$3&lt;=$F46,BG$4&gt;=$F46))</f>
        <v>-0</v>
      </c>
      <c r="BH46" s="47" t="n">
        <f aca="false">-$E46*N(AND(BH$3&lt;=$F46,BH$4&gt;=$F46))</f>
        <v>-0</v>
      </c>
      <c r="BI46" s="47" t="n">
        <f aca="false">-$E46*N(AND(BI$3&lt;=$F46,BI$4&gt;=$F46))</f>
        <v>-0</v>
      </c>
      <c r="BJ46" s="47" t="n">
        <f aca="false">-$E46*N(AND(BJ$3&lt;=$F46,BJ$4&gt;=$F46))</f>
        <v>-0</v>
      </c>
      <c r="BK46" s="47" t="n">
        <f aca="false">-$E46*N(AND(BK$3&lt;=$F46,BK$4&gt;=$F46))</f>
        <v>-0</v>
      </c>
      <c r="BL46" s="47" t="n">
        <f aca="false">-$E46*N(AND(BL$3&lt;=$F46,BL$4&gt;=$F46))</f>
        <v>-0</v>
      </c>
      <c r="BM46" s="47" t="n">
        <f aca="false">-$E46*N(AND(BM$3&lt;=$F46,BM$4&gt;=$F46))</f>
        <v>-0</v>
      </c>
      <c r="BN46" s="47" t="n">
        <f aca="false">-$E46*N(AND(BN$3&lt;=$F46,BN$4&gt;=$F46))</f>
        <v>-0</v>
      </c>
      <c r="BO46" s="47" t="n">
        <f aca="false">-$E46*N(AND(BO$3&lt;=$F46,BO$4&gt;=$F46))</f>
        <v>-0</v>
      </c>
      <c r="BP46" s="47" t="n">
        <f aca="false">-$E46*N(AND(BP$3&lt;=$F46,BP$4&gt;=$F46))</f>
        <v>-0</v>
      </c>
      <c r="BQ46" s="47" t="n">
        <f aca="false">-$E46*N(AND(BQ$3&lt;=$F46,BQ$4&gt;=$F46))</f>
        <v>-0</v>
      </c>
      <c r="BR46" s="47" t="n">
        <f aca="false">-$E46*N(AND(BR$3&lt;=$F46,BR$4&gt;=$F46))</f>
        <v>-0</v>
      </c>
      <c r="BS46" s="47" t="n">
        <f aca="false">-$E46*N(AND(BS$3&lt;=$F46,BS$4&gt;=$F46))</f>
        <v>-0</v>
      </c>
      <c r="BT46" s="47" t="n">
        <f aca="false">-$E46*N(AND(BT$3&lt;=$F46,BT$4&gt;=$F46))</f>
        <v>-0</v>
      </c>
      <c r="BU46" s="47" t="n">
        <f aca="false">-$E46*N(AND(BU$3&lt;=$F46,BU$4&gt;=$F46))</f>
        <v>-0</v>
      </c>
      <c r="BV46" s="47" t="n">
        <f aca="false">-$E46*N(AND(BV$3&lt;=$F46,BV$4&gt;=$F46))</f>
        <v>-0</v>
      </c>
      <c r="BW46" s="47" t="n">
        <f aca="false">-$E46*N(AND(BW$3&lt;=$F46,BW$4&gt;=$F46))</f>
        <v>-0</v>
      </c>
      <c r="BX46" s="47" t="n">
        <f aca="false">-$E46*N(AND(BX$3&lt;=$F46,BX$4&gt;=$F46))</f>
        <v>-0</v>
      </c>
      <c r="BY46" s="47" t="n">
        <f aca="false">-$E46*N(AND(BY$3&lt;=$F46,BY$4&gt;=$F46))</f>
        <v>-0</v>
      </c>
      <c r="BZ46" s="47" t="n">
        <f aca="false">-$E46*N(AND(BZ$3&lt;=$F46,BZ$4&gt;=$F46))</f>
        <v>-0</v>
      </c>
      <c r="CA46" s="47" t="n">
        <f aca="false">-$E46*N(AND(CA$3&lt;=$F46,CA$4&gt;=$F46))</f>
        <v>-0</v>
      </c>
      <c r="CB46" s="47" t="n">
        <f aca="false">-$E46*N(AND(CB$3&lt;=$F46,CB$4&gt;=$F46))</f>
        <v>-0</v>
      </c>
      <c r="CC46" s="47" t="n">
        <f aca="false">-$E46*N(AND(CC$3&lt;=$F46,CC$4&gt;=$F46))</f>
        <v>-0</v>
      </c>
      <c r="CD46" s="47" t="n">
        <f aca="false">-$E46*N(AND(CD$3&lt;=$F46,CD$4&gt;=$F46))</f>
        <v>-0</v>
      </c>
      <c r="CE46" s="47" t="n">
        <f aca="false">-$E46*N(AND(CE$3&lt;=$F46,CE$4&gt;=$F46))</f>
        <v>-0</v>
      </c>
      <c r="CF46" s="47" t="n">
        <f aca="false">-$E46*N(AND(CF$3&lt;=$F46,CF$4&gt;=$F46))</f>
        <v>-0</v>
      </c>
      <c r="CG46" s="47" t="n">
        <f aca="false">-$E46*N(AND(CG$3&lt;=$F46,CG$4&gt;=$F46))</f>
        <v>-0</v>
      </c>
      <c r="CH46" s="47" t="n">
        <f aca="false">-$E46*N(AND(CH$3&lt;=$F46,CH$4&gt;=$F46))</f>
        <v>-0</v>
      </c>
      <c r="CI46" s="47" t="n">
        <f aca="false">-$E46*N(AND(CI$3&lt;=$F46,CI$4&gt;=$F46))</f>
        <v>-0</v>
      </c>
      <c r="CJ46" s="47" t="n">
        <f aca="false">-$E46*N(AND(CJ$3&lt;=$F46,CJ$4&gt;=$F46))</f>
        <v>-0</v>
      </c>
      <c r="CK46" s="47" t="n">
        <f aca="false">-$E46*N(AND(CK$3&lt;=$F46,CK$4&gt;=$F46))</f>
        <v>-0</v>
      </c>
      <c r="CL46" s="47" t="n">
        <f aca="false">-$E46*N(AND(CL$3&lt;=$F46,CL$4&gt;=$F46))</f>
        <v>-0</v>
      </c>
      <c r="CM46" s="47" t="n">
        <f aca="false">-$E46*N(AND(CM$3&lt;=$F46,CM$4&gt;=$F46))</f>
        <v>-0</v>
      </c>
      <c r="CN46" s="47" t="n">
        <f aca="false">-$E46*N(AND(CN$3&lt;=$F46,CN$4&gt;=$F46))</f>
        <v>-0</v>
      </c>
      <c r="CO46" s="47" t="n">
        <f aca="false">-$E46*N(AND(CO$3&lt;=$F46,CO$4&gt;=$F46))</f>
        <v>-0</v>
      </c>
      <c r="CP46" s="47" t="n">
        <f aca="false">-$E46*N(AND(CP$3&lt;=$F46,CP$4&gt;=$F46))</f>
        <v>-0</v>
      </c>
      <c r="CQ46" s="47" t="n">
        <f aca="false">-$E46*N(AND(CQ$3&lt;=$F46,CQ$4&gt;=$F46))</f>
        <v>-0</v>
      </c>
      <c r="CR46" s="47" t="n">
        <f aca="false">-$E46*N(AND(CR$3&lt;=$F46,CR$4&gt;=$F46))</f>
        <v>-0</v>
      </c>
      <c r="CS46" s="47" t="n">
        <f aca="false">-$E46*N(AND(CS$3&lt;=$F46,CS$4&gt;=$F46))</f>
        <v>-0</v>
      </c>
      <c r="CT46" s="47" t="n">
        <f aca="false">-$E46*N(AND(CT$3&lt;=$F46,CT$4&gt;=$F46))</f>
        <v>-0</v>
      </c>
      <c r="CU46" s="47" t="n">
        <f aca="false">-$E46*N(AND(CU$3&lt;=$F46,CU$4&gt;=$F46))</f>
        <v>-0</v>
      </c>
      <c r="CV46" s="47" t="n">
        <f aca="false">-$E46*N(AND(CV$3&lt;=$F46,CV$4&gt;=$F46))</f>
        <v>-0</v>
      </c>
      <c r="CW46" s="47" t="n">
        <f aca="false">-$E46*N(AND(CW$3&lt;=$F46,CW$4&gt;=$F46))</f>
        <v>-0</v>
      </c>
      <c r="CX46" s="47" t="n">
        <f aca="false">-$E46*N(AND(CX$3&lt;=$F46,CX$4&gt;=$F46))</f>
        <v>-0</v>
      </c>
      <c r="CY46" s="47" t="n">
        <f aca="false">-$E46*N(AND(CY$3&lt;=$F46,CY$4&gt;=$F46))</f>
        <v>-0</v>
      </c>
      <c r="CZ46" s="47" t="n">
        <f aca="false">-$E46*N(AND(CZ$3&lt;=$F46,CZ$4&gt;=$F46))</f>
        <v>-0</v>
      </c>
      <c r="DA46" s="47" t="n">
        <f aca="false">-$E46*N(AND(DA$3&lt;=$F46,DA$4&gt;=$F46))</f>
        <v>-0</v>
      </c>
      <c r="DB46" s="47" t="n">
        <f aca="false">-$E46*N(AND(DB$3&lt;=$F46,DB$4&gt;=$F46))</f>
        <v>-0</v>
      </c>
      <c r="DC46" s="47" t="n">
        <f aca="false">-$E46*N(AND(DC$3&lt;=$F46,DC$4&gt;=$F46))</f>
        <v>-0</v>
      </c>
      <c r="DD46" s="47" t="n">
        <f aca="false">-$E46*N(AND(DD$3&lt;=$F46,DD$4&gt;=$F46))</f>
        <v>-0</v>
      </c>
      <c r="DE46" s="47" t="n">
        <f aca="false">-$E46*N(AND(DE$3&lt;=$F46,DE$4&gt;=$F46))</f>
        <v>-0</v>
      </c>
      <c r="DF46" s="47" t="n">
        <f aca="false">-$E46*N(AND(DF$3&lt;=$F46,DF$4&gt;=$F46))</f>
        <v>-0</v>
      </c>
      <c r="DG46" s="47" t="n">
        <f aca="false">-$E46*N(AND(DG$3&lt;=$F46,DG$4&gt;=$F46))</f>
        <v>-0</v>
      </c>
      <c r="DH46" s="47" t="n">
        <f aca="false">-$E46*N(AND(DH$3&lt;=$F46,DH$4&gt;=$F46))</f>
        <v>-0</v>
      </c>
      <c r="DI46" s="47" t="n">
        <f aca="false">-$E46*N(AND(DI$3&lt;=$F46,DI$4&gt;=$F46))</f>
        <v>-0</v>
      </c>
      <c r="DJ46" s="47" t="n">
        <f aca="false">-$E46*N(AND(DJ$3&lt;=$F46,DJ$4&gt;=$F46))</f>
        <v>-0</v>
      </c>
      <c r="DK46" s="47" t="n">
        <f aca="false">-$E46*N(AND(DK$3&lt;=$F46,DK$4&gt;=$F46))</f>
        <v>-0</v>
      </c>
      <c r="DL46" s="47" t="n">
        <f aca="false">-$E46*N(AND(DL$3&lt;=$F46,DL$4&gt;=$F46))</f>
        <v>-0</v>
      </c>
      <c r="DM46" s="47" t="n">
        <f aca="false">-$E46*N(AND(DM$3&lt;=$F46,DM$4&gt;=$F46))</f>
        <v>-0</v>
      </c>
      <c r="DN46" s="47" t="n">
        <f aca="false">-$E46*N(AND(DN$3&lt;=$F46,DN$4&gt;=$F46))</f>
        <v>-0</v>
      </c>
      <c r="DO46" s="47" t="n">
        <f aca="false">-$E46*N(AND(DO$3&lt;=$F46,DO$4&gt;=$F46))</f>
        <v>-0</v>
      </c>
      <c r="DP46" s="47" t="n">
        <f aca="false">-$E46*N(AND(DP$3&lt;=$F46,DP$4&gt;=$F46))</f>
        <v>-0</v>
      </c>
      <c r="DQ46" s="47" t="n">
        <f aca="false">-$E46*N(AND(DQ$3&lt;=$F46,DQ$4&gt;=$F46))</f>
        <v>-0</v>
      </c>
      <c r="DR46" s="47" t="n">
        <f aca="false">-$E46*N(AND(DR$3&lt;=$F46,DR$4&gt;=$F46))</f>
        <v>-0</v>
      </c>
      <c r="DS46" s="47" t="n">
        <f aca="false">-$E46*N(AND(DS$3&lt;=$F46,DS$4&gt;=$F46))</f>
        <v>-0</v>
      </c>
      <c r="DT46" s="47" t="n">
        <f aca="false">-$E46*N(AND(DT$3&lt;=$F46,DT$4&gt;=$F46))</f>
        <v>-0</v>
      </c>
      <c r="DU46" s="47" t="n">
        <f aca="false">-$E46*N(AND(DU$3&lt;=$F46,DU$4&gt;=$F46))</f>
        <v>-0</v>
      </c>
      <c r="DV46" s="47" t="n">
        <f aca="false">-$E46*N(AND(DV$3&lt;=$F46,DV$4&gt;=$F46))</f>
        <v>-0</v>
      </c>
      <c r="DW46" s="47" t="n">
        <f aca="false">-$E46*N(AND(DW$3&lt;=$F46,DW$4&gt;=$F46))</f>
        <v>-0</v>
      </c>
      <c r="DX46" s="47" t="n">
        <f aca="false">-$E46*N(AND(DX$3&lt;=$F46,DX$4&gt;=$F46))</f>
        <v>-0</v>
      </c>
      <c r="DY46" s="47" t="n">
        <f aca="false">-$E46*N(AND(DY$3&lt;=$F46,DY$4&gt;=$F46))</f>
        <v>-0</v>
      </c>
      <c r="DZ46" s="47" t="n">
        <f aca="false">-$E46*N(AND(DZ$3&lt;=$F46,DZ$4&gt;=$F46))</f>
        <v>-0</v>
      </c>
      <c r="EA46" s="47" t="n">
        <f aca="false">-$E46*N(AND(EA$3&lt;=$F46,EA$4&gt;=$F46))</f>
        <v>-0</v>
      </c>
      <c r="EB46" s="47" t="n">
        <f aca="false">-$E46*N(AND(EB$3&lt;=$F46,EB$4&gt;=$F46))</f>
        <v>-0</v>
      </c>
      <c r="EC46" s="47" t="n">
        <f aca="false">-$E46*N(AND(EC$3&lt;=$F46,EC$4&gt;=$F46))</f>
        <v>-0</v>
      </c>
      <c r="ED46" s="47" t="n">
        <f aca="false">-$E46*N(AND(ED$3&lt;=$F46,ED$4&gt;=$F46))</f>
        <v>-0</v>
      </c>
      <c r="EE46" s="47" t="n">
        <f aca="false">-$E46*N(AND(EE$3&lt;=$F46,EE$4&gt;=$F46))</f>
        <v>-0</v>
      </c>
      <c r="EF46" s="47" t="n">
        <f aca="false">-$E46*N(AND(EF$3&lt;=$F46,EF$4&gt;=$F46))</f>
        <v>-0</v>
      </c>
      <c r="EG46" s="47" t="n">
        <f aca="false">-$E46*N(AND(EG$3&lt;=$F46,EG$4&gt;=$F46))</f>
        <v>-0</v>
      </c>
      <c r="EH46" s="47" t="n">
        <f aca="false">-$E46*N(AND(EH$3&lt;=$F46,EH$4&gt;=$F46))</f>
        <v>-0</v>
      </c>
      <c r="EI46" s="47" t="n">
        <f aca="false">-$E46*N(AND(EI$3&lt;=$F46,EI$4&gt;=$F46))</f>
        <v>-0</v>
      </c>
      <c r="EJ46" s="47" t="n">
        <f aca="false">-$E46*N(AND(EJ$3&lt;=$F46,EJ$4&gt;=$F46))</f>
        <v>-0</v>
      </c>
      <c r="EK46" s="47" t="n">
        <f aca="false">-$E46*N(AND(EK$3&lt;=$F46,EK$4&gt;=$F46))</f>
        <v>-0</v>
      </c>
      <c r="EL46" s="47" t="n">
        <f aca="false">-$E46*N(AND(EL$3&lt;=$F46,EL$4&gt;=$F46))</f>
        <v>-0</v>
      </c>
      <c r="EM46" s="47" t="n">
        <f aca="false">-$E46*N(AND(EM$3&lt;=$F46,EM$4&gt;=$F46))</f>
        <v>-0</v>
      </c>
      <c r="EN46" s="47" t="n">
        <f aca="false">-$E46*N(AND(EN$3&lt;=$F46,EN$4&gt;=$F46))</f>
        <v>-0</v>
      </c>
      <c r="EO46" s="47" t="n">
        <f aca="false">-$E46*N(AND(EO$3&lt;=$F46,EO$4&gt;=$F46))</f>
        <v>-0</v>
      </c>
      <c r="EP46" s="47" t="n">
        <f aca="false">-$E46*N(AND(EP$3&lt;=$F46,EP$4&gt;=$F46))</f>
        <v>-0</v>
      </c>
      <c r="EQ46" s="47" t="n">
        <f aca="false">-$E46*N(AND(EQ$3&lt;=$F46,EQ$4&gt;=$F46))</f>
        <v>-0</v>
      </c>
      <c r="ER46" s="47" t="n">
        <f aca="false">-$E46*N(AND(ER$3&lt;=$F46,ER$4&gt;=$F46))</f>
        <v>-0</v>
      </c>
      <c r="ES46" s="47" t="n">
        <f aca="false">-$E46*N(AND(ES$3&lt;=$F46,ES$4&gt;=$F46))</f>
        <v>-0</v>
      </c>
      <c r="ET46" s="47" t="n">
        <f aca="false">-$E46*N(AND(ET$3&lt;=$F46,ET$4&gt;=$F46))</f>
        <v>-0</v>
      </c>
    </row>
    <row r="47" customFormat="false" ht="15" hidden="false" customHeight="false" outlineLevel="0" collapsed="false">
      <c r="C47" s="1" t="s">
        <v>476</v>
      </c>
      <c r="D47" s="12" t="s">
        <v>222</v>
      </c>
      <c r="E47" s="47" t="n">
        <f aca="false">In_Part_Fee*Thousand/In_FX</f>
        <v>8.21917808219178</v>
      </c>
      <c r="F47" s="28" t="n">
        <f aca="false">In_Bid_Date</f>
        <v>46325</v>
      </c>
      <c r="I47" s="47" t="n">
        <f aca="false">SUM(J47:ET47)</f>
        <v>-8.21917808219178</v>
      </c>
      <c r="J47" s="47" t="n">
        <f aca="false">-$E47*N(AND(J$3&lt;=$F47,J$4&gt;=$F47))</f>
        <v>-0</v>
      </c>
      <c r="K47" s="47" t="n">
        <f aca="false">-$E47*N(AND(K$3&lt;=$F47,K$4&gt;=$F47))</f>
        <v>-8.21917808219178</v>
      </c>
      <c r="L47" s="47" t="n">
        <f aca="false">-$E47*N(AND(L$3&lt;=$F47,L$4&gt;=$F47))</f>
        <v>-0</v>
      </c>
      <c r="M47" s="47" t="n">
        <f aca="false">-$E47*N(AND(M$3&lt;=$F47,M$4&gt;=$F47))</f>
        <v>-0</v>
      </c>
      <c r="N47" s="47" t="n">
        <f aca="false">-$E47*N(AND(N$3&lt;=$F47,N$4&gt;=$F47))</f>
        <v>-0</v>
      </c>
      <c r="O47" s="47" t="n">
        <f aca="false">-$E47*N(AND(O$3&lt;=$F47,O$4&gt;=$F47))</f>
        <v>-0</v>
      </c>
      <c r="P47" s="47" t="n">
        <f aca="false">-$E47*N(AND(P$3&lt;=$F47,P$4&gt;=$F47))</f>
        <v>-0</v>
      </c>
      <c r="Q47" s="47" t="n">
        <f aca="false">-$E47*N(AND(Q$3&lt;=$F47,Q$4&gt;=$F47))</f>
        <v>-0</v>
      </c>
      <c r="R47" s="47" t="n">
        <f aca="false">-$E47*N(AND(R$3&lt;=$F47,R$4&gt;=$F47))</f>
        <v>-0</v>
      </c>
      <c r="S47" s="47" t="n">
        <f aca="false">-$E47*N(AND(S$3&lt;=$F47,S$4&gt;=$F47))</f>
        <v>-0</v>
      </c>
      <c r="T47" s="47" t="n">
        <f aca="false">-$E47*N(AND(T$3&lt;=$F47,T$4&gt;=$F47))</f>
        <v>-0</v>
      </c>
      <c r="U47" s="47" t="n">
        <f aca="false">-$E47*N(AND(U$3&lt;=$F47,U$4&gt;=$F47))</f>
        <v>-0</v>
      </c>
      <c r="V47" s="47" t="n">
        <f aca="false">-$E47*N(AND(V$3&lt;=$F47,V$4&gt;=$F47))</f>
        <v>-0</v>
      </c>
      <c r="W47" s="47" t="n">
        <f aca="false">-$E47*N(AND(W$3&lt;=$F47,W$4&gt;=$F47))</f>
        <v>-0</v>
      </c>
      <c r="X47" s="47" t="n">
        <f aca="false">-$E47*N(AND(X$3&lt;=$F47,X$4&gt;=$F47))</f>
        <v>-0</v>
      </c>
      <c r="Y47" s="47" t="n">
        <f aca="false">-$E47*N(AND(Y$3&lt;=$F47,Y$4&gt;=$F47))</f>
        <v>-0</v>
      </c>
      <c r="Z47" s="47" t="n">
        <f aca="false">-$E47*N(AND(Z$3&lt;=$F47,Z$4&gt;=$F47))</f>
        <v>-0</v>
      </c>
      <c r="AA47" s="47" t="n">
        <f aca="false">-$E47*N(AND(AA$3&lt;=$F47,AA$4&gt;=$F47))</f>
        <v>-0</v>
      </c>
      <c r="AB47" s="47" t="n">
        <f aca="false">-$E47*N(AND(AB$3&lt;=$F47,AB$4&gt;=$F47))</f>
        <v>-0</v>
      </c>
      <c r="AC47" s="47" t="n">
        <f aca="false">-$E47*N(AND(AC$3&lt;=$F47,AC$4&gt;=$F47))</f>
        <v>-0</v>
      </c>
      <c r="AD47" s="47" t="n">
        <f aca="false">-$E47*N(AND(AD$3&lt;=$F47,AD$4&gt;=$F47))</f>
        <v>-0</v>
      </c>
      <c r="AE47" s="47" t="n">
        <f aca="false">-$E47*N(AND(AE$3&lt;=$F47,AE$4&gt;=$F47))</f>
        <v>-0</v>
      </c>
      <c r="AF47" s="47" t="n">
        <f aca="false">-$E47*N(AND(AF$3&lt;=$F47,AF$4&gt;=$F47))</f>
        <v>-0</v>
      </c>
      <c r="AG47" s="47" t="n">
        <f aca="false">-$E47*N(AND(AG$3&lt;=$F47,AG$4&gt;=$F47))</f>
        <v>-0</v>
      </c>
      <c r="AH47" s="47" t="n">
        <f aca="false">-$E47*N(AND(AH$3&lt;=$F47,AH$4&gt;=$F47))</f>
        <v>-0</v>
      </c>
      <c r="AI47" s="47" t="n">
        <f aca="false">-$E47*N(AND(AI$3&lt;=$F47,AI$4&gt;=$F47))</f>
        <v>-0</v>
      </c>
      <c r="AJ47" s="47" t="n">
        <f aca="false">-$E47*N(AND(AJ$3&lt;=$F47,AJ$4&gt;=$F47))</f>
        <v>-0</v>
      </c>
      <c r="AK47" s="47" t="n">
        <f aca="false">-$E47*N(AND(AK$3&lt;=$F47,AK$4&gt;=$F47))</f>
        <v>-0</v>
      </c>
      <c r="AL47" s="47" t="n">
        <f aca="false">-$E47*N(AND(AL$3&lt;=$F47,AL$4&gt;=$F47))</f>
        <v>-0</v>
      </c>
      <c r="AM47" s="47" t="n">
        <f aca="false">-$E47*N(AND(AM$3&lt;=$F47,AM$4&gt;=$F47))</f>
        <v>-0</v>
      </c>
      <c r="AN47" s="47" t="n">
        <f aca="false">-$E47*N(AND(AN$3&lt;=$F47,AN$4&gt;=$F47))</f>
        <v>-0</v>
      </c>
      <c r="AO47" s="47" t="n">
        <f aca="false">-$E47*N(AND(AO$3&lt;=$F47,AO$4&gt;=$F47))</f>
        <v>-0</v>
      </c>
      <c r="AP47" s="47" t="n">
        <f aca="false">-$E47*N(AND(AP$3&lt;=$F47,AP$4&gt;=$F47))</f>
        <v>-0</v>
      </c>
      <c r="AQ47" s="47" t="n">
        <f aca="false">-$E47*N(AND(AQ$3&lt;=$F47,AQ$4&gt;=$F47))</f>
        <v>-0</v>
      </c>
      <c r="AR47" s="47" t="n">
        <f aca="false">-$E47*N(AND(AR$3&lt;=$F47,AR$4&gt;=$F47))</f>
        <v>-0</v>
      </c>
      <c r="AS47" s="47" t="n">
        <f aca="false">-$E47*N(AND(AS$3&lt;=$F47,AS$4&gt;=$F47))</f>
        <v>-0</v>
      </c>
      <c r="AT47" s="47" t="n">
        <f aca="false">-$E47*N(AND(AT$3&lt;=$F47,AT$4&gt;=$F47))</f>
        <v>-0</v>
      </c>
      <c r="AU47" s="47" t="n">
        <f aca="false">-$E47*N(AND(AU$3&lt;=$F47,AU$4&gt;=$F47))</f>
        <v>-0</v>
      </c>
      <c r="AV47" s="47" t="n">
        <f aca="false">-$E47*N(AND(AV$3&lt;=$F47,AV$4&gt;=$F47))</f>
        <v>-0</v>
      </c>
      <c r="AW47" s="47" t="n">
        <f aca="false">-$E47*N(AND(AW$3&lt;=$F47,AW$4&gt;=$F47))</f>
        <v>-0</v>
      </c>
      <c r="AX47" s="47" t="n">
        <f aca="false">-$E47*N(AND(AX$3&lt;=$F47,AX$4&gt;=$F47))</f>
        <v>-0</v>
      </c>
      <c r="AY47" s="47" t="n">
        <f aca="false">-$E47*N(AND(AY$3&lt;=$F47,AY$4&gt;=$F47))</f>
        <v>-0</v>
      </c>
      <c r="AZ47" s="47" t="n">
        <f aca="false">-$E47*N(AND(AZ$3&lt;=$F47,AZ$4&gt;=$F47))</f>
        <v>-0</v>
      </c>
      <c r="BA47" s="47" t="n">
        <f aca="false">-$E47*N(AND(BA$3&lt;=$F47,BA$4&gt;=$F47))</f>
        <v>-0</v>
      </c>
      <c r="BB47" s="47" t="n">
        <f aca="false">-$E47*N(AND(BB$3&lt;=$F47,BB$4&gt;=$F47))</f>
        <v>-0</v>
      </c>
      <c r="BC47" s="47" t="n">
        <f aca="false">-$E47*N(AND(BC$3&lt;=$F47,BC$4&gt;=$F47))</f>
        <v>-0</v>
      </c>
      <c r="BD47" s="47" t="n">
        <f aca="false">-$E47*N(AND(BD$3&lt;=$F47,BD$4&gt;=$F47))</f>
        <v>-0</v>
      </c>
      <c r="BE47" s="47" t="n">
        <f aca="false">-$E47*N(AND(BE$3&lt;=$F47,BE$4&gt;=$F47))</f>
        <v>-0</v>
      </c>
      <c r="BF47" s="47" t="n">
        <f aca="false">-$E47*N(AND(BF$3&lt;=$F47,BF$4&gt;=$F47))</f>
        <v>-0</v>
      </c>
      <c r="BG47" s="47" t="n">
        <f aca="false">-$E47*N(AND(BG$3&lt;=$F47,BG$4&gt;=$F47))</f>
        <v>-0</v>
      </c>
      <c r="BH47" s="47" t="n">
        <f aca="false">-$E47*N(AND(BH$3&lt;=$F47,BH$4&gt;=$F47))</f>
        <v>-0</v>
      </c>
      <c r="BI47" s="47" t="n">
        <f aca="false">-$E47*N(AND(BI$3&lt;=$F47,BI$4&gt;=$F47))</f>
        <v>-0</v>
      </c>
      <c r="BJ47" s="47" t="n">
        <f aca="false">-$E47*N(AND(BJ$3&lt;=$F47,BJ$4&gt;=$F47))</f>
        <v>-0</v>
      </c>
      <c r="BK47" s="47" t="n">
        <f aca="false">-$E47*N(AND(BK$3&lt;=$F47,BK$4&gt;=$F47))</f>
        <v>-0</v>
      </c>
      <c r="BL47" s="47" t="n">
        <f aca="false">-$E47*N(AND(BL$3&lt;=$F47,BL$4&gt;=$F47))</f>
        <v>-0</v>
      </c>
      <c r="BM47" s="47" t="n">
        <f aca="false">-$E47*N(AND(BM$3&lt;=$F47,BM$4&gt;=$F47))</f>
        <v>-0</v>
      </c>
      <c r="BN47" s="47" t="n">
        <f aca="false">-$E47*N(AND(BN$3&lt;=$F47,BN$4&gt;=$F47))</f>
        <v>-0</v>
      </c>
      <c r="BO47" s="47" t="n">
        <f aca="false">-$E47*N(AND(BO$3&lt;=$F47,BO$4&gt;=$F47))</f>
        <v>-0</v>
      </c>
      <c r="BP47" s="47" t="n">
        <f aca="false">-$E47*N(AND(BP$3&lt;=$F47,BP$4&gt;=$F47))</f>
        <v>-0</v>
      </c>
      <c r="BQ47" s="47" t="n">
        <f aca="false">-$E47*N(AND(BQ$3&lt;=$F47,BQ$4&gt;=$F47))</f>
        <v>-0</v>
      </c>
      <c r="BR47" s="47" t="n">
        <f aca="false">-$E47*N(AND(BR$3&lt;=$F47,BR$4&gt;=$F47))</f>
        <v>-0</v>
      </c>
      <c r="BS47" s="47" t="n">
        <f aca="false">-$E47*N(AND(BS$3&lt;=$F47,BS$4&gt;=$F47))</f>
        <v>-0</v>
      </c>
      <c r="BT47" s="47" t="n">
        <f aca="false">-$E47*N(AND(BT$3&lt;=$F47,BT$4&gt;=$F47))</f>
        <v>-0</v>
      </c>
      <c r="BU47" s="47" t="n">
        <f aca="false">-$E47*N(AND(BU$3&lt;=$F47,BU$4&gt;=$F47))</f>
        <v>-0</v>
      </c>
      <c r="BV47" s="47" t="n">
        <f aca="false">-$E47*N(AND(BV$3&lt;=$F47,BV$4&gt;=$F47))</f>
        <v>-0</v>
      </c>
      <c r="BW47" s="47" t="n">
        <f aca="false">-$E47*N(AND(BW$3&lt;=$F47,BW$4&gt;=$F47))</f>
        <v>-0</v>
      </c>
      <c r="BX47" s="47" t="n">
        <f aca="false">-$E47*N(AND(BX$3&lt;=$F47,BX$4&gt;=$F47))</f>
        <v>-0</v>
      </c>
      <c r="BY47" s="47" t="n">
        <f aca="false">-$E47*N(AND(BY$3&lt;=$F47,BY$4&gt;=$F47))</f>
        <v>-0</v>
      </c>
      <c r="BZ47" s="47" t="n">
        <f aca="false">-$E47*N(AND(BZ$3&lt;=$F47,BZ$4&gt;=$F47))</f>
        <v>-0</v>
      </c>
      <c r="CA47" s="47" t="n">
        <f aca="false">-$E47*N(AND(CA$3&lt;=$F47,CA$4&gt;=$F47))</f>
        <v>-0</v>
      </c>
      <c r="CB47" s="47" t="n">
        <f aca="false">-$E47*N(AND(CB$3&lt;=$F47,CB$4&gt;=$F47))</f>
        <v>-0</v>
      </c>
      <c r="CC47" s="47" t="n">
        <f aca="false">-$E47*N(AND(CC$3&lt;=$F47,CC$4&gt;=$F47))</f>
        <v>-0</v>
      </c>
      <c r="CD47" s="47" t="n">
        <f aca="false">-$E47*N(AND(CD$3&lt;=$F47,CD$4&gt;=$F47))</f>
        <v>-0</v>
      </c>
      <c r="CE47" s="47" t="n">
        <f aca="false">-$E47*N(AND(CE$3&lt;=$F47,CE$4&gt;=$F47))</f>
        <v>-0</v>
      </c>
      <c r="CF47" s="47" t="n">
        <f aca="false">-$E47*N(AND(CF$3&lt;=$F47,CF$4&gt;=$F47))</f>
        <v>-0</v>
      </c>
      <c r="CG47" s="47" t="n">
        <f aca="false">-$E47*N(AND(CG$3&lt;=$F47,CG$4&gt;=$F47))</f>
        <v>-0</v>
      </c>
      <c r="CH47" s="47" t="n">
        <f aca="false">-$E47*N(AND(CH$3&lt;=$F47,CH$4&gt;=$F47))</f>
        <v>-0</v>
      </c>
      <c r="CI47" s="47" t="n">
        <f aca="false">-$E47*N(AND(CI$3&lt;=$F47,CI$4&gt;=$F47))</f>
        <v>-0</v>
      </c>
      <c r="CJ47" s="47" t="n">
        <f aca="false">-$E47*N(AND(CJ$3&lt;=$F47,CJ$4&gt;=$F47))</f>
        <v>-0</v>
      </c>
      <c r="CK47" s="47" t="n">
        <f aca="false">-$E47*N(AND(CK$3&lt;=$F47,CK$4&gt;=$F47))</f>
        <v>-0</v>
      </c>
      <c r="CL47" s="47" t="n">
        <f aca="false">-$E47*N(AND(CL$3&lt;=$F47,CL$4&gt;=$F47))</f>
        <v>-0</v>
      </c>
      <c r="CM47" s="47" t="n">
        <f aca="false">-$E47*N(AND(CM$3&lt;=$F47,CM$4&gt;=$F47))</f>
        <v>-0</v>
      </c>
      <c r="CN47" s="47" t="n">
        <f aca="false">-$E47*N(AND(CN$3&lt;=$F47,CN$4&gt;=$F47))</f>
        <v>-0</v>
      </c>
      <c r="CO47" s="47" t="n">
        <f aca="false">-$E47*N(AND(CO$3&lt;=$F47,CO$4&gt;=$F47))</f>
        <v>-0</v>
      </c>
      <c r="CP47" s="47" t="n">
        <f aca="false">-$E47*N(AND(CP$3&lt;=$F47,CP$4&gt;=$F47))</f>
        <v>-0</v>
      </c>
      <c r="CQ47" s="47" t="n">
        <f aca="false">-$E47*N(AND(CQ$3&lt;=$F47,CQ$4&gt;=$F47))</f>
        <v>-0</v>
      </c>
      <c r="CR47" s="47" t="n">
        <f aca="false">-$E47*N(AND(CR$3&lt;=$F47,CR$4&gt;=$F47))</f>
        <v>-0</v>
      </c>
      <c r="CS47" s="47" t="n">
        <f aca="false">-$E47*N(AND(CS$3&lt;=$F47,CS$4&gt;=$F47))</f>
        <v>-0</v>
      </c>
      <c r="CT47" s="47" t="n">
        <f aca="false">-$E47*N(AND(CT$3&lt;=$F47,CT$4&gt;=$F47))</f>
        <v>-0</v>
      </c>
      <c r="CU47" s="47" t="n">
        <f aca="false">-$E47*N(AND(CU$3&lt;=$F47,CU$4&gt;=$F47))</f>
        <v>-0</v>
      </c>
      <c r="CV47" s="47" t="n">
        <f aca="false">-$E47*N(AND(CV$3&lt;=$F47,CV$4&gt;=$F47))</f>
        <v>-0</v>
      </c>
      <c r="CW47" s="47" t="n">
        <f aca="false">-$E47*N(AND(CW$3&lt;=$F47,CW$4&gt;=$F47))</f>
        <v>-0</v>
      </c>
      <c r="CX47" s="47" t="n">
        <f aca="false">-$E47*N(AND(CX$3&lt;=$F47,CX$4&gt;=$F47))</f>
        <v>-0</v>
      </c>
      <c r="CY47" s="47" t="n">
        <f aca="false">-$E47*N(AND(CY$3&lt;=$F47,CY$4&gt;=$F47))</f>
        <v>-0</v>
      </c>
      <c r="CZ47" s="47" t="n">
        <f aca="false">-$E47*N(AND(CZ$3&lt;=$F47,CZ$4&gt;=$F47))</f>
        <v>-0</v>
      </c>
      <c r="DA47" s="47" t="n">
        <f aca="false">-$E47*N(AND(DA$3&lt;=$F47,DA$4&gt;=$F47))</f>
        <v>-0</v>
      </c>
      <c r="DB47" s="47" t="n">
        <f aca="false">-$E47*N(AND(DB$3&lt;=$F47,DB$4&gt;=$F47))</f>
        <v>-0</v>
      </c>
      <c r="DC47" s="47" t="n">
        <f aca="false">-$E47*N(AND(DC$3&lt;=$F47,DC$4&gt;=$F47))</f>
        <v>-0</v>
      </c>
      <c r="DD47" s="47" t="n">
        <f aca="false">-$E47*N(AND(DD$3&lt;=$F47,DD$4&gt;=$F47))</f>
        <v>-0</v>
      </c>
      <c r="DE47" s="47" t="n">
        <f aca="false">-$E47*N(AND(DE$3&lt;=$F47,DE$4&gt;=$F47))</f>
        <v>-0</v>
      </c>
      <c r="DF47" s="47" t="n">
        <f aca="false">-$E47*N(AND(DF$3&lt;=$F47,DF$4&gt;=$F47))</f>
        <v>-0</v>
      </c>
      <c r="DG47" s="47" t="n">
        <f aca="false">-$E47*N(AND(DG$3&lt;=$F47,DG$4&gt;=$F47))</f>
        <v>-0</v>
      </c>
      <c r="DH47" s="47" t="n">
        <f aca="false">-$E47*N(AND(DH$3&lt;=$F47,DH$4&gt;=$F47))</f>
        <v>-0</v>
      </c>
      <c r="DI47" s="47" t="n">
        <f aca="false">-$E47*N(AND(DI$3&lt;=$F47,DI$4&gt;=$F47))</f>
        <v>-0</v>
      </c>
      <c r="DJ47" s="47" t="n">
        <f aca="false">-$E47*N(AND(DJ$3&lt;=$F47,DJ$4&gt;=$F47))</f>
        <v>-0</v>
      </c>
      <c r="DK47" s="47" t="n">
        <f aca="false">-$E47*N(AND(DK$3&lt;=$F47,DK$4&gt;=$F47))</f>
        <v>-0</v>
      </c>
      <c r="DL47" s="47" t="n">
        <f aca="false">-$E47*N(AND(DL$3&lt;=$F47,DL$4&gt;=$F47))</f>
        <v>-0</v>
      </c>
      <c r="DM47" s="47" t="n">
        <f aca="false">-$E47*N(AND(DM$3&lt;=$F47,DM$4&gt;=$F47))</f>
        <v>-0</v>
      </c>
      <c r="DN47" s="47" t="n">
        <f aca="false">-$E47*N(AND(DN$3&lt;=$F47,DN$4&gt;=$F47))</f>
        <v>-0</v>
      </c>
      <c r="DO47" s="47" t="n">
        <f aca="false">-$E47*N(AND(DO$3&lt;=$F47,DO$4&gt;=$F47))</f>
        <v>-0</v>
      </c>
      <c r="DP47" s="47" t="n">
        <f aca="false">-$E47*N(AND(DP$3&lt;=$F47,DP$4&gt;=$F47))</f>
        <v>-0</v>
      </c>
      <c r="DQ47" s="47" t="n">
        <f aca="false">-$E47*N(AND(DQ$3&lt;=$F47,DQ$4&gt;=$F47))</f>
        <v>-0</v>
      </c>
      <c r="DR47" s="47" t="n">
        <f aca="false">-$E47*N(AND(DR$3&lt;=$F47,DR$4&gt;=$F47))</f>
        <v>-0</v>
      </c>
      <c r="DS47" s="47" t="n">
        <f aca="false">-$E47*N(AND(DS$3&lt;=$F47,DS$4&gt;=$F47))</f>
        <v>-0</v>
      </c>
      <c r="DT47" s="47" t="n">
        <f aca="false">-$E47*N(AND(DT$3&lt;=$F47,DT$4&gt;=$F47))</f>
        <v>-0</v>
      </c>
      <c r="DU47" s="47" t="n">
        <f aca="false">-$E47*N(AND(DU$3&lt;=$F47,DU$4&gt;=$F47))</f>
        <v>-0</v>
      </c>
      <c r="DV47" s="47" t="n">
        <f aca="false">-$E47*N(AND(DV$3&lt;=$F47,DV$4&gt;=$F47))</f>
        <v>-0</v>
      </c>
      <c r="DW47" s="47" t="n">
        <f aca="false">-$E47*N(AND(DW$3&lt;=$F47,DW$4&gt;=$F47))</f>
        <v>-0</v>
      </c>
      <c r="DX47" s="47" t="n">
        <f aca="false">-$E47*N(AND(DX$3&lt;=$F47,DX$4&gt;=$F47))</f>
        <v>-0</v>
      </c>
      <c r="DY47" s="47" t="n">
        <f aca="false">-$E47*N(AND(DY$3&lt;=$F47,DY$4&gt;=$F47))</f>
        <v>-0</v>
      </c>
      <c r="DZ47" s="47" t="n">
        <f aca="false">-$E47*N(AND(DZ$3&lt;=$F47,DZ$4&gt;=$F47))</f>
        <v>-0</v>
      </c>
      <c r="EA47" s="47" t="n">
        <f aca="false">-$E47*N(AND(EA$3&lt;=$F47,EA$4&gt;=$F47))</f>
        <v>-0</v>
      </c>
      <c r="EB47" s="47" t="n">
        <f aca="false">-$E47*N(AND(EB$3&lt;=$F47,EB$4&gt;=$F47))</f>
        <v>-0</v>
      </c>
      <c r="EC47" s="47" t="n">
        <f aca="false">-$E47*N(AND(EC$3&lt;=$F47,EC$4&gt;=$F47))</f>
        <v>-0</v>
      </c>
      <c r="ED47" s="47" t="n">
        <f aca="false">-$E47*N(AND(ED$3&lt;=$F47,ED$4&gt;=$F47))</f>
        <v>-0</v>
      </c>
      <c r="EE47" s="47" t="n">
        <f aca="false">-$E47*N(AND(EE$3&lt;=$F47,EE$4&gt;=$F47))</f>
        <v>-0</v>
      </c>
      <c r="EF47" s="47" t="n">
        <f aca="false">-$E47*N(AND(EF$3&lt;=$F47,EF$4&gt;=$F47))</f>
        <v>-0</v>
      </c>
      <c r="EG47" s="47" t="n">
        <f aca="false">-$E47*N(AND(EG$3&lt;=$F47,EG$4&gt;=$F47))</f>
        <v>-0</v>
      </c>
      <c r="EH47" s="47" t="n">
        <f aca="false">-$E47*N(AND(EH$3&lt;=$F47,EH$4&gt;=$F47))</f>
        <v>-0</v>
      </c>
      <c r="EI47" s="47" t="n">
        <f aca="false">-$E47*N(AND(EI$3&lt;=$F47,EI$4&gt;=$F47))</f>
        <v>-0</v>
      </c>
      <c r="EJ47" s="47" t="n">
        <f aca="false">-$E47*N(AND(EJ$3&lt;=$F47,EJ$4&gt;=$F47))</f>
        <v>-0</v>
      </c>
      <c r="EK47" s="47" t="n">
        <f aca="false">-$E47*N(AND(EK$3&lt;=$F47,EK$4&gt;=$F47))</f>
        <v>-0</v>
      </c>
      <c r="EL47" s="47" t="n">
        <f aca="false">-$E47*N(AND(EL$3&lt;=$F47,EL$4&gt;=$F47))</f>
        <v>-0</v>
      </c>
      <c r="EM47" s="47" t="n">
        <f aca="false">-$E47*N(AND(EM$3&lt;=$F47,EM$4&gt;=$F47))</f>
        <v>-0</v>
      </c>
      <c r="EN47" s="47" t="n">
        <f aca="false">-$E47*N(AND(EN$3&lt;=$F47,EN$4&gt;=$F47))</f>
        <v>-0</v>
      </c>
      <c r="EO47" s="47" t="n">
        <f aca="false">-$E47*N(AND(EO$3&lt;=$F47,EO$4&gt;=$F47))</f>
        <v>-0</v>
      </c>
      <c r="EP47" s="47" t="n">
        <f aca="false">-$E47*N(AND(EP$3&lt;=$F47,EP$4&gt;=$F47))</f>
        <v>-0</v>
      </c>
      <c r="EQ47" s="47" t="n">
        <f aca="false">-$E47*N(AND(EQ$3&lt;=$F47,EQ$4&gt;=$F47))</f>
        <v>-0</v>
      </c>
      <c r="ER47" s="47" t="n">
        <f aca="false">-$E47*N(AND(ER$3&lt;=$F47,ER$4&gt;=$F47))</f>
        <v>-0</v>
      </c>
      <c r="ES47" s="47" t="n">
        <f aca="false">-$E47*N(AND(ES$3&lt;=$F47,ES$4&gt;=$F47))</f>
        <v>-0</v>
      </c>
      <c r="ET47" s="47" t="n">
        <f aca="false">-$E47*N(AND(ET$3&lt;=$F47,ET$4&gt;=$F47))</f>
        <v>-0</v>
      </c>
    </row>
    <row r="48" customFormat="false" ht="15" hidden="false" customHeight="false" outlineLevel="0" collapsed="false">
      <c r="C48" s="1" t="s">
        <v>477</v>
      </c>
      <c r="D48" s="12" t="s">
        <v>222</v>
      </c>
      <c r="E48" s="47" t="n">
        <f aca="false">In_Bid_Rate*$E45*Thousand/In_FX</f>
        <v>1216.98630136986</v>
      </c>
      <c r="F48" s="28" t="n">
        <f aca="false">In_Bid_Date</f>
        <v>46325</v>
      </c>
      <c r="J48" s="47" t="n">
        <f aca="false">$E48*MAX(0,(MIN(In_Award_Date+In_PB_Days-1,J$4)-MAX($F48,J$3)+1)/J$5)</f>
        <v>0</v>
      </c>
      <c r="K48" s="47" t="n">
        <f aca="false">$E48*MAX(0,(MIN(In_Award_Date+In_PB_Days-1,K$4)-MAX($F48,K$3)+1)/K$5)</f>
        <v>780.458606313282</v>
      </c>
      <c r="L48" s="47" t="n">
        <f aca="false">$E48*MAX(0,(MIN(In_Award_Date+In_PB_Days-1,L$4)-MAX($F48,L$3)+1)/L$5)</f>
        <v>0</v>
      </c>
      <c r="M48" s="47" t="n">
        <f aca="false">$E48*MAX(0,(MIN(In_Award_Date+In_PB_Days-1,M$4)-MAX($F48,M$3)+1)/M$5)</f>
        <v>0</v>
      </c>
      <c r="N48" s="47" t="n">
        <f aca="false">$E48*MAX(0,(MIN(In_Award_Date+In_PB_Days-1,N$4)-MAX($F48,N$3)+1)/N$5)</f>
        <v>0</v>
      </c>
      <c r="O48" s="47" t="n">
        <f aca="false">$E48*MAX(0,(MIN(In_Award_Date+In_PB_Days-1,O$4)-MAX($F48,O$3)+1)/O$5)</f>
        <v>0</v>
      </c>
      <c r="P48" s="47" t="n">
        <f aca="false">$E48*MAX(0,(MIN(In_Award_Date+In_PB_Days-1,P$4)-MAX($F48,P$3)+1)/P$5)</f>
        <v>0</v>
      </c>
      <c r="Q48" s="47" t="n">
        <f aca="false">$E48*MAX(0,(MIN(In_Award_Date+In_PB_Days-1,Q$4)-MAX($F48,Q$3)+1)/Q$5)</f>
        <v>0</v>
      </c>
      <c r="R48" s="47" t="n">
        <f aca="false">$E48*MAX(0,(MIN(In_Award_Date+In_PB_Days-1,R$4)-MAX($F48,R$3)+1)/R$5)</f>
        <v>0</v>
      </c>
      <c r="S48" s="47" t="n">
        <f aca="false">$E48*MAX(0,(MIN(In_Award_Date+In_PB_Days-1,S$4)-MAX($F48,S$3)+1)/S$5)</f>
        <v>0</v>
      </c>
      <c r="T48" s="47" t="n">
        <f aca="false">$E48*MAX(0,(MIN(In_Award_Date+In_PB_Days-1,T$4)-MAX($F48,T$3)+1)/T$5)</f>
        <v>0</v>
      </c>
      <c r="U48" s="47" t="n">
        <f aca="false">$E48*MAX(0,(MIN(In_Award_Date+In_PB_Days-1,U$4)-MAX($F48,U$3)+1)/U$5)</f>
        <v>0</v>
      </c>
      <c r="V48" s="47" t="n">
        <f aca="false">$E48*MAX(0,(MIN(In_Award_Date+In_PB_Days-1,V$4)-MAX($F48,V$3)+1)/V$5)</f>
        <v>0</v>
      </c>
      <c r="W48" s="47" t="n">
        <f aca="false">$E48*MAX(0,(MIN(In_Award_Date+In_PB_Days-1,W$4)-MAX($F48,W$3)+1)/W$5)</f>
        <v>0</v>
      </c>
      <c r="X48" s="47" t="n">
        <f aca="false">$E48*MAX(0,(MIN(In_Award_Date+In_PB_Days-1,X$4)-MAX($F48,X$3)+1)/X$5)</f>
        <v>0</v>
      </c>
      <c r="Y48" s="47" t="n">
        <f aca="false">$E48*MAX(0,(MIN(In_Award_Date+In_PB_Days-1,Y$4)-MAX($F48,Y$3)+1)/Y$5)</f>
        <v>0</v>
      </c>
      <c r="Z48" s="47" t="n">
        <f aca="false">$E48*MAX(0,(MIN(In_Award_Date+In_PB_Days-1,Z$4)-MAX($F48,Z$3)+1)/Z$5)</f>
        <v>0</v>
      </c>
      <c r="AA48" s="47" t="n">
        <f aca="false">$E48*MAX(0,(MIN(In_Award_Date+In_PB_Days-1,AA$4)-MAX($F48,AA$3)+1)/AA$5)</f>
        <v>0</v>
      </c>
      <c r="AB48" s="47" t="n">
        <f aca="false">$E48*MAX(0,(MIN(In_Award_Date+In_PB_Days-1,AB$4)-MAX($F48,AB$3)+1)/AB$5)</f>
        <v>0</v>
      </c>
      <c r="AC48" s="47" t="n">
        <f aca="false">$E48*MAX(0,(MIN(In_Award_Date+In_PB_Days-1,AC$4)-MAX($F48,AC$3)+1)/AC$5)</f>
        <v>0</v>
      </c>
      <c r="AD48" s="47" t="n">
        <f aca="false">$E48*MAX(0,(MIN(In_Award_Date+In_PB_Days-1,AD$4)-MAX($F48,AD$3)+1)/AD$5)</f>
        <v>0</v>
      </c>
      <c r="AE48" s="47" t="n">
        <f aca="false">$E48*MAX(0,(MIN(In_Award_Date+In_PB_Days-1,AE$4)-MAX($F48,AE$3)+1)/AE$5)</f>
        <v>0</v>
      </c>
      <c r="AF48" s="47" t="n">
        <f aca="false">$E48*MAX(0,(MIN(In_Award_Date+In_PB_Days-1,AF$4)-MAX($F48,AF$3)+1)/AF$5)</f>
        <v>0</v>
      </c>
      <c r="AG48" s="47" t="n">
        <f aca="false">$E48*MAX(0,(MIN(In_Award_Date+In_PB_Days-1,AG$4)-MAX($F48,AG$3)+1)/AG$5)</f>
        <v>0</v>
      </c>
      <c r="AH48" s="47" t="n">
        <f aca="false">$E48*MAX(0,(MIN(In_Award_Date+In_PB_Days-1,AH$4)-MAX($F48,AH$3)+1)/AH$5)</f>
        <v>0</v>
      </c>
      <c r="AI48" s="47" t="n">
        <f aca="false">$E48*MAX(0,(MIN(In_Award_Date+In_PB_Days-1,AI$4)-MAX($F48,AI$3)+1)/AI$5)</f>
        <v>0</v>
      </c>
      <c r="AJ48" s="47" t="n">
        <f aca="false">$E48*MAX(0,(MIN(In_Award_Date+In_PB_Days-1,AJ$4)-MAX($F48,AJ$3)+1)/AJ$5)</f>
        <v>0</v>
      </c>
      <c r="AK48" s="47" t="n">
        <f aca="false">$E48*MAX(0,(MIN(In_Award_Date+In_PB_Days-1,AK$4)-MAX($F48,AK$3)+1)/AK$5)</f>
        <v>0</v>
      </c>
      <c r="AL48" s="47" t="n">
        <f aca="false">$E48*MAX(0,(MIN(In_Award_Date+In_PB_Days-1,AL$4)-MAX($F48,AL$3)+1)/AL$5)</f>
        <v>0</v>
      </c>
      <c r="AM48" s="47" t="n">
        <f aca="false">$E48*MAX(0,(MIN(In_Award_Date+In_PB_Days-1,AM$4)-MAX($F48,AM$3)+1)/AM$5)</f>
        <v>0</v>
      </c>
      <c r="AN48" s="47" t="n">
        <f aca="false">$E48*MAX(0,(MIN(In_Award_Date+In_PB_Days-1,AN$4)-MAX($F48,AN$3)+1)/AN$5)</f>
        <v>0</v>
      </c>
      <c r="AO48" s="47" t="n">
        <f aca="false">$E48*MAX(0,(MIN(In_Award_Date+In_PB_Days-1,AO$4)-MAX($F48,AO$3)+1)/AO$5)</f>
        <v>0</v>
      </c>
      <c r="AP48" s="47" t="n">
        <f aca="false">$E48*MAX(0,(MIN(In_Award_Date+In_PB_Days-1,AP$4)-MAX($F48,AP$3)+1)/AP$5)</f>
        <v>0</v>
      </c>
      <c r="AQ48" s="47" t="n">
        <f aca="false">$E48*MAX(0,(MIN(In_Award_Date+In_PB_Days-1,AQ$4)-MAX($F48,AQ$3)+1)/AQ$5)</f>
        <v>0</v>
      </c>
      <c r="AR48" s="47" t="n">
        <f aca="false">$E48*MAX(0,(MIN(In_Award_Date+In_PB_Days-1,AR$4)-MAX($F48,AR$3)+1)/AR$5)</f>
        <v>0</v>
      </c>
      <c r="AS48" s="47" t="n">
        <f aca="false">$E48*MAX(0,(MIN(In_Award_Date+In_PB_Days-1,AS$4)-MAX($F48,AS$3)+1)/AS$5)</f>
        <v>0</v>
      </c>
      <c r="AT48" s="47" t="n">
        <f aca="false">$E48*MAX(0,(MIN(In_Award_Date+In_PB_Days-1,AT$4)-MAX($F48,AT$3)+1)/AT$5)</f>
        <v>0</v>
      </c>
      <c r="AU48" s="47" t="n">
        <f aca="false">$E48*MAX(0,(MIN(In_Award_Date+In_PB_Days-1,AU$4)-MAX($F48,AU$3)+1)/AU$5)</f>
        <v>0</v>
      </c>
      <c r="AV48" s="47" t="n">
        <f aca="false">$E48*MAX(0,(MIN(In_Award_Date+In_PB_Days-1,AV$4)-MAX($F48,AV$3)+1)/AV$5)</f>
        <v>0</v>
      </c>
      <c r="AW48" s="47" t="n">
        <f aca="false">$E48*MAX(0,(MIN(In_Award_Date+In_PB_Days-1,AW$4)-MAX($F48,AW$3)+1)/AW$5)</f>
        <v>0</v>
      </c>
      <c r="AX48" s="47" t="n">
        <f aca="false">$E48*MAX(0,(MIN(In_Award_Date+In_PB_Days-1,AX$4)-MAX($F48,AX$3)+1)/AX$5)</f>
        <v>0</v>
      </c>
      <c r="AY48" s="47" t="n">
        <f aca="false">$E48*MAX(0,(MIN(In_Award_Date+In_PB_Days-1,AY$4)-MAX($F48,AY$3)+1)/AY$5)</f>
        <v>0</v>
      </c>
      <c r="AZ48" s="47" t="n">
        <f aca="false">$E48*MAX(0,(MIN(In_Award_Date+In_PB_Days-1,AZ$4)-MAX($F48,AZ$3)+1)/AZ$5)</f>
        <v>0</v>
      </c>
      <c r="BA48" s="47" t="n">
        <f aca="false">$E48*MAX(0,(MIN(In_Award_Date+In_PB_Days-1,BA$4)-MAX($F48,BA$3)+1)/BA$5)</f>
        <v>0</v>
      </c>
      <c r="BB48" s="47" t="n">
        <f aca="false">$E48*MAX(0,(MIN(In_Award_Date+In_PB_Days-1,BB$4)-MAX($F48,BB$3)+1)/BB$5)</f>
        <v>0</v>
      </c>
      <c r="BC48" s="47" t="n">
        <f aca="false">$E48*MAX(0,(MIN(In_Award_Date+In_PB_Days-1,BC$4)-MAX($F48,BC$3)+1)/BC$5)</f>
        <v>0</v>
      </c>
      <c r="BD48" s="47" t="n">
        <f aca="false">$E48*MAX(0,(MIN(In_Award_Date+In_PB_Days-1,BD$4)-MAX($F48,BD$3)+1)/BD$5)</f>
        <v>0</v>
      </c>
      <c r="BE48" s="47" t="n">
        <f aca="false">$E48*MAX(0,(MIN(In_Award_Date+In_PB_Days-1,BE$4)-MAX($F48,BE$3)+1)/BE$5)</f>
        <v>0</v>
      </c>
      <c r="BF48" s="47" t="n">
        <f aca="false">$E48*MAX(0,(MIN(In_Award_Date+In_PB_Days-1,BF$4)-MAX($F48,BF$3)+1)/BF$5)</f>
        <v>0</v>
      </c>
      <c r="BG48" s="47" t="n">
        <f aca="false">$E48*MAX(0,(MIN(In_Award_Date+In_PB_Days-1,BG$4)-MAX($F48,BG$3)+1)/BG$5)</f>
        <v>0</v>
      </c>
      <c r="BH48" s="47" t="n">
        <f aca="false">$E48*MAX(0,(MIN(In_Award_Date+In_PB_Days-1,BH$4)-MAX($F48,BH$3)+1)/BH$5)</f>
        <v>0</v>
      </c>
      <c r="BI48" s="47" t="n">
        <f aca="false">$E48*MAX(0,(MIN(In_Award_Date+In_PB_Days-1,BI$4)-MAX($F48,BI$3)+1)/BI$5)</f>
        <v>0</v>
      </c>
      <c r="BJ48" s="47" t="n">
        <f aca="false">$E48*MAX(0,(MIN(In_Award_Date+In_PB_Days-1,BJ$4)-MAX($F48,BJ$3)+1)/BJ$5)</f>
        <v>0</v>
      </c>
      <c r="BK48" s="47" t="n">
        <f aca="false">$E48*MAX(0,(MIN(In_Award_Date+In_PB_Days-1,BK$4)-MAX($F48,BK$3)+1)/BK$5)</f>
        <v>0</v>
      </c>
      <c r="BL48" s="47" t="n">
        <f aca="false">$E48*MAX(0,(MIN(In_Award_Date+In_PB_Days-1,BL$4)-MAX($F48,BL$3)+1)/BL$5)</f>
        <v>0</v>
      </c>
      <c r="BM48" s="47" t="n">
        <f aca="false">$E48*MAX(0,(MIN(In_Award_Date+In_PB_Days-1,BM$4)-MAX($F48,BM$3)+1)/BM$5)</f>
        <v>0</v>
      </c>
      <c r="BN48" s="47" t="n">
        <f aca="false">$E48*MAX(0,(MIN(In_Award_Date+In_PB_Days-1,BN$4)-MAX($F48,BN$3)+1)/BN$5)</f>
        <v>0</v>
      </c>
      <c r="BO48" s="47" t="n">
        <f aca="false">$E48*MAX(0,(MIN(In_Award_Date+In_PB_Days-1,BO$4)-MAX($F48,BO$3)+1)/BO$5)</f>
        <v>0</v>
      </c>
      <c r="BP48" s="47" t="n">
        <f aca="false">$E48*MAX(0,(MIN(In_Award_Date+In_PB_Days-1,BP$4)-MAX($F48,BP$3)+1)/BP$5)</f>
        <v>0</v>
      </c>
      <c r="BQ48" s="47" t="n">
        <f aca="false">$E48*MAX(0,(MIN(In_Award_Date+In_PB_Days-1,BQ$4)-MAX($F48,BQ$3)+1)/BQ$5)</f>
        <v>0</v>
      </c>
      <c r="BR48" s="47" t="n">
        <f aca="false">$E48*MAX(0,(MIN(In_Award_Date+In_PB_Days-1,BR$4)-MAX($F48,BR$3)+1)/BR$5)</f>
        <v>0</v>
      </c>
      <c r="BS48" s="47" t="n">
        <f aca="false">$E48*MAX(0,(MIN(In_Award_Date+In_PB_Days-1,BS$4)-MAX($F48,BS$3)+1)/BS$5)</f>
        <v>0</v>
      </c>
      <c r="BT48" s="47" t="n">
        <f aca="false">$E48*MAX(0,(MIN(In_Award_Date+In_PB_Days-1,BT$4)-MAX($F48,BT$3)+1)/BT$5)</f>
        <v>0</v>
      </c>
      <c r="BU48" s="47" t="n">
        <f aca="false">$E48*MAX(0,(MIN(In_Award_Date+In_PB_Days-1,BU$4)-MAX($F48,BU$3)+1)/BU$5)</f>
        <v>0</v>
      </c>
      <c r="BV48" s="47" t="n">
        <f aca="false">$E48*MAX(0,(MIN(In_Award_Date+In_PB_Days-1,BV$4)-MAX($F48,BV$3)+1)/BV$5)</f>
        <v>0</v>
      </c>
      <c r="BW48" s="47" t="n">
        <f aca="false">$E48*MAX(0,(MIN(In_Award_Date+In_PB_Days-1,BW$4)-MAX($F48,BW$3)+1)/BW$5)</f>
        <v>0</v>
      </c>
      <c r="BX48" s="47" t="n">
        <f aca="false">$E48*MAX(0,(MIN(In_Award_Date+In_PB_Days-1,BX$4)-MAX($F48,BX$3)+1)/BX$5)</f>
        <v>0</v>
      </c>
      <c r="BY48" s="47" t="n">
        <f aca="false">$E48*MAX(0,(MIN(In_Award_Date+In_PB_Days-1,BY$4)-MAX($F48,BY$3)+1)/BY$5)</f>
        <v>0</v>
      </c>
      <c r="BZ48" s="47" t="n">
        <f aca="false">$E48*MAX(0,(MIN(In_Award_Date+In_PB_Days-1,BZ$4)-MAX($F48,BZ$3)+1)/BZ$5)</f>
        <v>0</v>
      </c>
      <c r="CA48" s="47" t="n">
        <f aca="false">$E48*MAX(0,(MIN(In_Award_Date+In_PB_Days-1,CA$4)-MAX($F48,CA$3)+1)/CA$5)</f>
        <v>0</v>
      </c>
      <c r="CB48" s="47" t="n">
        <f aca="false">$E48*MAX(0,(MIN(In_Award_Date+In_PB_Days-1,CB$4)-MAX($F48,CB$3)+1)/CB$5)</f>
        <v>0</v>
      </c>
      <c r="CC48" s="47" t="n">
        <f aca="false">$E48*MAX(0,(MIN(In_Award_Date+In_PB_Days-1,CC$4)-MAX($F48,CC$3)+1)/CC$5)</f>
        <v>0</v>
      </c>
      <c r="CD48" s="47" t="n">
        <f aca="false">$E48*MAX(0,(MIN(In_Award_Date+In_PB_Days-1,CD$4)-MAX($F48,CD$3)+1)/CD$5)</f>
        <v>0</v>
      </c>
      <c r="CE48" s="47" t="n">
        <f aca="false">$E48*MAX(0,(MIN(In_Award_Date+In_PB_Days-1,CE$4)-MAX($F48,CE$3)+1)/CE$5)</f>
        <v>0</v>
      </c>
      <c r="CF48" s="47" t="n">
        <f aca="false">$E48*MAX(0,(MIN(In_Award_Date+In_PB_Days-1,CF$4)-MAX($F48,CF$3)+1)/CF$5)</f>
        <v>0</v>
      </c>
      <c r="CG48" s="47" t="n">
        <f aca="false">$E48*MAX(0,(MIN(In_Award_Date+In_PB_Days-1,CG$4)-MAX($F48,CG$3)+1)/CG$5)</f>
        <v>0</v>
      </c>
      <c r="CH48" s="47" t="n">
        <f aca="false">$E48*MAX(0,(MIN(In_Award_Date+In_PB_Days-1,CH$4)-MAX($F48,CH$3)+1)/CH$5)</f>
        <v>0</v>
      </c>
      <c r="CI48" s="47" t="n">
        <f aca="false">$E48*MAX(0,(MIN(In_Award_Date+In_PB_Days-1,CI$4)-MAX($F48,CI$3)+1)/CI$5)</f>
        <v>0</v>
      </c>
      <c r="CJ48" s="47" t="n">
        <f aca="false">$E48*MAX(0,(MIN(In_Award_Date+In_PB_Days-1,CJ$4)-MAX($F48,CJ$3)+1)/CJ$5)</f>
        <v>0</v>
      </c>
      <c r="CK48" s="47" t="n">
        <f aca="false">$E48*MAX(0,(MIN(In_Award_Date+In_PB_Days-1,CK$4)-MAX($F48,CK$3)+1)/CK$5)</f>
        <v>0</v>
      </c>
      <c r="CL48" s="47" t="n">
        <f aca="false">$E48*MAX(0,(MIN(In_Award_Date+In_PB_Days-1,CL$4)-MAX($F48,CL$3)+1)/CL$5)</f>
        <v>0</v>
      </c>
      <c r="CM48" s="47" t="n">
        <f aca="false">$E48*MAX(0,(MIN(In_Award_Date+In_PB_Days-1,CM$4)-MAX($F48,CM$3)+1)/CM$5)</f>
        <v>0</v>
      </c>
      <c r="CN48" s="47" t="n">
        <f aca="false">$E48*MAX(0,(MIN(In_Award_Date+In_PB_Days-1,CN$4)-MAX($F48,CN$3)+1)/CN$5)</f>
        <v>0</v>
      </c>
      <c r="CO48" s="47" t="n">
        <f aca="false">$E48*MAX(0,(MIN(In_Award_Date+In_PB_Days-1,CO$4)-MAX($F48,CO$3)+1)/CO$5)</f>
        <v>0</v>
      </c>
      <c r="CP48" s="47" t="n">
        <f aca="false">$E48*MAX(0,(MIN(In_Award_Date+In_PB_Days-1,CP$4)-MAX($F48,CP$3)+1)/CP$5)</f>
        <v>0</v>
      </c>
      <c r="CQ48" s="47" t="n">
        <f aca="false">$E48*MAX(0,(MIN(In_Award_Date+In_PB_Days-1,CQ$4)-MAX($F48,CQ$3)+1)/CQ$5)</f>
        <v>0</v>
      </c>
      <c r="CR48" s="47" t="n">
        <f aca="false">$E48*MAX(0,(MIN(In_Award_Date+In_PB_Days-1,CR$4)-MAX($F48,CR$3)+1)/CR$5)</f>
        <v>0</v>
      </c>
      <c r="CS48" s="47" t="n">
        <f aca="false">$E48*MAX(0,(MIN(In_Award_Date+In_PB_Days-1,CS$4)-MAX($F48,CS$3)+1)/CS$5)</f>
        <v>0</v>
      </c>
      <c r="CT48" s="47" t="n">
        <f aca="false">$E48*MAX(0,(MIN(In_Award_Date+In_PB_Days-1,CT$4)-MAX($F48,CT$3)+1)/CT$5)</f>
        <v>0</v>
      </c>
      <c r="CU48" s="47" t="n">
        <f aca="false">$E48*MAX(0,(MIN(In_Award_Date+In_PB_Days-1,CU$4)-MAX($F48,CU$3)+1)/CU$5)</f>
        <v>0</v>
      </c>
      <c r="CV48" s="47" t="n">
        <f aca="false">$E48*MAX(0,(MIN(In_Award_Date+In_PB_Days-1,CV$4)-MAX($F48,CV$3)+1)/CV$5)</f>
        <v>0</v>
      </c>
      <c r="CW48" s="47" t="n">
        <f aca="false">$E48*MAX(0,(MIN(In_Award_Date+In_PB_Days-1,CW$4)-MAX($F48,CW$3)+1)/CW$5)</f>
        <v>0</v>
      </c>
      <c r="CX48" s="47" t="n">
        <f aca="false">$E48*MAX(0,(MIN(In_Award_Date+In_PB_Days-1,CX$4)-MAX($F48,CX$3)+1)/CX$5)</f>
        <v>0</v>
      </c>
      <c r="CY48" s="47" t="n">
        <f aca="false">$E48*MAX(0,(MIN(In_Award_Date+In_PB_Days-1,CY$4)-MAX($F48,CY$3)+1)/CY$5)</f>
        <v>0</v>
      </c>
      <c r="CZ48" s="47" t="n">
        <f aca="false">$E48*MAX(0,(MIN(In_Award_Date+In_PB_Days-1,CZ$4)-MAX($F48,CZ$3)+1)/CZ$5)</f>
        <v>0</v>
      </c>
      <c r="DA48" s="47" t="n">
        <f aca="false">$E48*MAX(0,(MIN(In_Award_Date+In_PB_Days-1,DA$4)-MAX($F48,DA$3)+1)/DA$5)</f>
        <v>0</v>
      </c>
      <c r="DB48" s="47" t="n">
        <f aca="false">$E48*MAX(0,(MIN(In_Award_Date+In_PB_Days-1,DB$4)-MAX($F48,DB$3)+1)/DB$5)</f>
        <v>0</v>
      </c>
      <c r="DC48" s="47" t="n">
        <f aca="false">$E48*MAX(0,(MIN(In_Award_Date+In_PB_Days-1,DC$4)-MAX($F48,DC$3)+1)/DC$5)</f>
        <v>0</v>
      </c>
      <c r="DD48" s="47" t="n">
        <f aca="false">$E48*MAX(0,(MIN(In_Award_Date+In_PB_Days-1,DD$4)-MAX($F48,DD$3)+1)/DD$5)</f>
        <v>0</v>
      </c>
      <c r="DE48" s="47" t="n">
        <f aca="false">$E48*MAX(0,(MIN(In_Award_Date+In_PB_Days-1,DE$4)-MAX($F48,DE$3)+1)/DE$5)</f>
        <v>0</v>
      </c>
      <c r="DF48" s="47" t="n">
        <f aca="false">$E48*MAX(0,(MIN(In_Award_Date+In_PB_Days-1,DF$4)-MAX($F48,DF$3)+1)/DF$5)</f>
        <v>0</v>
      </c>
      <c r="DG48" s="47" t="n">
        <f aca="false">$E48*MAX(0,(MIN(In_Award_Date+In_PB_Days-1,DG$4)-MAX($F48,DG$3)+1)/DG$5)</f>
        <v>0</v>
      </c>
      <c r="DH48" s="47" t="n">
        <f aca="false">$E48*MAX(0,(MIN(In_Award_Date+In_PB_Days-1,DH$4)-MAX($F48,DH$3)+1)/DH$5)</f>
        <v>0</v>
      </c>
      <c r="DI48" s="47" t="n">
        <f aca="false">$E48*MAX(0,(MIN(In_Award_Date+In_PB_Days-1,DI$4)-MAX($F48,DI$3)+1)/DI$5)</f>
        <v>0</v>
      </c>
      <c r="DJ48" s="47" t="n">
        <f aca="false">$E48*MAX(0,(MIN(In_Award_Date+In_PB_Days-1,DJ$4)-MAX($F48,DJ$3)+1)/DJ$5)</f>
        <v>0</v>
      </c>
      <c r="DK48" s="47" t="n">
        <f aca="false">$E48*MAX(0,(MIN(In_Award_Date+In_PB_Days-1,DK$4)-MAX($F48,DK$3)+1)/DK$5)</f>
        <v>0</v>
      </c>
      <c r="DL48" s="47" t="n">
        <f aca="false">$E48*MAX(0,(MIN(In_Award_Date+In_PB_Days-1,DL$4)-MAX($F48,DL$3)+1)/DL$5)</f>
        <v>0</v>
      </c>
      <c r="DM48" s="47" t="n">
        <f aca="false">$E48*MAX(0,(MIN(In_Award_Date+In_PB_Days-1,DM$4)-MAX($F48,DM$3)+1)/DM$5)</f>
        <v>0</v>
      </c>
      <c r="DN48" s="47" t="n">
        <f aca="false">$E48*MAX(0,(MIN(In_Award_Date+In_PB_Days-1,DN$4)-MAX($F48,DN$3)+1)/DN$5)</f>
        <v>0</v>
      </c>
      <c r="DO48" s="47" t="n">
        <f aca="false">$E48*MAX(0,(MIN(In_Award_Date+In_PB_Days-1,DO$4)-MAX($F48,DO$3)+1)/DO$5)</f>
        <v>0</v>
      </c>
      <c r="DP48" s="47" t="n">
        <f aca="false">$E48*MAX(0,(MIN(In_Award_Date+In_PB_Days-1,DP$4)-MAX($F48,DP$3)+1)/DP$5)</f>
        <v>0</v>
      </c>
      <c r="DQ48" s="47" t="n">
        <f aca="false">$E48*MAX(0,(MIN(In_Award_Date+In_PB_Days-1,DQ$4)-MAX($F48,DQ$3)+1)/DQ$5)</f>
        <v>0</v>
      </c>
      <c r="DR48" s="47" t="n">
        <f aca="false">$E48*MAX(0,(MIN(In_Award_Date+In_PB_Days-1,DR$4)-MAX($F48,DR$3)+1)/DR$5)</f>
        <v>0</v>
      </c>
      <c r="DS48" s="47" t="n">
        <f aca="false">$E48*MAX(0,(MIN(In_Award_Date+In_PB_Days-1,DS$4)-MAX($F48,DS$3)+1)/DS$5)</f>
        <v>0</v>
      </c>
      <c r="DT48" s="47" t="n">
        <f aca="false">$E48*MAX(0,(MIN(In_Award_Date+In_PB_Days-1,DT$4)-MAX($F48,DT$3)+1)/DT$5)</f>
        <v>0</v>
      </c>
      <c r="DU48" s="47" t="n">
        <f aca="false">$E48*MAX(0,(MIN(In_Award_Date+In_PB_Days-1,DU$4)-MAX($F48,DU$3)+1)/DU$5)</f>
        <v>0</v>
      </c>
      <c r="DV48" s="47" t="n">
        <f aca="false">$E48*MAX(0,(MIN(In_Award_Date+In_PB_Days-1,DV$4)-MAX($F48,DV$3)+1)/DV$5)</f>
        <v>0</v>
      </c>
      <c r="DW48" s="47" t="n">
        <f aca="false">$E48*MAX(0,(MIN(In_Award_Date+In_PB_Days-1,DW$4)-MAX($F48,DW$3)+1)/DW$5)</f>
        <v>0</v>
      </c>
      <c r="DX48" s="47" t="n">
        <f aca="false">$E48*MAX(0,(MIN(In_Award_Date+In_PB_Days-1,DX$4)-MAX($F48,DX$3)+1)/DX$5)</f>
        <v>0</v>
      </c>
      <c r="DY48" s="47" t="n">
        <f aca="false">$E48*MAX(0,(MIN(In_Award_Date+In_PB_Days-1,DY$4)-MAX($F48,DY$3)+1)/DY$5)</f>
        <v>0</v>
      </c>
      <c r="DZ48" s="47" t="n">
        <f aca="false">$E48*MAX(0,(MIN(In_Award_Date+In_PB_Days-1,DZ$4)-MAX($F48,DZ$3)+1)/DZ$5)</f>
        <v>0</v>
      </c>
      <c r="EA48" s="47" t="n">
        <f aca="false">$E48*MAX(0,(MIN(In_Award_Date+In_PB_Days-1,EA$4)-MAX($F48,EA$3)+1)/EA$5)</f>
        <v>0</v>
      </c>
      <c r="EB48" s="47" t="n">
        <f aca="false">$E48*MAX(0,(MIN(In_Award_Date+In_PB_Days-1,EB$4)-MAX($F48,EB$3)+1)/EB$5)</f>
        <v>0</v>
      </c>
      <c r="EC48" s="47" t="n">
        <f aca="false">$E48*MAX(0,(MIN(In_Award_Date+In_PB_Days-1,EC$4)-MAX($F48,EC$3)+1)/EC$5)</f>
        <v>0</v>
      </c>
      <c r="ED48" s="47" t="n">
        <f aca="false">$E48*MAX(0,(MIN(In_Award_Date+In_PB_Days-1,ED$4)-MAX($F48,ED$3)+1)/ED$5)</f>
        <v>0</v>
      </c>
      <c r="EE48" s="47" t="n">
        <f aca="false">$E48*MAX(0,(MIN(In_Award_Date+In_PB_Days-1,EE$4)-MAX($F48,EE$3)+1)/EE$5)</f>
        <v>0</v>
      </c>
      <c r="EF48" s="47" t="n">
        <f aca="false">$E48*MAX(0,(MIN(In_Award_Date+In_PB_Days-1,EF$4)-MAX($F48,EF$3)+1)/EF$5)</f>
        <v>0</v>
      </c>
      <c r="EG48" s="47" t="n">
        <f aca="false">$E48*MAX(0,(MIN(In_Award_Date+In_PB_Days-1,EG$4)-MAX($F48,EG$3)+1)/EG$5)</f>
        <v>0</v>
      </c>
      <c r="EH48" s="47" t="n">
        <f aca="false">$E48*MAX(0,(MIN(In_Award_Date+In_PB_Days-1,EH$4)-MAX($F48,EH$3)+1)/EH$5)</f>
        <v>0</v>
      </c>
      <c r="EI48" s="47" t="n">
        <f aca="false">$E48*MAX(0,(MIN(In_Award_Date+In_PB_Days-1,EI$4)-MAX($F48,EI$3)+1)/EI$5)</f>
        <v>0</v>
      </c>
      <c r="EJ48" s="47" t="n">
        <f aca="false">$E48*MAX(0,(MIN(In_Award_Date+In_PB_Days-1,EJ$4)-MAX($F48,EJ$3)+1)/EJ$5)</f>
        <v>0</v>
      </c>
      <c r="EK48" s="47" t="n">
        <f aca="false">$E48*MAX(0,(MIN(In_Award_Date+In_PB_Days-1,EK$4)-MAX($F48,EK$3)+1)/EK$5)</f>
        <v>0</v>
      </c>
      <c r="EL48" s="47" t="n">
        <f aca="false">$E48*MAX(0,(MIN(In_Award_Date+In_PB_Days-1,EL$4)-MAX($F48,EL$3)+1)/EL$5)</f>
        <v>0</v>
      </c>
      <c r="EM48" s="47" t="n">
        <f aca="false">$E48*MAX(0,(MIN(In_Award_Date+In_PB_Days-1,EM$4)-MAX($F48,EM$3)+1)/EM$5)</f>
        <v>0</v>
      </c>
      <c r="EN48" s="47" t="n">
        <f aca="false">$E48*MAX(0,(MIN(In_Award_Date+In_PB_Days-1,EN$4)-MAX($F48,EN$3)+1)/EN$5)</f>
        <v>0</v>
      </c>
      <c r="EO48" s="47" t="n">
        <f aca="false">$E48*MAX(0,(MIN(In_Award_Date+In_PB_Days-1,EO$4)-MAX($F48,EO$3)+1)/EO$5)</f>
        <v>0</v>
      </c>
      <c r="EP48" s="47" t="n">
        <f aca="false">$E48*MAX(0,(MIN(In_Award_Date+In_PB_Days-1,EP$4)-MAX($F48,EP$3)+1)/EP$5)</f>
        <v>0</v>
      </c>
      <c r="EQ48" s="47" t="n">
        <f aca="false">$E48*MAX(0,(MIN(In_Award_Date+In_PB_Days-1,EQ$4)-MAX($F48,EQ$3)+1)/EQ$5)</f>
        <v>0</v>
      </c>
      <c r="ER48" s="47" t="n">
        <f aca="false">$E48*MAX(0,(MIN(In_Award_Date+In_PB_Days-1,ER$4)-MAX($F48,ER$3)+1)/ER$5)</f>
        <v>0</v>
      </c>
      <c r="ES48" s="47" t="n">
        <f aca="false">$E48*MAX(0,(MIN(In_Award_Date+In_PB_Days-1,ES$4)-MAX($F48,ES$3)+1)/ES$5)</f>
        <v>0</v>
      </c>
      <c r="ET48" s="47" t="n">
        <f aca="false">$E48*MAX(0,(MIN(In_Award_Date+In_PB_Days-1,ET$4)-MAX($F48,ET$3)+1)/ET$5)</f>
        <v>0</v>
      </c>
    </row>
    <row r="49" customFormat="false" ht="15" hidden="false" customHeight="false" outlineLevel="0" collapsed="false">
      <c r="C49" s="1" t="s">
        <v>478</v>
      </c>
      <c r="D49" s="12" t="s">
        <v>222</v>
      </c>
      <c r="E49" s="47" t="n">
        <f aca="false">In_PB_Rate*$E35*$E45*Thousand/In_FX</f>
        <v>6084.93150684932</v>
      </c>
      <c r="F49" s="44" t="n">
        <f aca="false">In_Award_Date+In_PB_Days</f>
        <v>46384</v>
      </c>
      <c r="J49" s="47" t="n">
        <f aca="false">$E49*MAX(0,(MIN(In_PB_Release,J$4)-MAX($F49,J$3)+1)/J$5)</f>
        <v>0</v>
      </c>
      <c r="K49" s="47" t="n">
        <f aca="false">$E49*MAX(0,(MIN(In_PB_Release,K$4)-MAX($F49,K$3)+1)/K$5)</f>
        <v>264.562239428231</v>
      </c>
      <c r="L49" s="47" t="n">
        <f aca="false">$E49*MAX(0,(MIN(In_PB_Release,L$4)-MAX($F49,L$3)+1)/L$5)</f>
        <v>6084.93150684932</v>
      </c>
      <c r="M49" s="47" t="n">
        <f aca="false">$E49*MAX(0,(MIN(In_PB_Release,M$4)-MAX($F49,M$3)+1)/M$5)</f>
        <v>6084.93150684932</v>
      </c>
      <c r="N49" s="47" t="n">
        <f aca="false">$E49*MAX(0,(MIN(In_PB_Release,N$4)-MAX($F49,N$3)+1)/N$5)</f>
        <v>6084.93150684932</v>
      </c>
      <c r="O49" s="47" t="n">
        <f aca="false">$E49*MAX(0,(MIN(In_PB_Release,O$4)-MAX($F49,O$3)+1)/O$5)</f>
        <v>6084.93150684932</v>
      </c>
      <c r="P49" s="47" t="n">
        <f aca="false">$E49*MAX(0,(MIN(In_PB_Release,P$4)-MAX($F49,P$3)+1)/P$5)</f>
        <v>6084.93150684932</v>
      </c>
      <c r="Q49" s="47" t="n">
        <f aca="false">$E49*MAX(0,(MIN(In_PB_Release,Q$4)-MAX($F49,Q$3)+1)/Q$5)</f>
        <v>6084.93150684932</v>
      </c>
      <c r="R49" s="47" t="n">
        <f aca="false">$E49*MAX(0,(MIN(In_PB_Release,R$4)-MAX($F49,R$3)+1)/R$5)</f>
        <v>6084.93150684932</v>
      </c>
      <c r="S49" s="47" t="n">
        <f aca="false">$E49*MAX(0,(MIN(In_PB_Release,S$4)-MAX($F49,S$3)+1)/S$5)</f>
        <v>6084.93150684932</v>
      </c>
      <c r="T49" s="47" t="n">
        <f aca="false">$E49*MAX(0,(MIN(In_PB_Release,T$4)-MAX($F49,T$3)+1)/T$5)</f>
        <v>6084.93150684932</v>
      </c>
      <c r="U49" s="47" t="n">
        <f aca="false">$E49*MAX(0,(MIN(In_PB_Release,U$4)-MAX($F49,U$3)+1)/U$5)</f>
        <v>6084.93150684932</v>
      </c>
      <c r="V49" s="47" t="n">
        <f aca="false">$E49*MAX(0,(MIN(In_PB_Release,V$4)-MAX($F49,V$3)+1)/V$5)</f>
        <v>6084.93150684932</v>
      </c>
      <c r="W49" s="47" t="n">
        <f aca="false">$E49*MAX(0,(MIN(In_PB_Release,W$4)-MAX($F49,W$3)+1)/W$5)</f>
        <v>6084.93150684932</v>
      </c>
      <c r="X49" s="47" t="n">
        <f aca="false">$E49*MAX(0,(MIN(In_PB_Release,X$4)-MAX($F49,X$3)+1)/X$5)</f>
        <v>6084.93150684932</v>
      </c>
      <c r="Y49" s="47" t="n">
        <f aca="false">$E49*MAX(0,(MIN(In_PB_Release,Y$4)-MAX($F49,Y$3)+1)/Y$5)</f>
        <v>6084.93150684932</v>
      </c>
      <c r="Z49" s="47" t="n">
        <f aca="false">$E49*MAX(0,(MIN(In_PB_Release,Z$4)-MAX($F49,Z$3)+1)/Z$5)</f>
        <v>6084.93150684932</v>
      </c>
      <c r="AA49" s="47" t="n">
        <f aca="false">$E49*MAX(0,(MIN(In_PB_Release,AA$4)-MAX($F49,AA$3)+1)/AA$5)</f>
        <v>6084.93150684932</v>
      </c>
      <c r="AB49" s="47" t="n">
        <f aca="false">$E49*MAX(0,(MIN(In_PB_Release,AB$4)-MAX($F49,AB$3)+1)/AB$5)</f>
        <v>6084.93150684932</v>
      </c>
      <c r="AC49" s="47" t="n">
        <f aca="false">$E49*MAX(0,(MIN(In_PB_Release,AC$4)-MAX($F49,AC$3)+1)/AC$5)</f>
        <v>6084.93150684932</v>
      </c>
      <c r="AD49" s="47" t="n">
        <f aca="false">$E49*MAX(0,(MIN(In_PB_Release,AD$4)-MAX($F49,AD$3)+1)/AD$5)</f>
        <v>6084.93150684932</v>
      </c>
      <c r="AE49" s="47" t="n">
        <f aca="false">$E49*MAX(0,(MIN(In_PB_Release,AE$4)-MAX($F49,AE$3)+1)/AE$5)</f>
        <v>6084.93150684932</v>
      </c>
      <c r="AF49" s="47" t="n">
        <f aca="false">$E49*MAX(0,(MIN(In_PB_Release,AF$4)-MAX($F49,AF$3)+1)/AF$5)</f>
        <v>6084.93150684932</v>
      </c>
      <c r="AG49" s="47" t="n">
        <f aca="false">$E49*MAX(0,(MIN(In_PB_Release,AG$4)-MAX($F49,AG$3)+1)/AG$5)</f>
        <v>6084.93150684932</v>
      </c>
      <c r="AH49" s="47" t="n">
        <f aca="false">$E49*MAX(0,(MIN(In_PB_Release,AH$4)-MAX($F49,AH$3)+1)/AH$5)</f>
        <v>6084.93150684932</v>
      </c>
      <c r="AI49" s="47" t="n">
        <f aca="false">$E49*MAX(0,(MIN(In_PB_Release,AI$4)-MAX($F49,AI$3)+1)/AI$5)</f>
        <v>6084.93150684932</v>
      </c>
      <c r="AJ49" s="47" t="n">
        <f aca="false">$E49*MAX(0,(MIN(In_PB_Release,AJ$4)-MAX($F49,AJ$3)+1)/AJ$5)</f>
        <v>6084.93150684932</v>
      </c>
      <c r="AK49" s="47" t="n">
        <f aca="false">$E49*MAX(0,(MIN(In_PB_Release,AK$4)-MAX($F49,AK$3)+1)/AK$5)</f>
        <v>0</v>
      </c>
      <c r="AL49" s="47" t="n">
        <f aca="false">$E49*MAX(0,(MIN(In_PB_Release,AL$4)-MAX($F49,AL$3)+1)/AL$5)</f>
        <v>0</v>
      </c>
      <c r="AM49" s="47" t="n">
        <f aca="false">$E49*MAX(0,(MIN(In_PB_Release,AM$4)-MAX($F49,AM$3)+1)/AM$5)</f>
        <v>0</v>
      </c>
      <c r="AN49" s="47" t="n">
        <f aca="false">$E49*MAX(0,(MIN(In_PB_Release,AN$4)-MAX($F49,AN$3)+1)/AN$5)</f>
        <v>0</v>
      </c>
      <c r="AO49" s="47" t="n">
        <f aca="false">$E49*MAX(0,(MIN(In_PB_Release,AO$4)-MAX($F49,AO$3)+1)/AO$5)</f>
        <v>0</v>
      </c>
      <c r="AP49" s="47" t="n">
        <f aca="false">$E49*MAX(0,(MIN(In_PB_Release,AP$4)-MAX($F49,AP$3)+1)/AP$5)</f>
        <v>0</v>
      </c>
      <c r="AQ49" s="47" t="n">
        <f aca="false">$E49*MAX(0,(MIN(In_PB_Release,AQ$4)-MAX($F49,AQ$3)+1)/AQ$5)</f>
        <v>0</v>
      </c>
      <c r="AR49" s="47" t="n">
        <f aca="false">$E49*MAX(0,(MIN(In_PB_Release,AR$4)-MAX($F49,AR$3)+1)/AR$5)</f>
        <v>0</v>
      </c>
      <c r="AS49" s="47" t="n">
        <f aca="false">$E49*MAX(0,(MIN(In_PB_Release,AS$4)-MAX($F49,AS$3)+1)/AS$5)</f>
        <v>0</v>
      </c>
      <c r="AT49" s="47" t="n">
        <f aca="false">$E49*MAX(0,(MIN(In_PB_Release,AT$4)-MAX($F49,AT$3)+1)/AT$5)</f>
        <v>0</v>
      </c>
      <c r="AU49" s="47" t="n">
        <f aca="false">$E49*MAX(0,(MIN(In_PB_Release,AU$4)-MAX($F49,AU$3)+1)/AU$5)</f>
        <v>0</v>
      </c>
      <c r="AV49" s="47" t="n">
        <f aca="false">$E49*MAX(0,(MIN(In_PB_Release,AV$4)-MAX($F49,AV$3)+1)/AV$5)</f>
        <v>0</v>
      </c>
      <c r="AW49" s="47" t="n">
        <f aca="false">$E49*MAX(0,(MIN(In_PB_Release,AW$4)-MAX($F49,AW$3)+1)/AW$5)</f>
        <v>0</v>
      </c>
      <c r="AX49" s="47" t="n">
        <f aca="false">$E49*MAX(0,(MIN(In_PB_Release,AX$4)-MAX($F49,AX$3)+1)/AX$5)</f>
        <v>0</v>
      </c>
      <c r="AY49" s="47" t="n">
        <f aca="false">$E49*MAX(0,(MIN(In_PB_Release,AY$4)-MAX($F49,AY$3)+1)/AY$5)</f>
        <v>0</v>
      </c>
      <c r="AZ49" s="47" t="n">
        <f aca="false">$E49*MAX(0,(MIN(In_PB_Release,AZ$4)-MAX($F49,AZ$3)+1)/AZ$5)</f>
        <v>0</v>
      </c>
      <c r="BA49" s="47" t="n">
        <f aca="false">$E49*MAX(0,(MIN(In_PB_Release,BA$4)-MAX($F49,BA$3)+1)/BA$5)</f>
        <v>0</v>
      </c>
      <c r="BB49" s="47" t="n">
        <f aca="false">$E49*MAX(0,(MIN(In_PB_Release,BB$4)-MAX($F49,BB$3)+1)/BB$5)</f>
        <v>0</v>
      </c>
      <c r="BC49" s="47" t="n">
        <f aca="false">$E49*MAX(0,(MIN(In_PB_Release,BC$4)-MAX($F49,BC$3)+1)/BC$5)</f>
        <v>0</v>
      </c>
      <c r="BD49" s="47" t="n">
        <f aca="false">$E49*MAX(0,(MIN(In_PB_Release,BD$4)-MAX($F49,BD$3)+1)/BD$5)</f>
        <v>0</v>
      </c>
      <c r="BE49" s="47" t="n">
        <f aca="false">$E49*MAX(0,(MIN(In_PB_Release,BE$4)-MAX($F49,BE$3)+1)/BE$5)</f>
        <v>0</v>
      </c>
      <c r="BF49" s="47" t="n">
        <f aca="false">$E49*MAX(0,(MIN(In_PB_Release,BF$4)-MAX($F49,BF$3)+1)/BF$5)</f>
        <v>0</v>
      </c>
      <c r="BG49" s="47" t="n">
        <f aca="false">$E49*MAX(0,(MIN(In_PB_Release,BG$4)-MAX($F49,BG$3)+1)/BG$5)</f>
        <v>0</v>
      </c>
      <c r="BH49" s="47" t="n">
        <f aca="false">$E49*MAX(0,(MIN(In_PB_Release,BH$4)-MAX($F49,BH$3)+1)/BH$5)</f>
        <v>0</v>
      </c>
      <c r="BI49" s="47" t="n">
        <f aca="false">$E49*MAX(0,(MIN(In_PB_Release,BI$4)-MAX($F49,BI$3)+1)/BI$5)</f>
        <v>0</v>
      </c>
      <c r="BJ49" s="47" t="n">
        <f aca="false">$E49*MAX(0,(MIN(In_PB_Release,BJ$4)-MAX($F49,BJ$3)+1)/BJ$5)</f>
        <v>0</v>
      </c>
      <c r="BK49" s="47" t="n">
        <f aca="false">$E49*MAX(0,(MIN(In_PB_Release,BK$4)-MAX($F49,BK$3)+1)/BK$5)</f>
        <v>0</v>
      </c>
      <c r="BL49" s="47" t="n">
        <f aca="false">$E49*MAX(0,(MIN(In_PB_Release,BL$4)-MAX($F49,BL$3)+1)/BL$5)</f>
        <v>0</v>
      </c>
      <c r="BM49" s="47" t="n">
        <f aca="false">$E49*MAX(0,(MIN(In_PB_Release,BM$4)-MAX($F49,BM$3)+1)/BM$5)</f>
        <v>0</v>
      </c>
      <c r="BN49" s="47" t="n">
        <f aca="false">$E49*MAX(0,(MIN(In_PB_Release,BN$4)-MAX($F49,BN$3)+1)/BN$5)</f>
        <v>0</v>
      </c>
      <c r="BO49" s="47" t="n">
        <f aca="false">$E49*MAX(0,(MIN(In_PB_Release,BO$4)-MAX($F49,BO$3)+1)/BO$5)</f>
        <v>0</v>
      </c>
      <c r="BP49" s="47" t="n">
        <f aca="false">$E49*MAX(0,(MIN(In_PB_Release,BP$4)-MAX($F49,BP$3)+1)/BP$5)</f>
        <v>0</v>
      </c>
      <c r="BQ49" s="47" t="n">
        <f aca="false">$E49*MAX(0,(MIN(In_PB_Release,BQ$4)-MAX($F49,BQ$3)+1)/BQ$5)</f>
        <v>0</v>
      </c>
      <c r="BR49" s="47" t="n">
        <f aca="false">$E49*MAX(0,(MIN(In_PB_Release,BR$4)-MAX($F49,BR$3)+1)/BR$5)</f>
        <v>0</v>
      </c>
      <c r="BS49" s="47" t="n">
        <f aca="false">$E49*MAX(0,(MIN(In_PB_Release,BS$4)-MAX($F49,BS$3)+1)/BS$5)</f>
        <v>0</v>
      </c>
      <c r="BT49" s="47" t="n">
        <f aca="false">$E49*MAX(0,(MIN(In_PB_Release,BT$4)-MAX($F49,BT$3)+1)/BT$5)</f>
        <v>0</v>
      </c>
      <c r="BU49" s="47" t="n">
        <f aca="false">$E49*MAX(0,(MIN(In_PB_Release,BU$4)-MAX($F49,BU$3)+1)/BU$5)</f>
        <v>0</v>
      </c>
      <c r="BV49" s="47" t="n">
        <f aca="false">$E49*MAX(0,(MIN(In_PB_Release,BV$4)-MAX($F49,BV$3)+1)/BV$5)</f>
        <v>0</v>
      </c>
      <c r="BW49" s="47" t="n">
        <f aca="false">$E49*MAX(0,(MIN(In_PB_Release,BW$4)-MAX($F49,BW$3)+1)/BW$5)</f>
        <v>0</v>
      </c>
      <c r="BX49" s="47" t="n">
        <f aca="false">$E49*MAX(0,(MIN(In_PB_Release,BX$4)-MAX($F49,BX$3)+1)/BX$5)</f>
        <v>0</v>
      </c>
      <c r="BY49" s="47" t="n">
        <f aca="false">$E49*MAX(0,(MIN(In_PB_Release,BY$4)-MAX($F49,BY$3)+1)/BY$5)</f>
        <v>0</v>
      </c>
      <c r="BZ49" s="47" t="n">
        <f aca="false">$E49*MAX(0,(MIN(In_PB_Release,BZ$4)-MAX($F49,BZ$3)+1)/BZ$5)</f>
        <v>0</v>
      </c>
      <c r="CA49" s="47" t="n">
        <f aca="false">$E49*MAX(0,(MIN(In_PB_Release,CA$4)-MAX($F49,CA$3)+1)/CA$5)</f>
        <v>0</v>
      </c>
      <c r="CB49" s="47" t="n">
        <f aca="false">$E49*MAX(0,(MIN(In_PB_Release,CB$4)-MAX($F49,CB$3)+1)/CB$5)</f>
        <v>0</v>
      </c>
      <c r="CC49" s="47" t="n">
        <f aca="false">$E49*MAX(0,(MIN(In_PB_Release,CC$4)-MAX($F49,CC$3)+1)/CC$5)</f>
        <v>0</v>
      </c>
      <c r="CD49" s="47" t="n">
        <f aca="false">$E49*MAX(0,(MIN(In_PB_Release,CD$4)-MAX($F49,CD$3)+1)/CD$5)</f>
        <v>0</v>
      </c>
      <c r="CE49" s="47" t="n">
        <f aca="false">$E49*MAX(0,(MIN(In_PB_Release,CE$4)-MAX($F49,CE$3)+1)/CE$5)</f>
        <v>0</v>
      </c>
      <c r="CF49" s="47" t="n">
        <f aca="false">$E49*MAX(0,(MIN(In_PB_Release,CF$4)-MAX($F49,CF$3)+1)/CF$5)</f>
        <v>0</v>
      </c>
      <c r="CG49" s="47" t="n">
        <f aca="false">$E49*MAX(0,(MIN(In_PB_Release,CG$4)-MAX($F49,CG$3)+1)/CG$5)</f>
        <v>0</v>
      </c>
      <c r="CH49" s="47" t="n">
        <f aca="false">$E49*MAX(0,(MIN(In_PB_Release,CH$4)-MAX($F49,CH$3)+1)/CH$5)</f>
        <v>0</v>
      </c>
      <c r="CI49" s="47" t="n">
        <f aca="false">$E49*MAX(0,(MIN(In_PB_Release,CI$4)-MAX($F49,CI$3)+1)/CI$5)</f>
        <v>0</v>
      </c>
      <c r="CJ49" s="47" t="n">
        <f aca="false">$E49*MAX(0,(MIN(In_PB_Release,CJ$4)-MAX($F49,CJ$3)+1)/CJ$5)</f>
        <v>0</v>
      </c>
      <c r="CK49" s="47" t="n">
        <f aca="false">$E49*MAX(0,(MIN(In_PB_Release,CK$4)-MAX($F49,CK$3)+1)/CK$5)</f>
        <v>0</v>
      </c>
      <c r="CL49" s="47" t="n">
        <f aca="false">$E49*MAX(0,(MIN(In_PB_Release,CL$4)-MAX($F49,CL$3)+1)/CL$5)</f>
        <v>0</v>
      </c>
      <c r="CM49" s="47" t="n">
        <f aca="false">$E49*MAX(0,(MIN(In_PB_Release,CM$4)-MAX($F49,CM$3)+1)/CM$5)</f>
        <v>0</v>
      </c>
      <c r="CN49" s="47" t="n">
        <f aca="false">$E49*MAX(0,(MIN(In_PB_Release,CN$4)-MAX($F49,CN$3)+1)/CN$5)</f>
        <v>0</v>
      </c>
      <c r="CO49" s="47" t="n">
        <f aca="false">$E49*MAX(0,(MIN(In_PB_Release,CO$4)-MAX($F49,CO$3)+1)/CO$5)</f>
        <v>0</v>
      </c>
      <c r="CP49" s="47" t="n">
        <f aca="false">$E49*MAX(0,(MIN(In_PB_Release,CP$4)-MAX($F49,CP$3)+1)/CP$5)</f>
        <v>0</v>
      </c>
      <c r="CQ49" s="47" t="n">
        <f aca="false">$E49*MAX(0,(MIN(In_PB_Release,CQ$4)-MAX($F49,CQ$3)+1)/CQ$5)</f>
        <v>0</v>
      </c>
      <c r="CR49" s="47" t="n">
        <f aca="false">$E49*MAX(0,(MIN(In_PB_Release,CR$4)-MAX($F49,CR$3)+1)/CR$5)</f>
        <v>0</v>
      </c>
      <c r="CS49" s="47" t="n">
        <f aca="false">$E49*MAX(0,(MIN(In_PB_Release,CS$4)-MAX($F49,CS$3)+1)/CS$5)</f>
        <v>0</v>
      </c>
      <c r="CT49" s="47" t="n">
        <f aca="false">$E49*MAX(0,(MIN(In_PB_Release,CT$4)-MAX($F49,CT$3)+1)/CT$5)</f>
        <v>0</v>
      </c>
      <c r="CU49" s="47" t="n">
        <f aca="false">$E49*MAX(0,(MIN(In_PB_Release,CU$4)-MAX($F49,CU$3)+1)/CU$5)</f>
        <v>0</v>
      </c>
      <c r="CV49" s="47" t="n">
        <f aca="false">$E49*MAX(0,(MIN(In_PB_Release,CV$4)-MAX($F49,CV$3)+1)/CV$5)</f>
        <v>0</v>
      </c>
      <c r="CW49" s="47" t="n">
        <f aca="false">$E49*MAX(0,(MIN(In_PB_Release,CW$4)-MAX($F49,CW$3)+1)/CW$5)</f>
        <v>0</v>
      </c>
      <c r="CX49" s="47" t="n">
        <f aca="false">$E49*MAX(0,(MIN(In_PB_Release,CX$4)-MAX($F49,CX$3)+1)/CX$5)</f>
        <v>0</v>
      </c>
      <c r="CY49" s="47" t="n">
        <f aca="false">$E49*MAX(0,(MIN(In_PB_Release,CY$4)-MAX($F49,CY$3)+1)/CY$5)</f>
        <v>0</v>
      </c>
      <c r="CZ49" s="47" t="n">
        <f aca="false">$E49*MAX(0,(MIN(In_PB_Release,CZ$4)-MAX($F49,CZ$3)+1)/CZ$5)</f>
        <v>0</v>
      </c>
      <c r="DA49" s="47" t="n">
        <f aca="false">$E49*MAX(0,(MIN(In_PB_Release,DA$4)-MAX($F49,DA$3)+1)/DA$5)</f>
        <v>0</v>
      </c>
      <c r="DB49" s="47" t="n">
        <f aca="false">$E49*MAX(0,(MIN(In_PB_Release,DB$4)-MAX($F49,DB$3)+1)/DB$5)</f>
        <v>0</v>
      </c>
      <c r="DC49" s="47" t="n">
        <f aca="false">$E49*MAX(0,(MIN(In_PB_Release,DC$4)-MAX($F49,DC$3)+1)/DC$5)</f>
        <v>0</v>
      </c>
      <c r="DD49" s="47" t="n">
        <f aca="false">$E49*MAX(0,(MIN(In_PB_Release,DD$4)-MAX($F49,DD$3)+1)/DD$5)</f>
        <v>0</v>
      </c>
      <c r="DE49" s="47" t="n">
        <f aca="false">$E49*MAX(0,(MIN(In_PB_Release,DE$4)-MAX($F49,DE$3)+1)/DE$5)</f>
        <v>0</v>
      </c>
      <c r="DF49" s="47" t="n">
        <f aca="false">$E49*MAX(0,(MIN(In_PB_Release,DF$4)-MAX($F49,DF$3)+1)/DF$5)</f>
        <v>0</v>
      </c>
      <c r="DG49" s="47" t="n">
        <f aca="false">$E49*MAX(0,(MIN(In_PB_Release,DG$4)-MAX($F49,DG$3)+1)/DG$5)</f>
        <v>0</v>
      </c>
      <c r="DH49" s="47" t="n">
        <f aca="false">$E49*MAX(0,(MIN(In_PB_Release,DH$4)-MAX($F49,DH$3)+1)/DH$5)</f>
        <v>0</v>
      </c>
      <c r="DI49" s="47" t="n">
        <f aca="false">$E49*MAX(0,(MIN(In_PB_Release,DI$4)-MAX($F49,DI$3)+1)/DI$5)</f>
        <v>0</v>
      </c>
      <c r="DJ49" s="47" t="n">
        <f aca="false">$E49*MAX(0,(MIN(In_PB_Release,DJ$4)-MAX($F49,DJ$3)+1)/DJ$5)</f>
        <v>0</v>
      </c>
      <c r="DK49" s="47" t="n">
        <f aca="false">$E49*MAX(0,(MIN(In_PB_Release,DK$4)-MAX($F49,DK$3)+1)/DK$5)</f>
        <v>0</v>
      </c>
      <c r="DL49" s="47" t="n">
        <f aca="false">$E49*MAX(0,(MIN(In_PB_Release,DL$4)-MAX($F49,DL$3)+1)/DL$5)</f>
        <v>0</v>
      </c>
      <c r="DM49" s="47" t="n">
        <f aca="false">$E49*MAX(0,(MIN(In_PB_Release,DM$4)-MAX($F49,DM$3)+1)/DM$5)</f>
        <v>0</v>
      </c>
      <c r="DN49" s="47" t="n">
        <f aca="false">$E49*MAX(0,(MIN(In_PB_Release,DN$4)-MAX($F49,DN$3)+1)/DN$5)</f>
        <v>0</v>
      </c>
      <c r="DO49" s="47" t="n">
        <f aca="false">$E49*MAX(0,(MIN(In_PB_Release,DO$4)-MAX($F49,DO$3)+1)/DO$5)</f>
        <v>0</v>
      </c>
      <c r="DP49" s="47" t="n">
        <f aca="false">$E49*MAX(0,(MIN(In_PB_Release,DP$4)-MAX($F49,DP$3)+1)/DP$5)</f>
        <v>0</v>
      </c>
      <c r="DQ49" s="47" t="n">
        <f aca="false">$E49*MAX(0,(MIN(In_PB_Release,DQ$4)-MAX($F49,DQ$3)+1)/DQ$5)</f>
        <v>0</v>
      </c>
      <c r="DR49" s="47" t="n">
        <f aca="false">$E49*MAX(0,(MIN(In_PB_Release,DR$4)-MAX($F49,DR$3)+1)/DR$5)</f>
        <v>0</v>
      </c>
      <c r="DS49" s="47" t="n">
        <f aca="false">$E49*MAX(0,(MIN(In_PB_Release,DS$4)-MAX($F49,DS$3)+1)/DS$5)</f>
        <v>0</v>
      </c>
      <c r="DT49" s="47" t="n">
        <f aca="false">$E49*MAX(0,(MIN(In_PB_Release,DT$4)-MAX($F49,DT$3)+1)/DT$5)</f>
        <v>0</v>
      </c>
      <c r="DU49" s="47" t="n">
        <f aca="false">$E49*MAX(0,(MIN(In_PB_Release,DU$4)-MAX($F49,DU$3)+1)/DU$5)</f>
        <v>0</v>
      </c>
      <c r="DV49" s="47" t="n">
        <f aca="false">$E49*MAX(0,(MIN(In_PB_Release,DV$4)-MAX($F49,DV$3)+1)/DV$5)</f>
        <v>0</v>
      </c>
      <c r="DW49" s="47" t="n">
        <f aca="false">$E49*MAX(0,(MIN(In_PB_Release,DW$4)-MAX($F49,DW$3)+1)/DW$5)</f>
        <v>0</v>
      </c>
      <c r="DX49" s="47" t="n">
        <f aca="false">$E49*MAX(0,(MIN(In_PB_Release,DX$4)-MAX($F49,DX$3)+1)/DX$5)</f>
        <v>0</v>
      </c>
      <c r="DY49" s="47" t="n">
        <f aca="false">$E49*MAX(0,(MIN(In_PB_Release,DY$4)-MAX($F49,DY$3)+1)/DY$5)</f>
        <v>0</v>
      </c>
      <c r="DZ49" s="47" t="n">
        <f aca="false">$E49*MAX(0,(MIN(In_PB_Release,DZ$4)-MAX($F49,DZ$3)+1)/DZ$5)</f>
        <v>0</v>
      </c>
      <c r="EA49" s="47" t="n">
        <f aca="false">$E49*MAX(0,(MIN(In_PB_Release,EA$4)-MAX($F49,EA$3)+1)/EA$5)</f>
        <v>0</v>
      </c>
      <c r="EB49" s="47" t="n">
        <f aca="false">$E49*MAX(0,(MIN(In_PB_Release,EB$4)-MAX($F49,EB$3)+1)/EB$5)</f>
        <v>0</v>
      </c>
      <c r="EC49" s="47" t="n">
        <f aca="false">$E49*MAX(0,(MIN(In_PB_Release,EC$4)-MAX($F49,EC$3)+1)/EC$5)</f>
        <v>0</v>
      </c>
      <c r="ED49" s="47" t="n">
        <f aca="false">$E49*MAX(0,(MIN(In_PB_Release,ED$4)-MAX($F49,ED$3)+1)/ED$5)</f>
        <v>0</v>
      </c>
      <c r="EE49" s="47" t="n">
        <f aca="false">$E49*MAX(0,(MIN(In_PB_Release,EE$4)-MAX($F49,EE$3)+1)/EE$5)</f>
        <v>0</v>
      </c>
      <c r="EF49" s="47" t="n">
        <f aca="false">$E49*MAX(0,(MIN(In_PB_Release,EF$4)-MAX($F49,EF$3)+1)/EF$5)</f>
        <v>0</v>
      </c>
      <c r="EG49" s="47" t="n">
        <f aca="false">$E49*MAX(0,(MIN(In_PB_Release,EG$4)-MAX($F49,EG$3)+1)/EG$5)</f>
        <v>0</v>
      </c>
      <c r="EH49" s="47" t="n">
        <f aca="false">$E49*MAX(0,(MIN(In_PB_Release,EH$4)-MAX($F49,EH$3)+1)/EH$5)</f>
        <v>0</v>
      </c>
      <c r="EI49" s="47" t="n">
        <f aca="false">$E49*MAX(0,(MIN(In_PB_Release,EI$4)-MAX($F49,EI$3)+1)/EI$5)</f>
        <v>0</v>
      </c>
      <c r="EJ49" s="47" t="n">
        <f aca="false">$E49*MAX(0,(MIN(In_PB_Release,EJ$4)-MAX($F49,EJ$3)+1)/EJ$5)</f>
        <v>0</v>
      </c>
      <c r="EK49" s="47" t="n">
        <f aca="false">$E49*MAX(0,(MIN(In_PB_Release,EK$4)-MAX($F49,EK$3)+1)/EK$5)</f>
        <v>0</v>
      </c>
      <c r="EL49" s="47" t="n">
        <f aca="false">$E49*MAX(0,(MIN(In_PB_Release,EL$4)-MAX($F49,EL$3)+1)/EL$5)</f>
        <v>0</v>
      </c>
      <c r="EM49" s="47" t="n">
        <f aca="false">$E49*MAX(0,(MIN(In_PB_Release,EM$4)-MAX($F49,EM$3)+1)/EM$5)</f>
        <v>0</v>
      </c>
      <c r="EN49" s="47" t="n">
        <f aca="false">$E49*MAX(0,(MIN(In_PB_Release,EN$4)-MAX($F49,EN$3)+1)/EN$5)</f>
        <v>0</v>
      </c>
      <c r="EO49" s="47" t="n">
        <f aca="false">$E49*MAX(0,(MIN(In_PB_Release,EO$4)-MAX($F49,EO$3)+1)/EO$5)</f>
        <v>0</v>
      </c>
      <c r="EP49" s="47" t="n">
        <f aca="false">$E49*MAX(0,(MIN(In_PB_Release,EP$4)-MAX($F49,EP$3)+1)/EP$5)</f>
        <v>0</v>
      </c>
      <c r="EQ49" s="47" t="n">
        <f aca="false">$E49*MAX(0,(MIN(In_PB_Release,EQ$4)-MAX($F49,EQ$3)+1)/EQ$5)</f>
        <v>0</v>
      </c>
      <c r="ER49" s="47" t="n">
        <f aca="false">$E49*MAX(0,(MIN(In_PB_Release,ER$4)-MAX($F49,ER$3)+1)/ER$5)</f>
        <v>0</v>
      </c>
      <c r="ES49" s="47" t="n">
        <f aca="false">$E49*MAX(0,(MIN(In_PB_Release,ES$4)-MAX($F49,ES$3)+1)/ES$5)</f>
        <v>0</v>
      </c>
      <c r="ET49" s="47" t="n">
        <f aca="false">$E49*MAX(0,(MIN(In_PB_Release,ET$4)-MAX($F49,ET$3)+1)/ET$5)</f>
        <v>0</v>
      </c>
    </row>
    <row r="50" customFormat="false" ht="15" hidden="false" customHeight="false" outlineLevel="0" collapsed="false">
      <c r="C50" s="1" t="s">
        <v>479</v>
      </c>
      <c r="D50" s="12" t="s">
        <v>222</v>
      </c>
      <c r="E50" s="47" t="n">
        <f aca="false">In_TSO_Security*In_MVA*Thousand/In_FX</f>
        <v>1232.87671232877</v>
      </c>
      <c r="F50" s="28" t="n">
        <f aca="false">In_TSO_Date</f>
        <v>46386</v>
      </c>
      <c r="I50" s="47" t="n">
        <f aca="false">SUM(J50:ET50)</f>
        <v>-1232.87671232877</v>
      </c>
      <c r="J50" s="47" t="n">
        <f aca="false">-$E50*N(AND(J$3&lt;=$F50,J$4&gt;=$F50))</f>
        <v>-0</v>
      </c>
      <c r="K50" s="47" t="n">
        <f aca="false">-$E50*N(AND(K$3&lt;=$F50,K$4&gt;=$F50))</f>
        <v>-1232.87671232877</v>
      </c>
      <c r="L50" s="47" t="n">
        <f aca="false">-$E50*N(AND(L$3&lt;=$F50,L$4&gt;=$F50))</f>
        <v>-0</v>
      </c>
      <c r="M50" s="47" t="n">
        <f aca="false">-$E50*N(AND(M$3&lt;=$F50,M$4&gt;=$F50))</f>
        <v>-0</v>
      </c>
      <c r="N50" s="47" t="n">
        <f aca="false">-$E50*N(AND(N$3&lt;=$F50,N$4&gt;=$F50))</f>
        <v>-0</v>
      </c>
      <c r="O50" s="47" t="n">
        <f aca="false">-$E50*N(AND(O$3&lt;=$F50,O$4&gt;=$F50))</f>
        <v>-0</v>
      </c>
      <c r="P50" s="47" t="n">
        <f aca="false">-$E50*N(AND(P$3&lt;=$F50,P$4&gt;=$F50))</f>
        <v>-0</v>
      </c>
      <c r="Q50" s="47" t="n">
        <f aca="false">-$E50*N(AND(Q$3&lt;=$F50,Q$4&gt;=$F50))</f>
        <v>-0</v>
      </c>
      <c r="R50" s="47" t="n">
        <f aca="false">-$E50*N(AND(R$3&lt;=$F50,R$4&gt;=$F50))</f>
        <v>-0</v>
      </c>
      <c r="S50" s="47" t="n">
        <f aca="false">-$E50*N(AND(S$3&lt;=$F50,S$4&gt;=$F50))</f>
        <v>-0</v>
      </c>
      <c r="T50" s="47" t="n">
        <f aca="false">-$E50*N(AND(T$3&lt;=$F50,T$4&gt;=$F50))</f>
        <v>-0</v>
      </c>
      <c r="U50" s="47" t="n">
        <f aca="false">-$E50*N(AND(U$3&lt;=$F50,U$4&gt;=$F50))</f>
        <v>-0</v>
      </c>
      <c r="V50" s="47" t="n">
        <f aca="false">-$E50*N(AND(V$3&lt;=$F50,V$4&gt;=$F50))</f>
        <v>-0</v>
      </c>
      <c r="W50" s="47" t="n">
        <f aca="false">-$E50*N(AND(W$3&lt;=$F50,W$4&gt;=$F50))</f>
        <v>-0</v>
      </c>
      <c r="X50" s="47" t="n">
        <f aca="false">-$E50*N(AND(X$3&lt;=$F50,X$4&gt;=$F50))</f>
        <v>-0</v>
      </c>
      <c r="Y50" s="47" t="n">
        <f aca="false">-$E50*N(AND(Y$3&lt;=$F50,Y$4&gt;=$F50))</f>
        <v>-0</v>
      </c>
      <c r="Z50" s="47" t="n">
        <f aca="false">-$E50*N(AND(Z$3&lt;=$F50,Z$4&gt;=$F50))</f>
        <v>-0</v>
      </c>
      <c r="AA50" s="47" t="n">
        <f aca="false">-$E50*N(AND(AA$3&lt;=$F50,AA$4&gt;=$F50))</f>
        <v>-0</v>
      </c>
      <c r="AB50" s="47" t="n">
        <f aca="false">-$E50*N(AND(AB$3&lt;=$F50,AB$4&gt;=$F50))</f>
        <v>-0</v>
      </c>
      <c r="AC50" s="47" t="n">
        <f aca="false">-$E50*N(AND(AC$3&lt;=$F50,AC$4&gt;=$F50))</f>
        <v>-0</v>
      </c>
      <c r="AD50" s="47" t="n">
        <f aca="false">-$E50*N(AND(AD$3&lt;=$F50,AD$4&gt;=$F50))</f>
        <v>-0</v>
      </c>
      <c r="AE50" s="47" t="n">
        <f aca="false">-$E50*N(AND(AE$3&lt;=$F50,AE$4&gt;=$F50))</f>
        <v>-0</v>
      </c>
      <c r="AF50" s="47" t="n">
        <f aca="false">-$E50*N(AND(AF$3&lt;=$F50,AF$4&gt;=$F50))</f>
        <v>-0</v>
      </c>
      <c r="AG50" s="47" t="n">
        <f aca="false">-$E50*N(AND(AG$3&lt;=$F50,AG$4&gt;=$F50))</f>
        <v>-0</v>
      </c>
      <c r="AH50" s="47" t="n">
        <f aca="false">-$E50*N(AND(AH$3&lt;=$F50,AH$4&gt;=$F50))</f>
        <v>-0</v>
      </c>
      <c r="AI50" s="47" t="n">
        <f aca="false">-$E50*N(AND(AI$3&lt;=$F50,AI$4&gt;=$F50))</f>
        <v>-0</v>
      </c>
      <c r="AJ50" s="47" t="n">
        <f aca="false">-$E50*N(AND(AJ$3&lt;=$F50,AJ$4&gt;=$F50))</f>
        <v>-0</v>
      </c>
      <c r="AK50" s="47" t="n">
        <f aca="false">-$E50*N(AND(AK$3&lt;=$F50,AK$4&gt;=$F50))</f>
        <v>-0</v>
      </c>
      <c r="AL50" s="47" t="n">
        <f aca="false">-$E50*N(AND(AL$3&lt;=$F50,AL$4&gt;=$F50))</f>
        <v>-0</v>
      </c>
      <c r="AM50" s="47" t="n">
        <f aca="false">-$E50*N(AND(AM$3&lt;=$F50,AM$4&gt;=$F50))</f>
        <v>-0</v>
      </c>
      <c r="AN50" s="47" t="n">
        <f aca="false">-$E50*N(AND(AN$3&lt;=$F50,AN$4&gt;=$F50))</f>
        <v>-0</v>
      </c>
      <c r="AO50" s="47" t="n">
        <f aca="false">-$E50*N(AND(AO$3&lt;=$F50,AO$4&gt;=$F50))</f>
        <v>-0</v>
      </c>
      <c r="AP50" s="47" t="n">
        <f aca="false">-$E50*N(AND(AP$3&lt;=$F50,AP$4&gt;=$F50))</f>
        <v>-0</v>
      </c>
      <c r="AQ50" s="47" t="n">
        <f aca="false">-$E50*N(AND(AQ$3&lt;=$F50,AQ$4&gt;=$F50))</f>
        <v>-0</v>
      </c>
      <c r="AR50" s="47" t="n">
        <f aca="false">-$E50*N(AND(AR$3&lt;=$F50,AR$4&gt;=$F50))</f>
        <v>-0</v>
      </c>
      <c r="AS50" s="47" t="n">
        <f aca="false">-$E50*N(AND(AS$3&lt;=$F50,AS$4&gt;=$F50))</f>
        <v>-0</v>
      </c>
      <c r="AT50" s="47" t="n">
        <f aca="false">-$E50*N(AND(AT$3&lt;=$F50,AT$4&gt;=$F50))</f>
        <v>-0</v>
      </c>
      <c r="AU50" s="47" t="n">
        <f aca="false">-$E50*N(AND(AU$3&lt;=$F50,AU$4&gt;=$F50))</f>
        <v>-0</v>
      </c>
      <c r="AV50" s="47" t="n">
        <f aca="false">-$E50*N(AND(AV$3&lt;=$F50,AV$4&gt;=$F50))</f>
        <v>-0</v>
      </c>
      <c r="AW50" s="47" t="n">
        <f aca="false">-$E50*N(AND(AW$3&lt;=$F50,AW$4&gt;=$F50))</f>
        <v>-0</v>
      </c>
      <c r="AX50" s="47" t="n">
        <f aca="false">-$E50*N(AND(AX$3&lt;=$F50,AX$4&gt;=$F50))</f>
        <v>-0</v>
      </c>
      <c r="AY50" s="47" t="n">
        <f aca="false">-$E50*N(AND(AY$3&lt;=$F50,AY$4&gt;=$F50))</f>
        <v>-0</v>
      </c>
      <c r="AZ50" s="47" t="n">
        <f aca="false">-$E50*N(AND(AZ$3&lt;=$F50,AZ$4&gt;=$F50))</f>
        <v>-0</v>
      </c>
      <c r="BA50" s="47" t="n">
        <f aca="false">-$E50*N(AND(BA$3&lt;=$F50,BA$4&gt;=$F50))</f>
        <v>-0</v>
      </c>
      <c r="BB50" s="47" t="n">
        <f aca="false">-$E50*N(AND(BB$3&lt;=$F50,BB$4&gt;=$F50))</f>
        <v>-0</v>
      </c>
      <c r="BC50" s="47" t="n">
        <f aca="false">-$E50*N(AND(BC$3&lt;=$F50,BC$4&gt;=$F50))</f>
        <v>-0</v>
      </c>
      <c r="BD50" s="47" t="n">
        <f aca="false">-$E50*N(AND(BD$3&lt;=$F50,BD$4&gt;=$F50))</f>
        <v>-0</v>
      </c>
      <c r="BE50" s="47" t="n">
        <f aca="false">-$E50*N(AND(BE$3&lt;=$F50,BE$4&gt;=$F50))</f>
        <v>-0</v>
      </c>
      <c r="BF50" s="47" t="n">
        <f aca="false">-$E50*N(AND(BF$3&lt;=$F50,BF$4&gt;=$F50))</f>
        <v>-0</v>
      </c>
      <c r="BG50" s="47" t="n">
        <f aca="false">-$E50*N(AND(BG$3&lt;=$F50,BG$4&gt;=$F50))</f>
        <v>-0</v>
      </c>
      <c r="BH50" s="47" t="n">
        <f aca="false">-$E50*N(AND(BH$3&lt;=$F50,BH$4&gt;=$F50))</f>
        <v>-0</v>
      </c>
      <c r="BI50" s="47" t="n">
        <f aca="false">-$E50*N(AND(BI$3&lt;=$F50,BI$4&gt;=$F50))</f>
        <v>-0</v>
      </c>
      <c r="BJ50" s="47" t="n">
        <f aca="false">-$E50*N(AND(BJ$3&lt;=$F50,BJ$4&gt;=$F50))</f>
        <v>-0</v>
      </c>
      <c r="BK50" s="47" t="n">
        <f aca="false">-$E50*N(AND(BK$3&lt;=$F50,BK$4&gt;=$F50))</f>
        <v>-0</v>
      </c>
      <c r="BL50" s="47" t="n">
        <f aca="false">-$E50*N(AND(BL$3&lt;=$F50,BL$4&gt;=$F50))</f>
        <v>-0</v>
      </c>
      <c r="BM50" s="47" t="n">
        <f aca="false">-$E50*N(AND(BM$3&lt;=$F50,BM$4&gt;=$F50))</f>
        <v>-0</v>
      </c>
      <c r="BN50" s="47" t="n">
        <f aca="false">-$E50*N(AND(BN$3&lt;=$F50,BN$4&gt;=$F50))</f>
        <v>-0</v>
      </c>
      <c r="BO50" s="47" t="n">
        <f aca="false">-$E50*N(AND(BO$3&lt;=$F50,BO$4&gt;=$F50))</f>
        <v>-0</v>
      </c>
      <c r="BP50" s="47" t="n">
        <f aca="false">-$E50*N(AND(BP$3&lt;=$F50,BP$4&gt;=$F50))</f>
        <v>-0</v>
      </c>
      <c r="BQ50" s="47" t="n">
        <f aca="false">-$E50*N(AND(BQ$3&lt;=$F50,BQ$4&gt;=$F50))</f>
        <v>-0</v>
      </c>
      <c r="BR50" s="47" t="n">
        <f aca="false">-$E50*N(AND(BR$3&lt;=$F50,BR$4&gt;=$F50))</f>
        <v>-0</v>
      </c>
      <c r="BS50" s="47" t="n">
        <f aca="false">-$E50*N(AND(BS$3&lt;=$F50,BS$4&gt;=$F50))</f>
        <v>-0</v>
      </c>
      <c r="BT50" s="47" t="n">
        <f aca="false">-$E50*N(AND(BT$3&lt;=$F50,BT$4&gt;=$F50))</f>
        <v>-0</v>
      </c>
      <c r="BU50" s="47" t="n">
        <f aca="false">-$E50*N(AND(BU$3&lt;=$F50,BU$4&gt;=$F50))</f>
        <v>-0</v>
      </c>
      <c r="BV50" s="47" t="n">
        <f aca="false">-$E50*N(AND(BV$3&lt;=$F50,BV$4&gt;=$F50))</f>
        <v>-0</v>
      </c>
      <c r="BW50" s="47" t="n">
        <f aca="false">-$E50*N(AND(BW$3&lt;=$F50,BW$4&gt;=$F50))</f>
        <v>-0</v>
      </c>
      <c r="BX50" s="47" t="n">
        <f aca="false">-$E50*N(AND(BX$3&lt;=$F50,BX$4&gt;=$F50))</f>
        <v>-0</v>
      </c>
      <c r="BY50" s="47" t="n">
        <f aca="false">-$E50*N(AND(BY$3&lt;=$F50,BY$4&gt;=$F50))</f>
        <v>-0</v>
      </c>
      <c r="BZ50" s="47" t="n">
        <f aca="false">-$E50*N(AND(BZ$3&lt;=$F50,BZ$4&gt;=$F50))</f>
        <v>-0</v>
      </c>
      <c r="CA50" s="47" t="n">
        <f aca="false">-$E50*N(AND(CA$3&lt;=$F50,CA$4&gt;=$F50))</f>
        <v>-0</v>
      </c>
      <c r="CB50" s="47" t="n">
        <f aca="false">-$E50*N(AND(CB$3&lt;=$F50,CB$4&gt;=$F50))</f>
        <v>-0</v>
      </c>
      <c r="CC50" s="47" t="n">
        <f aca="false">-$E50*N(AND(CC$3&lt;=$F50,CC$4&gt;=$F50))</f>
        <v>-0</v>
      </c>
      <c r="CD50" s="47" t="n">
        <f aca="false">-$E50*N(AND(CD$3&lt;=$F50,CD$4&gt;=$F50))</f>
        <v>-0</v>
      </c>
      <c r="CE50" s="47" t="n">
        <f aca="false">-$E50*N(AND(CE$3&lt;=$F50,CE$4&gt;=$F50))</f>
        <v>-0</v>
      </c>
      <c r="CF50" s="47" t="n">
        <f aca="false">-$E50*N(AND(CF$3&lt;=$F50,CF$4&gt;=$F50))</f>
        <v>-0</v>
      </c>
      <c r="CG50" s="47" t="n">
        <f aca="false">-$E50*N(AND(CG$3&lt;=$F50,CG$4&gt;=$F50))</f>
        <v>-0</v>
      </c>
      <c r="CH50" s="47" t="n">
        <f aca="false">-$E50*N(AND(CH$3&lt;=$F50,CH$4&gt;=$F50))</f>
        <v>-0</v>
      </c>
      <c r="CI50" s="47" t="n">
        <f aca="false">-$E50*N(AND(CI$3&lt;=$F50,CI$4&gt;=$F50))</f>
        <v>-0</v>
      </c>
      <c r="CJ50" s="47" t="n">
        <f aca="false">-$E50*N(AND(CJ$3&lt;=$F50,CJ$4&gt;=$F50))</f>
        <v>-0</v>
      </c>
      <c r="CK50" s="47" t="n">
        <f aca="false">-$E50*N(AND(CK$3&lt;=$F50,CK$4&gt;=$F50))</f>
        <v>-0</v>
      </c>
      <c r="CL50" s="47" t="n">
        <f aca="false">-$E50*N(AND(CL$3&lt;=$F50,CL$4&gt;=$F50))</f>
        <v>-0</v>
      </c>
      <c r="CM50" s="47" t="n">
        <f aca="false">-$E50*N(AND(CM$3&lt;=$F50,CM$4&gt;=$F50))</f>
        <v>-0</v>
      </c>
      <c r="CN50" s="47" t="n">
        <f aca="false">-$E50*N(AND(CN$3&lt;=$F50,CN$4&gt;=$F50))</f>
        <v>-0</v>
      </c>
      <c r="CO50" s="47" t="n">
        <f aca="false">-$E50*N(AND(CO$3&lt;=$F50,CO$4&gt;=$F50))</f>
        <v>-0</v>
      </c>
      <c r="CP50" s="47" t="n">
        <f aca="false">-$E50*N(AND(CP$3&lt;=$F50,CP$4&gt;=$F50))</f>
        <v>-0</v>
      </c>
      <c r="CQ50" s="47" t="n">
        <f aca="false">-$E50*N(AND(CQ$3&lt;=$F50,CQ$4&gt;=$F50))</f>
        <v>-0</v>
      </c>
      <c r="CR50" s="47" t="n">
        <f aca="false">-$E50*N(AND(CR$3&lt;=$F50,CR$4&gt;=$F50))</f>
        <v>-0</v>
      </c>
      <c r="CS50" s="47" t="n">
        <f aca="false">-$E50*N(AND(CS$3&lt;=$F50,CS$4&gt;=$F50))</f>
        <v>-0</v>
      </c>
      <c r="CT50" s="47" t="n">
        <f aca="false">-$E50*N(AND(CT$3&lt;=$F50,CT$4&gt;=$F50))</f>
        <v>-0</v>
      </c>
      <c r="CU50" s="47" t="n">
        <f aca="false">-$E50*N(AND(CU$3&lt;=$F50,CU$4&gt;=$F50))</f>
        <v>-0</v>
      </c>
      <c r="CV50" s="47" t="n">
        <f aca="false">-$E50*N(AND(CV$3&lt;=$F50,CV$4&gt;=$F50))</f>
        <v>-0</v>
      </c>
      <c r="CW50" s="47" t="n">
        <f aca="false">-$E50*N(AND(CW$3&lt;=$F50,CW$4&gt;=$F50))</f>
        <v>-0</v>
      </c>
      <c r="CX50" s="47" t="n">
        <f aca="false">-$E50*N(AND(CX$3&lt;=$F50,CX$4&gt;=$F50))</f>
        <v>-0</v>
      </c>
      <c r="CY50" s="47" t="n">
        <f aca="false">-$E50*N(AND(CY$3&lt;=$F50,CY$4&gt;=$F50))</f>
        <v>-0</v>
      </c>
      <c r="CZ50" s="47" t="n">
        <f aca="false">-$E50*N(AND(CZ$3&lt;=$F50,CZ$4&gt;=$F50))</f>
        <v>-0</v>
      </c>
      <c r="DA50" s="47" t="n">
        <f aca="false">-$E50*N(AND(DA$3&lt;=$F50,DA$4&gt;=$F50))</f>
        <v>-0</v>
      </c>
      <c r="DB50" s="47" t="n">
        <f aca="false">-$E50*N(AND(DB$3&lt;=$F50,DB$4&gt;=$F50))</f>
        <v>-0</v>
      </c>
      <c r="DC50" s="47" t="n">
        <f aca="false">-$E50*N(AND(DC$3&lt;=$F50,DC$4&gt;=$F50))</f>
        <v>-0</v>
      </c>
      <c r="DD50" s="47" t="n">
        <f aca="false">-$E50*N(AND(DD$3&lt;=$F50,DD$4&gt;=$F50))</f>
        <v>-0</v>
      </c>
      <c r="DE50" s="47" t="n">
        <f aca="false">-$E50*N(AND(DE$3&lt;=$F50,DE$4&gt;=$F50))</f>
        <v>-0</v>
      </c>
      <c r="DF50" s="47" t="n">
        <f aca="false">-$E50*N(AND(DF$3&lt;=$F50,DF$4&gt;=$F50))</f>
        <v>-0</v>
      </c>
      <c r="DG50" s="47" t="n">
        <f aca="false">-$E50*N(AND(DG$3&lt;=$F50,DG$4&gt;=$F50))</f>
        <v>-0</v>
      </c>
      <c r="DH50" s="47" t="n">
        <f aca="false">-$E50*N(AND(DH$3&lt;=$F50,DH$4&gt;=$F50))</f>
        <v>-0</v>
      </c>
      <c r="DI50" s="47" t="n">
        <f aca="false">-$E50*N(AND(DI$3&lt;=$F50,DI$4&gt;=$F50))</f>
        <v>-0</v>
      </c>
      <c r="DJ50" s="47" t="n">
        <f aca="false">-$E50*N(AND(DJ$3&lt;=$F50,DJ$4&gt;=$F50))</f>
        <v>-0</v>
      </c>
      <c r="DK50" s="47" t="n">
        <f aca="false">-$E50*N(AND(DK$3&lt;=$F50,DK$4&gt;=$F50))</f>
        <v>-0</v>
      </c>
      <c r="DL50" s="47" t="n">
        <f aca="false">-$E50*N(AND(DL$3&lt;=$F50,DL$4&gt;=$F50))</f>
        <v>-0</v>
      </c>
      <c r="DM50" s="47" t="n">
        <f aca="false">-$E50*N(AND(DM$3&lt;=$F50,DM$4&gt;=$F50))</f>
        <v>-0</v>
      </c>
      <c r="DN50" s="47" t="n">
        <f aca="false">-$E50*N(AND(DN$3&lt;=$F50,DN$4&gt;=$F50))</f>
        <v>-0</v>
      </c>
      <c r="DO50" s="47" t="n">
        <f aca="false">-$E50*N(AND(DO$3&lt;=$F50,DO$4&gt;=$F50))</f>
        <v>-0</v>
      </c>
      <c r="DP50" s="47" t="n">
        <f aca="false">-$E50*N(AND(DP$3&lt;=$F50,DP$4&gt;=$F50))</f>
        <v>-0</v>
      </c>
      <c r="DQ50" s="47" t="n">
        <f aca="false">-$E50*N(AND(DQ$3&lt;=$F50,DQ$4&gt;=$F50))</f>
        <v>-0</v>
      </c>
      <c r="DR50" s="47" t="n">
        <f aca="false">-$E50*N(AND(DR$3&lt;=$F50,DR$4&gt;=$F50))</f>
        <v>-0</v>
      </c>
      <c r="DS50" s="47" t="n">
        <f aca="false">-$E50*N(AND(DS$3&lt;=$F50,DS$4&gt;=$F50))</f>
        <v>-0</v>
      </c>
      <c r="DT50" s="47" t="n">
        <f aca="false">-$E50*N(AND(DT$3&lt;=$F50,DT$4&gt;=$F50))</f>
        <v>-0</v>
      </c>
      <c r="DU50" s="47" t="n">
        <f aca="false">-$E50*N(AND(DU$3&lt;=$F50,DU$4&gt;=$F50))</f>
        <v>-0</v>
      </c>
      <c r="DV50" s="47" t="n">
        <f aca="false">-$E50*N(AND(DV$3&lt;=$F50,DV$4&gt;=$F50))</f>
        <v>-0</v>
      </c>
      <c r="DW50" s="47" t="n">
        <f aca="false">-$E50*N(AND(DW$3&lt;=$F50,DW$4&gt;=$F50))</f>
        <v>-0</v>
      </c>
      <c r="DX50" s="47" t="n">
        <f aca="false">-$E50*N(AND(DX$3&lt;=$F50,DX$4&gt;=$F50))</f>
        <v>-0</v>
      </c>
      <c r="DY50" s="47" t="n">
        <f aca="false">-$E50*N(AND(DY$3&lt;=$F50,DY$4&gt;=$F50))</f>
        <v>-0</v>
      </c>
      <c r="DZ50" s="47" t="n">
        <f aca="false">-$E50*N(AND(DZ$3&lt;=$F50,DZ$4&gt;=$F50))</f>
        <v>-0</v>
      </c>
      <c r="EA50" s="47" t="n">
        <f aca="false">-$E50*N(AND(EA$3&lt;=$F50,EA$4&gt;=$F50))</f>
        <v>-0</v>
      </c>
      <c r="EB50" s="47" t="n">
        <f aca="false">-$E50*N(AND(EB$3&lt;=$F50,EB$4&gt;=$F50))</f>
        <v>-0</v>
      </c>
      <c r="EC50" s="47" t="n">
        <f aca="false">-$E50*N(AND(EC$3&lt;=$F50,EC$4&gt;=$F50))</f>
        <v>-0</v>
      </c>
      <c r="ED50" s="47" t="n">
        <f aca="false">-$E50*N(AND(ED$3&lt;=$F50,ED$4&gt;=$F50))</f>
        <v>-0</v>
      </c>
      <c r="EE50" s="47" t="n">
        <f aca="false">-$E50*N(AND(EE$3&lt;=$F50,EE$4&gt;=$F50))</f>
        <v>-0</v>
      </c>
      <c r="EF50" s="47" t="n">
        <f aca="false">-$E50*N(AND(EF$3&lt;=$F50,EF$4&gt;=$F50))</f>
        <v>-0</v>
      </c>
      <c r="EG50" s="47" t="n">
        <f aca="false">-$E50*N(AND(EG$3&lt;=$F50,EG$4&gt;=$F50))</f>
        <v>-0</v>
      </c>
      <c r="EH50" s="47" t="n">
        <f aca="false">-$E50*N(AND(EH$3&lt;=$F50,EH$4&gt;=$F50))</f>
        <v>-0</v>
      </c>
      <c r="EI50" s="47" t="n">
        <f aca="false">-$E50*N(AND(EI$3&lt;=$F50,EI$4&gt;=$F50))</f>
        <v>-0</v>
      </c>
      <c r="EJ50" s="47" t="n">
        <f aca="false">-$E50*N(AND(EJ$3&lt;=$F50,EJ$4&gt;=$F50))</f>
        <v>-0</v>
      </c>
      <c r="EK50" s="47" t="n">
        <f aca="false">-$E50*N(AND(EK$3&lt;=$F50,EK$4&gt;=$F50))</f>
        <v>-0</v>
      </c>
      <c r="EL50" s="47" t="n">
        <f aca="false">-$E50*N(AND(EL$3&lt;=$F50,EL$4&gt;=$F50))</f>
        <v>-0</v>
      </c>
      <c r="EM50" s="47" t="n">
        <f aca="false">-$E50*N(AND(EM$3&lt;=$F50,EM$4&gt;=$F50))</f>
        <v>-0</v>
      </c>
      <c r="EN50" s="47" t="n">
        <f aca="false">-$E50*N(AND(EN$3&lt;=$F50,EN$4&gt;=$F50))</f>
        <v>-0</v>
      </c>
      <c r="EO50" s="47" t="n">
        <f aca="false">-$E50*N(AND(EO$3&lt;=$F50,EO$4&gt;=$F50))</f>
        <v>-0</v>
      </c>
      <c r="EP50" s="47" t="n">
        <f aca="false">-$E50*N(AND(EP$3&lt;=$F50,EP$4&gt;=$F50))</f>
        <v>-0</v>
      </c>
      <c r="EQ50" s="47" t="n">
        <f aca="false">-$E50*N(AND(EQ$3&lt;=$F50,EQ$4&gt;=$F50))</f>
        <v>-0</v>
      </c>
      <c r="ER50" s="47" t="n">
        <f aca="false">-$E50*N(AND(ER$3&lt;=$F50,ER$4&gt;=$F50))</f>
        <v>-0</v>
      </c>
      <c r="ES50" s="47" t="n">
        <f aca="false">-$E50*N(AND(ES$3&lt;=$F50,ES$4&gt;=$F50))</f>
        <v>-0</v>
      </c>
      <c r="ET50" s="47" t="n">
        <f aca="false">-$E50*N(AND(ET$3&lt;=$F50,ET$4&gt;=$F50))</f>
        <v>-0</v>
      </c>
    </row>
    <row r="51" customFormat="false" ht="15" hidden="false" customHeight="false" outlineLevel="0" collapsed="false">
      <c r="C51" s="1" t="s">
        <v>480</v>
      </c>
      <c r="D51" s="12" t="s">
        <v>222</v>
      </c>
      <c r="E51" s="47" t="n">
        <f aca="false">In_Direct_Fee*Thousand/In_FX</f>
        <v>1392.72823013699</v>
      </c>
      <c r="F51" s="28" t="n">
        <f aca="false">In_HCSSZ_Date</f>
        <v>47126</v>
      </c>
      <c r="I51" s="47" t="n">
        <f aca="false">SUM(J51:ET51)</f>
        <v>-1392.72823013699</v>
      </c>
      <c r="J51" s="47" t="n">
        <f aca="false">-$E51*N(AND(J$3&lt;=$F51,J$4&gt;=$F51))</f>
        <v>-0</v>
      </c>
      <c r="K51" s="47" t="n">
        <f aca="false">-$E51*N(AND(K$3&lt;=$F51,K$4&gt;=$F51))</f>
        <v>-0</v>
      </c>
      <c r="L51" s="47" t="n">
        <f aca="false">-$E51*N(AND(L$3&lt;=$F51,L$4&gt;=$F51))</f>
        <v>-0</v>
      </c>
      <c r="M51" s="47" t="n">
        <f aca="false">-$E51*N(AND(M$3&lt;=$F51,M$4&gt;=$F51))</f>
        <v>-0</v>
      </c>
      <c r="N51" s="47" t="n">
        <f aca="false">-$E51*N(AND(N$3&lt;=$F51,N$4&gt;=$F51))</f>
        <v>-0</v>
      </c>
      <c r="O51" s="47" t="n">
        <f aca="false">-$E51*N(AND(O$3&lt;=$F51,O$4&gt;=$F51))</f>
        <v>-0</v>
      </c>
      <c r="P51" s="47" t="n">
        <f aca="false">-$E51*N(AND(P$3&lt;=$F51,P$4&gt;=$F51))</f>
        <v>-0</v>
      </c>
      <c r="Q51" s="47" t="n">
        <f aca="false">-$E51*N(AND(Q$3&lt;=$F51,Q$4&gt;=$F51))</f>
        <v>-0</v>
      </c>
      <c r="R51" s="47" t="n">
        <f aca="false">-$E51*N(AND(R$3&lt;=$F51,R$4&gt;=$F51))</f>
        <v>-0</v>
      </c>
      <c r="S51" s="47" t="n">
        <f aca="false">-$E51*N(AND(S$3&lt;=$F51,S$4&gt;=$F51))</f>
        <v>-0</v>
      </c>
      <c r="T51" s="47" t="n">
        <f aca="false">-$E51*N(AND(T$3&lt;=$F51,T$4&gt;=$F51))</f>
        <v>-1392.72823013699</v>
      </c>
      <c r="U51" s="47" t="n">
        <f aca="false">-$E51*N(AND(U$3&lt;=$F51,U$4&gt;=$F51))</f>
        <v>-0</v>
      </c>
      <c r="V51" s="47" t="n">
        <f aca="false">-$E51*N(AND(V$3&lt;=$F51,V$4&gt;=$F51))</f>
        <v>-0</v>
      </c>
      <c r="W51" s="47" t="n">
        <f aca="false">-$E51*N(AND(W$3&lt;=$F51,W$4&gt;=$F51))</f>
        <v>-0</v>
      </c>
      <c r="X51" s="47" t="n">
        <f aca="false">-$E51*N(AND(X$3&lt;=$F51,X$4&gt;=$F51))</f>
        <v>-0</v>
      </c>
      <c r="Y51" s="47" t="n">
        <f aca="false">-$E51*N(AND(Y$3&lt;=$F51,Y$4&gt;=$F51))</f>
        <v>-0</v>
      </c>
      <c r="Z51" s="47" t="n">
        <f aca="false">-$E51*N(AND(Z$3&lt;=$F51,Z$4&gt;=$F51))</f>
        <v>-0</v>
      </c>
      <c r="AA51" s="47" t="n">
        <f aca="false">-$E51*N(AND(AA$3&lt;=$F51,AA$4&gt;=$F51))</f>
        <v>-0</v>
      </c>
      <c r="AB51" s="47" t="n">
        <f aca="false">-$E51*N(AND(AB$3&lt;=$F51,AB$4&gt;=$F51))</f>
        <v>-0</v>
      </c>
      <c r="AC51" s="47" t="n">
        <f aca="false">-$E51*N(AND(AC$3&lt;=$F51,AC$4&gt;=$F51))</f>
        <v>-0</v>
      </c>
      <c r="AD51" s="47" t="n">
        <f aca="false">-$E51*N(AND(AD$3&lt;=$F51,AD$4&gt;=$F51))</f>
        <v>-0</v>
      </c>
      <c r="AE51" s="47" t="n">
        <f aca="false">-$E51*N(AND(AE$3&lt;=$F51,AE$4&gt;=$F51))</f>
        <v>-0</v>
      </c>
      <c r="AF51" s="47" t="n">
        <f aca="false">-$E51*N(AND(AF$3&lt;=$F51,AF$4&gt;=$F51))</f>
        <v>-0</v>
      </c>
      <c r="AG51" s="47" t="n">
        <f aca="false">-$E51*N(AND(AG$3&lt;=$F51,AG$4&gt;=$F51))</f>
        <v>-0</v>
      </c>
      <c r="AH51" s="47" t="n">
        <f aca="false">-$E51*N(AND(AH$3&lt;=$F51,AH$4&gt;=$F51))</f>
        <v>-0</v>
      </c>
      <c r="AI51" s="47" t="n">
        <f aca="false">-$E51*N(AND(AI$3&lt;=$F51,AI$4&gt;=$F51))</f>
        <v>-0</v>
      </c>
      <c r="AJ51" s="47" t="n">
        <f aca="false">-$E51*N(AND(AJ$3&lt;=$F51,AJ$4&gt;=$F51))</f>
        <v>-0</v>
      </c>
      <c r="AK51" s="47" t="n">
        <f aca="false">-$E51*N(AND(AK$3&lt;=$F51,AK$4&gt;=$F51))</f>
        <v>-0</v>
      </c>
      <c r="AL51" s="47" t="n">
        <f aca="false">-$E51*N(AND(AL$3&lt;=$F51,AL$4&gt;=$F51))</f>
        <v>-0</v>
      </c>
      <c r="AM51" s="47" t="n">
        <f aca="false">-$E51*N(AND(AM$3&lt;=$F51,AM$4&gt;=$F51))</f>
        <v>-0</v>
      </c>
      <c r="AN51" s="47" t="n">
        <f aca="false">-$E51*N(AND(AN$3&lt;=$F51,AN$4&gt;=$F51))</f>
        <v>-0</v>
      </c>
      <c r="AO51" s="47" t="n">
        <f aca="false">-$E51*N(AND(AO$3&lt;=$F51,AO$4&gt;=$F51))</f>
        <v>-0</v>
      </c>
      <c r="AP51" s="47" t="n">
        <f aca="false">-$E51*N(AND(AP$3&lt;=$F51,AP$4&gt;=$F51))</f>
        <v>-0</v>
      </c>
      <c r="AQ51" s="47" t="n">
        <f aca="false">-$E51*N(AND(AQ$3&lt;=$F51,AQ$4&gt;=$F51))</f>
        <v>-0</v>
      </c>
      <c r="AR51" s="47" t="n">
        <f aca="false">-$E51*N(AND(AR$3&lt;=$F51,AR$4&gt;=$F51))</f>
        <v>-0</v>
      </c>
      <c r="AS51" s="47" t="n">
        <f aca="false">-$E51*N(AND(AS$3&lt;=$F51,AS$4&gt;=$F51))</f>
        <v>-0</v>
      </c>
      <c r="AT51" s="47" t="n">
        <f aca="false">-$E51*N(AND(AT$3&lt;=$F51,AT$4&gt;=$F51))</f>
        <v>-0</v>
      </c>
      <c r="AU51" s="47" t="n">
        <f aca="false">-$E51*N(AND(AU$3&lt;=$F51,AU$4&gt;=$F51))</f>
        <v>-0</v>
      </c>
      <c r="AV51" s="47" t="n">
        <f aca="false">-$E51*N(AND(AV$3&lt;=$F51,AV$4&gt;=$F51))</f>
        <v>-0</v>
      </c>
      <c r="AW51" s="47" t="n">
        <f aca="false">-$E51*N(AND(AW$3&lt;=$F51,AW$4&gt;=$F51))</f>
        <v>-0</v>
      </c>
      <c r="AX51" s="47" t="n">
        <f aca="false">-$E51*N(AND(AX$3&lt;=$F51,AX$4&gt;=$F51))</f>
        <v>-0</v>
      </c>
      <c r="AY51" s="47" t="n">
        <f aca="false">-$E51*N(AND(AY$3&lt;=$F51,AY$4&gt;=$F51))</f>
        <v>-0</v>
      </c>
      <c r="AZ51" s="47" t="n">
        <f aca="false">-$E51*N(AND(AZ$3&lt;=$F51,AZ$4&gt;=$F51))</f>
        <v>-0</v>
      </c>
      <c r="BA51" s="47" t="n">
        <f aca="false">-$E51*N(AND(BA$3&lt;=$F51,BA$4&gt;=$F51))</f>
        <v>-0</v>
      </c>
      <c r="BB51" s="47" t="n">
        <f aca="false">-$E51*N(AND(BB$3&lt;=$F51,BB$4&gt;=$F51))</f>
        <v>-0</v>
      </c>
      <c r="BC51" s="47" t="n">
        <f aca="false">-$E51*N(AND(BC$3&lt;=$F51,BC$4&gt;=$F51))</f>
        <v>-0</v>
      </c>
      <c r="BD51" s="47" t="n">
        <f aca="false">-$E51*N(AND(BD$3&lt;=$F51,BD$4&gt;=$F51))</f>
        <v>-0</v>
      </c>
      <c r="BE51" s="47" t="n">
        <f aca="false">-$E51*N(AND(BE$3&lt;=$F51,BE$4&gt;=$F51))</f>
        <v>-0</v>
      </c>
      <c r="BF51" s="47" t="n">
        <f aca="false">-$E51*N(AND(BF$3&lt;=$F51,BF$4&gt;=$F51))</f>
        <v>-0</v>
      </c>
      <c r="BG51" s="47" t="n">
        <f aca="false">-$E51*N(AND(BG$3&lt;=$F51,BG$4&gt;=$F51))</f>
        <v>-0</v>
      </c>
      <c r="BH51" s="47" t="n">
        <f aca="false">-$E51*N(AND(BH$3&lt;=$F51,BH$4&gt;=$F51))</f>
        <v>-0</v>
      </c>
      <c r="BI51" s="47" t="n">
        <f aca="false">-$E51*N(AND(BI$3&lt;=$F51,BI$4&gt;=$F51))</f>
        <v>-0</v>
      </c>
      <c r="BJ51" s="47" t="n">
        <f aca="false">-$E51*N(AND(BJ$3&lt;=$F51,BJ$4&gt;=$F51))</f>
        <v>-0</v>
      </c>
      <c r="BK51" s="47" t="n">
        <f aca="false">-$E51*N(AND(BK$3&lt;=$F51,BK$4&gt;=$F51))</f>
        <v>-0</v>
      </c>
      <c r="BL51" s="47" t="n">
        <f aca="false">-$E51*N(AND(BL$3&lt;=$F51,BL$4&gt;=$F51))</f>
        <v>-0</v>
      </c>
      <c r="BM51" s="47" t="n">
        <f aca="false">-$E51*N(AND(BM$3&lt;=$F51,BM$4&gt;=$F51))</f>
        <v>-0</v>
      </c>
      <c r="BN51" s="47" t="n">
        <f aca="false">-$E51*N(AND(BN$3&lt;=$F51,BN$4&gt;=$F51))</f>
        <v>-0</v>
      </c>
      <c r="BO51" s="47" t="n">
        <f aca="false">-$E51*N(AND(BO$3&lt;=$F51,BO$4&gt;=$F51))</f>
        <v>-0</v>
      </c>
      <c r="BP51" s="47" t="n">
        <f aca="false">-$E51*N(AND(BP$3&lt;=$F51,BP$4&gt;=$F51))</f>
        <v>-0</v>
      </c>
      <c r="BQ51" s="47" t="n">
        <f aca="false">-$E51*N(AND(BQ$3&lt;=$F51,BQ$4&gt;=$F51))</f>
        <v>-0</v>
      </c>
      <c r="BR51" s="47" t="n">
        <f aca="false">-$E51*N(AND(BR$3&lt;=$F51,BR$4&gt;=$F51))</f>
        <v>-0</v>
      </c>
      <c r="BS51" s="47" t="n">
        <f aca="false">-$E51*N(AND(BS$3&lt;=$F51,BS$4&gt;=$F51))</f>
        <v>-0</v>
      </c>
      <c r="BT51" s="47" t="n">
        <f aca="false">-$E51*N(AND(BT$3&lt;=$F51,BT$4&gt;=$F51))</f>
        <v>-0</v>
      </c>
      <c r="BU51" s="47" t="n">
        <f aca="false">-$E51*N(AND(BU$3&lt;=$F51,BU$4&gt;=$F51))</f>
        <v>-0</v>
      </c>
      <c r="BV51" s="47" t="n">
        <f aca="false">-$E51*N(AND(BV$3&lt;=$F51,BV$4&gt;=$F51))</f>
        <v>-0</v>
      </c>
      <c r="BW51" s="47" t="n">
        <f aca="false">-$E51*N(AND(BW$3&lt;=$F51,BW$4&gt;=$F51))</f>
        <v>-0</v>
      </c>
      <c r="BX51" s="47" t="n">
        <f aca="false">-$E51*N(AND(BX$3&lt;=$F51,BX$4&gt;=$F51))</f>
        <v>-0</v>
      </c>
      <c r="BY51" s="47" t="n">
        <f aca="false">-$E51*N(AND(BY$3&lt;=$F51,BY$4&gt;=$F51))</f>
        <v>-0</v>
      </c>
      <c r="BZ51" s="47" t="n">
        <f aca="false">-$E51*N(AND(BZ$3&lt;=$F51,BZ$4&gt;=$F51))</f>
        <v>-0</v>
      </c>
      <c r="CA51" s="47" t="n">
        <f aca="false">-$E51*N(AND(CA$3&lt;=$F51,CA$4&gt;=$F51))</f>
        <v>-0</v>
      </c>
      <c r="CB51" s="47" t="n">
        <f aca="false">-$E51*N(AND(CB$3&lt;=$F51,CB$4&gt;=$F51))</f>
        <v>-0</v>
      </c>
      <c r="CC51" s="47" t="n">
        <f aca="false">-$E51*N(AND(CC$3&lt;=$F51,CC$4&gt;=$F51))</f>
        <v>-0</v>
      </c>
      <c r="CD51" s="47" t="n">
        <f aca="false">-$E51*N(AND(CD$3&lt;=$F51,CD$4&gt;=$F51))</f>
        <v>-0</v>
      </c>
      <c r="CE51" s="47" t="n">
        <f aca="false">-$E51*N(AND(CE$3&lt;=$F51,CE$4&gt;=$F51))</f>
        <v>-0</v>
      </c>
      <c r="CF51" s="47" t="n">
        <f aca="false">-$E51*N(AND(CF$3&lt;=$F51,CF$4&gt;=$F51))</f>
        <v>-0</v>
      </c>
      <c r="CG51" s="47" t="n">
        <f aca="false">-$E51*N(AND(CG$3&lt;=$F51,CG$4&gt;=$F51))</f>
        <v>-0</v>
      </c>
      <c r="CH51" s="47" t="n">
        <f aca="false">-$E51*N(AND(CH$3&lt;=$F51,CH$4&gt;=$F51))</f>
        <v>-0</v>
      </c>
      <c r="CI51" s="47" t="n">
        <f aca="false">-$E51*N(AND(CI$3&lt;=$F51,CI$4&gt;=$F51))</f>
        <v>-0</v>
      </c>
      <c r="CJ51" s="47" t="n">
        <f aca="false">-$E51*N(AND(CJ$3&lt;=$F51,CJ$4&gt;=$F51))</f>
        <v>-0</v>
      </c>
      <c r="CK51" s="47" t="n">
        <f aca="false">-$E51*N(AND(CK$3&lt;=$F51,CK$4&gt;=$F51))</f>
        <v>-0</v>
      </c>
      <c r="CL51" s="47" t="n">
        <f aca="false">-$E51*N(AND(CL$3&lt;=$F51,CL$4&gt;=$F51))</f>
        <v>-0</v>
      </c>
      <c r="CM51" s="47" t="n">
        <f aca="false">-$E51*N(AND(CM$3&lt;=$F51,CM$4&gt;=$F51))</f>
        <v>-0</v>
      </c>
      <c r="CN51" s="47" t="n">
        <f aca="false">-$E51*N(AND(CN$3&lt;=$F51,CN$4&gt;=$F51))</f>
        <v>-0</v>
      </c>
      <c r="CO51" s="47" t="n">
        <f aca="false">-$E51*N(AND(CO$3&lt;=$F51,CO$4&gt;=$F51))</f>
        <v>-0</v>
      </c>
      <c r="CP51" s="47" t="n">
        <f aca="false">-$E51*N(AND(CP$3&lt;=$F51,CP$4&gt;=$F51))</f>
        <v>-0</v>
      </c>
      <c r="CQ51" s="47" t="n">
        <f aca="false">-$E51*N(AND(CQ$3&lt;=$F51,CQ$4&gt;=$F51))</f>
        <v>-0</v>
      </c>
      <c r="CR51" s="47" t="n">
        <f aca="false">-$E51*N(AND(CR$3&lt;=$F51,CR$4&gt;=$F51))</f>
        <v>-0</v>
      </c>
      <c r="CS51" s="47" t="n">
        <f aca="false">-$E51*N(AND(CS$3&lt;=$F51,CS$4&gt;=$F51))</f>
        <v>-0</v>
      </c>
      <c r="CT51" s="47" t="n">
        <f aca="false">-$E51*N(AND(CT$3&lt;=$F51,CT$4&gt;=$F51))</f>
        <v>-0</v>
      </c>
      <c r="CU51" s="47" t="n">
        <f aca="false">-$E51*N(AND(CU$3&lt;=$F51,CU$4&gt;=$F51))</f>
        <v>-0</v>
      </c>
      <c r="CV51" s="47" t="n">
        <f aca="false">-$E51*N(AND(CV$3&lt;=$F51,CV$4&gt;=$F51))</f>
        <v>-0</v>
      </c>
      <c r="CW51" s="47" t="n">
        <f aca="false">-$E51*N(AND(CW$3&lt;=$F51,CW$4&gt;=$F51))</f>
        <v>-0</v>
      </c>
      <c r="CX51" s="47" t="n">
        <f aca="false">-$E51*N(AND(CX$3&lt;=$F51,CX$4&gt;=$F51))</f>
        <v>-0</v>
      </c>
      <c r="CY51" s="47" t="n">
        <f aca="false">-$E51*N(AND(CY$3&lt;=$F51,CY$4&gt;=$F51))</f>
        <v>-0</v>
      </c>
      <c r="CZ51" s="47" t="n">
        <f aca="false">-$E51*N(AND(CZ$3&lt;=$F51,CZ$4&gt;=$F51))</f>
        <v>-0</v>
      </c>
      <c r="DA51" s="47" t="n">
        <f aca="false">-$E51*N(AND(DA$3&lt;=$F51,DA$4&gt;=$F51))</f>
        <v>-0</v>
      </c>
      <c r="DB51" s="47" t="n">
        <f aca="false">-$E51*N(AND(DB$3&lt;=$F51,DB$4&gt;=$F51))</f>
        <v>-0</v>
      </c>
      <c r="DC51" s="47" t="n">
        <f aca="false">-$E51*N(AND(DC$3&lt;=$F51,DC$4&gt;=$F51))</f>
        <v>-0</v>
      </c>
      <c r="DD51" s="47" t="n">
        <f aca="false">-$E51*N(AND(DD$3&lt;=$F51,DD$4&gt;=$F51))</f>
        <v>-0</v>
      </c>
      <c r="DE51" s="47" t="n">
        <f aca="false">-$E51*N(AND(DE$3&lt;=$F51,DE$4&gt;=$F51))</f>
        <v>-0</v>
      </c>
      <c r="DF51" s="47" t="n">
        <f aca="false">-$E51*N(AND(DF$3&lt;=$F51,DF$4&gt;=$F51))</f>
        <v>-0</v>
      </c>
      <c r="DG51" s="47" t="n">
        <f aca="false">-$E51*N(AND(DG$3&lt;=$F51,DG$4&gt;=$F51))</f>
        <v>-0</v>
      </c>
      <c r="DH51" s="47" t="n">
        <f aca="false">-$E51*N(AND(DH$3&lt;=$F51,DH$4&gt;=$F51))</f>
        <v>-0</v>
      </c>
      <c r="DI51" s="47" t="n">
        <f aca="false">-$E51*N(AND(DI$3&lt;=$F51,DI$4&gt;=$F51))</f>
        <v>-0</v>
      </c>
      <c r="DJ51" s="47" t="n">
        <f aca="false">-$E51*N(AND(DJ$3&lt;=$F51,DJ$4&gt;=$F51))</f>
        <v>-0</v>
      </c>
      <c r="DK51" s="47" t="n">
        <f aca="false">-$E51*N(AND(DK$3&lt;=$F51,DK$4&gt;=$F51))</f>
        <v>-0</v>
      </c>
      <c r="DL51" s="47" t="n">
        <f aca="false">-$E51*N(AND(DL$3&lt;=$F51,DL$4&gt;=$F51))</f>
        <v>-0</v>
      </c>
      <c r="DM51" s="47" t="n">
        <f aca="false">-$E51*N(AND(DM$3&lt;=$F51,DM$4&gt;=$F51))</f>
        <v>-0</v>
      </c>
      <c r="DN51" s="47" t="n">
        <f aca="false">-$E51*N(AND(DN$3&lt;=$F51,DN$4&gt;=$F51))</f>
        <v>-0</v>
      </c>
      <c r="DO51" s="47" t="n">
        <f aca="false">-$E51*N(AND(DO$3&lt;=$F51,DO$4&gt;=$F51))</f>
        <v>-0</v>
      </c>
      <c r="DP51" s="47" t="n">
        <f aca="false">-$E51*N(AND(DP$3&lt;=$F51,DP$4&gt;=$F51))</f>
        <v>-0</v>
      </c>
      <c r="DQ51" s="47" t="n">
        <f aca="false">-$E51*N(AND(DQ$3&lt;=$F51,DQ$4&gt;=$F51))</f>
        <v>-0</v>
      </c>
      <c r="DR51" s="47" t="n">
        <f aca="false">-$E51*N(AND(DR$3&lt;=$F51,DR$4&gt;=$F51))</f>
        <v>-0</v>
      </c>
      <c r="DS51" s="47" t="n">
        <f aca="false">-$E51*N(AND(DS$3&lt;=$F51,DS$4&gt;=$F51))</f>
        <v>-0</v>
      </c>
      <c r="DT51" s="47" t="n">
        <f aca="false">-$E51*N(AND(DT$3&lt;=$F51,DT$4&gt;=$F51))</f>
        <v>-0</v>
      </c>
      <c r="DU51" s="47" t="n">
        <f aca="false">-$E51*N(AND(DU$3&lt;=$F51,DU$4&gt;=$F51))</f>
        <v>-0</v>
      </c>
      <c r="DV51" s="47" t="n">
        <f aca="false">-$E51*N(AND(DV$3&lt;=$F51,DV$4&gt;=$F51))</f>
        <v>-0</v>
      </c>
      <c r="DW51" s="47" t="n">
        <f aca="false">-$E51*N(AND(DW$3&lt;=$F51,DW$4&gt;=$F51))</f>
        <v>-0</v>
      </c>
      <c r="DX51" s="47" t="n">
        <f aca="false">-$E51*N(AND(DX$3&lt;=$F51,DX$4&gt;=$F51))</f>
        <v>-0</v>
      </c>
      <c r="DY51" s="47" t="n">
        <f aca="false">-$E51*N(AND(DY$3&lt;=$F51,DY$4&gt;=$F51))</f>
        <v>-0</v>
      </c>
      <c r="DZ51" s="47" t="n">
        <f aca="false">-$E51*N(AND(DZ$3&lt;=$F51,DZ$4&gt;=$F51))</f>
        <v>-0</v>
      </c>
      <c r="EA51" s="47" t="n">
        <f aca="false">-$E51*N(AND(EA$3&lt;=$F51,EA$4&gt;=$F51))</f>
        <v>-0</v>
      </c>
      <c r="EB51" s="47" t="n">
        <f aca="false">-$E51*N(AND(EB$3&lt;=$F51,EB$4&gt;=$F51))</f>
        <v>-0</v>
      </c>
      <c r="EC51" s="47" t="n">
        <f aca="false">-$E51*N(AND(EC$3&lt;=$F51,EC$4&gt;=$F51))</f>
        <v>-0</v>
      </c>
      <c r="ED51" s="47" t="n">
        <f aca="false">-$E51*N(AND(ED$3&lt;=$F51,ED$4&gt;=$F51))</f>
        <v>-0</v>
      </c>
      <c r="EE51" s="47" t="n">
        <f aca="false">-$E51*N(AND(EE$3&lt;=$F51,EE$4&gt;=$F51))</f>
        <v>-0</v>
      </c>
      <c r="EF51" s="47" t="n">
        <f aca="false">-$E51*N(AND(EF$3&lt;=$F51,EF$4&gt;=$F51))</f>
        <v>-0</v>
      </c>
      <c r="EG51" s="47" t="n">
        <f aca="false">-$E51*N(AND(EG$3&lt;=$F51,EG$4&gt;=$F51))</f>
        <v>-0</v>
      </c>
      <c r="EH51" s="47" t="n">
        <f aca="false">-$E51*N(AND(EH$3&lt;=$F51,EH$4&gt;=$F51))</f>
        <v>-0</v>
      </c>
      <c r="EI51" s="47" t="n">
        <f aca="false">-$E51*N(AND(EI$3&lt;=$F51,EI$4&gt;=$F51))</f>
        <v>-0</v>
      </c>
      <c r="EJ51" s="47" t="n">
        <f aca="false">-$E51*N(AND(EJ$3&lt;=$F51,EJ$4&gt;=$F51))</f>
        <v>-0</v>
      </c>
      <c r="EK51" s="47" t="n">
        <f aca="false">-$E51*N(AND(EK$3&lt;=$F51,EK$4&gt;=$F51))</f>
        <v>-0</v>
      </c>
      <c r="EL51" s="47" t="n">
        <f aca="false">-$E51*N(AND(EL$3&lt;=$F51,EL$4&gt;=$F51))</f>
        <v>-0</v>
      </c>
      <c r="EM51" s="47" t="n">
        <f aca="false">-$E51*N(AND(EM$3&lt;=$F51,EM$4&gt;=$F51))</f>
        <v>-0</v>
      </c>
      <c r="EN51" s="47" t="n">
        <f aca="false">-$E51*N(AND(EN$3&lt;=$F51,EN$4&gt;=$F51))</f>
        <v>-0</v>
      </c>
      <c r="EO51" s="47" t="n">
        <f aca="false">-$E51*N(AND(EO$3&lt;=$F51,EO$4&gt;=$F51))</f>
        <v>-0</v>
      </c>
      <c r="EP51" s="47" t="n">
        <f aca="false">-$E51*N(AND(EP$3&lt;=$F51,EP$4&gt;=$F51))</f>
        <v>-0</v>
      </c>
      <c r="EQ51" s="47" t="n">
        <f aca="false">-$E51*N(AND(EQ$3&lt;=$F51,EQ$4&gt;=$F51))</f>
        <v>-0</v>
      </c>
      <c r="ER51" s="47" t="n">
        <f aca="false">-$E51*N(AND(ER$3&lt;=$F51,ER$4&gt;=$F51))</f>
        <v>-0</v>
      </c>
      <c r="ES51" s="47" t="n">
        <f aca="false">-$E51*N(AND(ES$3&lt;=$F51,ES$4&gt;=$F51))</f>
        <v>-0</v>
      </c>
      <c r="ET51" s="47" t="n">
        <f aca="false">-$E51*N(AND(ET$3&lt;=$F51,ET$4&gt;=$F51))</f>
        <v>-0</v>
      </c>
    </row>
    <row r="52" customFormat="false" ht="15" hidden="false" customHeight="false" outlineLevel="0" collapsed="false">
      <c r="C52" s="1" t="s">
        <v>481</v>
      </c>
      <c r="D52" s="12" t="s">
        <v>222</v>
      </c>
      <c r="E52" s="47" t="n">
        <f aca="false">(In_Indirect_Fee-In_TSO_Security)*In_MVA*Thousand/In_FX</f>
        <v>18786.6591780822</v>
      </c>
      <c r="F52" s="28" t="n">
        <f aca="false">In_HCSSZ_Date</f>
        <v>47126</v>
      </c>
      <c r="I52" s="47" t="n">
        <f aca="false">SUM(J52:ET52)</f>
        <v>-18786.6591780822</v>
      </c>
      <c r="J52" s="47" t="n">
        <f aca="false">-$E52*N(AND(J$3&lt;=$F52,J$4&gt;=$F52))</f>
        <v>-0</v>
      </c>
      <c r="K52" s="47" t="n">
        <f aca="false">-$E52*N(AND(K$3&lt;=$F52,K$4&gt;=$F52))</f>
        <v>-0</v>
      </c>
      <c r="L52" s="47" t="n">
        <f aca="false">-$E52*N(AND(L$3&lt;=$F52,L$4&gt;=$F52))</f>
        <v>-0</v>
      </c>
      <c r="M52" s="47" t="n">
        <f aca="false">-$E52*N(AND(M$3&lt;=$F52,M$4&gt;=$F52))</f>
        <v>-0</v>
      </c>
      <c r="N52" s="47" t="n">
        <f aca="false">-$E52*N(AND(N$3&lt;=$F52,N$4&gt;=$F52))</f>
        <v>-0</v>
      </c>
      <c r="O52" s="47" t="n">
        <f aca="false">-$E52*N(AND(O$3&lt;=$F52,O$4&gt;=$F52))</f>
        <v>-0</v>
      </c>
      <c r="P52" s="47" t="n">
        <f aca="false">-$E52*N(AND(P$3&lt;=$F52,P$4&gt;=$F52))</f>
        <v>-0</v>
      </c>
      <c r="Q52" s="47" t="n">
        <f aca="false">-$E52*N(AND(Q$3&lt;=$F52,Q$4&gt;=$F52))</f>
        <v>-0</v>
      </c>
      <c r="R52" s="47" t="n">
        <f aca="false">-$E52*N(AND(R$3&lt;=$F52,R$4&gt;=$F52))</f>
        <v>-0</v>
      </c>
      <c r="S52" s="47" t="n">
        <f aca="false">-$E52*N(AND(S$3&lt;=$F52,S$4&gt;=$F52))</f>
        <v>-0</v>
      </c>
      <c r="T52" s="47" t="n">
        <f aca="false">-$E52*N(AND(T$3&lt;=$F52,T$4&gt;=$F52))</f>
        <v>-18786.6591780822</v>
      </c>
      <c r="U52" s="47" t="n">
        <f aca="false">-$E52*N(AND(U$3&lt;=$F52,U$4&gt;=$F52))</f>
        <v>-0</v>
      </c>
      <c r="V52" s="47" t="n">
        <f aca="false">-$E52*N(AND(V$3&lt;=$F52,V$4&gt;=$F52))</f>
        <v>-0</v>
      </c>
      <c r="W52" s="47" t="n">
        <f aca="false">-$E52*N(AND(W$3&lt;=$F52,W$4&gt;=$F52))</f>
        <v>-0</v>
      </c>
      <c r="X52" s="47" t="n">
        <f aca="false">-$E52*N(AND(X$3&lt;=$F52,X$4&gt;=$F52))</f>
        <v>-0</v>
      </c>
      <c r="Y52" s="47" t="n">
        <f aca="false">-$E52*N(AND(Y$3&lt;=$F52,Y$4&gt;=$F52))</f>
        <v>-0</v>
      </c>
      <c r="Z52" s="47" t="n">
        <f aca="false">-$E52*N(AND(Z$3&lt;=$F52,Z$4&gt;=$F52))</f>
        <v>-0</v>
      </c>
      <c r="AA52" s="47" t="n">
        <f aca="false">-$E52*N(AND(AA$3&lt;=$F52,AA$4&gt;=$F52))</f>
        <v>-0</v>
      </c>
      <c r="AB52" s="47" t="n">
        <f aca="false">-$E52*N(AND(AB$3&lt;=$F52,AB$4&gt;=$F52))</f>
        <v>-0</v>
      </c>
      <c r="AC52" s="47" t="n">
        <f aca="false">-$E52*N(AND(AC$3&lt;=$F52,AC$4&gt;=$F52))</f>
        <v>-0</v>
      </c>
      <c r="AD52" s="47" t="n">
        <f aca="false">-$E52*N(AND(AD$3&lt;=$F52,AD$4&gt;=$F52))</f>
        <v>-0</v>
      </c>
      <c r="AE52" s="47" t="n">
        <f aca="false">-$E52*N(AND(AE$3&lt;=$F52,AE$4&gt;=$F52))</f>
        <v>-0</v>
      </c>
      <c r="AF52" s="47" t="n">
        <f aca="false">-$E52*N(AND(AF$3&lt;=$F52,AF$4&gt;=$F52))</f>
        <v>-0</v>
      </c>
      <c r="AG52" s="47" t="n">
        <f aca="false">-$E52*N(AND(AG$3&lt;=$F52,AG$4&gt;=$F52))</f>
        <v>-0</v>
      </c>
      <c r="AH52" s="47" t="n">
        <f aca="false">-$E52*N(AND(AH$3&lt;=$F52,AH$4&gt;=$F52))</f>
        <v>-0</v>
      </c>
      <c r="AI52" s="47" t="n">
        <f aca="false">-$E52*N(AND(AI$3&lt;=$F52,AI$4&gt;=$F52))</f>
        <v>-0</v>
      </c>
      <c r="AJ52" s="47" t="n">
        <f aca="false">-$E52*N(AND(AJ$3&lt;=$F52,AJ$4&gt;=$F52))</f>
        <v>-0</v>
      </c>
      <c r="AK52" s="47" t="n">
        <f aca="false">-$E52*N(AND(AK$3&lt;=$F52,AK$4&gt;=$F52))</f>
        <v>-0</v>
      </c>
      <c r="AL52" s="47" t="n">
        <f aca="false">-$E52*N(AND(AL$3&lt;=$F52,AL$4&gt;=$F52))</f>
        <v>-0</v>
      </c>
      <c r="AM52" s="47" t="n">
        <f aca="false">-$E52*N(AND(AM$3&lt;=$F52,AM$4&gt;=$F52))</f>
        <v>-0</v>
      </c>
      <c r="AN52" s="47" t="n">
        <f aca="false">-$E52*N(AND(AN$3&lt;=$F52,AN$4&gt;=$F52))</f>
        <v>-0</v>
      </c>
      <c r="AO52" s="47" t="n">
        <f aca="false">-$E52*N(AND(AO$3&lt;=$F52,AO$4&gt;=$F52))</f>
        <v>-0</v>
      </c>
      <c r="AP52" s="47" t="n">
        <f aca="false">-$E52*N(AND(AP$3&lt;=$F52,AP$4&gt;=$F52))</f>
        <v>-0</v>
      </c>
      <c r="AQ52" s="47" t="n">
        <f aca="false">-$E52*N(AND(AQ$3&lt;=$F52,AQ$4&gt;=$F52))</f>
        <v>-0</v>
      </c>
      <c r="AR52" s="47" t="n">
        <f aca="false">-$E52*N(AND(AR$3&lt;=$F52,AR$4&gt;=$F52))</f>
        <v>-0</v>
      </c>
      <c r="AS52" s="47" t="n">
        <f aca="false">-$E52*N(AND(AS$3&lt;=$F52,AS$4&gt;=$F52))</f>
        <v>-0</v>
      </c>
      <c r="AT52" s="47" t="n">
        <f aca="false">-$E52*N(AND(AT$3&lt;=$F52,AT$4&gt;=$F52))</f>
        <v>-0</v>
      </c>
      <c r="AU52" s="47" t="n">
        <f aca="false">-$E52*N(AND(AU$3&lt;=$F52,AU$4&gt;=$F52))</f>
        <v>-0</v>
      </c>
      <c r="AV52" s="47" t="n">
        <f aca="false">-$E52*N(AND(AV$3&lt;=$F52,AV$4&gt;=$F52))</f>
        <v>-0</v>
      </c>
      <c r="AW52" s="47" t="n">
        <f aca="false">-$E52*N(AND(AW$3&lt;=$F52,AW$4&gt;=$F52))</f>
        <v>-0</v>
      </c>
      <c r="AX52" s="47" t="n">
        <f aca="false">-$E52*N(AND(AX$3&lt;=$F52,AX$4&gt;=$F52))</f>
        <v>-0</v>
      </c>
      <c r="AY52" s="47" t="n">
        <f aca="false">-$E52*N(AND(AY$3&lt;=$F52,AY$4&gt;=$F52))</f>
        <v>-0</v>
      </c>
      <c r="AZ52" s="47" t="n">
        <f aca="false">-$E52*N(AND(AZ$3&lt;=$F52,AZ$4&gt;=$F52))</f>
        <v>-0</v>
      </c>
      <c r="BA52" s="47" t="n">
        <f aca="false">-$E52*N(AND(BA$3&lt;=$F52,BA$4&gt;=$F52))</f>
        <v>-0</v>
      </c>
      <c r="BB52" s="47" t="n">
        <f aca="false">-$E52*N(AND(BB$3&lt;=$F52,BB$4&gt;=$F52))</f>
        <v>-0</v>
      </c>
      <c r="BC52" s="47" t="n">
        <f aca="false">-$E52*N(AND(BC$3&lt;=$F52,BC$4&gt;=$F52))</f>
        <v>-0</v>
      </c>
      <c r="BD52" s="47" t="n">
        <f aca="false">-$E52*N(AND(BD$3&lt;=$F52,BD$4&gt;=$F52))</f>
        <v>-0</v>
      </c>
      <c r="BE52" s="47" t="n">
        <f aca="false">-$E52*N(AND(BE$3&lt;=$F52,BE$4&gt;=$F52))</f>
        <v>-0</v>
      </c>
      <c r="BF52" s="47" t="n">
        <f aca="false">-$E52*N(AND(BF$3&lt;=$F52,BF$4&gt;=$F52))</f>
        <v>-0</v>
      </c>
      <c r="BG52" s="47" t="n">
        <f aca="false">-$E52*N(AND(BG$3&lt;=$F52,BG$4&gt;=$F52))</f>
        <v>-0</v>
      </c>
      <c r="BH52" s="47" t="n">
        <f aca="false">-$E52*N(AND(BH$3&lt;=$F52,BH$4&gt;=$F52))</f>
        <v>-0</v>
      </c>
      <c r="BI52" s="47" t="n">
        <f aca="false">-$E52*N(AND(BI$3&lt;=$F52,BI$4&gt;=$F52))</f>
        <v>-0</v>
      </c>
      <c r="BJ52" s="47" t="n">
        <f aca="false">-$E52*N(AND(BJ$3&lt;=$F52,BJ$4&gt;=$F52))</f>
        <v>-0</v>
      </c>
      <c r="BK52" s="47" t="n">
        <f aca="false">-$E52*N(AND(BK$3&lt;=$F52,BK$4&gt;=$F52))</f>
        <v>-0</v>
      </c>
      <c r="BL52" s="47" t="n">
        <f aca="false">-$E52*N(AND(BL$3&lt;=$F52,BL$4&gt;=$F52))</f>
        <v>-0</v>
      </c>
      <c r="BM52" s="47" t="n">
        <f aca="false">-$E52*N(AND(BM$3&lt;=$F52,BM$4&gt;=$F52))</f>
        <v>-0</v>
      </c>
      <c r="BN52" s="47" t="n">
        <f aca="false">-$E52*N(AND(BN$3&lt;=$F52,BN$4&gt;=$F52))</f>
        <v>-0</v>
      </c>
      <c r="BO52" s="47" t="n">
        <f aca="false">-$E52*N(AND(BO$3&lt;=$F52,BO$4&gt;=$F52))</f>
        <v>-0</v>
      </c>
      <c r="BP52" s="47" t="n">
        <f aca="false">-$E52*N(AND(BP$3&lt;=$F52,BP$4&gt;=$F52))</f>
        <v>-0</v>
      </c>
      <c r="BQ52" s="47" t="n">
        <f aca="false">-$E52*N(AND(BQ$3&lt;=$F52,BQ$4&gt;=$F52))</f>
        <v>-0</v>
      </c>
      <c r="BR52" s="47" t="n">
        <f aca="false">-$E52*N(AND(BR$3&lt;=$F52,BR$4&gt;=$F52))</f>
        <v>-0</v>
      </c>
      <c r="BS52" s="47" t="n">
        <f aca="false">-$E52*N(AND(BS$3&lt;=$F52,BS$4&gt;=$F52))</f>
        <v>-0</v>
      </c>
      <c r="BT52" s="47" t="n">
        <f aca="false">-$E52*N(AND(BT$3&lt;=$F52,BT$4&gt;=$F52))</f>
        <v>-0</v>
      </c>
      <c r="BU52" s="47" t="n">
        <f aca="false">-$E52*N(AND(BU$3&lt;=$F52,BU$4&gt;=$F52))</f>
        <v>-0</v>
      </c>
      <c r="BV52" s="47" t="n">
        <f aca="false">-$E52*N(AND(BV$3&lt;=$F52,BV$4&gt;=$F52))</f>
        <v>-0</v>
      </c>
      <c r="BW52" s="47" t="n">
        <f aca="false">-$E52*N(AND(BW$3&lt;=$F52,BW$4&gt;=$F52))</f>
        <v>-0</v>
      </c>
      <c r="BX52" s="47" t="n">
        <f aca="false">-$E52*N(AND(BX$3&lt;=$F52,BX$4&gt;=$F52))</f>
        <v>-0</v>
      </c>
      <c r="BY52" s="47" t="n">
        <f aca="false">-$E52*N(AND(BY$3&lt;=$F52,BY$4&gt;=$F52))</f>
        <v>-0</v>
      </c>
      <c r="BZ52" s="47" t="n">
        <f aca="false">-$E52*N(AND(BZ$3&lt;=$F52,BZ$4&gt;=$F52))</f>
        <v>-0</v>
      </c>
      <c r="CA52" s="47" t="n">
        <f aca="false">-$E52*N(AND(CA$3&lt;=$F52,CA$4&gt;=$F52))</f>
        <v>-0</v>
      </c>
      <c r="CB52" s="47" t="n">
        <f aca="false">-$E52*N(AND(CB$3&lt;=$F52,CB$4&gt;=$F52))</f>
        <v>-0</v>
      </c>
      <c r="CC52" s="47" t="n">
        <f aca="false">-$E52*N(AND(CC$3&lt;=$F52,CC$4&gt;=$F52))</f>
        <v>-0</v>
      </c>
      <c r="CD52" s="47" t="n">
        <f aca="false">-$E52*N(AND(CD$3&lt;=$F52,CD$4&gt;=$F52))</f>
        <v>-0</v>
      </c>
      <c r="CE52" s="47" t="n">
        <f aca="false">-$E52*N(AND(CE$3&lt;=$F52,CE$4&gt;=$F52))</f>
        <v>-0</v>
      </c>
      <c r="CF52" s="47" t="n">
        <f aca="false">-$E52*N(AND(CF$3&lt;=$F52,CF$4&gt;=$F52))</f>
        <v>-0</v>
      </c>
      <c r="CG52" s="47" t="n">
        <f aca="false">-$E52*N(AND(CG$3&lt;=$F52,CG$4&gt;=$F52))</f>
        <v>-0</v>
      </c>
      <c r="CH52" s="47" t="n">
        <f aca="false">-$E52*N(AND(CH$3&lt;=$F52,CH$4&gt;=$F52))</f>
        <v>-0</v>
      </c>
      <c r="CI52" s="47" t="n">
        <f aca="false">-$E52*N(AND(CI$3&lt;=$F52,CI$4&gt;=$F52))</f>
        <v>-0</v>
      </c>
      <c r="CJ52" s="47" t="n">
        <f aca="false">-$E52*N(AND(CJ$3&lt;=$F52,CJ$4&gt;=$F52))</f>
        <v>-0</v>
      </c>
      <c r="CK52" s="47" t="n">
        <f aca="false">-$E52*N(AND(CK$3&lt;=$F52,CK$4&gt;=$F52))</f>
        <v>-0</v>
      </c>
      <c r="CL52" s="47" t="n">
        <f aca="false">-$E52*N(AND(CL$3&lt;=$F52,CL$4&gt;=$F52))</f>
        <v>-0</v>
      </c>
      <c r="CM52" s="47" t="n">
        <f aca="false">-$E52*N(AND(CM$3&lt;=$F52,CM$4&gt;=$F52))</f>
        <v>-0</v>
      </c>
      <c r="CN52" s="47" t="n">
        <f aca="false">-$E52*N(AND(CN$3&lt;=$F52,CN$4&gt;=$F52))</f>
        <v>-0</v>
      </c>
      <c r="CO52" s="47" t="n">
        <f aca="false">-$E52*N(AND(CO$3&lt;=$F52,CO$4&gt;=$F52))</f>
        <v>-0</v>
      </c>
      <c r="CP52" s="47" t="n">
        <f aca="false">-$E52*N(AND(CP$3&lt;=$F52,CP$4&gt;=$F52))</f>
        <v>-0</v>
      </c>
      <c r="CQ52" s="47" t="n">
        <f aca="false">-$E52*N(AND(CQ$3&lt;=$F52,CQ$4&gt;=$F52))</f>
        <v>-0</v>
      </c>
      <c r="CR52" s="47" t="n">
        <f aca="false">-$E52*N(AND(CR$3&lt;=$F52,CR$4&gt;=$F52))</f>
        <v>-0</v>
      </c>
      <c r="CS52" s="47" t="n">
        <f aca="false">-$E52*N(AND(CS$3&lt;=$F52,CS$4&gt;=$F52))</f>
        <v>-0</v>
      </c>
      <c r="CT52" s="47" t="n">
        <f aca="false">-$E52*N(AND(CT$3&lt;=$F52,CT$4&gt;=$F52))</f>
        <v>-0</v>
      </c>
      <c r="CU52" s="47" t="n">
        <f aca="false">-$E52*N(AND(CU$3&lt;=$F52,CU$4&gt;=$F52))</f>
        <v>-0</v>
      </c>
      <c r="CV52" s="47" t="n">
        <f aca="false">-$E52*N(AND(CV$3&lt;=$F52,CV$4&gt;=$F52))</f>
        <v>-0</v>
      </c>
      <c r="CW52" s="47" t="n">
        <f aca="false">-$E52*N(AND(CW$3&lt;=$F52,CW$4&gt;=$F52))</f>
        <v>-0</v>
      </c>
      <c r="CX52" s="47" t="n">
        <f aca="false">-$E52*N(AND(CX$3&lt;=$F52,CX$4&gt;=$F52))</f>
        <v>-0</v>
      </c>
      <c r="CY52" s="47" t="n">
        <f aca="false">-$E52*N(AND(CY$3&lt;=$F52,CY$4&gt;=$F52))</f>
        <v>-0</v>
      </c>
      <c r="CZ52" s="47" t="n">
        <f aca="false">-$E52*N(AND(CZ$3&lt;=$F52,CZ$4&gt;=$F52))</f>
        <v>-0</v>
      </c>
      <c r="DA52" s="47" t="n">
        <f aca="false">-$E52*N(AND(DA$3&lt;=$F52,DA$4&gt;=$F52))</f>
        <v>-0</v>
      </c>
      <c r="DB52" s="47" t="n">
        <f aca="false">-$E52*N(AND(DB$3&lt;=$F52,DB$4&gt;=$F52))</f>
        <v>-0</v>
      </c>
      <c r="DC52" s="47" t="n">
        <f aca="false">-$E52*N(AND(DC$3&lt;=$F52,DC$4&gt;=$F52))</f>
        <v>-0</v>
      </c>
      <c r="DD52" s="47" t="n">
        <f aca="false">-$E52*N(AND(DD$3&lt;=$F52,DD$4&gt;=$F52))</f>
        <v>-0</v>
      </c>
      <c r="DE52" s="47" t="n">
        <f aca="false">-$E52*N(AND(DE$3&lt;=$F52,DE$4&gt;=$F52))</f>
        <v>-0</v>
      </c>
      <c r="DF52" s="47" t="n">
        <f aca="false">-$E52*N(AND(DF$3&lt;=$F52,DF$4&gt;=$F52))</f>
        <v>-0</v>
      </c>
      <c r="DG52" s="47" t="n">
        <f aca="false">-$E52*N(AND(DG$3&lt;=$F52,DG$4&gt;=$F52))</f>
        <v>-0</v>
      </c>
      <c r="DH52" s="47" t="n">
        <f aca="false">-$E52*N(AND(DH$3&lt;=$F52,DH$4&gt;=$F52))</f>
        <v>-0</v>
      </c>
      <c r="DI52" s="47" t="n">
        <f aca="false">-$E52*N(AND(DI$3&lt;=$F52,DI$4&gt;=$F52))</f>
        <v>-0</v>
      </c>
      <c r="DJ52" s="47" t="n">
        <f aca="false">-$E52*N(AND(DJ$3&lt;=$F52,DJ$4&gt;=$F52))</f>
        <v>-0</v>
      </c>
      <c r="DK52" s="47" t="n">
        <f aca="false">-$E52*N(AND(DK$3&lt;=$F52,DK$4&gt;=$F52))</f>
        <v>-0</v>
      </c>
      <c r="DL52" s="47" t="n">
        <f aca="false">-$E52*N(AND(DL$3&lt;=$F52,DL$4&gt;=$F52))</f>
        <v>-0</v>
      </c>
      <c r="DM52" s="47" t="n">
        <f aca="false">-$E52*N(AND(DM$3&lt;=$F52,DM$4&gt;=$F52))</f>
        <v>-0</v>
      </c>
      <c r="DN52" s="47" t="n">
        <f aca="false">-$E52*N(AND(DN$3&lt;=$F52,DN$4&gt;=$F52))</f>
        <v>-0</v>
      </c>
      <c r="DO52" s="47" t="n">
        <f aca="false">-$E52*N(AND(DO$3&lt;=$F52,DO$4&gt;=$F52))</f>
        <v>-0</v>
      </c>
      <c r="DP52" s="47" t="n">
        <f aca="false">-$E52*N(AND(DP$3&lt;=$F52,DP$4&gt;=$F52))</f>
        <v>-0</v>
      </c>
      <c r="DQ52" s="47" t="n">
        <f aca="false">-$E52*N(AND(DQ$3&lt;=$F52,DQ$4&gt;=$F52))</f>
        <v>-0</v>
      </c>
      <c r="DR52" s="47" t="n">
        <f aca="false">-$E52*N(AND(DR$3&lt;=$F52,DR$4&gt;=$F52))</f>
        <v>-0</v>
      </c>
      <c r="DS52" s="47" t="n">
        <f aca="false">-$E52*N(AND(DS$3&lt;=$F52,DS$4&gt;=$F52))</f>
        <v>-0</v>
      </c>
      <c r="DT52" s="47" t="n">
        <f aca="false">-$E52*N(AND(DT$3&lt;=$F52,DT$4&gt;=$F52))</f>
        <v>-0</v>
      </c>
      <c r="DU52" s="47" t="n">
        <f aca="false">-$E52*N(AND(DU$3&lt;=$F52,DU$4&gt;=$F52))</f>
        <v>-0</v>
      </c>
      <c r="DV52" s="47" t="n">
        <f aca="false">-$E52*N(AND(DV$3&lt;=$F52,DV$4&gt;=$F52))</f>
        <v>-0</v>
      </c>
      <c r="DW52" s="47" t="n">
        <f aca="false">-$E52*N(AND(DW$3&lt;=$F52,DW$4&gt;=$F52))</f>
        <v>-0</v>
      </c>
      <c r="DX52" s="47" t="n">
        <f aca="false">-$E52*N(AND(DX$3&lt;=$F52,DX$4&gt;=$F52))</f>
        <v>-0</v>
      </c>
      <c r="DY52" s="47" t="n">
        <f aca="false">-$E52*N(AND(DY$3&lt;=$F52,DY$4&gt;=$F52))</f>
        <v>-0</v>
      </c>
      <c r="DZ52" s="47" t="n">
        <f aca="false">-$E52*N(AND(DZ$3&lt;=$F52,DZ$4&gt;=$F52))</f>
        <v>-0</v>
      </c>
      <c r="EA52" s="47" t="n">
        <f aca="false">-$E52*N(AND(EA$3&lt;=$F52,EA$4&gt;=$F52))</f>
        <v>-0</v>
      </c>
      <c r="EB52" s="47" t="n">
        <f aca="false">-$E52*N(AND(EB$3&lt;=$F52,EB$4&gt;=$F52))</f>
        <v>-0</v>
      </c>
      <c r="EC52" s="47" t="n">
        <f aca="false">-$E52*N(AND(EC$3&lt;=$F52,EC$4&gt;=$F52))</f>
        <v>-0</v>
      </c>
      <c r="ED52" s="47" t="n">
        <f aca="false">-$E52*N(AND(ED$3&lt;=$F52,ED$4&gt;=$F52))</f>
        <v>-0</v>
      </c>
      <c r="EE52" s="47" t="n">
        <f aca="false">-$E52*N(AND(EE$3&lt;=$F52,EE$4&gt;=$F52))</f>
        <v>-0</v>
      </c>
      <c r="EF52" s="47" t="n">
        <f aca="false">-$E52*N(AND(EF$3&lt;=$F52,EF$4&gt;=$F52))</f>
        <v>-0</v>
      </c>
      <c r="EG52" s="47" t="n">
        <f aca="false">-$E52*N(AND(EG$3&lt;=$F52,EG$4&gt;=$F52))</f>
        <v>-0</v>
      </c>
      <c r="EH52" s="47" t="n">
        <f aca="false">-$E52*N(AND(EH$3&lt;=$F52,EH$4&gt;=$F52))</f>
        <v>-0</v>
      </c>
      <c r="EI52" s="47" t="n">
        <f aca="false">-$E52*N(AND(EI$3&lt;=$F52,EI$4&gt;=$F52))</f>
        <v>-0</v>
      </c>
      <c r="EJ52" s="47" t="n">
        <f aca="false">-$E52*N(AND(EJ$3&lt;=$F52,EJ$4&gt;=$F52))</f>
        <v>-0</v>
      </c>
      <c r="EK52" s="47" t="n">
        <f aca="false">-$E52*N(AND(EK$3&lt;=$F52,EK$4&gt;=$F52))</f>
        <v>-0</v>
      </c>
      <c r="EL52" s="47" t="n">
        <f aca="false">-$E52*N(AND(EL$3&lt;=$F52,EL$4&gt;=$F52))</f>
        <v>-0</v>
      </c>
      <c r="EM52" s="47" t="n">
        <f aca="false">-$E52*N(AND(EM$3&lt;=$F52,EM$4&gt;=$F52))</f>
        <v>-0</v>
      </c>
      <c r="EN52" s="47" t="n">
        <f aca="false">-$E52*N(AND(EN$3&lt;=$F52,EN$4&gt;=$F52))</f>
        <v>-0</v>
      </c>
      <c r="EO52" s="47" t="n">
        <f aca="false">-$E52*N(AND(EO$3&lt;=$F52,EO$4&gt;=$F52))</f>
        <v>-0</v>
      </c>
      <c r="EP52" s="47" t="n">
        <f aca="false">-$E52*N(AND(EP$3&lt;=$F52,EP$4&gt;=$F52))</f>
        <v>-0</v>
      </c>
      <c r="EQ52" s="47" t="n">
        <f aca="false">-$E52*N(AND(EQ$3&lt;=$F52,EQ$4&gt;=$F52))</f>
        <v>-0</v>
      </c>
      <c r="ER52" s="47" t="n">
        <f aca="false">-$E52*N(AND(ER$3&lt;=$F52,ER$4&gt;=$F52))</f>
        <v>-0</v>
      </c>
      <c r="ES52" s="47" t="n">
        <f aca="false">-$E52*N(AND(ES$3&lt;=$F52,ES$4&gt;=$F52))</f>
        <v>-0</v>
      </c>
      <c r="ET52" s="47" t="n">
        <f aca="false">-$E52*N(AND(ET$3&lt;=$F52,ET$4&gt;=$F52))</f>
        <v>-0</v>
      </c>
    </row>
    <row r="53" customFormat="false" ht="15" hidden="false" customHeight="false" outlineLevel="0" collapsed="false">
      <c r="C53" s="1" t="s">
        <v>482</v>
      </c>
      <c r="D53" s="12" t="s">
        <v>222</v>
      </c>
      <c r="I53" s="47" t="n">
        <f aca="false">SUM(J53:ET53)</f>
        <v>-20179.3874082192</v>
      </c>
      <c r="J53" s="47" t="n">
        <f aca="false">J51+J52</f>
        <v>-0</v>
      </c>
      <c r="K53" s="47" t="n">
        <f aca="false">K51+K52</f>
        <v>-0</v>
      </c>
      <c r="L53" s="47" t="n">
        <f aca="false">L51+L52</f>
        <v>-0</v>
      </c>
      <c r="M53" s="47" t="n">
        <f aca="false">M51+M52</f>
        <v>-0</v>
      </c>
      <c r="N53" s="47" t="n">
        <f aca="false">N51+N52</f>
        <v>-0</v>
      </c>
      <c r="O53" s="47" t="n">
        <f aca="false">O51+O52</f>
        <v>-0</v>
      </c>
      <c r="P53" s="47" t="n">
        <f aca="false">P51+P52</f>
        <v>-0</v>
      </c>
      <c r="Q53" s="47" t="n">
        <f aca="false">Q51+Q52</f>
        <v>-0</v>
      </c>
      <c r="R53" s="47" t="n">
        <f aca="false">R51+R52</f>
        <v>-0</v>
      </c>
      <c r="S53" s="47" t="n">
        <f aca="false">S51+S52</f>
        <v>-0</v>
      </c>
      <c r="T53" s="47" t="n">
        <f aca="false">T51+T52</f>
        <v>-20179.3874082192</v>
      </c>
      <c r="U53" s="47" t="n">
        <f aca="false">U51+U52</f>
        <v>-0</v>
      </c>
      <c r="V53" s="47" t="n">
        <f aca="false">V51+V52</f>
        <v>-0</v>
      </c>
      <c r="W53" s="47" t="n">
        <f aca="false">W51+W52</f>
        <v>-0</v>
      </c>
      <c r="X53" s="47" t="n">
        <f aca="false">X51+X52</f>
        <v>-0</v>
      </c>
      <c r="Y53" s="47" t="n">
        <f aca="false">Y51+Y52</f>
        <v>-0</v>
      </c>
      <c r="Z53" s="47" t="n">
        <f aca="false">Z51+Z52</f>
        <v>-0</v>
      </c>
      <c r="AA53" s="47" t="n">
        <f aca="false">AA51+AA52</f>
        <v>-0</v>
      </c>
      <c r="AB53" s="47" t="n">
        <f aca="false">AB51+AB52</f>
        <v>-0</v>
      </c>
      <c r="AC53" s="47" t="n">
        <f aca="false">AC51+AC52</f>
        <v>-0</v>
      </c>
      <c r="AD53" s="47" t="n">
        <f aca="false">AD51+AD52</f>
        <v>-0</v>
      </c>
      <c r="AE53" s="47" t="n">
        <f aca="false">AE51+AE52</f>
        <v>-0</v>
      </c>
      <c r="AF53" s="47" t="n">
        <f aca="false">AF51+AF52</f>
        <v>-0</v>
      </c>
      <c r="AG53" s="47" t="n">
        <f aca="false">AG51+AG52</f>
        <v>-0</v>
      </c>
      <c r="AH53" s="47" t="n">
        <f aca="false">AH51+AH52</f>
        <v>-0</v>
      </c>
      <c r="AI53" s="47" t="n">
        <f aca="false">AI51+AI52</f>
        <v>-0</v>
      </c>
      <c r="AJ53" s="47" t="n">
        <f aca="false">AJ51+AJ52</f>
        <v>-0</v>
      </c>
      <c r="AK53" s="47" t="n">
        <f aca="false">AK51+AK52</f>
        <v>-0</v>
      </c>
      <c r="AL53" s="47" t="n">
        <f aca="false">AL51+AL52</f>
        <v>-0</v>
      </c>
      <c r="AM53" s="47" t="n">
        <f aca="false">AM51+AM52</f>
        <v>-0</v>
      </c>
      <c r="AN53" s="47" t="n">
        <f aca="false">AN51+AN52</f>
        <v>-0</v>
      </c>
      <c r="AO53" s="47" t="n">
        <f aca="false">AO51+AO52</f>
        <v>-0</v>
      </c>
      <c r="AP53" s="47" t="n">
        <f aca="false">AP51+AP52</f>
        <v>-0</v>
      </c>
      <c r="AQ53" s="47" t="n">
        <f aca="false">AQ51+AQ52</f>
        <v>-0</v>
      </c>
      <c r="AR53" s="47" t="n">
        <f aca="false">AR51+AR52</f>
        <v>-0</v>
      </c>
      <c r="AS53" s="47" t="n">
        <f aca="false">AS51+AS52</f>
        <v>-0</v>
      </c>
      <c r="AT53" s="47" t="n">
        <f aca="false">AT51+AT52</f>
        <v>-0</v>
      </c>
      <c r="AU53" s="47" t="n">
        <f aca="false">AU51+AU52</f>
        <v>-0</v>
      </c>
      <c r="AV53" s="47" t="n">
        <f aca="false">AV51+AV52</f>
        <v>-0</v>
      </c>
      <c r="AW53" s="47" t="n">
        <f aca="false">AW51+AW52</f>
        <v>-0</v>
      </c>
      <c r="AX53" s="47" t="n">
        <f aca="false">AX51+AX52</f>
        <v>-0</v>
      </c>
      <c r="AY53" s="47" t="n">
        <f aca="false">AY51+AY52</f>
        <v>-0</v>
      </c>
      <c r="AZ53" s="47" t="n">
        <f aca="false">AZ51+AZ52</f>
        <v>-0</v>
      </c>
      <c r="BA53" s="47" t="n">
        <f aca="false">BA51+BA52</f>
        <v>-0</v>
      </c>
      <c r="BB53" s="47" t="n">
        <f aca="false">BB51+BB52</f>
        <v>-0</v>
      </c>
      <c r="BC53" s="47" t="n">
        <f aca="false">BC51+BC52</f>
        <v>-0</v>
      </c>
      <c r="BD53" s="47" t="n">
        <f aca="false">BD51+BD52</f>
        <v>-0</v>
      </c>
      <c r="BE53" s="47" t="n">
        <f aca="false">BE51+BE52</f>
        <v>-0</v>
      </c>
      <c r="BF53" s="47" t="n">
        <f aca="false">BF51+BF52</f>
        <v>-0</v>
      </c>
      <c r="BG53" s="47" t="n">
        <f aca="false">BG51+BG52</f>
        <v>-0</v>
      </c>
      <c r="BH53" s="47" t="n">
        <f aca="false">BH51+BH52</f>
        <v>-0</v>
      </c>
      <c r="BI53" s="47" t="n">
        <f aca="false">BI51+BI52</f>
        <v>-0</v>
      </c>
      <c r="BJ53" s="47" t="n">
        <f aca="false">BJ51+BJ52</f>
        <v>-0</v>
      </c>
      <c r="BK53" s="47" t="n">
        <f aca="false">BK51+BK52</f>
        <v>-0</v>
      </c>
      <c r="BL53" s="47" t="n">
        <f aca="false">BL51+BL52</f>
        <v>-0</v>
      </c>
      <c r="BM53" s="47" t="n">
        <f aca="false">BM51+BM52</f>
        <v>-0</v>
      </c>
      <c r="BN53" s="47" t="n">
        <f aca="false">BN51+BN52</f>
        <v>-0</v>
      </c>
      <c r="BO53" s="47" t="n">
        <f aca="false">BO51+BO52</f>
        <v>-0</v>
      </c>
      <c r="BP53" s="47" t="n">
        <f aca="false">BP51+BP52</f>
        <v>-0</v>
      </c>
      <c r="BQ53" s="47" t="n">
        <f aca="false">BQ51+BQ52</f>
        <v>-0</v>
      </c>
      <c r="BR53" s="47" t="n">
        <f aca="false">BR51+BR52</f>
        <v>-0</v>
      </c>
      <c r="BS53" s="47" t="n">
        <f aca="false">BS51+BS52</f>
        <v>-0</v>
      </c>
      <c r="BT53" s="47" t="n">
        <f aca="false">BT51+BT52</f>
        <v>-0</v>
      </c>
      <c r="BU53" s="47" t="n">
        <f aca="false">BU51+BU52</f>
        <v>-0</v>
      </c>
      <c r="BV53" s="47" t="n">
        <f aca="false">BV51+BV52</f>
        <v>-0</v>
      </c>
      <c r="BW53" s="47" t="n">
        <f aca="false">BW51+BW52</f>
        <v>-0</v>
      </c>
      <c r="BX53" s="47" t="n">
        <f aca="false">BX51+BX52</f>
        <v>-0</v>
      </c>
      <c r="BY53" s="47" t="n">
        <f aca="false">BY51+BY52</f>
        <v>-0</v>
      </c>
      <c r="BZ53" s="47" t="n">
        <f aca="false">BZ51+BZ52</f>
        <v>-0</v>
      </c>
      <c r="CA53" s="47" t="n">
        <f aca="false">CA51+CA52</f>
        <v>-0</v>
      </c>
      <c r="CB53" s="47" t="n">
        <f aca="false">CB51+CB52</f>
        <v>-0</v>
      </c>
      <c r="CC53" s="47" t="n">
        <f aca="false">CC51+CC52</f>
        <v>-0</v>
      </c>
      <c r="CD53" s="47" t="n">
        <f aca="false">CD51+CD52</f>
        <v>-0</v>
      </c>
      <c r="CE53" s="47" t="n">
        <f aca="false">CE51+CE52</f>
        <v>-0</v>
      </c>
      <c r="CF53" s="47" t="n">
        <f aca="false">CF51+CF52</f>
        <v>-0</v>
      </c>
      <c r="CG53" s="47" t="n">
        <f aca="false">CG51+CG52</f>
        <v>-0</v>
      </c>
      <c r="CH53" s="47" t="n">
        <f aca="false">CH51+CH52</f>
        <v>-0</v>
      </c>
      <c r="CI53" s="47" t="n">
        <f aca="false">CI51+CI52</f>
        <v>-0</v>
      </c>
      <c r="CJ53" s="47" t="n">
        <f aca="false">CJ51+CJ52</f>
        <v>-0</v>
      </c>
      <c r="CK53" s="47" t="n">
        <f aca="false">CK51+CK52</f>
        <v>-0</v>
      </c>
      <c r="CL53" s="47" t="n">
        <f aca="false">CL51+CL52</f>
        <v>-0</v>
      </c>
      <c r="CM53" s="47" t="n">
        <f aca="false">CM51+CM52</f>
        <v>-0</v>
      </c>
      <c r="CN53" s="47" t="n">
        <f aca="false">CN51+CN52</f>
        <v>-0</v>
      </c>
      <c r="CO53" s="47" t="n">
        <f aca="false">CO51+CO52</f>
        <v>-0</v>
      </c>
      <c r="CP53" s="47" t="n">
        <f aca="false">CP51+CP52</f>
        <v>-0</v>
      </c>
      <c r="CQ53" s="47" t="n">
        <f aca="false">CQ51+CQ52</f>
        <v>-0</v>
      </c>
      <c r="CR53" s="47" t="n">
        <f aca="false">CR51+CR52</f>
        <v>-0</v>
      </c>
      <c r="CS53" s="47" t="n">
        <f aca="false">CS51+CS52</f>
        <v>-0</v>
      </c>
      <c r="CT53" s="47" t="n">
        <f aca="false">CT51+CT52</f>
        <v>-0</v>
      </c>
      <c r="CU53" s="47" t="n">
        <f aca="false">CU51+CU52</f>
        <v>-0</v>
      </c>
      <c r="CV53" s="47" t="n">
        <f aca="false">CV51+CV52</f>
        <v>-0</v>
      </c>
      <c r="CW53" s="47" t="n">
        <f aca="false">CW51+CW52</f>
        <v>-0</v>
      </c>
      <c r="CX53" s="47" t="n">
        <f aca="false">CX51+CX52</f>
        <v>-0</v>
      </c>
      <c r="CY53" s="47" t="n">
        <f aca="false">CY51+CY52</f>
        <v>-0</v>
      </c>
      <c r="CZ53" s="47" t="n">
        <f aca="false">CZ51+CZ52</f>
        <v>-0</v>
      </c>
      <c r="DA53" s="47" t="n">
        <f aca="false">DA51+DA52</f>
        <v>-0</v>
      </c>
      <c r="DB53" s="47" t="n">
        <f aca="false">DB51+DB52</f>
        <v>-0</v>
      </c>
      <c r="DC53" s="47" t="n">
        <f aca="false">DC51+DC52</f>
        <v>-0</v>
      </c>
      <c r="DD53" s="47" t="n">
        <f aca="false">DD51+DD52</f>
        <v>-0</v>
      </c>
      <c r="DE53" s="47" t="n">
        <f aca="false">DE51+DE52</f>
        <v>-0</v>
      </c>
      <c r="DF53" s="47" t="n">
        <f aca="false">DF51+DF52</f>
        <v>-0</v>
      </c>
      <c r="DG53" s="47" t="n">
        <f aca="false">DG51+DG52</f>
        <v>-0</v>
      </c>
      <c r="DH53" s="47" t="n">
        <f aca="false">DH51+DH52</f>
        <v>-0</v>
      </c>
      <c r="DI53" s="47" t="n">
        <f aca="false">DI51+DI52</f>
        <v>-0</v>
      </c>
      <c r="DJ53" s="47" t="n">
        <f aca="false">DJ51+DJ52</f>
        <v>-0</v>
      </c>
      <c r="DK53" s="47" t="n">
        <f aca="false">DK51+DK52</f>
        <v>-0</v>
      </c>
      <c r="DL53" s="47" t="n">
        <f aca="false">DL51+DL52</f>
        <v>-0</v>
      </c>
      <c r="DM53" s="47" t="n">
        <f aca="false">DM51+DM52</f>
        <v>-0</v>
      </c>
      <c r="DN53" s="47" t="n">
        <f aca="false">DN51+DN52</f>
        <v>-0</v>
      </c>
      <c r="DO53" s="47" t="n">
        <f aca="false">DO51+DO52</f>
        <v>-0</v>
      </c>
      <c r="DP53" s="47" t="n">
        <f aca="false">DP51+DP52</f>
        <v>-0</v>
      </c>
      <c r="DQ53" s="47" t="n">
        <f aca="false">DQ51+DQ52</f>
        <v>-0</v>
      </c>
      <c r="DR53" s="47" t="n">
        <f aca="false">DR51+DR52</f>
        <v>-0</v>
      </c>
      <c r="DS53" s="47" t="n">
        <f aca="false">DS51+DS52</f>
        <v>-0</v>
      </c>
      <c r="DT53" s="47" t="n">
        <f aca="false">DT51+DT52</f>
        <v>-0</v>
      </c>
      <c r="DU53" s="47" t="n">
        <f aca="false">DU51+DU52</f>
        <v>-0</v>
      </c>
      <c r="DV53" s="47" t="n">
        <f aca="false">DV51+DV52</f>
        <v>-0</v>
      </c>
      <c r="DW53" s="47" t="n">
        <f aca="false">DW51+DW52</f>
        <v>-0</v>
      </c>
      <c r="DX53" s="47" t="n">
        <f aca="false">DX51+DX52</f>
        <v>-0</v>
      </c>
      <c r="DY53" s="47" t="n">
        <f aca="false">DY51+DY52</f>
        <v>-0</v>
      </c>
      <c r="DZ53" s="47" t="n">
        <f aca="false">DZ51+DZ52</f>
        <v>-0</v>
      </c>
      <c r="EA53" s="47" t="n">
        <f aca="false">EA51+EA52</f>
        <v>-0</v>
      </c>
      <c r="EB53" s="47" t="n">
        <f aca="false">EB51+EB52</f>
        <v>-0</v>
      </c>
      <c r="EC53" s="47" t="n">
        <f aca="false">EC51+EC52</f>
        <v>-0</v>
      </c>
      <c r="ED53" s="47" t="n">
        <f aca="false">ED51+ED52</f>
        <v>-0</v>
      </c>
      <c r="EE53" s="47" t="n">
        <f aca="false">EE51+EE52</f>
        <v>-0</v>
      </c>
      <c r="EF53" s="47" t="n">
        <f aca="false">EF51+EF52</f>
        <v>-0</v>
      </c>
      <c r="EG53" s="47" t="n">
        <f aca="false">EG51+EG52</f>
        <v>-0</v>
      </c>
      <c r="EH53" s="47" t="n">
        <f aca="false">EH51+EH52</f>
        <v>-0</v>
      </c>
      <c r="EI53" s="47" t="n">
        <f aca="false">EI51+EI52</f>
        <v>-0</v>
      </c>
      <c r="EJ53" s="47" t="n">
        <f aca="false">EJ51+EJ52</f>
        <v>-0</v>
      </c>
      <c r="EK53" s="47" t="n">
        <f aca="false">EK51+EK52</f>
        <v>-0</v>
      </c>
      <c r="EL53" s="47" t="n">
        <f aca="false">EL51+EL52</f>
        <v>-0</v>
      </c>
      <c r="EM53" s="47" t="n">
        <f aca="false">EM51+EM52</f>
        <v>-0</v>
      </c>
      <c r="EN53" s="47" t="n">
        <f aca="false">EN51+EN52</f>
        <v>-0</v>
      </c>
      <c r="EO53" s="47" t="n">
        <f aca="false">EO51+EO52</f>
        <v>-0</v>
      </c>
      <c r="EP53" s="47" t="n">
        <f aca="false">EP51+EP52</f>
        <v>-0</v>
      </c>
      <c r="EQ53" s="47" t="n">
        <f aca="false">EQ51+EQ52</f>
        <v>-0</v>
      </c>
      <c r="ER53" s="47" t="n">
        <f aca="false">ER51+ER52</f>
        <v>-0</v>
      </c>
      <c r="ES53" s="47" t="n">
        <f aca="false">ES51+ES52</f>
        <v>-0</v>
      </c>
      <c r="ET53" s="47" t="n">
        <f aca="false">ET51+ET52</f>
        <v>-0</v>
      </c>
    </row>
    <row r="54" customFormat="false" ht="15" hidden="false" customHeight="false" outlineLevel="0" collapsed="false">
      <c r="C54" s="1" t="s">
        <v>483</v>
      </c>
      <c r="D54" s="12" t="s">
        <v>222</v>
      </c>
      <c r="I54" s="47" t="n">
        <f aca="false">SUM(J54:ET54)</f>
        <v>-2404.83056505451</v>
      </c>
      <c r="J54" s="47" t="n">
        <f aca="false">-SUMIFS(Devex_Keur,Devex_Date,"&gt;="&amp;J$3,Devex_Date,"&lt;="&amp;J$4,Devex_Land,0)</f>
        <v>-0</v>
      </c>
      <c r="K54" s="47" t="n">
        <f aca="false">-SUMIFS(Devex_Keur,Devex_Date,"&gt;="&amp;K$3,Devex_Date,"&lt;="&amp;K$4,Devex_Land,0)</f>
        <v>-178.520547945205</v>
      </c>
      <c r="L54" s="47" t="n">
        <f aca="false">-SUMIFS(Devex_Keur,Devex_Date,"&gt;="&amp;L$3,Devex_Date,"&lt;="&amp;L$4,Devex_Land,0)</f>
        <v>-407.86301369863</v>
      </c>
      <c r="M54" s="47" t="n">
        <f aca="false">-SUMIFS(Devex_Keur,Devex_Date,"&gt;="&amp;M$3,Devex_Date,"&lt;="&amp;M$4,Devex_Land,0)</f>
        <v>-43.8356164383562</v>
      </c>
      <c r="N54" s="47" t="n">
        <f aca="false">-SUMIFS(Devex_Keur,Devex_Date,"&gt;="&amp;N$3,Devex_Date,"&lt;="&amp;N$4,Devex_Land,0)</f>
        <v>-43.8356164383562</v>
      </c>
      <c r="O54" s="47" t="n">
        <f aca="false">-SUMIFS(Devex_Keur,Devex_Date,"&gt;="&amp;O$3,Devex_Date,"&lt;="&amp;O$4,Devex_Land,0)</f>
        <v>-184.361643835616</v>
      </c>
      <c r="P54" s="47" t="n">
        <f aca="false">-SUMIFS(Devex_Keur,Devex_Date,"&gt;="&amp;P$3,Devex_Date,"&lt;="&amp;P$4,Devex_Land,0)</f>
        <v>-1290.04179480011</v>
      </c>
      <c r="Q54" s="47" t="n">
        <f aca="false">-SUMIFS(Devex_Keur,Devex_Date,"&gt;="&amp;Q$3,Devex_Date,"&lt;="&amp;Q$4,Devex_Land,0)</f>
        <v>-4.60958904109589</v>
      </c>
      <c r="R54" s="47" t="n">
        <f aca="false">-SUMIFS(Devex_Keur,Devex_Date,"&gt;="&amp;R$3,Devex_Date,"&lt;="&amp;R$4,Devex_Land,0)</f>
        <v>-164.09150998043</v>
      </c>
      <c r="S54" s="47" t="n">
        <f aca="false">-SUMIFS(Devex_Keur,Devex_Date,"&gt;="&amp;S$3,Devex_Date,"&lt;="&amp;S$4,Devex_Land,0)</f>
        <v>-32.8767123287671</v>
      </c>
      <c r="T54" s="47" t="n">
        <f aca="false">-SUMIFS(Devex_Keur,Devex_Date,"&gt;="&amp;T$3,Devex_Date,"&lt;="&amp;T$4,Devex_Land,0)</f>
        <v>-54.7945205479452</v>
      </c>
      <c r="U54" s="47" t="n">
        <f aca="false">-SUMIFS(Devex_Keur,Devex_Date,"&gt;="&amp;U$3,Devex_Date,"&lt;="&amp;U$4,Devex_Land,0)</f>
        <v>-0</v>
      </c>
      <c r="V54" s="47" t="n">
        <f aca="false">-SUMIFS(Devex_Keur,Devex_Date,"&gt;="&amp;V$3,Devex_Date,"&lt;="&amp;V$4,Devex_Land,0)</f>
        <v>-0</v>
      </c>
      <c r="W54" s="47" t="n">
        <f aca="false">-SUMIFS(Devex_Keur,Devex_Date,"&gt;="&amp;W$3,Devex_Date,"&lt;="&amp;W$4,Devex_Land,0)</f>
        <v>-0</v>
      </c>
      <c r="X54" s="47" t="n">
        <f aca="false">-SUMIFS(Devex_Keur,Devex_Date,"&gt;="&amp;X$3,Devex_Date,"&lt;="&amp;X$4,Devex_Land,0)</f>
        <v>-0</v>
      </c>
      <c r="Y54" s="47" t="n">
        <f aca="false">-SUMIFS(Devex_Keur,Devex_Date,"&gt;="&amp;Y$3,Devex_Date,"&lt;="&amp;Y$4,Devex_Land,0)</f>
        <v>-0</v>
      </c>
      <c r="Z54" s="47" t="n">
        <f aca="false">-SUMIFS(Devex_Keur,Devex_Date,"&gt;="&amp;Z$3,Devex_Date,"&lt;="&amp;Z$4,Devex_Land,0)</f>
        <v>-0</v>
      </c>
      <c r="AA54" s="47" t="n">
        <f aca="false">-SUMIFS(Devex_Keur,Devex_Date,"&gt;="&amp;AA$3,Devex_Date,"&lt;="&amp;AA$4,Devex_Land,0)</f>
        <v>-0</v>
      </c>
      <c r="AB54" s="47" t="n">
        <f aca="false">-SUMIFS(Devex_Keur,Devex_Date,"&gt;="&amp;AB$3,Devex_Date,"&lt;="&amp;AB$4,Devex_Land,0)</f>
        <v>-0</v>
      </c>
      <c r="AC54" s="47" t="n">
        <f aca="false">-SUMIFS(Devex_Keur,Devex_Date,"&gt;="&amp;AC$3,Devex_Date,"&lt;="&amp;AC$4,Devex_Land,0)</f>
        <v>-0</v>
      </c>
      <c r="AD54" s="47" t="n">
        <f aca="false">-SUMIFS(Devex_Keur,Devex_Date,"&gt;="&amp;AD$3,Devex_Date,"&lt;="&amp;AD$4,Devex_Land,0)</f>
        <v>-0</v>
      </c>
      <c r="AE54" s="47" t="n">
        <f aca="false">-SUMIFS(Devex_Keur,Devex_Date,"&gt;="&amp;AE$3,Devex_Date,"&lt;="&amp;AE$4,Devex_Land,0)</f>
        <v>-0</v>
      </c>
      <c r="AF54" s="47" t="n">
        <f aca="false">-SUMIFS(Devex_Keur,Devex_Date,"&gt;="&amp;AF$3,Devex_Date,"&lt;="&amp;AF$4,Devex_Land,0)</f>
        <v>-0</v>
      </c>
      <c r="AG54" s="47" t="n">
        <f aca="false">-SUMIFS(Devex_Keur,Devex_Date,"&gt;="&amp;AG$3,Devex_Date,"&lt;="&amp;AG$4,Devex_Land,0)</f>
        <v>-0</v>
      </c>
      <c r="AH54" s="47" t="n">
        <f aca="false">-SUMIFS(Devex_Keur,Devex_Date,"&gt;="&amp;AH$3,Devex_Date,"&lt;="&amp;AH$4,Devex_Land,0)</f>
        <v>-0</v>
      </c>
      <c r="AI54" s="47" t="n">
        <f aca="false">-SUMIFS(Devex_Keur,Devex_Date,"&gt;="&amp;AI$3,Devex_Date,"&lt;="&amp;AI$4,Devex_Land,0)</f>
        <v>-0</v>
      </c>
      <c r="AJ54" s="47" t="n">
        <f aca="false">-SUMIFS(Devex_Keur,Devex_Date,"&gt;="&amp;AJ$3,Devex_Date,"&lt;="&amp;AJ$4,Devex_Land,0)</f>
        <v>-0</v>
      </c>
      <c r="AK54" s="47" t="n">
        <f aca="false">-SUMIFS(Devex_Keur,Devex_Date,"&gt;="&amp;AK$3,Devex_Date,"&lt;="&amp;AK$4,Devex_Land,0)</f>
        <v>-0</v>
      </c>
      <c r="AL54" s="47" t="n">
        <f aca="false">-SUMIFS(Devex_Keur,Devex_Date,"&gt;="&amp;AL$3,Devex_Date,"&lt;="&amp;AL$4,Devex_Land,0)</f>
        <v>-0</v>
      </c>
      <c r="AM54" s="47" t="n">
        <f aca="false">-SUMIFS(Devex_Keur,Devex_Date,"&gt;="&amp;AM$3,Devex_Date,"&lt;="&amp;AM$4,Devex_Land,0)</f>
        <v>-0</v>
      </c>
      <c r="AN54" s="47" t="n">
        <f aca="false">-SUMIFS(Devex_Keur,Devex_Date,"&gt;="&amp;AN$3,Devex_Date,"&lt;="&amp;AN$4,Devex_Land,0)</f>
        <v>-0</v>
      </c>
      <c r="AO54" s="47" t="n">
        <f aca="false">-SUMIFS(Devex_Keur,Devex_Date,"&gt;="&amp;AO$3,Devex_Date,"&lt;="&amp;AO$4,Devex_Land,0)</f>
        <v>-0</v>
      </c>
      <c r="AP54" s="47" t="n">
        <f aca="false">-SUMIFS(Devex_Keur,Devex_Date,"&gt;="&amp;AP$3,Devex_Date,"&lt;="&amp;AP$4,Devex_Land,0)</f>
        <v>-0</v>
      </c>
      <c r="AQ54" s="47" t="n">
        <f aca="false">-SUMIFS(Devex_Keur,Devex_Date,"&gt;="&amp;AQ$3,Devex_Date,"&lt;="&amp;AQ$4,Devex_Land,0)</f>
        <v>-0</v>
      </c>
      <c r="AR54" s="47" t="n">
        <f aca="false">-SUMIFS(Devex_Keur,Devex_Date,"&gt;="&amp;AR$3,Devex_Date,"&lt;="&amp;AR$4,Devex_Land,0)</f>
        <v>-0</v>
      </c>
      <c r="AS54" s="47" t="n">
        <f aca="false">-SUMIFS(Devex_Keur,Devex_Date,"&gt;="&amp;AS$3,Devex_Date,"&lt;="&amp;AS$4,Devex_Land,0)</f>
        <v>-0</v>
      </c>
      <c r="AT54" s="47" t="n">
        <f aca="false">-SUMIFS(Devex_Keur,Devex_Date,"&gt;="&amp;AT$3,Devex_Date,"&lt;="&amp;AT$4,Devex_Land,0)</f>
        <v>-0</v>
      </c>
      <c r="AU54" s="47" t="n">
        <f aca="false">-SUMIFS(Devex_Keur,Devex_Date,"&gt;="&amp;AU$3,Devex_Date,"&lt;="&amp;AU$4,Devex_Land,0)</f>
        <v>-0</v>
      </c>
      <c r="AV54" s="47" t="n">
        <f aca="false">-SUMIFS(Devex_Keur,Devex_Date,"&gt;="&amp;AV$3,Devex_Date,"&lt;="&amp;AV$4,Devex_Land,0)</f>
        <v>-0</v>
      </c>
      <c r="AW54" s="47" t="n">
        <f aca="false">-SUMIFS(Devex_Keur,Devex_Date,"&gt;="&amp;AW$3,Devex_Date,"&lt;="&amp;AW$4,Devex_Land,0)</f>
        <v>-0</v>
      </c>
      <c r="AX54" s="47" t="n">
        <f aca="false">-SUMIFS(Devex_Keur,Devex_Date,"&gt;="&amp;AX$3,Devex_Date,"&lt;="&amp;AX$4,Devex_Land,0)</f>
        <v>-0</v>
      </c>
      <c r="AY54" s="47" t="n">
        <f aca="false">-SUMIFS(Devex_Keur,Devex_Date,"&gt;="&amp;AY$3,Devex_Date,"&lt;="&amp;AY$4,Devex_Land,0)</f>
        <v>-0</v>
      </c>
      <c r="AZ54" s="47" t="n">
        <f aca="false">-SUMIFS(Devex_Keur,Devex_Date,"&gt;="&amp;AZ$3,Devex_Date,"&lt;="&amp;AZ$4,Devex_Land,0)</f>
        <v>-0</v>
      </c>
      <c r="BA54" s="47" t="n">
        <f aca="false">-SUMIFS(Devex_Keur,Devex_Date,"&gt;="&amp;BA$3,Devex_Date,"&lt;="&amp;BA$4,Devex_Land,0)</f>
        <v>-0</v>
      </c>
      <c r="BB54" s="47" t="n">
        <f aca="false">-SUMIFS(Devex_Keur,Devex_Date,"&gt;="&amp;BB$3,Devex_Date,"&lt;="&amp;BB$4,Devex_Land,0)</f>
        <v>-0</v>
      </c>
      <c r="BC54" s="47" t="n">
        <f aca="false">-SUMIFS(Devex_Keur,Devex_Date,"&gt;="&amp;BC$3,Devex_Date,"&lt;="&amp;BC$4,Devex_Land,0)</f>
        <v>-0</v>
      </c>
      <c r="BD54" s="47" t="n">
        <f aca="false">-SUMIFS(Devex_Keur,Devex_Date,"&gt;="&amp;BD$3,Devex_Date,"&lt;="&amp;BD$4,Devex_Land,0)</f>
        <v>-0</v>
      </c>
      <c r="BE54" s="47" t="n">
        <f aca="false">-SUMIFS(Devex_Keur,Devex_Date,"&gt;="&amp;BE$3,Devex_Date,"&lt;="&amp;BE$4,Devex_Land,0)</f>
        <v>-0</v>
      </c>
      <c r="BF54" s="47" t="n">
        <f aca="false">-SUMIFS(Devex_Keur,Devex_Date,"&gt;="&amp;BF$3,Devex_Date,"&lt;="&amp;BF$4,Devex_Land,0)</f>
        <v>-0</v>
      </c>
      <c r="BG54" s="47" t="n">
        <f aca="false">-SUMIFS(Devex_Keur,Devex_Date,"&gt;="&amp;BG$3,Devex_Date,"&lt;="&amp;BG$4,Devex_Land,0)</f>
        <v>-0</v>
      </c>
      <c r="BH54" s="47" t="n">
        <f aca="false">-SUMIFS(Devex_Keur,Devex_Date,"&gt;="&amp;BH$3,Devex_Date,"&lt;="&amp;BH$4,Devex_Land,0)</f>
        <v>-0</v>
      </c>
      <c r="BI54" s="47" t="n">
        <f aca="false">-SUMIFS(Devex_Keur,Devex_Date,"&gt;="&amp;BI$3,Devex_Date,"&lt;="&amp;BI$4,Devex_Land,0)</f>
        <v>-0</v>
      </c>
      <c r="BJ54" s="47" t="n">
        <f aca="false">-SUMIFS(Devex_Keur,Devex_Date,"&gt;="&amp;BJ$3,Devex_Date,"&lt;="&amp;BJ$4,Devex_Land,0)</f>
        <v>-0</v>
      </c>
      <c r="BK54" s="47" t="n">
        <f aca="false">-SUMIFS(Devex_Keur,Devex_Date,"&gt;="&amp;BK$3,Devex_Date,"&lt;="&amp;BK$4,Devex_Land,0)</f>
        <v>-0</v>
      </c>
      <c r="BL54" s="47" t="n">
        <f aca="false">-SUMIFS(Devex_Keur,Devex_Date,"&gt;="&amp;BL$3,Devex_Date,"&lt;="&amp;BL$4,Devex_Land,0)</f>
        <v>-0</v>
      </c>
      <c r="BM54" s="47" t="n">
        <f aca="false">-SUMIFS(Devex_Keur,Devex_Date,"&gt;="&amp;BM$3,Devex_Date,"&lt;="&amp;BM$4,Devex_Land,0)</f>
        <v>-0</v>
      </c>
      <c r="BN54" s="47" t="n">
        <f aca="false">-SUMIFS(Devex_Keur,Devex_Date,"&gt;="&amp;BN$3,Devex_Date,"&lt;="&amp;BN$4,Devex_Land,0)</f>
        <v>-0</v>
      </c>
      <c r="BO54" s="47" t="n">
        <f aca="false">-SUMIFS(Devex_Keur,Devex_Date,"&gt;="&amp;BO$3,Devex_Date,"&lt;="&amp;BO$4,Devex_Land,0)</f>
        <v>-0</v>
      </c>
      <c r="BP54" s="47" t="n">
        <f aca="false">-SUMIFS(Devex_Keur,Devex_Date,"&gt;="&amp;BP$3,Devex_Date,"&lt;="&amp;BP$4,Devex_Land,0)</f>
        <v>-0</v>
      </c>
      <c r="BQ54" s="47" t="n">
        <f aca="false">-SUMIFS(Devex_Keur,Devex_Date,"&gt;="&amp;BQ$3,Devex_Date,"&lt;="&amp;BQ$4,Devex_Land,0)</f>
        <v>-0</v>
      </c>
      <c r="BR54" s="47" t="n">
        <f aca="false">-SUMIFS(Devex_Keur,Devex_Date,"&gt;="&amp;BR$3,Devex_Date,"&lt;="&amp;BR$4,Devex_Land,0)</f>
        <v>-0</v>
      </c>
      <c r="BS54" s="47" t="n">
        <f aca="false">-SUMIFS(Devex_Keur,Devex_Date,"&gt;="&amp;BS$3,Devex_Date,"&lt;="&amp;BS$4,Devex_Land,0)</f>
        <v>-0</v>
      </c>
      <c r="BT54" s="47" t="n">
        <f aca="false">-SUMIFS(Devex_Keur,Devex_Date,"&gt;="&amp;BT$3,Devex_Date,"&lt;="&amp;BT$4,Devex_Land,0)</f>
        <v>-0</v>
      </c>
      <c r="BU54" s="47" t="n">
        <f aca="false">-SUMIFS(Devex_Keur,Devex_Date,"&gt;="&amp;BU$3,Devex_Date,"&lt;="&amp;BU$4,Devex_Land,0)</f>
        <v>-0</v>
      </c>
      <c r="BV54" s="47" t="n">
        <f aca="false">-SUMIFS(Devex_Keur,Devex_Date,"&gt;="&amp;BV$3,Devex_Date,"&lt;="&amp;BV$4,Devex_Land,0)</f>
        <v>-0</v>
      </c>
      <c r="BW54" s="47" t="n">
        <f aca="false">-SUMIFS(Devex_Keur,Devex_Date,"&gt;="&amp;BW$3,Devex_Date,"&lt;="&amp;BW$4,Devex_Land,0)</f>
        <v>-0</v>
      </c>
      <c r="BX54" s="47" t="n">
        <f aca="false">-SUMIFS(Devex_Keur,Devex_Date,"&gt;="&amp;BX$3,Devex_Date,"&lt;="&amp;BX$4,Devex_Land,0)</f>
        <v>-0</v>
      </c>
      <c r="BY54" s="47" t="n">
        <f aca="false">-SUMIFS(Devex_Keur,Devex_Date,"&gt;="&amp;BY$3,Devex_Date,"&lt;="&amp;BY$4,Devex_Land,0)</f>
        <v>-0</v>
      </c>
      <c r="BZ54" s="47" t="n">
        <f aca="false">-SUMIFS(Devex_Keur,Devex_Date,"&gt;="&amp;BZ$3,Devex_Date,"&lt;="&amp;BZ$4,Devex_Land,0)</f>
        <v>-0</v>
      </c>
      <c r="CA54" s="47" t="n">
        <f aca="false">-SUMIFS(Devex_Keur,Devex_Date,"&gt;="&amp;CA$3,Devex_Date,"&lt;="&amp;CA$4,Devex_Land,0)</f>
        <v>-0</v>
      </c>
      <c r="CB54" s="47" t="n">
        <f aca="false">-SUMIFS(Devex_Keur,Devex_Date,"&gt;="&amp;CB$3,Devex_Date,"&lt;="&amp;CB$4,Devex_Land,0)</f>
        <v>-0</v>
      </c>
      <c r="CC54" s="47" t="n">
        <f aca="false">-SUMIFS(Devex_Keur,Devex_Date,"&gt;="&amp;CC$3,Devex_Date,"&lt;="&amp;CC$4,Devex_Land,0)</f>
        <v>-0</v>
      </c>
      <c r="CD54" s="47" t="n">
        <f aca="false">-SUMIFS(Devex_Keur,Devex_Date,"&gt;="&amp;CD$3,Devex_Date,"&lt;="&amp;CD$4,Devex_Land,0)</f>
        <v>-0</v>
      </c>
      <c r="CE54" s="47" t="n">
        <f aca="false">-SUMIFS(Devex_Keur,Devex_Date,"&gt;="&amp;CE$3,Devex_Date,"&lt;="&amp;CE$4,Devex_Land,0)</f>
        <v>-0</v>
      </c>
      <c r="CF54" s="47" t="n">
        <f aca="false">-SUMIFS(Devex_Keur,Devex_Date,"&gt;="&amp;CF$3,Devex_Date,"&lt;="&amp;CF$4,Devex_Land,0)</f>
        <v>-0</v>
      </c>
      <c r="CG54" s="47" t="n">
        <f aca="false">-SUMIFS(Devex_Keur,Devex_Date,"&gt;="&amp;CG$3,Devex_Date,"&lt;="&amp;CG$4,Devex_Land,0)</f>
        <v>-0</v>
      </c>
      <c r="CH54" s="47" t="n">
        <f aca="false">-SUMIFS(Devex_Keur,Devex_Date,"&gt;="&amp;CH$3,Devex_Date,"&lt;="&amp;CH$4,Devex_Land,0)</f>
        <v>-0</v>
      </c>
      <c r="CI54" s="47" t="n">
        <f aca="false">-SUMIFS(Devex_Keur,Devex_Date,"&gt;="&amp;CI$3,Devex_Date,"&lt;="&amp;CI$4,Devex_Land,0)</f>
        <v>-0</v>
      </c>
      <c r="CJ54" s="47" t="n">
        <f aca="false">-SUMIFS(Devex_Keur,Devex_Date,"&gt;="&amp;CJ$3,Devex_Date,"&lt;="&amp;CJ$4,Devex_Land,0)</f>
        <v>-0</v>
      </c>
      <c r="CK54" s="47" t="n">
        <f aca="false">-SUMIFS(Devex_Keur,Devex_Date,"&gt;="&amp;CK$3,Devex_Date,"&lt;="&amp;CK$4,Devex_Land,0)</f>
        <v>-0</v>
      </c>
      <c r="CL54" s="47" t="n">
        <f aca="false">-SUMIFS(Devex_Keur,Devex_Date,"&gt;="&amp;CL$3,Devex_Date,"&lt;="&amp;CL$4,Devex_Land,0)</f>
        <v>-0</v>
      </c>
      <c r="CM54" s="47" t="n">
        <f aca="false">-SUMIFS(Devex_Keur,Devex_Date,"&gt;="&amp;CM$3,Devex_Date,"&lt;="&amp;CM$4,Devex_Land,0)</f>
        <v>-0</v>
      </c>
      <c r="CN54" s="47" t="n">
        <f aca="false">-SUMIFS(Devex_Keur,Devex_Date,"&gt;="&amp;CN$3,Devex_Date,"&lt;="&amp;CN$4,Devex_Land,0)</f>
        <v>-0</v>
      </c>
      <c r="CO54" s="47" t="n">
        <f aca="false">-SUMIFS(Devex_Keur,Devex_Date,"&gt;="&amp;CO$3,Devex_Date,"&lt;="&amp;CO$4,Devex_Land,0)</f>
        <v>-0</v>
      </c>
      <c r="CP54" s="47" t="n">
        <f aca="false">-SUMIFS(Devex_Keur,Devex_Date,"&gt;="&amp;CP$3,Devex_Date,"&lt;="&amp;CP$4,Devex_Land,0)</f>
        <v>-0</v>
      </c>
      <c r="CQ54" s="47" t="n">
        <f aca="false">-SUMIFS(Devex_Keur,Devex_Date,"&gt;="&amp;CQ$3,Devex_Date,"&lt;="&amp;CQ$4,Devex_Land,0)</f>
        <v>-0</v>
      </c>
      <c r="CR54" s="47" t="n">
        <f aca="false">-SUMIFS(Devex_Keur,Devex_Date,"&gt;="&amp;CR$3,Devex_Date,"&lt;="&amp;CR$4,Devex_Land,0)</f>
        <v>-0</v>
      </c>
      <c r="CS54" s="47" t="n">
        <f aca="false">-SUMIFS(Devex_Keur,Devex_Date,"&gt;="&amp;CS$3,Devex_Date,"&lt;="&amp;CS$4,Devex_Land,0)</f>
        <v>-0</v>
      </c>
      <c r="CT54" s="47" t="n">
        <f aca="false">-SUMIFS(Devex_Keur,Devex_Date,"&gt;="&amp;CT$3,Devex_Date,"&lt;="&amp;CT$4,Devex_Land,0)</f>
        <v>-0</v>
      </c>
      <c r="CU54" s="47" t="n">
        <f aca="false">-SUMIFS(Devex_Keur,Devex_Date,"&gt;="&amp;CU$3,Devex_Date,"&lt;="&amp;CU$4,Devex_Land,0)</f>
        <v>-0</v>
      </c>
      <c r="CV54" s="47" t="n">
        <f aca="false">-SUMIFS(Devex_Keur,Devex_Date,"&gt;="&amp;CV$3,Devex_Date,"&lt;="&amp;CV$4,Devex_Land,0)</f>
        <v>-0</v>
      </c>
      <c r="CW54" s="47" t="n">
        <f aca="false">-SUMIFS(Devex_Keur,Devex_Date,"&gt;="&amp;CW$3,Devex_Date,"&lt;="&amp;CW$4,Devex_Land,0)</f>
        <v>-0</v>
      </c>
      <c r="CX54" s="47" t="n">
        <f aca="false">-SUMIFS(Devex_Keur,Devex_Date,"&gt;="&amp;CX$3,Devex_Date,"&lt;="&amp;CX$4,Devex_Land,0)</f>
        <v>-0</v>
      </c>
      <c r="CY54" s="47" t="n">
        <f aca="false">-SUMIFS(Devex_Keur,Devex_Date,"&gt;="&amp;CY$3,Devex_Date,"&lt;="&amp;CY$4,Devex_Land,0)</f>
        <v>-0</v>
      </c>
      <c r="CZ54" s="47" t="n">
        <f aca="false">-SUMIFS(Devex_Keur,Devex_Date,"&gt;="&amp;CZ$3,Devex_Date,"&lt;="&amp;CZ$4,Devex_Land,0)</f>
        <v>-0</v>
      </c>
      <c r="DA54" s="47" t="n">
        <f aca="false">-SUMIFS(Devex_Keur,Devex_Date,"&gt;="&amp;DA$3,Devex_Date,"&lt;="&amp;DA$4,Devex_Land,0)</f>
        <v>-0</v>
      </c>
      <c r="DB54" s="47" t="n">
        <f aca="false">-SUMIFS(Devex_Keur,Devex_Date,"&gt;="&amp;DB$3,Devex_Date,"&lt;="&amp;DB$4,Devex_Land,0)</f>
        <v>-0</v>
      </c>
      <c r="DC54" s="47" t="n">
        <f aca="false">-SUMIFS(Devex_Keur,Devex_Date,"&gt;="&amp;DC$3,Devex_Date,"&lt;="&amp;DC$4,Devex_Land,0)</f>
        <v>-0</v>
      </c>
      <c r="DD54" s="47" t="n">
        <f aca="false">-SUMIFS(Devex_Keur,Devex_Date,"&gt;="&amp;DD$3,Devex_Date,"&lt;="&amp;DD$4,Devex_Land,0)</f>
        <v>-0</v>
      </c>
      <c r="DE54" s="47" t="n">
        <f aca="false">-SUMIFS(Devex_Keur,Devex_Date,"&gt;="&amp;DE$3,Devex_Date,"&lt;="&amp;DE$4,Devex_Land,0)</f>
        <v>-0</v>
      </c>
      <c r="DF54" s="47" t="n">
        <f aca="false">-SUMIFS(Devex_Keur,Devex_Date,"&gt;="&amp;DF$3,Devex_Date,"&lt;="&amp;DF$4,Devex_Land,0)</f>
        <v>-0</v>
      </c>
      <c r="DG54" s="47" t="n">
        <f aca="false">-SUMIFS(Devex_Keur,Devex_Date,"&gt;="&amp;DG$3,Devex_Date,"&lt;="&amp;DG$4,Devex_Land,0)</f>
        <v>-0</v>
      </c>
      <c r="DH54" s="47" t="n">
        <f aca="false">-SUMIFS(Devex_Keur,Devex_Date,"&gt;="&amp;DH$3,Devex_Date,"&lt;="&amp;DH$4,Devex_Land,0)</f>
        <v>-0</v>
      </c>
      <c r="DI54" s="47" t="n">
        <f aca="false">-SUMIFS(Devex_Keur,Devex_Date,"&gt;="&amp;DI$3,Devex_Date,"&lt;="&amp;DI$4,Devex_Land,0)</f>
        <v>-0</v>
      </c>
      <c r="DJ54" s="47" t="n">
        <f aca="false">-SUMIFS(Devex_Keur,Devex_Date,"&gt;="&amp;DJ$3,Devex_Date,"&lt;="&amp;DJ$4,Devex_Land,0)</f>
        <v>-0</v>
      </c>
      <c r="DK54" s="47" t="n">
        <f aca="false">-SUMIFS(Devex_Keur,Devex_Date,"&gt;="&amp;DK$3,Devex_Date,"&lt;="&amp;DK$4,Devex_Land,0)</f>
        <v>-0</v>
      </c>
      <c r="DL54" s="47" t="n">
        <f aca="false">-SUMIFS(Devex_Keur,Devex_Date,"&gt;="&amp;DL$3,Devex_Date,"&lt;="&amp;DL$4,Devex_Land,0)</f>
        <v>-0</v>
      </c>
      <c r="DM54" s="47" t="n">
        <f aca="false">-SUMIFS(Devex_Keur,Devex_Date,"&gt;="&amp;DM$3,Devex_Date,"&lt;="&amp;DM$4,Devex_Land,0)</f>
        <v>-0</v>
      </c>
      <c r="DN54" s="47" t="n">
        <f aca="false">-SUMIFS(Devex_Keur,Devex_Date,"&gt;="&amp;DN$3,Devex_Date,"&lt;="&amp;DN$4,Devex_Land,0)</f>
        <v>-0</v>
      </c>
      <c r="DO54" s="47" t="n">
        <f aca="false">-SUMIFS(Devex_Keur,Devex_Date,"&gt;="&amp;DO$3,Devex_Date,"&lt;="&amp;DO$4,Devex_Land,0)</f>
        <v>-0</v>
      </c>
      <c r="DP54" s="47" t="n">
        <f aca="false">-SUMIFS(Devex_Keur,Devex_Date,"&gt;="&amp;DP$3,Devex_Date,"&lt;="&amp;DP$4,Devex_Land,0)</f>
        <v>-0</v>
      </c>
      <c r="DQ54" s="47" t="n">
        <f aca="false">-SUMIFS(Devex_Keur,Devex_Date,"&gt;="&amp;DQ$3,Devex_Date,"&lt;="&amp;DQ$4,Devex_Land,0)</f>
        <v>-0</v>
      </c>
      <c r="DR54" s="47" t="n">
        <f aca="false">-SUMIFS(Devex_Keur,Devex_Date,"&gt;="&amp;DR$3,Devex_Date,"&lt;="&amp;DR$4,Devex_Land,0)</f>
        <v>-0</v>
      </c>
      <c r="DS54" s="47" t="n">
        <f aca="false">-SUMIFS(Devex_Keur,Devex_Date,"&gt;="&amp;DS$3,Devex_Date,"&lt;="&amp;DS$4,Devex_Land,0)</f>
        <v>-0</v>
      </c>
      <c r="DT54" s="47" t="n">
        <f aca="false">-SUMIFS(Devex_Keur,Devex_Date,"&gt;="&amp;DT$3,Devex_Date,"&lt;="&amp;DT$4,Devex_Land,0)</f>
        <v>-0</v>
      </c>
      <c r="DU54" s="47" t="n">
        <f aca="false">-SUMIFS(Devex_Keur,Devex_Date,"&gt;="&amp;DU$3,Devex_Date,"&lt;="&amp;DU$4,Devex_Land,0)</f>
        <v>-0</v>
      </c>
      <c r="DV54" s="47" t="n">
        <f aca="false">-SUMIFS(Devex_Keur,Devex_Date,"&gt;="&amp;DV$3,Devex_Date,"&lt;="&amp;DV$4,Devex_Land,0)</f>
        <v>-0</v>
      </c>
      <c r="DW54" s="47" t="n">
        <f aca="false">-SUMIFS(Devex_Keur,Devex_Date,"&gt;="&amp;DW$3,Devex_Date,"&lt;="&amp;DW$4,Devex_Land,0)</f>
        <v>-0</v>
      </c>
      <c r="DX54" s="47" t="n">
        <f aca="false">-SUMIFS(Devex_Keur,Devex_Date,"&gt;="&amp;DX$3,Devex_Date,"&lt;="&amp;DX$4,Devex_Land,0)</f>
        <v>-0</v>
      </c>
      <c r="DY54" s="47" t="n">
        <f aca="false">-SUMIFS(Devex_Keur,Devex_Date,"&gt;="&amp;DY$3,Devex_Date,"&lt;="&amp;DY$4,Devex_Land,0)</f>
        <v>-0</v>
      </c>
      <c r="DZ54" s="47" t="n">
        <f aca="false">-SUMIFS(Devex_Keur,Devex_Date,"&gt;="&amp;DZ$3,Devex_Date,"&lt;="&amp;DZ$4,Devex_Land,0)</f>
        <v>-0</v>
      </c>
      <c r="EA54" s="47" t="n">
        <f aca="false">-SUMIFS(Devex_Keur,Devex_Date,"&gt;="&amp;EA$3,Devex_Date,"&lt;="&amp;EA$4,Devex_Land,0)</f>
        <v>-0</v>
      </c>
      <c r="EB54" s="47" t="n">
        <f aca="false">-SUMIFS(Devex_Keur,Devex_Date,"&gt;="&amp;EB$3,Devex_Date,"&lt;="&amp;EB$4,Devex_Land,0)</f>
        <v>-0</v>
      </c>
      <c r="EC54" s="47" t="n">
        <f aca="false">-SUMIFS(Devex_Keur,Devex_Date,"&gt;="&amp;EC$3,Devex_Date,"&lt;="&amp;EC$4,Devex_Land,0)</f>
        <v>-0</v>
      </c>
      <c r="ED54" s="47" t="n">
        <f aca="false">-SUMIFS(Devex_Keur,Devex_Date,"&gt;="&amp;ED$3,Devex_Date,"&lt;="&amp;ED$4,Devex_Land,0)</f>
        <v>-0</v>
      </c>
      <c r="EE54" s="47" t="n">
        <f aca="false">-SUMIFS(Devex_Keur,Devex_Date,"&gt;="&amp;EE$3,Devex_Date,"&lt;="&amp;EE$4,Devex_Land,0)</f>
        <v>-0</v>
      </c>
      <c r="EF54" s="47" t="n">
        <f aca="false">-SUMIFS(Devex_Keur,Devex_Date,"&gt;="&amp;EF$3,Devex_Date,"&lt;="&amp;EF$4,Devex_Land,0)</f>
        <v>-0</v>
      </c>
      <c r="EG54" s="47" t="n">
        <f aca="false">-SUMIFS(Devex_Keur,Devex_Date,"&gt;="&amp;EG$3,Devex_Date,"&lt;="&amp;EG$4,Devex_Land,0)</f>
        <v>-0</v>
      </c>
      <c r="EH54" s="47" t="n">
        <f aca="false">-SUMIFS(Devex_Keur,Devex_Date,"&gt;="&amp;EH$3,Devex_Date,"&lt;="&amp;EH$4,Devex_Land,0)</f>
        <v>-0</v>
      </c>
      <c r="EI54" s="47" t="n">
        <f aca="false">-SUMIFS(Devex_Keur,Devex_Date,"&gt;="&amp;EI$3,Devex_Date,"&lt;="&amp;EI$4,Devex_Land,0)</f>
        <v>-0</v>
      </c>
      <c r="EJ54" s="47" t="n">
        <f aca="false">-SUMIFS(Devex_Keur,Devex_Date,"&gt;="&amp;EJ$3,Devex_Date,"&lt;="&amp;EJ$4,Devex_Land,0)</f>
        <v>-0</v>
      </c>
      <c r="EK54" s="47" t="n">
        <f aca="false">-SUMIFS(Devex_Keur,Devex_Date,"&gt;="&amp;EK$3,Devex_Date,"&lt;="&amp;EK$4,Devex_Land,0)</f>
        <v>-0</v>
      </c>
      <c r="EL54" s="47" t="n">
        <f aca="false">-SUMIFS(Devex_Keur,Devex_Date,"&gt;="&amp;EL$3,Devex_Date,"&lt;="&amp;EL$4,Devex_Land,0)</f>
        <v>-0</v>
      </c>
      <c r="EM54" s="47" t="n">
        <f aca="false">-SUMIFS(Devex_Keur,Devex_Date,"&gt;="&amp;EM$3,Devex_Date,"&lt;="&amp;EM$4,Devex_Land,0)</f>
        <v>-0</v>
      </c>
      <c r="EN54" s="47" t="n">
        <f aca="false">-SUMIFS(Devex_Keur,Devex_Date,"&gt;="&amp;EN$3,Devex_Date,"&lt;="&amp;EN$4,Devex_Land,0)</f>
        <v>-0</v>
      </c>
      <c r="EO54" s="47" t="n">
        <f aca="false">-SUMIFS(Devex_Keur,Devex_Date,"&gt;="&amp;EO$3,Devex_Date,"&lt;="&amp;EO$4,Devex_Land,0)</f>
        <v>-0</v>
      </c>
      <c r="EP54" s="47" t="n">
        <f aca="false">-SUMIFS(Devex_Keur,Devex_Date,"&gt;="&amp;EP$3,Devex_Date,"&lt;="&amp;EP$4,Devex_Land,0)</f>
        <v>-0</v>
      </c>
      <c r="EQ54" s="47" t="n">
        <f aca="false">-SUMIFS(Devex_Keur,Devex_Date,"&gt;="&amp;EQ$3,Devex_Date,"&lt;="&amp;EQ$4,Devex_Land,0)</f>
        <v>-0</v>
      </c>
      <c r="ER54" s="47" t="n">
        <f aca="false">-SUMIFS(Devex_Keur,Devex_Date,"&gt;="&amp;ER$3,Devex_Date,"&lt;="&amp;ER$4,Devex_Land,0)</f>
        <v>-0</v>
      </c>
      <c r="ES54" s="47" t="n">
        <f aca="false">-SUMIFS(Devex_Keur,Devex_Date,"&gt;="&amp;ES$3,Devex_Date,"&lt;="&amp;ES$4,Devex_Land,0)</f>
        <v>-0</v>
      </c>
      <c r="ET54" s="47" t="n">
        <f aca="false">-SUMIFS(Devex_Keur,Devex_Date,"&gt;="&amp;ET$3,Devex_Date,"&lt;="&amp;ET$4,Devex_Land,0)</f>
        <v>-0</v>
      </c>
    </row>
    <row r="55" customFormat="false" ht="15" hidden="false" customHeight="false" outlineLevel="0" collapsed="false">
      <c r="C55" s="1" t="s">
        <v>484</v>
      </c>
      <c r="D55" s="12" t="s">
        <v>222</v>
      </c>
      <c r="E55" s="47" t="n">
        <f aca="false">-SUMIF($J$4:$ET$4,"&lt;="&amp;$E12,$J55:$ET55)</f>
        <v>430.444520547945</v>
      </c>
      <c r="I55" s="47" t="n">
        <f aca="false">SUM(J55:ET55)</f>
        <v>-430.444520547945</v>
      </c>
      <c r="J55" s="47" t="n">
        <f aca="false">-SUMIFS(Devex_Keur,Devex_Date,"&gt;="&amp;J$3,Devex_Date,"&lt;="&amp;J$4,Devex_Land,1)</f>
        <v>-0</v>
      </c>
      <c r="K55" s="47" t="n">
        <f aca="false">-SUMIFS(Devex_Keur,Devex_Date,"&gt;="&amp;K$3,Devex_Date,"&lt;="&amp;K$4,Devex_Land,1)</f>
        <v>-0</v>
      </c>
      <c r="L55" s="47" t="n">
        <f aca="false">-SUMIFS(Devex_Keur,Devex_Date,"&gt;="&amp;L$3,Devex_Date,"&lt;="&amp;L$4,Devex_Land,1)</f>
        <v>-180.581506849315</v>
      </c>
      <c r="M55" s="47" t="n">
        <f aca="false">-SUMIFS(Devex_Keur,Devex_Date,"&gt;="&amp;M$3,Devex_Date,"&lt;="&amp;M$4,Devex_Land,1)</f>
        <v>-0</v>
      </c>
      <c r="N55" s="47" t="n">
        <f aca="false">-SUMIFS(Devex_Keur,Devex_Date,"&gt;="&amp;N$3,Devex_Date,"&lt;="&amp;N$4,Devex_Land,1)</f>
        <v>-0</v>
      </c>
      <c r="O55" s="47" t="n">
        <f aca="false">-SUMIFS(Devex_Keur,Devex_Date,"&gt;="&amp;O$3,Devex_Date,"&lt;="&amp;O$4,Devex_Land,1)</f>
        <v>-0</v>
      </c>
      <c r="P55" s="47" t="n">
        <f aca="false">-SUMIFS(Devex_Keur,Devex_Date,"&gt;="&amp;P$3,Devex_Date,"&lt;="&amp;P$4,Devex_Land,1)</f>
        <v>-0</v>
      </c>
      <c r="Q55" s="47" t="n">
        <f aca="false">-SUMIFS(Devex_Keur,Devex_Date,"&gt;="&amp;Q$3,Devex_Date,"&lt;="&amp;Q$4,Devex_Land,1)</f>
        <v>-0</v>
      </c>
      <c r="R55" s="47" t="n">
        <f aca="false">-SUMIFS(Devex_Keur,Devex_Date,"&gt;="&amp;R$3,Devex_Date,"&lt;="&amp;R$4,Devex_Land,1)</f>
        <v>-0</v>
      </c>
      <c r="S55" s="47" t="n">
        <f aca="false">-SUMIFS(Devex_Keur,Devex_Date,"&gt;="&amp;S$3,Devex_Date,"&lt;="&amp;S$4,Devex_Land,1)</f>
        <v>-0</v>
      </c>
      <c r="T55" s="47" t="n">
        <f aca="false">-SUMIFS(Devex_Keur,Devex_Date,"&gt;="&amp;T$3,Devex_Date,"&lt;="&amp;T$4,Devex_Land,1)</f>
        <v>-249.86301369863</v>
      </c>
      <c r="U55" s="47" t="n">
        <f aca="false">-SUMIFS(Devex_Keur,Devex_Date,"&gt;="&amp;U$3,Devex_Date,"&lt;="&amp;U$4,Devex_Land,1)</f>
        <v>-0</v>
      </c>
      <c r="V55" s="47" t="n">
        <f aca="false">-SUMIFS(Devex_Keur,Devex_Date,"&gt;="&amp;V$3,Devex_Date,"&lt;="&amp;V$4,Devex_Land,1)</f>
        <v>-0</v>
      </c>
      <c r="W55" s="47" t="n">
        <f aca="false">-SUMIFS(Devex_Keur,Devex_Date,"&gt;="&amp;W$3,Devex_Date,"&lt;="&amp;W$4,Devex_Land,1)</f>
        <v>-0</v>
      </c>
      <c r="X55" s="47" t="n">
        <f aca="false">-SUMIFS(Devex_Keur,Devex_Date,"&gt;="&amp;X$3,Devex_Date,"&lt;="&amp;X$4,Devex_Land,1)</f>
        <v>-0</v>
      </c>
      <c r="Y55" s="47" t="n">
        <f aca="false">-SUMIFS(Devex_Keur,Devex_Date,"&gt;="&amp;Y$3,Devex_Date,"&lt;="&amp;Y$4,Devex_Land,1)</f>
        <v>-0</v>
      </c>
      <c r="Z55" s="47" t="n">
        <f aca="false">-SUMIFS(Devex_Keur,Devex_Date,"&gt;="&amp;Z$3,Devex_Date,"&lt;="&amp;Z$4,Devex_Land,1)</f>
        <v>-0</v>
      </c>
      <c r="AA55" s="47" t="n">
        <f aca="false">-SUMIFS(Devex_Keur,Devex_Date,"&gt;="&amp;AA$3,Devex_Date,"&lt;="&amp;AA$4,Devex_Land,1)</f>
        <v>-0</v>
      </c>
      <c r="AB55" s="47" t="n">
        <f aca="false">-SUMIFS(Devex_Keur,Devex_Date,"&gt;="&amp;AB$3,Devex_Date,"&lt;="&amp;AB$4,Devex_Land,1)</f>
        <v>-0</v>
      </c>
      <c r="AC55" s="47" t="n">
        <f aca="false">-SUMIFS(Devex_Keur,Devex_Date,"&gt;="&amp;AC$3,Devex_Date,"&lt;="&amp;AC$4,Devex_Land,1)</f>
        <v>-0</v>
      </c>
      <c r="AD55" s="47" t="n">
        <f aca="false">-SUMIFS(Devex_Keur,Devex_Date,"&gt;="&amp;AD$3,Devex_Date,"&lt;="&amp;AD$4,Devex_Land,1)</f>
        <v>-0</v>
      </c>
      <c r="AE55" s="47" t="n">
        <f aca="false">-SUMIFS(Devex_Keur,Devex_Date,"&gt;="&amp;AE$3,Devex_Date,"&lt;="&amp;AE$4,Devex_Land,1)</f>
        <v>-0</v>
      </c>
      <c r="AF55" s="47" t="n">
        <f aca="false">-SUMIFS(Devex_Keur,Devex_Date,"&gt;="&amp;AF$3,Devex_Date,"&lt;="&amp;AF$4,Devex_Land,1)</f>
        <v>-0</v>
      </c>
      <c r="AG55" s="47" t="n">
        <f aca="false">-SUMIFS(Devex_Keur,Devex_Date,"&gt;="&amp;AG$3,Devex_Date,"&lt;="&amp;AG$4,Devex_Land,1)</f>
        <v>-0</v>
      </c>
      <c r="AH55" s="47" t="n">
        <f aca="false">-SUMIFS(Devex_Keur,Devex_Date,"&gt;="&amp;AH$3,Devex_Date,"&lt;="&amp;AH$4,Devex_Land,1)</f>
        <v>-0</v>
      </c>
      <c r="AI55" s="47" t="n">
        <f aca="false">-SUMIFS(Devex_Keur,Devex_Date,"&gt;="&amp;AI$3,Devex_Date,"&lt;="&amp;AI$4,Devex_Land,1)</f>
        <v>-0</v>
      </c>
      <c r="AJ55" s="47" t="n">
        <f aca="false">-SUMIFS(Devex_Keur,Devex_Date,"&gt;="&amp;AJ$3,Devex_Date,"&lt;="&amp;AJ$4,Devex_Land,1)</f>
        <v>-0</v>
      </c>
      <c r="AK55" s="47" t="n">
        <f aca="false">-SUMIFS(Devex_Keur,Devex_Date,"&gt;="&amp;AK$3,Devex_Date,"&lt;="&amp;AK$4,Devex_Land,1)</f>
        <v>-0</v>
      </c>
      <c r="AL55" s="47" t="n">
        <f aca="false">-SUMIFS(Devex_Keur,Devex_Date,"&gt;="&amp;AL$3,Devex_Date,"&lt;="&amp;AL$4,Devex_Land,1)</f>
        <v>-0</v>
      </c>
      <c r="AM55" s="47" t="n">
        <f aca="false">-SUMIFS(Devex_Keur,Devex_Date,"&gt;="&amp;AM$3,Devex_Date,"&lt;="&amp;AM$4,Devex_Land,1)</f>
        <v>-0</v>
      </c>
      <c r="AN55" s="47" t="n">
        <f aca="false">-SUMIFS(Devex_Keur,Devex_Date,"&gt;="&amp;AN$3,Devex_Date,"&lt;="&amp;AN$4,Devex_Land,1)</f>
        <v>-0</v>
      </c>
      <c r="AO55" s="47" t="n">
        <f aca="false">-SUMIFS(Devex_Keur,Devex_Date,"&gt;="&amp;AO$3,Devex_Date,"&lt;="&amp;AO$4,Devex_Land,1)</f>
        <v>-0</v>
      </c>
      <c r="AP55" s="47" t="n">
        <f aca="false">-SUMIFS(Devex_Keur,Devex_Date,"&gt;="&amp;AP$3,Devex_Date,"&lt;="&amp;AP$4,Devex_Land,1)</f>
        <v>-0</v>
      </c>
      <c r="AQ55" s="47" t="n">
        <f aca="false">-SUMIFS(Devex_Keur,Devex_Date,"&gt;="&amp;AQ$3,Devex_Date,"&lt;="&amp;AQ$4,Devex_Land,1)</f>
        <v>-0</v>
      </c>
      <c r="AR55" s="47" t="n">
        <f aca="false">-SUMIFS(Devex_Keur,Devex_Date,"&gt;="&amp;AR$3,Devex_Date,"&lt;="&amp;AR$4,Devex_Land,1)</f>
        <v>-0</v>
      </c>
      <c r="AS55" s="47" t="n">
        <f aca="false">-SUMIFS(Devex_Keur,Devex_Date,"&gt;="&amp;AS$3,Devex_Date,"&lt;="&amp;AS$4,Devex_Land,1)</f>
        <v>-0</v>
      </c>
      <c r="AT55" s="47" t="n">
        <f aca="false">-SUMIFS(Devex_Keur,Devex_Date,"&gt;="&amp;AT$3,Devex_Date,"&lt;="&amp;AT$4,Devex_Land,1)</f>
        <v>-0</v>
      </c>
      <c r="AU55" s="47" t="n">
        <f aca="false">-SUMIFS(Devex_Keur,Devex_Date,"&gt;="&amp;AU$3,Devex_Date,"&lt;="&amp;AU$4,Devex_Land,1)</f>
        <v>-0</v>
      </c>
      <c r="AV55" s="47" t="n">
        <f aca="false">-SUMIFS(Devex_Keur,Devex_Date,"&gt;="&amp;AV$3,Devex_Date,"&lt;="&amp;AV$4,Devex_Land,1)</f>
        <v>-0</v>
      </c>
      <c r="AW55" s="47" t="n">
        <f aca="false">-SUMIFS(Devex_Keur,Devex_Date,"&gt;="&amp;AW$3,Devex_Date,"&lt;="&amp;AW$4,Devex_Land,1)</f>
        <v>-0</v>
      </c>
      <c r="AX55" s="47" t="n">
        <f aca="false">-SUMIFS(Devex_Keur,Devex_Date,"&gt;="&amp;AX$3,Devex_Date,"&lt;="&amp;AX$4,Devex_Land,1)</f>
        <v>-0</v>
      </c>
      <c r="AY55" s="47" t="n">
        <f aca="false">-SUMIFS(Devex_Keur,Devex_Date,"&gt;="&amp;AY$3,Devex_Date,"&lt;="&amp;AY$4,Devex_Land,1)</f>
        <v>-0</v>
      </c>
      <c r="AZ55" s="47" t="n">
        <f aca="false">-SUMIFS(Devex_Keur,Devex_Date,"&gt;="&amp;AZ$3,Devex_Date,"&lt;="&amp;AZ$4,Devex_Land,1)</f>
        <v>-0</v>
      </c>
      <c r="BA55" s="47" t="n">
        <f aca="false">-SUMIFS(Devex_Keur,Devex_Date,"&gt;="&amp;BA$3,Devex_Date,"&lt;="&amp;BA$4,Devex_Land,1)</f>
        <v>-0</v>
      </c>
      <c r="BB55" s="47" t="n">
        <f aca="false">-SUMIFS(Devex_Keur,Devex_Date,"&gt;="&amp;BB$3,Devex_Date,"&lt;="&amp;BB$4,Devex_Land,1)</f>
        <v>-0</v>
      </c>
      <c r="BC55" s="47" t="n">
        <f aca="false">-SUMIFS(Devex_Keur,Devex_Date,"&gt;="&amp;BC$3,Devex_Date,"&lt;="&amp;BC$4,Devex_Land,1)</f>
        <v>-0</v>
      </c>
      <c r="BD55" s="47" t="n">
        <f aca="false">-SUMIFS(Devex_Keur,Devex_Date,"&gt;="&amp;BD$3,Devex_Date,"&lt;="&amp;BD$4,Devex_Land,1)</f>
        <v>-0</v>
      </c>
      <c r="BE55" s="47" t="n">
        <f aca="false">-SUMIFS(Devex_Keur,Devex_Date,"&gt;="&amp;BE$3,Devex_Date,"&lt;="&amp;BE$4,Devex_Land,1)</f>
        <v>-0</v>
      </c>
      <c r="BF55" s="47" t="n">
        <f aca="false">-SUMIFS(Devex_Keur,Devex_Date,"&gt;="&amp;BF$3,Devex_Date,"&lt;="&amp;BF$4,Devex_Land,1)</f>
        <v>-0</v>
      </c>
      <c r="BG55" s="47" t="n">
        <f aca="false">-SUMIFS(Devex_Keur,Devex_Date,"&gt;="&amp;BG$3,Devex_Date,"&lt;="&amp;BG$4,Devex_Land,1)</f>
        <v>-0</v>
      </c>
      <c r="BH55" s="47" t="n">
        <f aca="false">-SUMIFS(Devex_Keur,Devex_Date,"&gt;="&amp;BH$3,Devex_Date,"&lt;="&amp;BH$4,Devex_Land,1)</f>
        <v>-0</v>
      </c>
      <c r="BI55" s="47" t="n">
        <f aca="false">-SUMIFS(Devex_Keur,Devex_Date,"&gt;="&amp;BI$3,Devex_Date,"&lt;="&amp;BI$4,Devex_Land,1)</f>
        <v>-0</v>
      </c>
      <c r="BJ55" s="47" t="n">
        <f aca="false">-SUMIFS(Devex_Keur,Devex_Date,"&gt;="&amp;BJ$3,Devex_Date,"&lt;="&amp;BJ$4,Devex_Land,1)</f>
        <v>-0</v>
      </c>
      <c r="BK55" s="47" t="n">
        <f aca="false">-SUMIFS(Devex_Keur,Devex_Date,"&gt;="&amp;BK$3,Devex_Date,"&lt;="&amp;BK$4,Devex_Land,1)</f>
        <v>-0</v>
      </c>
      <c r="BL55" s="47" t="n">
        <f aca="false">-SUMIFS(Devex_Keur,Devex_Date,"&gt;="&amp;BL$3,Devex_Date,"&lt;="&amp;BL$4,Devex_Land,1)</f>
        <v>-0</v>
      </c>
      <c r="BM55" s="47" t="n">
        <f aca="false">-SUMIFS(Devex_Keur,Devex_Date,"&gt;="&amp;BM$3,Devex_Date,"&lt;="&amp;BM$4,Devex_Land,1)</f>
        <v>-0</v>
      </c>
      <c r="BN55" s="47" t="n">
        <f aca="false">-SUMIFS(Devex_Keur,Devex_Date,"&gt;="&amp;BN$3,Devex_Date,"&lt;="&amp;BN$4,Devex_Land,1)</f>
        <v>-0</v>
      </c>
      <c r="BO55" s="47" t="n">
        <f aca="false">-SUMIFS(Devex_Keur,Devex_Date,"&gt;="&amp;BO$3,Devex_Date,"&lt;="&amp;BO$4,Devex_Land,1)</f>
        <v>-0</v>
      </c>
      <c r="BP55" s="47" t="n">
        <f aca="false">-SUMIFS(Devex_Keur,Devex_Date,"&gt;="&amp;BP$3,Devex_Date,"&lt;="&amp;BP$4,Devex_Land,1)</f>
        <v>-0</v>
      </c>
      <c r="BQ55" s="47" t="n">
        <f aca="false">-SUMIFS(Devex_Keur,Devex_Date,"&gt;="&amp;BQ$3,Devex_Date,"&lt;="&amp;BQ$4,Devex_Land,1)</f>
        <v>-0</v>
      </c>
      <c r="BR55" s="47" t="n">
        <f aca="false">-SUMIFS(Devex_Keur,Devex_Date,"&gt;="&amp;BR$3,Devex_Date,"&lt;="&amp;BR$4,Devex_Land,1)</f>
        <v>-0</v>
      </c>
      <c r="BS55" s="47" t="n">
        <f aca="false">-SUMIFS(Devex_Keur,Devex_Date,"&gt;="&amp;BS$3,Devex_Date,"&lt;="&amp;BS$4,Devex_Land,1)</f>
        <v>-0</v>
      </c>
      <c r="BT55" s="47" t="n">
        <f aca="false">-SUMIFS(Devex_Keur,Devex_Date,"&gt;="&amp;BT$3,Devex_Date,"&lt;="&amp;BT$4,Devex_Land,1)</f>
        <v>-0</v>
      </c>
      <c r="BU55" s="47" t="n">
        <f aca="false">-SUMIFS(Devex_Keur,Devex_Date,"&gt;="&amp;BU$3,Devex_Date,"&lt;="&amp;BU$4,Devex_Land,1)</f>
        <v>-0</v>
      </c>
      <c r="BV55" s="47" t="n">
        <f aca="false">-SUMIFS(Devex_Keur,Devex_Date,"&gt;="&amp;BV$3,Devex_Date,"&lt;="&amp;BV$4,Devex_Land,1)</f>
        <v>-0</v>
      </c>
      <c r="BW55" s="47" t="n">
        <f aca="false">-SUMIFS(Devex_Keur,Devex_Date,"&gt;="&amp;BW$3,Devex_Date,"&lt;="&amp;BW$4,Devex_Land,1)</f>
        <v>-0</v>
      </c>
      <c r="BX55" s="47" t="n">
        <f aca="false">-SUMIFS(Devex_Keur,Devex_Date,"&gt;="&amp;BX$3,Devex_Date,"&lt;="&amp;BX$4,Devex_Land,1)</f>
        <v>-0</v>
      </c>
      <c r="BY55" s="47" t="n">
        <f aca="false">-SUMIFS(Devex_Keur,Devex_Date,"&gt;="&amp;BY$3,Devex_Date,"&lt;="&amp;BY$4,Devex_Land,1)</f>
        <v>-0</v>
      </c>
      <c r="BZ55" s="47" t="n">
        <f aca="false">-SUMIFS(Devex_Keur,Devex_Date,"&gt;="&amp;BZ$3,Devex_Date,"&lt;="&amp;BZ$4,Devex_Land,1)</f>
        <v>-0</v>
      </c>
      <c r="CA55" s="47" t="n">
        <f aca="false">-SUMIFS(Devex_Keur,Devex_Date,"&gt;="&amp;CA$3,Devex_Date,"&lt;="&amp;CA$4,Devex_Land,1)</f>
        <v>-0</v>
      </c>
      <c r="CB55" s="47" t="n">
        <f aca="false">-SUMIFS(Devex_Keur,Devex_Date,"&gt;="&amp;CB$3,Devex_Date,"&lt;="&amp;CB$4,Devex_Land,1)</f>
        <v>-0</v>
      </c>
      <c r="CC55" s="47" t="n">
        <f aca="false">-SUMIFS(Devex_Keur,Devex_Date,"&gt;="&amp;CC$3,Devex_Date,"&lt;="&amp;CC$4,Devex_Land,1)</f>
        <v>-0</v>
      </c>
      <c r="CD55" s="47" t="n">
        <f aca="false">-SUMIFS(Devex_Keur,Devex_Date,"&gt;="&amp;CD$3,Devex_Date,"&lt;="&amp;CD$4,Devex_Land,1)</f>
        <v>-0</v>
      </c>
      <c r="CE55" s="47" t="n">
        <f aca="false">-SUMIFS(Devex_Keur,Devex_Date,"&gt;="&amp;CE$3,Devex_Date,"&lt;="&amp;CE$4,Devex_Land,1)</f>
        <v>-0</v>
      </c>
      <c r="CF55" s="47" t="n">
        <f aca="false">-SUMIFS(Devex_Keur,Devex_Date,"&gt;="&amp;CF$3,Devex_Date,"&lt;="&amp;CF$4,Devex_Land,1)</f>
        <v>-0</v>
      </c>
      <c r="CG55" s="47" t="n">
        <f aca="false">-SUMIFS(Devex_Keur,Devex_Date,"&gt;="&amp;CG$3,Devex_Date,"&lt;="&amp;CG$4,Devex_Land,1)</f>
        <v>-0</v>
      </c>
      <c r="CH55" s="47" t="n">
        <f aca="false">-SUMIFS(Devex_Keur,Devex_Date,"&gt;="&amp;CH$3,Devex_Date,"&lt;="&amp;CH$4,Devex_Land,1)</f>
        <v>-0</v>
      </c>
      <c r="CI55" s="47" t="n">
        <f aca="false">-SUMIFS(Devex_Keur,Devex_Date,"&gt;="&amp;CI$3,Devex_Date,"&lt;="&amp;CI$4,Devex_Land,1)</f>
        <v>-0</v>
      </c>
      <c r="CJ55" s="47" t="n">
        <f aca="false">-SUMIFS(Devex_Keur,Devex_Date,"&gt;="&amp;CJ$3,Devex_Date,"&lt;="&amp;CJ$4,Devex_Land,1)</f>
        <v>-0</v>
      </c>
      <c r="CK55" s="47" t="n">
        <f aca="false">-SUMIFS(Devex_Keur,Devex_Date,"&gt;="&amp;CK$3,Devex_Date,"&lt;="&amp;CK$4,Devex_Land,1)</f>
        <v>-0</v>
      </c>
      <c r="CL55" s="47" t="n">
        <f aca="false">-SUMIFS(Devex_Keur,Devex_Date,"&gt;="&amp;CL$3,Devex_Date,"&lt;="&amp;CL$4,Devex_Land,1)</f>
        <v>-0</v>
      </c>
      <c r="CM55" s="47" t="n">
        <f aca="false">-SUMIFS(Devex_Keur,Devex_Date,"&gt;="&amp;CM$3,Devex_Date,"&lt;="&amp;CM$4,Devex_Land,1)</f>
        <v>-0</v>
      </c>
      <c r="CN55" s="47" t="n">
        <f aca="false">-SUMIFS(Devex_Keur,Devex_Date,"&gt;="&amp;CN$3,Devex_Date,"&lt;="&amp;CN$4,Devex_Land,1)</f>
        <v>-0</v>
      </c>
      <c r="CO55" s="47" t="n">
        <f aca="false">-SUMIFS(Devex_Keur,Devex_Date,"&gt;="&amp;CO$3,Devex_Date,"&lt;="&amp;CO$4,Devex_Land,1)</f>
        <v>-0</v>
      </c>
      <c r="CP55" s="47" t="n">
        <f aca="false">-SUMIFS(Devex_Keur,Devex_Date,"&gt;="&amp;CP$3,Devex_Date,"&lt;="&amp;CP$4,Devex_Land,1)</f>
        <v>-0</v>
      </c>
      <c r="CQ55" s="47" t="n">
        <f aca="false">-SUMIFS(Devex_Keur,Devex_Date,"&gt;="&amp;CQ$3,Devex_Date,"&lt;="&amp;CQ$4,Devex_Land,1)</f>
        <v>-0</v>
      </c>
      <c r="CR55" s="47" t="n">
        <f aca="false">-SUMIFS(Devex_Keur,Devex_Date,"&gt;="&amp;CR$3,Devex_Date,"&lt;="&amp;CR$4,Devex_Land,1)</f>
        <v>-0</v>
      </c>
      <c r="CS55" s="47" t="n">
        <f aca="false">-SUMIFS(Devex_Keur,Devex_Date,"&gt;="&amp;CS$3,Devex_Date,"&lt;="&amp;CS$4,Devex_Land,1)</f>
        <v>-0</v>
      </c>
      <c r="CT55" s="47" t="n">
        <f aca="false">-SUMIFS(Devex_Keur,Devex_Date,"&gt;="&amp;CT$3,Devex_Date,"&lt;="&amp;CT$4,Devex_Land,1)</f>
        <v>-0</v>
      </c>
      <c r="CU55" s="47" t="n">
        <f aca="false">-SUMIFS(Devex_Keur,Devex_Date,"&gt;="&amp;CU$3,Devex_Date,"&lt;="&amp;CU$4,Devex_Land,1)</f>
        <v>-0</v>
      </c>
      <c r="CV55" s="47" t="n">
        <f aca="false">-SUMIFS(Devex_Keur,Devex_Date,"&gt;="&amp;CV$3,Devex_Date,"&lt;="&amp;CV$4,Devex_Land,1)</f>
        <v>-0</v>
      </c>
      <c r="CW55" s="47" t="n">
        <f aca="false">-SUMIFS(Devex_Keur,Devex_Date,"&gt;="&amp;CW$3,Devex_Date,"&lt;="&amp;CW$4,Devex_Land,1)</f>
        <v>-0</v>
      </c>
      <c r="CX55" s="47" t="n">
        <f aca="false">-SUMIFS(Devex_Keur,Devex_Date,"&gt;="&amp;CX$3,Devex_Date,"&lt;="&amp;CX$4,Devex_Land,1)</f>
        <v>-0</v>
      </c>
      <c r="CY55" s="47" t="n">
        <f aca="false">-SUMIFS(Devex_Keur,Devex_Date,"&gt;="&amp;CY$3,Devex_Date,"&lt;="&amp;CY$4,Devex_Land,1)</f>
        <v>-0</v>
      </c>
      <c r="CZ55" s="47" t="n">
        <f aca="false">-SUMIFS(Devex_Keur,Devex_Date,"&gt;="&amp;CZ$3,Devex_Date,"&lt;="&amp;CZ$4,Devex_Land,1)</f>
        <v>-0</v>
      </c>
      <c r="DA55" s="47" t="n">
        <f aca="false">-SUMIFS(Devex_Keur,Devex_Date,"&gt;="&amp;DA$3,Devex_Date,"&lt;="&amp;DA$4,Devex_Land,1)</f>
        <v>-0</v>
      </c>
      <c r="DB55" s="47" t="n">
        <f aca="false">-SUMIFS(Devex_Keur,Devex_Date,"&gt;="&amp;DB$3,Devex_Date,"&lt;="&amp;DB$4,Devex_Land,1)</f>
        <v>-0</v>
      </c>
      <c r="DC55" s="47" t="n">
        <f aca="false">-SUMIFS(Devex_Keur,Devex_Date,"&gt;="&amp;DC$3,Devex_Date,"&lt;="&amp;DC$4,Devex_Land,1)</f>
        <v>-0</v>
      </c>
      <c r="DD55" s="47" t="n">
        <f aca="false">-SUMIFS(Devex_Keur,Devex_Date,"&gt;="&amp;DD$3,Devex_Date,"&lt;="&amp;DD$4,Devex_Land,1)</f>
        <v>-0</v>
      </c>
      <c r="DE55" s="47" t="n">
        <f aca="false">-SUMIFS(Devex_Keur,Devex_Date,"&gt;="&amp;DE$3,Devex_Date,"&lt;="&amp;DE$4,Devex_Land,1)</f>
        <v>-0</v>
      </c>
      <c r="DF55" s="47" t="n">
        <f aca="false">-SUMIFS(Devex_Keur,Devex_Date,"&gt;="&amp;DF$3,Devex_Date,"&lt;="&amp;DF$4,Devex_Land,1)</f>
        <v>-0</v>
      </c>
      <c r="DG55" s="47" t="n">
        <f aca="false">-SUMIFS(Devex_Keur,Devex_Date,"&gt;="&amp;DG$3,Devex_Date,"&lt;="&amp;DG$4,Devex_Land,1)</f>
        <v>-0</v>
      </c>
      <c r="DH55" s="47" t="n">
        <f aca="false">-SUMIFS(Devex_Keur,Devex_Date,"&gt;="&amp;DH$3,Devex_Date,"&lt;="&amp;DH$4,Devex_Land,1)</f>
        <v>-0</v>
      </c>
      <c r="DI55" s="47" t="n">
        <f aca="false">-SUMIFS(Devex_Keur,Devex_Date,"&gt;="&amp;DI$3,Devex_Date,"&lt;="&amp;DI$4,Devex_Land,1)</f>
        <v>-0</v>
      </c>
      <c r="DJ55" s="47" t="n">
        <f aca="false">-SUMIFS(Devex_Keur,Devex_Date,"&gt;="&amp;DJ$3,Devex_Date,"&lt;="&amp;DJ$4,Devex_Land,1)</f>
        <v>-0</v>
      </c>
      <c r="DK55" s="47" t="n">
        <f aca="false">-SUMIFS(Devex_Keur,Devex_Date,"&gt;="&amp;DK$3,Devex_Date,"&lt;="&amp;DK$4,Devex_Land,1)</f>
        <v>-0</v>
      </c>
      <c r="DL55" s="47" t="n">
        <f aca="false">-SUMIFS(Devex_Keur,Devex_Date,"&gt;="&amp;DL$3,Devex_Date,"&lt;="&amp;DL$4,Devex_Land,1)</f>
        <v>-0</v>
      </c>
      <c r="DM55" s="47" t="n">
        <f aca="false">-SUMIFS(Devex_Keur,Devex_Date,"&gt;="&amp;DM$3,Devex_Date,"&lt;="&amp;DM$4,Devex_Land,1)</f>
        <v>-0</v>
      </c>
      <c r="DN55" s="47" t="n">
        <f aca="false">-SUMIFS(Devex_Keur,Devex_Date,"&gt;="&amp;DN$3,Devex_Date,"&lt;="&amp;DN$4,Devex_Land,1)</f>
        <v>-0</v>
      </c>
      <c r="DO55" s="47" t="n">
        <f aca="false">-SUMIFS(Devex_Keur,Devex_Date,"&gt;="&amp;DO$3,Devex_Date,"&lt;="&amp;DO$4,Devex_Land,1)</f>
        <v>-0</v>
      </c>
      <c r="DP55" s="47" t="n">
        <f aca="false">-SUMIFS(Devex_Keur,Devex_Date,"&gt;="&amp;DP$3,Devex_Date,"&lt;="&amp;DP$4,Devex_Land,1)</f>
        <v>-0</v>
      </c>
      <c r="DQ55" s="47" t="n">
        <f aca="false">-SUMIFS(Devex_Keur,Devex_Date,"&gt;="&amp;DQ$3,Devex_Date,"&lt;="&amp;DQ$4,Devex_Land,1)</f>
        <v>-0</v>
      </c>
      <c r="DR55" s="47" t="n">
        <f aca="false">-SUMIFS(Devex_Keur,Devex_Date,"&gt;="&amp;DR$3,Devex_Date,"&lt;="&amp;DR$4,Devex_Land,1)</f>
        <v>-0</v>
      </c>
      <c r="DS55" s="47" t="n">
        <f aca="false">-SUMIFS(Devex_Keur,Devex_Date,"&gt;="&amp;DS$3,Devex_Date,"&lt;="&amp;DS$4,Devex_Land,1)</f>
        <v>-0</v>
      </c>
      <c r="DT55" s="47" t="n">
        <f aca="false">-SUMIFS(Devex_Keur,Devex_Date,"&gt;="&amp;DT$3,Devex_Date,"&lt;="&amp;DT$4,Devex_Land,1)</f>
        <v>-0</v>
      </c>
      <c r="DU55" s="47" t="n">
        <f aca="false">-SUMIFS(Devex_Keur,Devex_Date,"&gt;="&amp;DU$3,Devex_Date,"&lt;="&amp;DU$4,Devex_Land,1)</f>
        <v>-0</v>
      </c>
      <c r="DV55" s="47" t="n">
        <f aca="false">-SUMIFS(Devex_Keur,Devex_Date,"&gt;="&amp;DV$3,Devex_Date,"&lt;="&amp;DV$4,Devex_Land,1)</f>
        <v>-0</v>
      </c>
      <c r="DW55" s="47" t="n">
        <f aca="false">-SUMIFS(Devex_Keur,Devex_Date,"&gt;="&amp;DW$3,Devex_Date,"&lt;="&amp;DW$4,Devex_Land,1)</f>
        <v>-0</v>
      </c>
      <c r="DX55" s="47" t="n">
        <f aca="false">-SUMIFS(Devex_Keur,Devex_Date,"&gt;="&amp;DX$3,Devex_Date,"&lt;="&amp;DX$4,Devex_Land,1)</f>
        <v>-0</v>
      </c>
      <c r="DY55" s="47" t="n">
        <f aca="false">-SUMIFS(Devex_Keur,Devex_Date,"&gt;="&amp;DY$3,Devex_Date,"&lt;="&amp;DY$4,Devex_Land,1)</f>
        <v>-0</v>
      </c>
      <c r="DZ55" s="47" t="n">
        <f aca="false">-SUMIFS(Devex_Keur,Devex_Date,"&gt;="&amp;DZ$3,Devex_Date,"&lt;="&amp;DZ$4,Devex_Land,1)</f>
        <v>-0</v>
      </c>
      <c r="EA55" s="47" t="n">
        <f aca="false">-SUMIFS(Devex_Keur,Devex_Date,"&gt;="&amp;EA$3,Devex_Date,"&lt;="&amp;EA$4,Devex_Land,1)</f>
        <v>-0</v>
      </c>
      <c r="EB55" s="47" t="n">
        <f aca="false">-SUMIFS(Devex_Keur,Devex_Date,"&gt;="&amp;EB$3,Devex_Date,"&lt;="&amp;EB$4,Devex_Land,1)</f>
        <v>-0</v>
      </c>
      <c r="EC55" s="47" t="n">
        <f aca="false">-SUMIFS(Devex_Keur,Devex_Date,"&gt;="&amp;EC$3,Devex_Date,"&lt;="&amp;EC$4,Devex_Land,1)</f>
        <v>-0</v>
      </c>
      <c r="ED55" s="47" t="n">
        <f aca="false">-SUMIFS(Devex_Keur,Devex_Date,"&gt;="&amp;ED$3,Devex_Date,"&lt;="&amp;ED$4,Devex_Land,1)</f>
        <v>-0</v>
      </c>
      <c r="EE55" s="47" t="n">
        <f aca="false">-SUMIFS(Devex_Keur,Devex_Date,"&gt;="&amp;EE$3,Devex_Date,"&lt;="&amp;EE$4,Devex_Land,1)</f>
        <v>-0</v>
      </c>
      <c r="EF55" s="47" t="n">
        <f aca="false">-SUMIFS(Devex_Keur,Devex_Date,"&gt;="&amp;EF$3,Devex_Date,"&lt;="&amp;EF$4,Devex_Land,1)</f>
        <v>-0</v>
      </c>
      <c r="EG55" s="47" t="n">
        <f aca="false">-SUMIFS(Devex_Keur,Devex_Date,"&gt;="&amp;EG$3,Devex_Date,"&lt;="&amp;EG$4,Devex_Land,1)</f>
        <v>-0</v>
      </c>
      <c r="EH55" s="47" t="n">
        <f aca="false">-SUMIFS(Devex_Keur,Devex_Date,"&gt;="&amp;EH$3,Devex_Date,"&lt;="&amp;EH$4,Devex_Land,1)</f>
        <v>-0</v>
      </c>
      <c r="EI55" s="47" t="n">
        <f aca="false">-SUMIFS(Devex_Keur,Devex_Date,"&gt;="&amp;EI$3,Devex_Date,"&lt;="&amp;EI$4,Devex_Land,1)</f>
        <v>-0</v>
      </c>
      <c r="EJ55" s="47" t="n">
        <f aca="false">-SUMIFS(Devex_Keur,Devex_Date,"&gt;="&amp;EJ$3,Devex_Date,"&lt;="&amp;EJ$4,Devex_Land,1)</f>
        <v>-0</v>
      </c>
      <c r="EK55" s="47" t="n">
        <f aca="false">-SUMIFS(Devex_Keur,Devex_Date,"&gt;="&amp;EK$3,Devex_Date,"&lt;="&amp;EK$4,Devex_Land,1)</f>
        <v>-0</v>
      </c>
      <c r="EL55" s="47" t="n">
        <f aca="false">-SUMIFS(Devex_Keur,Devex_Date,"&gt;="&amp;EL$3,Devex_Date,"&lt;="&amp;EL$4,Devex_Land,1)</f>
        <v>-0</v>
      </c>
      <c r="EM55" s="47" t="n">
        <f aca="false">-SUMIFS(Devex_Keur,Devex_Date,"&gt;="&amp;EM$3,Devex_Date,"&lt;="&amp;EM$4,Devex_Land,1)</f>
        <v>-0</v>
      </c>
      <c r="EN55" s="47" t="n">
        <f aca="false">-SUMIFS(Devex_Keur,Devex_Date,"&gt;="&amp;EN$3,Devex_Date,"&lt;="&amp;EN$4,Devex_Land,1)</f>
        <v>-0</v>
      </c>
      <c r="EO55" s="47" t="n">
        <f aca="false">-SUMIFS(Devex_Keur,Devex_Date,"&gt;="&amp;EO$3,Devex_Date,"&lt;="&amp;EO$4,Devex_Land,1)</f>
        <v>-0</v>
      </c>
      <c r="EP55" s="47" t="n">
        <f aca="false">-SUMIFS(Devex_Keur,Devex_Date,"&gt;="&amp;EP$3,Devex_Date,"&lt;="&amp;EP$4,Devex_Land,1)</f>
        <v>-0</v>
      </c>
      <c r="EQ55" s="47" t="n">
        <f aca="false">-SUMIFS(Devex_Keur,Devex_Date,"&gt;="&amp;EQ$3,Devex_Date,"&lt;="&amp;EQ$4,Devex_Land,1)</f>
        <v>-0</v>
      </c>
      <c r="ER55" s="47" t="n">
        <f aca="false">-SUMIFS(Devex_Keur,Devex_Date,"&gt;="&amp;ER$3,Devex_Date,"&lt;="&amp;ER$4,Devex_Land,1)</f>
        <v>-0</v>
      </c>
      <c r="ES55" s="47" t="n">
        <f aca="false">-SUMIFS(Devex_Keur,Devex_Date,"&gt;="&amp;ES$3,Devex_Date,"&lt;="&amp;ES$4,Devex_Land,1)</f>
        <v>-0</v>
      </c>
      <c r="ET55" s="47" t="n">
        <f aca="false">-SUMIFS(Devex_Keur,Devex_Date,"&gt;="&amp;ET$3,Devex_Date,"&lt;="&amp;ET$4,Devex_Land,1)</f>
        <v>-0</v>
      </c>
    </row>
    <row r="56" customFormat="false" ht="15" hidden="false" customHeight="false" outlineLevel="0" collapsed="false">
      <c r="C56" s="1" t="s">
        <v>485</v>
      </c>
      <c r="D56" s="12" t="s">
        <v>222</v>
      </c>
      <c r="E56" s="47" t="n">
        <f aca="false">In_Devex_Contingency*(SUM(Devex_Keur)+$E47)</f>
        <v>284.349426368465</v>
      </c>
      <c r="F56" s="28" t="n">
        <f aca="false">In_Contingency_Date</f>
        <v>47118</v>
      </c>
      <c r="I56" s="47" t="n">
        <f aca="false">SUM(J56:ET56)</f>
        <v>-284.349426368465</v>
      </c>
      <c r="J56" s="47" t="n">
        <f aca="false">-$E56*N(AND(J$3&lt;=$F56,J$4&gt;=$F56))</f>
        <v>-0</v>
      </c>
      <c r="K56" s="47" t="n">
        <f aca="false">-$E56*N(AND(K$3&lt;=$F56,K$4&gt;=$F56))</f>
        <v>-0</v>
      </c>
      <c r="L56" s="47" t="n">
        <f aca="false">-$E56*N(AND(L$3&lt;=$F56,L$4&gt;=$F56))</f>
        <v>-0</v>
      </c>
      <c r="M56" s="47" t="n">
        <f aca="false">-$E56*N(AND(M$3&lt;=$F56,M$4&gt;=$F56))</f>
        <v>-0</v>
      </c>
      <c r="N56" s="47" t="n">
        <f aca="false">-$E56*N(AND(N$3&lt;=$F56,N$4&gt;=$F56))</f>
        <v>-0</v>
      </c>
      <c r="O56" s="47" t="n">
        <f aca="false">-$E56*N(AND(O$3&lt;=$F56,O$4&gt;=$F56))</f>
        <v>-0</v>
      </c>
      <c r="P56" s="47" t="n">
        <f aca="false">-$E56*N(AND(P$3&lt;=$F56,P$4&gt;=$F56))</f>
        <v>-0</v>
      </c>
      <c r="Q56" s="47" t="n">
        <f aca="false">-$E56*N(AND(Q$3&lt;=$F56,Q$4&gt;=$F56))</f>
        <v>-0</v>
      </c>
      <c r="R56" s="47" t="n">
        <f aca="false">-$E56*N(AND(R$3&lt;=$F56,R$4&gt;=$F56))</f>
        <v>-0</v>
      </c>
      <c r="S56" s="47" t="n">
        <f aca="false">-$E56*N(AND(S$3&lt;=$F56,S$4&gt;=$F56))</f>
        <v>-284.349426368465</v>
      </c>
      <c r="T56" s="47" t="n">
        <f aca="false">-$E56*N(AND(T$3&lt;=$F56,T$4&gt;=$F56))</f>
        <v>-0</v>
      </c>
      <c r="U56" s="47" t="n">
        <f aca="false">-$E56*N(AND(U$3&lt;=$F56,U$4&gt;=$F56))</f>
        <v>-0</v>
      </c>
      <c r="V56" s="47" t="n">
        <f aca="false">-$E56*N(AND(V$3&lt;=$F56,V$4&gt;=$F56))</f>
        <v>-0</v>
      </c>
      <c r="W56" s="47" t="n">
        <f aca="false">-$E56*N(AND(W$3&lt;=$F56,W$4&gt;=$F56))</f>
        <v>-0</v>
      </c>
      <c r="X56" s="47" t="n">
        <f aca="false">-$E56*N(AND(X$3&lt;=$F56,X$4&gt;=$F56))</f>
        <v>-0</v>
      </c>
      <c r="Y56" s="47" t="n">
        <f aca="false">-$E56*N(AND(Y$3&lt;=$F56,Y$4&gt;=$F56))</f>
        <v>-0</v>
      </c>
      <c r="Z56" s="47" t="n">
        <f aca="false">-$E56*N(AND(Z$3&lt;=$F56,Z$4&gt;=$F56))</f>
        <v>-0</v>
      </c>
      <c r="AA56" s="47" t="n">
        <f aca="false">-$E56*N(AND(AA$3&lt;=$F56,AA$4&gt;=$F56))</f>
        <v>-0</v>
      </c>
      <c r="AB56" s="47" t="n">
        <f aca="false">-$E56*N(AND(AB$3&lt;=$F56,AB$4&gt;=$F56))</f>
        <v>-0</v>
      </c>
      <c r="AC56" s="47" t="n">
        <f aca="false">-$E56*N(AND(AC$3&lt;=$F56,AC$4&gt;=$F56))</f>
        <v>-0</v>
      </c>
      <c r="AD56" s="47" t="n">
        <f aca="false">-$E56*N(AND(AD$3&lt;=$F56,AD$4&gt;=$F56))</f>
        <v>-0</v>
      </c>
      <c r="AE56" s="47" t="n">
        <f aca="false">-$E56*N(AND(AE$3&lt;=$F56,AE$4&gt;=$F56))</f>
        <v>-0</v>
      </c>
      <c r="AF56" s="47" t="n">
        <f aca="false">-$E56*N(AND(AF$3&lt;=$F56,AF$4&gt;=$F56))</f>
        <v>-0</v>
      </c>
      <c r="AG56" s="47" t="n">
        <f aca="false">-$E56*N(AND(AG$3&lt;=$F56,AG$4&gt;=$F56))</f>
        <v>-0</v>
      </c>
      <c r="AH56" s="47" t="n">
        <f aca="false">-$E56*N(AND(AH$3&lt;=$F56,AH$4&gt;=$F56))</f>
        <v>-0</v>
      </c>
      <c r="AI56" s="47" t="n">
        <f aca="false">-$E56*N(AND(AI$3&lt;=$F56,AI$4&gt;=$F56))</f>
        <v>-0</v>
      </c>
      <c r="AJ56" s="47" t="n">
        <f aca="false">-$E56*N(AND(AJ$3&lt;=$F56,AJ$4&gt;=$F56))</f>
        <v>-0</v>
      </c>
      <c r="AK56" s="47" t="n">
        <f aca="false">-$E56*N(AND(AK$3&lt;=$F56,AK$4&gt;=$F56))</f>
        <v>-0</v>
      </c>
      <c r="AL56" s="47" t="n">
        <f aca="false">-$E56*N(AND(AL$3&lt;=$F56,AL$4&gt;=$F56))</f>
        <v>-0</v>
      </c>
      <c r="AM56" s="47" t="n">
        <f aca="false">-$E56*N(AND(AM$3&lt;=$F56,AM$4&gt;=$F56))</f>
        <v>-0</v>
      </c>
      <c r="AN56" s="47" t="n">
        <f aca="false">-$E56*N(AND(AN$3&lt;=$F56,AN$4&gt;=$F56))</f>
        <v>-0</v>
      </c>
      <c r="AO56" s="47" t="n">
        <f aca="false">-$E56*N(AND(AO$3&lt;=$F56,AO$4&gt;=$F56))</f>
        <v>-0</v>
      </c>
      <c r="AP56" s="47" t="n">
        <f aca="false">-$E56*N(AND(AP$3&lt;=$F56,AP$4&gt;=$F56))</f>
        <v>-0</v>
      </c>
      <c r="AQ56" s="47" t="n">
        <f aca="false">-$E56*N(AND(AQ$3&lt;=$F56,AQ$4&gt;=$F56))</f>
        <v>-0</v>
      </c>
      <c r="AR56" s="47" t="n">
        <f aca="false">-$E56*N(AND(AR$3&lt;=$F56,AR$4&gt;=$F56))</f>
        <v>-0</v>
      </c>
      <c r="AS56" s="47" t="n">
        <f aca="false">-$E56*N(AND(AS$3&lt;=$F56,AS$4&gt;=$F56))</f>
        <v>-0</v>
      </c>
      <c r="AT56" s="47" t="n">
        <f aca="false">-$E56*N(AND(AT$3&lt;=$F56,AT$4&gt;=$F56))</f>
        <v>-0</v>
      </c>
      <c r="AU56" s="47" t="n">
        <f aca="false">-$E56*N(AND(AU$3&lt;=$F56,AU$4&gt;=$F56))</f>
        <v>-0</v>
      </c>
      <c r="AV56" s="47" t="n">
        <f aca="false">-$E56*N(AND(AV$3&lt;=$F56,AV$4&gt;=$F56))</f>
        <v>-0</v>
      </c>
      <c r="AW56" s="47" t="n">
        <f aca="false">-$E56*N(AND(AW$3&lt;=$F56,AW$4&gt;=$F56))</f>
        <v>-0</v>
      </c>
      <c r="AX56" s="47" t="n">
        <f aca="false">-$E56*N(AND(AX$3&lt;=$F56,AX$4&gt;=$F56))</f>
        <v>-0</v>
      </c>
      <c r="AY56" s="47" t="n">
        <f aca="false">-$E56*N(AND(AY$3&lt;=$F56,AY$4&gt;=$F56))</f>
        <v>-0</v>
      </c>
      <c r="AZ56" s="47" t="n">
        <f aca="false">-$E56*N(AND(AZ$3&lt;=$F56,AZ$4&gt;=$F56))</f>
        <v>-0</v>
      </c>
      <c r="BA56" s="47" t="n">
        <f aca="false">-$E56*N(AND(BA$3&lt;=$F56,BA$4&gt;=$F56))</f>
        <v>-0</v>
      </c>
      <c r="BB56" s="47" t="n">
        <f aca="false">-$E56*N(AND(BB$3&lt;=$F56,BB$4&gt;=$F56))</f>
        <v>-0</v>
      </c>
      <c r="BC56" s="47" t="n">
        <f aca="false">-$E56*N(AND(BC$3&lt;=$F56,BC$4&gt;=$F56))</f>
        <v>-0</v>
      </c>
      <c r="BD56" s="47" t="n">
        <f aca="false">-$E56*N(AND(BD$3&lt;=$F56,BD$4&gt;=$F56))</f>
        <v>-0</v>
      </c>
      <c r="BE56" s="47" t="n">
        <f aca="false">-$E56*N(AND(BE$3&lt;=$F56,BE$4&gt;=$F56))</f>
        <v>-0</v>
      </c>
      <c r="BF56" s="47" t="n">
        <f aca="false">-$E56*N(AND(BF$3&lt;=$F56,BF$4&gt;=$F56))</f>
        <v>-0</v>
      </c>
      <c r="BG56" s="47" t="n">
        <f aca="false">-$E56*N(AND(BG$3&lt;=$F56,BG$4&gt;=$F56))</f>
        <v>-0</v>
      </c>
      <c r="BH56" s="47" t="n">
        <f aca="false">-$E56*N(AND(BH$3&lt;=$F56,BH$4&gt;=$F56))</f>
        <v>-0</v>
      </c>
      <c r="BI56" s="47" t="n">
        <f aca="false">-$E56*N(AND(BI$3&lt;=$F56,BI$4&gt;=$F56))</f>
        <v>-0</v>
      </c>
      <c r="BJ56" s="47" t="n">
        <f aca="false">-$E56*N(AND(BJ$3&lt;=$F56,BJ$4&gt;=$F56))</f>
        <v>-0</v>
      </c>
      <c r="BK56" s="47" t="n">
        <f aca="false">-$E56*N(AND(BK$3&lt;=$F56,BK$4&gt;=$F56))</f>
        <v>-0</v>
      </c>
      <c r="BL56" s="47" t="n">
        <f aca="false">-$E56*N(AND(BL$3&lt;=$F56,BL$4&gt;=$F56))</f>
        <v>-0</v>
      </c>
      <c r="BM56" s="47" t="n">
        <f aca="false">-$E56*N(AND(BM$3&lt;=$F56,BM$4&gt;=$F56))</f>
        <v>-0</v>
      </c>
      <c r="BN56" s="47" t="n">
        <f aca="false">-$E56*N(AND(BN$3&lt;=$F56,BN$4&gt;=$F56))</f>
        <v>-0</v>
      </c>
      <c r="BO56" s="47" t="n">
        <f aca="false">-$E56*N(AND(BO$3&lt;=$F56,BO$4&gt;=$F56))</f>
        <v>-0</v>
      </c>
      <c r="BP56" s="47" t="n">
        <f aca="false">-$E56*N(AND(BP$3&lt;=$F56,BP$4&gt;=$F56))</f>
        <v>-0</v>
      </c>
      <c r="BQ56" s="47" t="n">
        <f aca="false">-$E56*N(AND(BQ$3&lt;=$F56,BQ$4&gt;=$F56))</f>
        <v>-0</v>
      </c>
      <c r="BR56" s="47" t="n">
        <f aca="false">-$E56*N(AND(BR$3&lt;=$F56,BR$4&gt;=$F56))</f>
        <v>-0</v>
      </c>
      <c r="BS56" s="47" t="n">
        <f aca="false">-$E56*N(AND(BS$3&lt;=$F56,BS$4&gt;=$F56))</f>
        <v>-0</v>
      </c>
      <c r="BT56" s="47" t="n">
        <f aca="false">-$E56*N(AND(BT$3&lt;=$F56,BT$4&gt;=$F56))</f>
        <v>-0</v>
      </c>
      <c r="BU56" s="47" t="n">
        <f aca="false">-$E56*N(AND(BU$3&lt;=$F56,BU$4&gt;=$F56))</f>
        <v>-0</v>
      </c>
      <c r="BV56" s="47" t="n">
        <f aca="false">-$E56*N(AND(BV$3&lt;=$F56,BV$4&gt;=$F56))</f>
        <v>-0</v>
      </c>
      <c r="BW56" s="47" t="n">
        <f aca="false">-$E56*N(AND(BW$3&lt;=$F56,BW$4&gt;=$F56))</f>
        <v>-0</v>
      </c>
      <c r="BX56" s="47" t="n">
        <f aca="false">-$E56*N(AND(BX$3&lt;=$F56,BX$4&gt;=$F56))</f>
        <v>-0</v>
      </c>
      <c r="BY56" s="47" t="n">
        <f aca="false">-$E56*N(AND(BY$3&lt;=$F56,BY$4&gt;=$F56))</f>
        <v>-0</v>
      </c>
      <c r="BZ56" s="47" t="n">
        <f aca="false">-$E56*N(AND(BZ$3&lt;=$F56,BZ$4&gt;=$F56))</f>
        <v>-0</v>
      </c>
      <c r="CA56" s="47" t="n">
        <f aca="false">-$E56*N(AND(CA$3&lt;=$F56,CA$4&gt;=$F56))</f>
        <v>-0</v>
      </c>
      <c r="CB56" s="47" t="n">
        <f aca="false">-$E56*N(AND(CB$3&lt;=$F56,CB$4&gt;=$F56))</f>
        <v>-0</v>
      </c>
      <c r="CC56" s="47" t="n">
        <f aca="false">-$E56*N(AND(CC$3&lt;=$F56,CC$4&gt;=$F56))</f>
        <v>-0</v>
      </c>
      <c r="CD56" s="47" t="n">
        <f aca="false">-$E56*N(AND(CD$3&lt;=$F56,CD$4&gt;=$F56))</f>
        <v>-0</v>
      </c>
      <c r="CE56" s="47" t="n">
        <f aca="false">-$E56*N(AND(CE$3&lt;=$F56,CE$4&gt;=$F56))</f>
        <v>-0</v>
      </c>
      <c r="CF56" s="47" t="n">
        <f aca="false">-$E56*N(AND(CF$3&lt;=$F56,CF$4&gt;=$F56))</f>
        <v>-0</v>
      </c>
      <c r="CG56" s="47" t="n">
        <f aca="false">-$E56*N(AND(CG$3&lt;=$F56,CG$4&gt;=$F56))</f>
        <v>-0</v>
      </c>
      <c r="CH56" s="47" t="n">
        <f aca="false">-$E56*N(AND(CH$3&lt;=$F56,CH$4&gt;=$F56))</f>
        <v>-0</v>
      </c>
      <c r="CI56" s="47" t="n">
        <f aca="false">-$E56*N(AND(CI$3&lt;=$F56,CI$4&gt;=$F56))</f>
        <v>-0</v>
      </c>
      <c r="CJ56" s="47" t="n">
        <f aca="false">-$E56*N(AND(CJ$3&lt;=$F56,CJ$4&gt;=$F56))</f>
        <v>-0</v>
      </c>
      <c r="CK56" s="47" t="n">
        <f aca="false">-$E56*N(AND(CK$3&lt;=$F56,CK$4&gt;=$F56))</f>
        <v>-0</v>
      </c>
      <c r="CL56" s="47" t="n">
        <f aca="false">-$E56*N(AND(CL$3&lt;=$F56,CL$4&gt;=$F56))</f>
        <v>-0</v>
      </c>
      <c r="CM56" s="47" t="n">
        <f aca="false">-$E56*N(AND(CM$3&lt;=$F56,CM$4&gt;=$F56))</f>
        <v>-0</v>
      </c>
      <c r="CN56" s="47" t="n">
        <f aca="false">-$E56*N(AND(CN$3&lt;=$F56,CN$4&gt;=$F56))</f>
        <v>-0</v>
      </c>
      <c r="CO56" s="47" t="n">
        <f aca="false">-$E56*N(AND(CO$3&lt;=$F56,CO$4&gt;=$F56))</f>
        <v>-0</v>
      </c>
      <c r="CP56" s="47" t="n">
        <f aca="false">-$E56*N(AND(CP$3&lt;=$F56,CP$4&gt;=$F56))</f>
        <v>-0</v>
      </c>
      <c r="CQ56" s="47" t="n">
        <f aca="false">-$E56*N(AND(CQ$3&lt;=$F56,CQ$4&gt;=$F56))</f>
        <v>-0</v>
      </c>
      <c r="CR56" s="47" t="n">
        <f aca="false">-$E56*N(AND(CR$3&lt;=$F56,CR$4&gt;=$F56))</f>
        <v>-0</v>
      </c>
      <c r="CS56" s="47" t="n">
        <f aca="false">-$E56*N(AND(CS$3&lt;=$F56,CS$4&gt;=$F56))</f>
        <v>-0</v>
      </c>
      <c r="CT56" s="47" t="n">
        <f aca="false">-$E56*N(AND(CT$3&lt;=$F56,CT$4&gt;=$F56))</f>
        <v>-0</v>
      </c>
      <c r="CU56" s="47" t="n">
        <f aca="false">-$E56*N(AND(CU$3&lt;=$F56,CU$4&gt;=$F56))</f>
        <v>-0</v>
      </c>
      <c r="CV56" s="47" t="n">
        <f aca="false">-$E56*N(AND(CV$3&lt;=$F56,CV$4&gt;=$F56))</f>
        <v>-0</v>
      </c>
      <c r="CW56" s="47" t="n">
        <f aca="false">-$E56*N(AND(CW$3&lt;=$F56,CW$4&gt;=$F56))</f>
        <v>-0</v>
      </c>
      <c r="CX56" s="47" t="n">
        <f aca="false">-$E56*N(AND(CX$3&lt;=$F56,CX$4&gt;=$F56))</f>
        <v>-0</v>
      </c>
      <c r="CY56" s="47" t="n">
        <f aca="false">-$E56*N(AND(CY$3&lt;=$F56,CY$4&gt;=$F56))</f>
        <v>-0</v>
      </c>
      <c r="CZ56" s="47" t="n">
        <f aca="false">-$E56*N(AND(CZ$3&lt;=$F56,CZ$4&gt;=$F56))</f>
        <v>-0</v>
      </c>
      <c r="DA56" s="47" t="n">
        <f aca="false">-$E56*N(AND(DA$3&lt;=$F56,DA$4&gt;=$F56))</f>
        <v>-0</v>
      </c>
      <c r="DB56" s="47" t="n">
        <f aca="false">-$E56*N(AND(DB$3&lt;=$F56,DB$4&gt;=$F56))</f>
        <v>-0</v>
      </c>
      <c r="DC56" s="47" t="n">
        <f aca="false">-$E56*N(AND(DC$3&lt;=$F56,DC$4&gt;=$F56))</f>
        <v>-0</v>
      </c>
      <c r="DD56" s="47" t="n">
        <f aca="false">-$E56*N(AND(DD$3&lt;=$F56,DD$4&gt;=$F56))</f>
        <v>-0</v>
      </c>
      <c r="DE56" s="47" t="n">
        <f aca="false">-$E56*N(AND(DE$3&lt;=$F56,DE$4&gt;=$F56))</f>
        <v>-0</v>
      </c>
      <c r="DF56" s="47" t="n">
        <f aca="false">-$E56*N(AND(DF$3&lt;=$F56,DF$4&gt;=$F56))</f>
        <v>-0</v>
      </c>
      <c r="DG56" s="47" t="n">
        <f aca="false">-$E56*N(AND(DG$3&lt;=$F56,DG$4&gt;=$F56))</f>
        <v>-0</v>
      </c>
      <c r="DH56" s="47" t="n">
        <f aca="false">-$E56*N(AND(DH$3&lt;=$F56,DH$4&gt;=$F56))</f>
        <v>-0</v>
      </c>
      <c r="DI56" s="47" t="n">
        <f aca="false">-$E56*N(AND(DI$3&lt;=$F56,DI$4&gt;=$F56))</f>
        <v>-0</v>
      </c>
      <c r="DJ56" s="47" t="n">
        <f aca="false">-$E56*N(AND(DJ$3&lt;=$F56,DJ$4&gt;=$F56))</f>
        <v>-0</v>
      </c>
      <c r="DK56" s="47" t="n">
        <f aca="false">-$E56*N(AND(DK$3&lt;=$F56,DK$4&gt;=$F56))</f>
        <v>-0</v>
      </c>
      <c r="DL56" s="47" t="n">
        <f aca="false">-$E56*N(AND(DL$3&lt;=$F56,DL$4&gt;=$F56))</f>
        <v>-0</v>
      </c>
      <c r="DM56" s="47" t="n">
        <f aca="false">-$E56*N(AND(DM$3&lt;=$F56,DM$4&gt;=$F56))</f>
        <v>-0</v>
      </c>
      <c r="DN56" s="47" t="n">
        <f aca="false">-$E56*N(AND(DN$3&lt;=$F56,DN$4&gt;=$F56))</f>
        <v>-0</v>
      </c>
      <c r="DO56" s="47" t="n">
        <f aca="false">-$E56*N(AND(DO$3&lt;=$F56,DO$4&gt;=$F56))</f>
        <v>-0</v>
      </c>
      <c r="DP56" s="47" t="n">
        <f aca="false">-$E56*N(AND(DP$3&lt;=$F56,DP$4&gt;=$F56))</f>
        <v>-0</v>
      </c>
      <c r="DQ56" s="47" t="n">
        <f aca="false">-$E56*N(AND(DQ$3&lt;=$F56,DQ$4&gt;=$F56))</f>
        <v>-0</v>
      </c>
      <c r="DR56" s="47" t="n">
        <f aca="false">-$E56*N(AND(DR$3&lt;=$F56,DR$4&gt;=$F56))</f>
        <v>-0</v>
      </c>
      <c r="DS56" s="47" t="n">
        <f aca="false">-$E56*N(AND(DS$3&lt;=$F56,DS$4&gt;=$F56))</f>
        <v>-0</v>
      </c>
      <c r="DT56" s="47" t="n">
        <f aca="false">-$E56*N(AND(DT$3&lt;=$F56,DT$4&gt;=$F56))</f>
        <v>-0</v>
      </c>
      <c r="DU56" s="47" t="n">
        <f aca="false">-$E56*N(AND(DU$3&lt;=$F56,DU$4&gt;=$F56))</f>
        <v>-0</v>
      </c>
      <c r="DV56" s="47" t="n">
        <f aca="false">-$E56*N(AND(DV$3&lt;=$F56,DV$4&gt;=$F56))</f>
        <v>-0</v>
      </c>
      <c r="DW56" s="47" t="n">
        <f aca="false">-$E56*N(AND(DW$3&lt;=$F56,DW$4&gt;=$F56))</f>
        <v>-0</v>
      </c>
      <c r="DX56" s="47" t="n">
        <f aca="false">-$E56*N(AND(DX$3&lt;=$F56,DX$4&gt;=$F56))</f>
        <v>-0</v>
      </c>
      <c r="DY56" s="47" t="n">
        <f aca="false">-$E56*N(AND(DY$3&lt;=$F56,DY$4&gt;=$F56))</f>
        <v>-0</v>
      </c>
      <c r="DZ56" s="47" t="n">
        <f aca="false">-$E56*N(AND(DZ$3&lt;=$F56,DZ$4&gt;=$F56))</f>
        <v>-0</v>
      </c>
      <c r="EA56" s="47" t="n">
        <f aca="false">-$E56*N(AND(EA$3&lt;=$F56,EA$4&gt;=$F56))</f>
        <v>-0</v>
      </c>
      <c r="EB56" s="47" t="n">
        <f aca="false">-$E56*N(AND(EB$3&lt;=$F56,EB$4&gt;=$F56))</f>
        <v>-0</v>
      </c>
      <c r="EC56" s="47" t="n">
        <f aca="false">-$E56*N(AND(EC$3&lt;=$F56,EC$4&gt;=$F56))</f>
        <v>-0</v>
      </c>
      <c r="ED56" s="47" t="n">
        <f aca="false">-$E56*N(AND(ED$3&lt;=$F56,ED$4&gt;=$F56))</f>
        <v>-0</v>
      </c>
      <c r="EE56" s="47" t="n">
        <f aca="false">-$E56*N(AND(EE$3&lt;=$F56,EE$4&gt;=$F56))</f>
        <v>-0</v>
      </c>
      <c r="EF56" s="47" t="n">
        <f aca="false">-$E56*N(AND(EF$3&lt;=$F56,EF$4&gt;=$F56))</f>
        <v>-0</v>
      </c>
      <c r="EG56" s="47" t="n">
        <f aca="false">-$E56*N(AND(EG$3&lt;=$F56,EG$4&gt;=$F56))</f>
        <v>-0</v>
      </c>
      <c r="EH56" s="47" t="n">
        <f aca="false">-$E56*N(AND(EH$3&lt;=$F56,EH$4&gt;=$F56))</f>
        <v>-0</v>
      </c>
      <c r="EI56" s="47" t="n">
        <f aca="false">-$E56*N(AND(EI$3&lt;=$F56,EI$4&gt;=$F56))</f>
        <v>-0</v>
      </c>
      <c r="EJ56" s="47" t="n">
        <f aca="false">-$E56*N(AND(EJ$3&lt;=$F56,EJ$4&gt;=$F56))</f>
        <v>-0</v>
      </c>
      <c r="EK56" s="47" t="n">
        <f aca="false">-$E56*N(AND(EK$3&lt;=$F56,EK$4&gt;=$F56))</f>
        <v>-0</v>
      </c>
      <c r="EL56" s="47" t="n">
        <f aca="false">-$E56*N(AND(EL$3&lt;=$F56,EL$4&gt;=$F56))</f>
        <v>-0</v>
      </c>
      <c r="EM56" s="47" t="n">
        <f aca="false">-$E56*N(AND(EM$3&lt;=$F56,EM$4&gt;=$F56))</f>
        <v>-0</v>
      </c>
      <c r="EN56" s="47" t="n">
        <f aca="false">-$E56*N(AND(EN$3&lt;=$F56,EN$4&gt;=$F56))</f>
        <v>-0</v>
      </c>
      <c r="EO56" s="47" t="n">
        <f aca="false">-$E56*N(AND(EO$3&lt;=$F56,EO$4&gt;=$F56))</f>
        <v>-0</v>
      </c>
      <c r="EP56" s="47" t="n">
        <f aca="false">-$E56*N(AND(EP$3&lt;=$F56,EP$4&gt;=$F56))</f>
        <v>-0</v>
      </c>
      <c r="EQ56" s="47" t="n">
        <f aca="false">-$E56*N(AND(EQ$3&lt;=$F56,EQ$4&gt;=$F56))</f>
        <v>-0</v>
      </c>
      <c r="ER56" s="47" t="n">
        <f aca="false">-$E56*N(AND(ER$3&lt;=$F56,ER$4&gt;=$F56))</f>
        <v>-0</v>
      </c>
      <c r="ES56" s="47" t="n">
        <f aca="false">-$E56*N(AND(ES$3&lt;=$F56,ES$4&gt;=$F56))</f>
        <v>-0</v>
      </c>
      <c r="ET56" s="47" t="n">
        <f aca="false">-$E56*N(AND(ET$3&lt;=$F56,ET$4&gt;=$F56))</f>
        <v>-0</v>
      </c>
    </row>
    <row r="57" customFormat="false" ht="15" hidden="false" customHeight="false" outlineLevel="0" collapsed="false">
      <c r="C57" s="1" t="s">
        <v>486</v>
      </c>
      <c r="D57" s="12" t="s">
        <v>222</v>
      </c>
      <c r="E57" s="47" t="n">
        <f aca="false">-SUMIF($J$4:$ET$4,"&lt;="&amp;$E12,$J57:$ET57)</f>
        <v>3119.62451197093</v>
      </c>
      <c r="F57" s="47" t="n">
        <f aca="false">-SUMIF($J$4:$ET$4,"&lt;="&amp;In_COD,$J57:$ET57)</f>
        <v>3119.62451197093</v>
      </c>
      <c r="I57" s="47" t="n">
        <f aca="false">SUM(J57:ET57)</f>
        <v>-3119.62451197093</v>
      </c>
      <c r="J57" s="47" t="n">
        <f aca="false">J54+J55+J56</f>
        <v>-0</v>
      </c>
      <c r="K57" s="47" t="n">
        <f aca="false">K54+K55+K56</f>
        <v>-178.520547945205</v>
      </c>
      <c r="L57" s="47" t="n">
        <f aca="false">L54+L55+L56</f>
        <v>-588.444520547945</v>
      </c>
      <c r="M57" s="47" t="n">
        <f aca="false">M54+M55+M56</f>
        <v>-43.8356164383562</v>
      </c>
      <c r="N57" s="47" t="n">
        <f aca="false">N54+N55+N56</f>
        <v>-43.8356164383562</v>
      </c>
      <c r="O57" s="47" t="n">
        <f aca="false">O54+O55+O56</f>
        <v>-184.361643835616</v>
      </c>
      <c r="P57" s="47" t="n">
        <f aca="false">P54+P55+P56</f>
        <v>-1290.04179480011</v>
      </c>
      <c r="Q57" s="47" t="n">
        <f aca="false">Q54+Q55+Q56</f>
        <v>-4.60958904109589</v>
      </c>
      <c r="R57" s="47" t="n">
        <f aca="false">R54+R55+R56</f>
        <v>-164.09150998043</v>
      </c>
      <c r="S57" s="47" t="n">
        <f aca="false">S54+S55+S56</f>
        <v>-317.226138697232</v>
      </c>
      <c r="T57" s="47" t="n">
        <f aca="false">T54+T55+T56</f>
        <v>-304.657534246575</v>
      </c>
      <c r="U57" s="47" t="n">
        <f aca="false">U54+U55+U56</f>
        <v>-0</v>
      </c>
      <c r="V57" s="47" t="n">
        <f aca="false">V54+V55+V56</f>
        <v>-0</v>
      </c>
      <c r="W57" s="47" t="n">
        <f aca="false">W54+W55+W56</f>
        <v>-0</v>
      </c>
      <c r="X57" s="47" t="n">
        <f aca="false">X54+X55+X56</f>
        <v>-0</v>
      </c>
      <c r="Y57" s="47" t="n">
        <f aca="false">Y54+Y55+Y56</f>
        <v>-0</v>
      </c>
      <c r="Z57" s="47" t="n">
        <f aca="false">Z54+Z55+Z56</f>
        <v>-0</v>
      </c>
      <c r="AA57" s="47" t="n">
        <f aca="false">AA54+AA55+AA56</f>
        <v>-0</v>
      </c>
      <c r="AB57" s="47" t="n">
        <f aca="false">AB54+AB55+AB56</f>
        <v>-0</v>
      </c>
      <c r="AC57" s="47" t="n">
        <f aca="false">AC54+AC55+AC56</f>
        <v>-0</v>
      </c>
      <c r="AD57" s="47" t="n">
        <f aca="false">AD54+AD55+AD56</f>
        <v>-0</v>
      </c>
      <c r="AE57" s="47" t="n">
        <f aca="false">AE54+AE55+AE56</f>
        <v>-0</v>
      </c>
      <c r="AF57" s="47" t="n">
        <f aca="false">AF54+AF55+AF56</f>
        <v>-0</v>
      </c>
      <c r="AG57" s="47" t="n">
        <f aca="false">AG54+AG55+AG56</f>
        <v>-0</v>
      </c>
      <c r="AH57" s="47" t="n">
        <f aca="false">AH54+AH55+AH56</f>
        <v>-0</v>
      </c>
      <c r="AI57" s="47" t="n">
        <f aca="false">AI54+AI55+AI56</f>
        <v>-0</v>
      </c>
      <c r="AJ57" s="47" t="n">
        <f aca="false">AJ54+AJ55+AJ56</f>
        <v>-0</v>
      </c>
      <c r="AK57" s="47" t="n">
        <f aca="false">AK54+AK55+AK56</f>
        <v>-0</v>
      </c>
      <c r="AL57" s="47" t="n">
        <f aca="false">AL54+AL55+AL56</f>
        <v>-0</v>
      </c>
      <c r="AM57" s="47" t="n">
        <f aca="false">AM54+AM55+AM56</f>
        <v>-0</v>
      </c>
      <c r="AN57" s="47" t="n">
        <f aca="false">AN54+AN55+AN56</f>
        <v>-0</v>
      </c>
      <c r="AO57" s="47" t="n">
        <f aca="false">AO54+AO55+AO56</f>
        <v>-0</v>
      </c>
      <c r="AP57" s="47" t="n">
        <f aca="false">AP54+AP55+AP56</f>
        <v>-0</v>
      </c>
      <c r="AQ57" s="47" t="n">
        <f aca="false">AQ54+AQ55+AQ56</f>
        <v>-0</v>
      </c>
      <c r="AR57" s="47" t="n">
        <f aca="false">AR54+AR55+AR56</f>
        <v>-0</v>
      </c>
      <c r="AS57" s="47" t="n">
        <f aca="false">AS54+AS55+AS56</f>
        <v>-0</v>
      </c>
      <c r="AT57" s="47" t="n">
        <f aca="false">AT54+AT55+AT56</f>
        <v>-0</v>
      </c>
      <c r="AU57" s="47" t="n">
        <f aca="false">AU54+AU55+AU56</f>
        <v>-0</v>
      </c>
      <c r="AV57" s="47" t="n">
        <f aca="false">AV54+AV55+AV56</f>
        <v>-0</v>
      </c>
      <c r="AW57" s="47" t="n">
        <f aca="false">AW54+AW55+AW56</f>
        <v>-0</v>
      </c>
      <c r="AX57" s="47" t="n">
        <f aca="false">AX54+AX55+AX56</f>
        <v>-0</v>
      </c>
      <c r="AY57" s="47" t="n">
        <f aca="false">AY54+AY55+AY56</f>
        <v>-0</v>
      </c>
      <c r="AZ57" s="47" t="n">
        <f aca="false">AZ54+AZ55+AZ56</f>
        <v>-0</v>
      </c>
      <c r="BA57" s="47" t="n">
        <f aca="false">BA54+BA55+BA56</f>
        <v>-0</v>
      </c>
      <c r="BB57" s="47" t="n">
        <f aca="false">BB54+BB55+BB56</f>
        <v>-0</v>
      </c>
      <c r="BC57" s="47" t="n">
        <f aca="false">BC54+BC55+BC56</f>
        <v>-0</v>
      </c>
      <c r="BD57" s="47" t="n">
        <f aca="false">BD54+BD55+BD56</f>
        <v>-0</v>
      </c>
      <c r="BE57" s="47" t="n">
        <f aca="false">BE54+BE55+BE56</f>
        <v>-0</v>
      </c>
      <c r="BF57" s="47" t="n">
        <f aca="false">BF54+BF55+BF56</f>
        <v>-0</v>
      </c>
      <c r="BG57" s="47" t="n">
        <f aca="false">BG54+BG55+BG56</f>
        <v>-0</v>
      </c>
      <c r="BH57" s="47" t="n">
        <f aca="false">BH54+BH55+BH56</f>
        <v>-0</v>
      </c>
      <c r="BI57" s="47" t="n">
        <f aca="false">BI54+BI55+BI56</f>
        <v>-0</v>
      </c>
      <c r="BJ57" s="47" t="n">
        <f aca="false">BJ54+BJ55+BJ56</f>
        <v>-0</v>
      </c>
      <c r="BK57" s="47" t="n">
        <f aca="false">BK54+BK55+BK56</f>
        <v>-0</v>
      </c>
      <c r="BL57" s="47" t="n">
        <f aca="false">BL54+BL55+BL56</f>
        <v>-0</v>
      </c>
      <c r="BM57" s="47" t="n">
        <f aca="false">BM54+BM55+BM56</f>
        <v>-0</v>
      </c>
      <c r="BN57" s="47" t="n">
        <f aca="false">BN54+BN55+BN56</f>
        <v>-0</v>
      </c>
      <c r="BO57" s="47" t="n">
        <f aca="false">BO54+BO55+BO56</f>
        <v>-0</v>
      </c>
      <c r="BP57" s="47" t="n">
        <f aca="false">BP54+BP55+BP56</f>
        <v>-0</v>
      </c>
      <c r="BQ57" s="47" t="n">
        <f aca="false">BQ54+BQ55+BQ56</f>
        <v>-0</v>
      </c>
      <c r="BR57" s="47" t="n">
        <f aca="false">BR54+BR55+BR56</f>
        <v>-0</v>
      </c>
      <c r="BS57" s="47" t="n">
        <f aca="false">BS54+BS55+BS56</f>
        <v>-0</v>
      </c>
      <c r="BT57" s="47" t="n">
        <f aca="false">BT54+BT55+BT56</f>
        <v>-0</v>
      </c>
      <c r="BU57" s="47" t="n">
        <f aca="false">BU54+BU55+BU56</f>
        <v>-0</v>
      </c>
      <c r="BV57" s="47" t="n">
        <f aca="false">BV54+BV55+BV56</f>
        <v>-0</v>
      </c>
      <c r="BW57" s="47" t="n">
        <f aca="false">BW54+BW55+BW56</f>
        <v>-0</v>
      </c>
      <c r="BX57" s="47" t="n">
        <f aca="false">BX54+BX55+BX56</f>
        <v>-0</v>
      </c>
      <c r="BY57" s="47" t="n">
        <f aca="false">BY54+BY55+BY56</f>
        <v>-0</v>
      </c>
      <c r="BZ57" s="47" t="n">
        <f aca="false">BZ54+BZ55+BZ56</f>
        <v>-0</v>
      </c>
      <c r="CA57" s="47" t="n">
        <f aca="false">CA54+CA55+CA56</f>
        <v>-0</v>
      </c>
      <c r="CB57" s="47" t="n">
        <f aca="false">CB54+CB55+CB56</f>
        <v>-0</v>
      </c>
      <c r="CC57" s="47" t="n">
        <f aca="false">CC54+CC55+CC56</f>
        <v>-0</v>
      </c>
      <c r="CD57" s="47" t="n">
        <f aca="false">CD54+CD55+CD56</f>
        <v>-0</v>
      </c>
      <c r="CE57" s="47" t="n">
        <f aca="false">CE54+CE55+CE56</f>
        <v>-0</v>
      </c>
      <c r="CF57" s="47" t="n">
        <f aca="false">CF54+CF55+CF56</f>
        <v>-0</v>
      </c>
      <c r="CG57" s="47" t="n">
        <f aca="false">CG54+CG55+CG56</f>
        <v>-0</v>
      </c>
      <c r="CH57" s="47" t="n">
        <f aca="false">CH54+CH55+CH56</f>
        <v>-0</v>
      </c>
      <c r="CI57" s="47" t="n">
        <f aca="false">CI54+CI55+CI56</f>
        <v>-0</v>
      </c>
      <c r="CJ57" s="47" t="n">
        <f aca="false">CJ54+CJ55+CJ56</f>
        <v>-0</v>
      </c>
      <c r="CK57" s="47" t="n">
        <f aca="false">CK54+CK55+CK56</f>
        <v>-0</v>
      </c>
      <c r="CL57" s="47" t="n">
        <f aca="false">CL54+CL55+CL56</f>
        <v>-0</v>
      </c>
      <c r="CM57" s="47" t="n">
        <f aca="false">CM54+CM55+CM56</f>
        <v>-0</v>
      </c>
      <c r="CN57" s="47" t="n">
        <f aca="false">CN54+CN55+CN56</f>
        <v>-0</v>
      </c>
      <c r="CO57" s="47" t="n">
        <f aca="false">CO54+CO55+CO56</f>
        <v>-0</v>
      </c>
      <c r="CP57" s="47" t="n">
        <f aca="false">CP54+CP55+CP56</f>
        <v>-0</v>
      </c>
      <c r="CQ57" s="47" t="n">
        <f aca="false">CQ54+CQ55+CQ56</f>
        <v>-0</v>
      </c>
      <c r="CR57" s="47" t="n">
        <f aca="false">CR54+CR55+CR56</f>
        <v>-0</v>
      </c>
      <c r="CS57" s="47" t="n">
        <f aca="false">CS54+CS55+CS56</f>
        <v>-0</v>
      </c>
      <c r="CT57" s="47" t="n">
        <f aca="false">CT54+CT55+CT56</f>
        <v>-0</v>
      </c>
      <c r="CU57" s="47" t="n">
        <f aca="false">CU54+CU55+CU56</f>
        <v>-0</v>
      </c>
      <c r="CV57" s="47" t="n">
        <f aca="false">CV54+CV55+CV56</f>
        <v>-0</v>
      </c>
      <c r="CW57" s="47" t="n">
        <f aca="false">CW54+CW55+CW56</f>
        <v>-0</v>
      </c>
      <c r="CX57" s="47" t="n">
        <f aca="false">CX54+CX55+CX56</f>
        <v>-0</v>
      </c>
      <c r="CY57" s="47" t="n">
        <f aca="false">CY54+CY55+CY56</f>
        <v>-0</v>
      </c>
      <c r="CZ57" s="47" t="n">
        <f aca="false">CZ54+CZ55+CZ56</f>
        <v>-0</v>
      </c>
      <c r="DA57" s="47" t="n">
        <f aca="false">DA54+DA55+DA56</f>
        <v>-0</v>
      </c>
      <c r="DB57" s="47" t="n">
        <f aca="false">DB54+DB55+DB56</f>
        <v>-0</v>
      </c>
      <c r="DC57" s="47" t="n">
        <f aca="false">DC54+DC55+DC56</f>
        <v>-0</v>
      </c>
      <c r="DD57" s="47" t="n">
        <f aca="false">DD54+DD55+DD56</f>
        <v>-0</v>
      </c>
      <c r="DE57" s="47" t="n">
        <f aca="false">DE54+DE55+DE56</f>
        <v>-0</v>
      </c>
      <c r="DF57" s="47" t="n">
        <f aca="false">DF54+DF55+DF56</f>
        <v>-0</v>
      </c>
      <c r="DG57" s="47" t="n">
        <f aca="false">DG54+DG55+DG56</f>
        <v>-0</v>
      </c>
      <c r="DH57" s="47" t="n">
        <f aca="false">DH54+DH55+DH56</f>
        <v>-0</v>
      </c>
      <c r="DI57" s="47" t="n">
        <f aca="false">DI54+DI55+DI56</f>
        <v>-0</v>
      </c>
      <c r="DJ57" s="47" t="n">
        <f aca="false">DJ54+DJ55+DJ56</f>
        <v>-0</v>
      </c>
      <c r="DK57" s="47" t="n">
        <f aca="false">DK54+DK55+DK56</f>
        <v>-0</v>
      </c>
      <c r="DL57" s="47" t="n">
        <f aca="false">DL54+DL55+DL56</f>
        <v>-0</v>
      </c>
      <c r="DM57" s="47" t="n">
        <f aca="false">DM54+DM55+DM56</f>
        <v>-0</v>
      </c>
      <c r="DN57" s="47" t="n">
        <f aca="false">DN54+DN55+DN56</f>
        <v>-0</v>
      </c>
      <c r="DO57" s="47" t="n">
        <f aca="false">DO54+DO55+DO56</f>
        <v>-0</v>
      </c>
      <c r="DP57" s="47" t="n">
        <f aca="false">DP54+DP55+DP56</f>
        <v>-0</v>
      </c>
      <c r="DQ57" s="47" t="n">
        <f aca="false">DQ54+DQ55+DQ56</f>
        <v>-0</v>
      </c>
      <c r="DR57" s="47" t="n">
        <f aca="false">DR54+DR55+DR56</f>
        <v>-0</v>
      </c>
      <c r="DS57" s="47" t="n">
        <f aca="false">DS54+DS55+DS56</f>
        <v>-0</v>
      </c>
      <c r="DT57" s="47" t="n">
        <f aca="false">DT54+DT55+DT56</f>
        <v>-0</v>
      </c>
      <c r="DU57" s="47" t="n">
        <f aca="false">DU54+DU55+DU56</f>
        <v>-0</v>
      </c>
      <c r="DV57" s="47" t="n">
        <f aca="false">DV54+DV55+DV56</f>
        <v>-0</v>
      </c>
      <c r="DW57" s="47" t="n">
        <f aca="false">DW54+DW55+DW56</f>
        <v>-0</v>
      </c>
      <c r="DX57" s="47" t="n">
        <f aca="false">DX54+DX55+DX56</f>
        <v>-0</v>
      </c>
      <c r="DY57" s="47" t="n">
        <f aca="false">DY54+DY55+DY56</f>
        <v>-0</v>
      </c>
      <c r="DZ57" s="47" t="n">
        <f aca="false">DZ54+DZ55+DZ56</f>
        <v>-0</v>
      </c>
      <c r="EA57" s="47" t="n">
        <f aca="false">EA54+EA55+EA56</f>
        <v>-0</v>
      </c>
      <c r="EB57" s="47" t="n">
        <f aca="false">EB54+EB55+EB56</f>
        <v>-0</v>
      </c>
      <c r="EC57" s="47" t="n">
        <f aca="false">EC54+EC55+EC56</f>
        <v>-0</v>
      </c>
      <c r="ED57" s="47" t="n">
        <f aca="false">ED54+ED55+ED56</f>
        <v>-0</v>
      </c>
      <c r="EE57" s="47" t="n">
        <f aca="false">EE54+EE55+EE56</f>
        <v>-0</v>
      </c>
      <c r="EF57" s="47" t="n">
        <f aca="false">EF54+EF55+EF56</f>
        <v>-0</v>
      </c>
      <c r="EG57" s="47" t="n">
        <f aca="false">EG54+EG55+EG56</f>
        <v>-0</v>
      </c>
      <c r="EH57" s="47" t="n">
        <f aca="false">EH54+EH55+EH56</f>
        <v>-0</v>
      </c>
      <c r="EI57" s="47" t="n">
        <f aca="false">EI54+EI55+EI56</f>
        <v>-0</v>
      </c>
      <c r="EJ57" s="47" t="n">
        <f aca="false">EJ54+EJ55+EJ56</f>
        <v>-0</v>
      </c>
      <c r="EK57" s="47" t="n">
        <f aca="false">EK54+EK55+EK56</f>
        <v>-0</v>
      </c>
      <c r="EL57" s="47" t="n">
        <f aca="false">EL54+EL55+EL56</f>
        <v>-0</v>
      </c>
      <c r="EM57" s="47" t="n">
        <f aca="false">EM54+EM55+EM56</f>
        <v>-0</v>
      </c>
      <c r="EN57" s="47" t="n">
        <f aca="false">EN54+EN55+EN56</f>
        <v>-0</v>
      </c>
      <c r="EO57" s="47" t="n">
        <f aca="false">EO54+EO55+EO56</f>
        <v>-0</v>
      </c>
      <c r="EP57" s="47" t="n">
        <f aca="false">EP54+EP55+EP56</f>
        <v>-0</v>
      </c>
      <c r="EQ57" s="47" t="n">
        <f aca="false">EQ54+EQ55+EQ56</f>
        <v>-0</v>
      </c>
      <c r="ER57" s="47" t="n">
        <f aca="false">ER54+ER55+ER56</f>
        <v>-0</v>
      </c>
      <c r="ES57" s="47" t="n">
        <f aca="false">ES54+ES55+ES56</f>
        <v>-0</v>
      </c>
      <c r="ET57" s="47" t="n">
        <f aca="false">ET54+ET55+ET56</f>
        <v>-0</v>
      </c>
    </row>
    <row r="58" customFormat="false" ht="15" hidden="false" customHeight="false" outlineLevel="0" collapsed="false">
      <c r="C58" s="1" t="s">
        <v>487</v>
      </c>
      <c r="D58" s="12" t="s">
        <v>222</v>
      </c>
      <c r="E58" s="47" t="n">
        <f aca="false">SUMIF($J$4:$ET$4,"&lt;="&amp;$E12,$J58:$ET58)</f>
        <v>-1112.09208481892</v>
      </c>
      <c r="F58" s="47" t="n">
        <f aca="false">SUMIF($J$4:$ET$4,"&lt;="&amp;In_COD,$J58:$ET58)</f>
        <v>-1750.259696003</v>
      </c>
      <c r="I58" s="47" t="n">
        <f aca="false">SUM(J58:ET58)</f>
        <v>-2298.40366297617</v>
      </c>
      <c r="J58" s="47" t="n">
        <f aca="false">-(J48+J49)*In_Guarantee_Fee*J$5/Days_In_Year</f>
        <v>-0</v>
      </c>
      <c r="K58" s="47" t="n">
        <f aca="false">-(K48+K49)*In_Guarantee_Fee*K$5/Days_In_Year</f>
        <v>-15.804150872584</v>
      </c>
      <c r="L58" s="47" t="n">
        <f aca="false">-(L48+L49)*In_Guarantee_Fee*L$5/Days_In_Year</f>
        <v>-90.0236442109214</v>
      </c>
      <c r="M58" s="47" t="n">
        <f aca="false">-(M48+M49)*In_Guarantee_Fee*M$5/Days_In_Year</f>
        <v>-91.0239069243761</v>
      </c>
      <c r="N58" s="47" t="n">
        <f aca="false">-(N48+N49)*In_Guarantee_Fee*N$5/Days_In_Year</f>
        <v>-92.0241696378307</v>
      </c>
      <c r="O58" s="47" t="n">
        <f aca="false">-(O48+O49)*In_Guarantee_Fee*O$5/Days_In_Year</f>
        <v>-92.0241696378307</v>
      </c>
      <c r="P58" s="47" t="n">
        <f aca="false">-(P48+P49)*In_Guarantee_Fee*P$5/Days_In_Year</f>
        <v>-91.0239069243761</v>
      </c>
      <c r="Q58" s="47" t="n">
        <f aca="false">-(Q48+Q49)*In_Guarantee_Fee*Q$5/Days_In_Year</f>
        <v>-91.0239069243761</v>
      </c>
      <c r="R58" s="47" t="n">
        <f aca="false">-(R48+R49)*In_Guarantee_Fee*R$5/Days_In_Year</f>
        <v>-92.0241696378307</v>
      </c>
      <c r="S58" s="47" t="n">
        <f aca="false">-(S48+S49)*In_Guarantee_Fee*S$5/Days_In_Year</f>
        <v>-92.0241696378307</v>
      </c>
      <c r="T58" s="47" t="n">
        <f aca="false">-(T48+T49)*In_Guarantee_Fee*T$5/Days_In_Year</f>
        <v>-90.0236442109214</v>
      </c>
      <c r="U58" s="47" t="n">
        <f aca="false">-(U48+U49)*In_Guarantee_Fee*U$5/Days_In_Year</f>
        <v>-91.0239069243761</v>
      </c>
      <c r="V58" s="47" t="n">
        <f aca="false">-(V48+V49)*In_Guarantee_Fee*V$5/Days_In_Year</f>
        <v>-92.0241696378307</v>
      </c>
      <c r="W58" s="47" t="n">
        <f aca="false">-(W48+W49)*In_Guarantee_Fee*W$5/Days_In_Year</f>
        <v>-92.0241696378307</v>
      </c>
      <c r="X58" s="47" t="n">
        <f aca="false">-(X48+X49)*In_Guarantee_Fee*X$5/Days_In_Year</f>
        <v>-90.0236442109214</v>
      </c>
      <c r="Y58" s="47" t="n">
        <f aca="false">-(Y48+Y49)*In_Guarantee_Fee*Y$5/Days_In_Year</f>
        <v>-91.0239069243761</v>
      </c>
      <c r="Z58" s="47" t="n">
        <f aca="false">-(Z48+Z49)*In_Guarantee_Fee*Z$5/Days_In_Year</f>
        <v>-92.0241696378307</v>
      </c>
      <c r="AA58" s="47" t="n">
        <f aca="false">-(AA48+AA49)*In_Guarantee_Fee*AA$5/Days_In_Year</f>
        <v>-92.0241696378307</v>
      </c>
      <c r="AB58" s="47" t="n">
        <f aca="false">-(AB48+AB49)*In_Guarantee_Fee*AB$5/Days_In_Year</f>
        <v>-90.0236442109214</v>
      </c>
      <c r="AC58" s="47" t="n">
        <f aca="false">-(AC48+AC49)*In_Guarantee_Fee*AC$5/Days_In_Year</f>
        <v>-91.0239069243761</v>
      </c>
      <c r="AD58" s="47" t="n">
        <f aca="false">-(AD48+AD49)*In_Guarantee_Fee*AD$5/Days_In_Year</f>
        <v>-92.0241696378307</v>
      </c>
      <c r="AE58" s="47" t="n">
        <f aca="false">-(AE48+AE49)*In_Guarantee_Fee*AE$5/Days_In_Year</f>
        <v>-92.0241696378307</v>
      </c>
      <c r="AF58" s="47" t="n">
        <f aca="false">-(AF48+AF49)*In_Guarantee_Fee*AF$5/Days_In_Year</f>
        <v>-91.0239069243761</v>
      </c>
      <c r="AG58" s="47" t="n">
        <f aca="false">-(AG48+AG49)*In_Guarantee_Fee*AG$5/Days_In_Year</f>
        <v>-91.0239069243761</v>
      </c>
      <c r="AH58" s="47" t="n">
        <f aca="false">-(AH48+AH49)*In_Guarantee_Fee*AH$5/Days_In_Year</f>
        <v>-92.0241696378307</v>
      </c>
      <c r="AI58" s="47" t="n">
        <f aca="false">-(AI48+AI49)*In_Guarantee_Fee*AI$5/Days_In_Year</f>
        <v>-92.0241696378307</v>
      </c>
      <c r="AJ58" s="47" t="n">
        <f aca="false">-(AJ48+AJ49)*In_Guarantee_Fee*AJ$5/Days_In_Year</f>
        <v>-90.0236442109214</v>
      </c>
      <c r="AK58" s="47" t="n">
        <f aca="false">-(AK48+AK49)*In_Guarantee_Fee*AK$5/Days_In_Year</f>
        <v>-0</v>
      </c>
      <c r="AL58" s="47" t="n">
        <f aca="false">-(AL48+AL49)*In_Guarantee_Fee*AL$5/Days_In_Year</f>
        <v>-0</v>
      </c>
      <c r="AM58" s="47" t="n">
        <f aca="false">-(AM48+AM49)*In_Guarantee_Fee*AM$5/Days_In_Year</f>
        <v>-0</v>
      </c>
      <c r="AN58" s="47" t="n">
        <f aca="false">-(AN48+AN49)*In_Guarantee_Fee*AN$5/Days_In_Year</f>
        <v>-0</v>
      </c>
      <c r="AO58" s="47" t="n">
        <f aca="false">-(AO48+AO49)*In_Guarantee_Fee*AO$5/Days_In_Year</f>
        <v>-0</v>
      </c>
      <c r="AP58" s="47" t="n">
        <f aca="false">-(AP48+AP49)*In_Guarantee_Fee*AP$5/Days_In_Year</f>
        <v>-0</v>
      </c>
      <c r="AQ58" s="47" t="n">
        <f aca="false">-(AQ48+AQ49)*In_Guarantee_Fee*AQ$5/Days_In_Year</f>
        <v>-0</v>
      </c>
      <c r="AR58" s="47" t="n">
        <f aca="false">-(AR48+AR49)*In_Guarantee_Fee*AR$5/Days_In_Year</f>
        <v>-0</v>
      </c>
      <c r="AS58" s="47" t="n">
        <f aca="false">-(AS48+AS49)*In_Guarantee_Fee*AS$5/Days_In_Year</f>
        <v>-0</v>
      </c>
      <c r="AT58" s="47" t="n">
        <f aca="false">-(AT48+AT49)*In_Guarantee_Fee*AT$5/Days_In_Year</f>
        <v>-0</v>
      </c>
      <c r="AU58" s="47" t="n">
        <f aca="false">-(AU48+AU49)*In_Guarantee_Fee*AU$5/Days_In_Year</f>
        <v>-0</v>
      </c>
      <c r="AV58" s="47" t="n">
        <f aca="false">-(AV48+AV49)*In_Guarantee_Fee*AV$5/Days_In_Year</f>
        <v>-0</v>
      </c>
      <c r="AW58" s="47" t="n">
        <f aca="false">-(AW48+AW49)*In_Guarantee_Fee*AW$5/Days_In_Year</f>
        <v>-0</v>
      </c>
      <c r="AX58" s="47" t="n">
        <f aca="false">-(AX48+AX49)*In_Guarantee_Fee*AX$5/Days_In_Year</f>
        <v>-0</v>
      </c>
      <c r="AY58" s="47" t="n">
        <f aca="false">-(AY48+AY49)*In_Guarantee_Fee*AY$5/Days_In_Year</f>
        <v>-0</v>
      </c>
      <c r="AZ58" s="47" t="n">
        <f aca="false">-(AZ48+AZ49)*In_Guarantee_Fee*AZ$5/Days_In_Year</f>
        <v>-0</v>
      </c>
      <c r="BA58" s="47" t="n">
        <f aca="false">-(BA48+BA49)*In_Guarantee_Fee*BA$5/Days_In_Year</f>
        <v>-0</v>
      </c>
      <c r="BB58" s="47" t="n">
        <f aca="false">-(BB48+BB49)*In_Guarantee_Fee*BB$5/Days_In_Year</f>
        <v>-0</v>
      </c>
      <c r="BC58" s="47" t="n">
        <f aca="false">-(BC48+BC49)*In_Guarantee_Fee*BC$5/Days_In_Year</f>
        <v>-0</v>
      </c>
      <c r="BD58" s="47" t="n">
        <f aca="false">-(BD48+BD49)*In_Guarantee_Fee*BD$5/Days_In_Year</f>
        <v>-0</v>
      </c>
      <c r="BE58" s="47" t="n">
        <f aca="false">-(BE48+BE49)*In_Guarantee_Fee*BE$5/Days_In_Year</f>
        <v>-0</v>
      </c>
      <c r="BF58" s="47" t="n">
        <f aca="false">-(BF48+BF49)*In_Guarantee_Fee*BF$5/Days_In_Year</f>
        <v>-0</v>
      </c>
      <c r="BG58" s="47" t="n">
        <f aca="false">-(BG48+BG49)*In_Guarantee_Fee*BG$5/Days_In_Year</f>
        <v>-0</v>
      </c>
      <c r="BH58" s="47" t="n">
        <f aca="false">-(BH48+BH49)*In_Guarantee_Fee*BH$5/Days_In_Year</f>
        <v>-0</v>
      </c>
      <c r="BI58" s="47" t="n">
        <f aca="false">-(BI48+BI49)*In_Guarantee_Fee*BI$5/Days_In_Year</f>
        <v>-0</v>
      </c>
      <c r="BJ58" s="47" t="n">
        <f aca="false">-(BJ48+BJ49)*In_Guarantee_Fee*BJ$5/Days_In_Year</f>
        <v>-0</v>
      </c>
      <c r="BK58" s="47" t="n">
        <f aca="false">-(BK48+BK49)*In_Guarantee_Fee*BK$5/Days_In_Year</f>
        <v>-0</v>
      </c>
      <c r="BL58" s="47" t="n">
        <f aca="false">-(BL48+BL49)*In_Guarantee_Fee*BL$5/Days_In_Year</f>
        <v>-0</v>
      </c>
      <c r="BM58" s="47" t="n">
        <f aca="false">-(BM48+BM49)*In_Guarantee_Fee*BM$5/Days_In_Year</f>
        <v>-0</v>
      </c>
      <c r="BN58" s="47" t="n">
        <f aca="false">-(BN48+BN49)*In_Guarantee_Fee*BN$5/Days_In_Year</f>
        <v>-0</v>
      </c>
      <c r="BO58" s="47" t="n">
        <f aca="false">-(BO48+BO49)*In_Guarantee_Fee*BO$5/Days_In_Year</f>
        <v>-0</v>
      </c>
      <c r="BP58" s="47" t="n">
        <f aca="false">-(BP48+BP49)*In_Guarantee_Fee*BP$5/Days_In_Year</f>
        <v>-0</v>
      </c>
      <c r="BQ58" s="47" t="n">
        <f aca="false">-(BQ48+BQ49)*In_Guarantee_Fee*BQ$5/Days_In_Year</f>
        <v>-0</v>
      </c>
      <c r="BR58" s="47" t="n">
        <f aca="false">-(BR48+BR49)*In_Guarantee_Fee*BR$5/Days_In_Year</f>
        <v>-0</v>
      </c>
      <c r="BS58" s="47" t="n">
        <f aca="false">-(BS48+BS49)*In_Guarantee_Fee*BS$5/Days_In_Year</f>
        <v>-0</v>
      </c>
      <c r="BT58" s="47" t="n">
        <f aca="false">-(BT48+BT49)*In_Guarantee_Fee*BT$5/Days_In_Year</f>
        <v>-0</v>
      </c>
      <c r="BU58" s="47" t="n">
        <f aca="false">-(BU48+BU49)*In_Guarantee_Fee*BU$5/Days_In_Year</f>
        <v>-0</v>
      </c>
      <c r="BV58" s="47" t="n">
        <f aca="false">-(BV48+BV49)*In_Guarantee_Fee*BV$5/Days_In_Year</f>
        <v>-0</v>
      </c>
      <c r="BW58" s="47" t="n">
        <f aca="false">-(BW48+BW49)*In_Guarantee_Fee*BW$5/Days_In_Year</f>
        <v>-0</v>
      </c>
      <c r="BX58" s="47" t="n">
        <f aca="false">-(BX48+BX49)*In_Guarantee_Fee*BX$5/Days_In_Year</f>
        <v>-0</v>
      </c>
      <c r="BY58" s="47" t="n">
        <f aca="false">-(BY48+BY49)*In_Guarantee_Fee*BY$5/Days_In_Year</f>
        <v>-0</v>
      </c>
      <c r="BZ58" s="47" t="n">
        <f aca="false">-(BZ48+BZ49)*In_Guarantee_Fee*BZ$5/Days_In_Year</f>
        <v>-0</v>
      </c>
      <c r="CA58" s="47" t="n">
        <f aca="false">-(CA48+CA49)*In_Guarantee_Fee*CA$5/Days_In_Year</f>
        <v>-0</v>
      </c>
      <c r="CB58" s="47" t="n">
        <f aca="false">-(CB48+CB49)*In_Guarantee_Fee*CB$5/Days_In_Year</f>
        <v>-0</v>
      </c>
      <c r="CC58" s="47" t="n">
        <f aca="false">-(CC48+CC49)*In_Guarantee_Fee*CC$5/Days_In_Year</f>
        <v>-0</v>
      </c>
      <c r="CD58" s="47" t="n">
        <f aca="false">-(CD48+CD49)*In_Guarantee_Fee*CD$5/Days_In_Year</f>
        <v>-0</v>
      </c>
      <c r="CE58" s="47" t="n">
        <f aca="false">-(CE48+CE49)*In_Guarantee_Fee*CE$5/Days_In_Year</f>
        <v>-0</v>
      </c>
      <c r="CF58" s="47" t="n">
        <f aca="false">-(CF48+CF49)*In_Guarantee_Fee*CF$5/Days_In_Year</f>
        <v>-0</v>
      </c>
      <c r="CG58" s="47" t="n">
        <f aca="false">-(CG48+CG49)*In_Guarantee_Fee*CG$5/Days_In_Year</f>
        <v>-0</v>
      </c>
      <c r="CH58" s="47" t="n">
        <f aca="false">-(CH48+CH49)*In_Guarantee_Fee*CH$5/Days_In_Year</f>
        <v>-0</v>
      </c>
      <c r="CI58" s="47" t="n">
        <f aca="false">-(CI48+CI49)*In_Guarantee_Fee*CI$5/Days_In_Year</f>
        <v>-0</v>
      </c>
      <c r="CJ58" s="47" t="n">
        <f aca="false">-(CJ48+CJ49)*In_Guarantee_Fee*CJ$5/Days_In_Year</f>
        <v>-0</v>
      </c>
      <c r="CK58" s="47" t="n">
        <f aca="false">-(CK48+CK49)*In_Guarantee_Fee*CK$5/Days_In_Year</f>
        <v>-0</v>
      </c>
      <c r="CL58" s="47" t="n">
        <f aca="false">-(CL48+CL49)*In_Guarantee_Fee*CL$5/Days_In_Year</f>
        <v>-0</v>
      </c>
      <c r="CM58" s="47" t="n">
        <f aca="false">-(CM48+CM49)*In_Guarantee_Fee*CM$5/Days_In_Year</f>
        <v>-0</v>
      </c>
      <c r="CN58" s="47" t="n">
        <f aca="false">-(CN48+CN49)*In_Guarantee_Fee*CN$5/Days_In_Year</f>
        <v>-0</v>
      </c>
      <c r="CO58" s="47" t="n">
        <f aca="false">-(CO48+CO49)*In_Guarantee_Fee*CO$5/Days_In_Year</f>
        <v>-0</v>
      </c>
      <c r="CP58" s="47" t="n">
        <f aca="false">-(CP48+CP49)*In_Guarantee_Fee*CP$5/Days_In_Year</f>
        <v>-0</v>
      </c>
      <c r="CQ58" s="47" t="n">
        <f aca="false">-(CQ48+CQ49)*In_Guarantee_Fee*CQ$5/Days_In_Year</f>
        <v>-0</v>
      </c>
      <c r="CR58" s="47" t="n">
        <f aca="false">-(CR48+CR49)*In_Guarantee_Fee*CR$5/Days_In_Year</f>
        <v>-0</v>
      </c>
      <c r="CS58" s="47" t="n">
        <f aca="false">-(CS48+CS49)*In_Guarantee_Fee*CS$5/Days_In_Year</f>
        <v>-0</v>
      </c>
      <c r="CT58" s="47" t="n">
        <f aca="false">-(CT48+CT49)*In_Guarantee_Fee*CT$5/Days_In_Year</f>
        <v>-0</v>
      </c>
      <c r="CU58" s="47" t="n">
        <f aca="false">-(CU48+CU49)*In_Guarantee_Fee*CU$5/Days_In_Year</f>
        <v>-0</v>
      </c>
      <c r="CV58" s="47" t="n">
        <f aca="false">-(CV48+CV49)*In_Guarantee_Fee*CV$5/Days_In_Year</f>
        <v>-0</v>
      </c>
      <c r="CW58" s="47" t="n">
        <f aca="false">-(CW48+CW49)*In_Guarantee_Fee*CW$5/Days_In_Year</f>
        <v>-0</v>
      </c>
      <c r="CX58" s="47" t="n">
        <f aca="false">-(CX48+CX49)*In_Guarantee_Fee*CX$5/Days_In_Year</f>
        <v>-0</v>
      </c>
      <c r="CY58" s="47" t="n">
        <f aca="false">-(CY48+CY49)*In_Guarantee_Fee*CY$5/Days_In_Year</f>
        <v>-0</v>
      </c>
      <c r="CZ58" s="47" t="n">
        <f aca="false">-(CZ48+CZ49)*In_Guarantee_Fee*CZ$5/Days_In_Year</f>
        <v>-0</v>
      </c>
      <c r="DA58" s="47" t="n">
        <f aca="false">-(DA48+DA49)*In_Guarantee_Fee*DA$5/Days_In_Year</f>
        <v>-0</v>
      </c>
      <c r="DB58" s="47" t="n">
        <f aca="false">-(DB48+DB49)*In_Guarantee_Fee*DB$5/Days_In_Year</f>
        <v>-0</v>
      </c>
      <c r="DC58" s="47" t="n">
        <f aca="false">-(DC48+DC49)*In_Guarantee_Fee*DC$5/Days_In_Year</f>
        <v>-0</v>
      </c>
      <c r="DD58" s="47" t="n">
        <f aca="false">-(DD48+DD49)*In_Guarantee_Fee*DD$5/Days_In_Year</f>
        <v>-0</v>
      </c>
      <c r="DE58" s="47" t="n">
        <f aca="false">-(DE48+DE49)*In_Guarantee_Fee*DE$5/Days_In_Year</f>
        <v>-0</v>
      </c>
      <c r="DF58" s="47" t="n">
        <f aca="false">-(DF48+DF49)*In_Guarantee_Fee*DF$5/Days_In_Year</f>
        <v>-0</v>
      </c>
      <c r="DG58" s="47" t="n">
        <f aca="false">-(DG48+DG49)*In_Guarantee_Fee*DG$5/Days_In_Year</f>
        <v>-0</v>
      </c>
      <c r="DH58" s="47" t="n">
        <f aca="false">-(DH48+DH49)*In_Guarantee_Fee*DH$5/Days_In_Year</f>
        <v>-0</v>
      </c>
      <c r="DI58" s="47" t="n">
        <f aca="false">-(DI48+DI49)*In_Guarantee_Fee*DI$5/Days_In_Year</f>
        <v>-0</v>
      </c>
      <c r="DJ58" s="47" t="n">
        <f aca="false">-(DJ48+DJ49)*In_Guarantee_Fee*DJ$5/Days_In_Year</f>
        <v>-0</v>
      </c>
      <c r="DK58" s="47" t="n">
        <f aca="false">-(DK48+DK49)*In_Guarantee_Fee*DK$5/Days_In_Year</f>
        <v>-0</v>
      </c>
      <c r="DL58" s="47" t="n">
        <f aca="false">-(DL48+DL49)*In_Guarantee_Fee*DL$5/Days_In_Year</f>
        <v>-0</v>
      </c>
      <c r="DM58" s="47" t="n">
        <f aca="false">-(DM48+DM49)*In_Guarantee_Fee*DM$5/Days_In_Year</f>
        <v>-0</v>
      </c>
      <c r="DN58" s="47" t="n">
        <f aca="false">-(DN48+DN49)*In_Guarantee_Fee*DN$5/Days_In_Year</f>
        <v>-0</v>
      </c>
      <c r="DO58" s="47" t="n">
        <f aca="false">-(DO48+DO49)*In_Guarantee_Fee*DO$5/Days_In_Year</f>
        <v>-0</v>
      </c>
      <c r="DP58" s="47" t="n">
        <f aca="false">-(DP48+DP49)*In_Guarantee_Fee*DP$5/Days_In_Year</f>
        <v>-0</v>
      </c>
      <c r="DQ58" s="47" t="n">
        <f aca="false">-(DQ48+DQ49)*In_Guarantee_Fee*DQ$5/Days_In_Year</f>
        <v>-0</v>
      </c>
      <c r="DR58" s="47" t="n">
        <f aca="false">-(DR48+DR49)*In_Guarantee_Fee*DR$5/Days_In_Year</f>
        <v>-0</v>
      </c>
      <c r="DS58" s="47" t="n">
        <f aca="false">-(DS48+DS49)*In_Guarantee_Fee*DS$5/Days_In_Year</f>
        <v>-0</v>
      </c>
      <c r="DT58" s="47" t="n">
        <f aca="false">-(DT48+DT49)*In_Guarantee_Fee*DT$5/Days_In_Year</f>
        <v>-0</v>
      </c>
      <c r="DU58" s="47" t="n">
        <f aca="false">-(DU48+DU49)*In_Guarantee_Fee*DU$5/Days_In_Year</f>
        <v>-0</v>
      </c>
      <c r="DV58" s="47" t="n">
        <f aca="false">-(DV48+DV49)*In_Guarantee_Fee*DV$5/Days_In_Year</f>
        <v>-0</v>
      </c>
      <c r="DW58" s="47" t="n">
        <f aca="false">-(DW48+DW49)*In_Guarantee_Fee*DW$5/Days_In_Year</f>
        <v>-0</v>
      </c>
      <c r="DX58" s="47" t="n">
        <f aca="false">-(DX48+DX49)*In_Guarantee_Fee*DX$5/Days_In_Year</f>
        <v>-0</v>
      </c>
      <c r="DY58" s="47" t="n">
        <f aca="false">-(DY48+DY49)*In_Guarantee_Fee*DY$5/Days_In_Year</f>
        <v>-0</v>
      </c>
      <c r="DZ58" s="47" t="n">
        <f aca="false">-(DZ48+DZ49)*In_Guarantee_Fee*DZ$5/Days_In_Year</f>
        <v>-0</v>
      </c>
      <c r="EA58" s="47" t="n">
        <f aca="false">-(EA48+EA49)*In_Guarantee_Fee*EA$5/Days_In_Year</f>
        <v>-0</v>
      </c>
      <c r="EB58" s="47" t="n">
        <f aca="false">-(EB48+EB49)*In_Guarantee_Fee*EB$5/Days_In_Year</f>
        <v>-0</v>
      </c>
      <c r="EC58" s="47" t="n">
        <f aca="false">-(EC48+EC49)*In_Guarantee_Fee*EC$5/Days_In_Year</f>
        <v>-0</v>
      </c>
      <c r="ED58" s="47" t="n">
        <f aca="false">-(ED48+ED49)*In_Guarantee_Fee*ED$5/Days_In_Year</f>
        <v>-0</v>
      </c>
      <c r="EE58" s="47" t="n">
        <f aca="false">-(EE48+EE49)*In_Guarantee_Fee*EE$5/Days_In_Year</f>
        <v>-0</v>
      </c>
      <c r="EF58" s="47" t="n">
        <f aca="false">-(EF48+EF49)*In_Guarantee_Fee*EF$5/Days_In_Year</f>
        <v>-0</v>
      </c>
      <c r="EG58" s="47" t="n">
        <f aca="false">-(EG48+EG49)*In_Guarantee_Fee*EG$5/Days_In_Year</f>
        <v>-0</v>
      </c>
      <c r="EH58" s="47" t="n">
        <f aca="false">-(EH48+EH49)*In_Guarantee_Fee*EH$5/Days_In_Year</f>
        <v>-0</v>
      </c>
      <c r="EI58" s="47" t="n">
        <f aca="false">-(EI48+EI49)*In_Guarantee_Fee*EI$5/Days_In_Year</f>
        <v>-0</v>
      </c>
      <c r="EJ58" s="47" t="n">
        <f aca="false">-(EJ48+EJ49)*In_Guarantee_Fee*EJ$5/Days_In_Year</f>
        <v>-0</v>
      </c>
      <c r="EK58" s="47" t="n">
        <f aca="false">-(EK48+EK49)*In_Guarantee_Fee*EK$5/Days_In_Year</f>
        <v>-0</v>
      </c>
      <c r="EL58" s="47" t="n">
        <f aca="false">-(EL48+EL49)*In_Guarantee_Fee*EL$5/Days_In_Year</f>
        <v>-0</v>
      </c>
      <c r="EM58" s="47" t="n">
        <f aca="false">-(EM48+EM49)*In_Guarantee_Fee*EM$5/Days_In_Year</f>
        <v>-0</v>
      </c>
      <c r="EN58" s="47" t="n">
        <f aca="false">-(EN48+EN49)*In_Guarantee_Fee*EN$5/Days_In_Year</f>
        <v>-0</v>
      </c>
      <c r="EO58" s="47" t="n">
        <f aca="false">-(EO48+EO49)*In_Guarantee_Fee*EO$5/Days_In_Year</f>
        <v>-0</v>
      </c>
      <c r="EP58" s="47" t="n">
        <f aca="false">-(EP48+EP49)*In_Guarantee_Fee*EP$5/Days_In_Year</f>
        <v>-0</v>
      </c>
      <c r="EQ58" s="47" t="n">
        <f aca="false">-(EQ48+EQ49)*In_Guarantee_Fee*EQ$5/Days_In_Year</f>
        <v>-0</v>
      </c>
      <c r="ER58" s="47" t="n">
        <f aca="false">-(ER48+ER49)*In_Guarantee_Fee*ER$5/Days_In_Year</f>
        <v>-0</v>
      </c>
      <c r="ES58" s="47" t="n">
        <f aca="false">-(ES48+ES49)*In_Guarantee_Fee*ES$5/Days_In_Year</f>
        <v>-0</v>
      </c>
      <c r="ET58" s="47" t="n">
        <f aca="false">-(ET48+ET49)*In_Guarantee_Fee*ET$5/Days_In_Year</f>
        <v>-0</v>
      </c>
    </row>
    <row r="59" customFormat="false" ht="15" hidden="false" customHeight="false" outlineLevel="0" collapsed="false">
      <c r="C59" s="31" t="s">
        <v>488</v>
      </c>
      <c r="D59" s="12" t="s">
        <v>222</v>
      </c>
      <c r="I59" s="56" t="n">
        <f aca="false">SUM(J59:ET59)</f>
        <v>-7059.12406535805</v>
      </c>
      <c r="J59" s="56" t="n">
        <f aca="false">J46+J47+J50+J57+J58</f>
        <v>-400</v>
      </c>
      <c r="K59" s="56" t="n">
        <f aca="false">K46+K47+K50+K57+K58</f>
        <v>-1435.42058922875</v>
      </c>
      <c r="L59" s="56" t="n">
        <f aca="false">L46+L47+L50+L57+L58</f>
        <v>-678.468164758867</v>
      </c>
      <c r="M59" s="56" t="n">
        <f aca="false">M46+M47+M50+M57+M58</f>
        <v>-134.859523362732</v>
      </c>
      <c r="N59" s="56" t="n">
        <f aca="false">N46+N47+N50+N57+N58</f>
        <v>-135.859786076187</v>
      </c>
      <c r="O59" s="56" t="n">
        <f aca="false">O46+O47+O50+O57+O58</f>
        <v>-276.385813473447</v>
      </c>
      <c r="P59" s="56" t="n">
        <f aca="false">P46+P47+P50+P57+P58</f>
        <v>-1381.06570172449</v>
      </c>
      <c r="Q59" s="56" t="n">
        <f aca="false">Q46+Q47+Q50+Q57+Q58</f>
        <v>-95.6334959654719</v>
      </c>
      <c r="R59" s="56" t="n">
        <f aca="false">R46+R47+R50+R57+R58</f>
        <v>-256.115679618261</v>
      </c>
      <c r="S59" s="56" t="n">
        <f aca="false">S46+S47+S50+S57+S58</f>
        <v>-409.250308335063</v>
      </c>
      <c r="T59" s="56" t="n">
        <f aca="false">T46+T47+T50+T57+T58</f>
        <v>-394.681178457497</v>
      </c>
      <c r="U59" s="56" t="n">
        <f aca="false">U46+U47+U50+U57+U58</f>
        <v>-91.0239069243761</v>
      </c>
      <c r="V59" s="56" t="n">
        <f aca="false">V46+V47+V50+V57+V58</f>
        <v>-92.0241696378307</v>
      </c>
      <c r="W59" s="56" t="n">
        <f aca="false">W46+W47+W50+W57+W58</f>
        <v>-92.0241696378307</v>
      </c>
      <c r="X59" s="56" t="n">
        <f aca="false">X46+X47+X50+X57+X58</f>
        <v>-90.0236442109214</v>
      </c>
      <c r="Y59" s="56" t="n">
        <f aca="false">Y46+Y47+Y50+Y57+Y58</f>
        <v>-91.0239069243761</v>
      </c>
      <c r="Z59" s="56" t="n">
        <f aca="false">Z46+Z47+Z50+Z57+Z58</f>
        <v>-92.0241696378307</v>
      </c>
      <c r="AA59" s="56" t="n">
        <f aca="false">AA46+AA47+AA50+AA57+AA58</f>
        <v>-92.0241696378307</v>
      </c>
      <c r="AB59" s="56" t="n">
        <f aca="false">AB46+AB47+AB50+AB57+AB58</f>
        <v>-90.0236442109214</v>
      </c>
      <c r="AC59" s="56" t="n">
        <f aca="false">AC46+AC47+AC50+AC57+AC58</f>
        <v>-91.0239069243761</v>
      </c>
      <c r="AD59" s="56" t="n">
        <f aca="false">AD46+AD47+AD50+AD57+AD58</f>
        <v>-92.0241696378307</v>
      </c>
      <c r="AE59" s="56" t="n">
        <f aca="false">AE46+AE47+AE50+AE57+AE58</f>
        <v>-92.0241696378307</v>
      </c>
      <c r="AF59" s="56" t="n">
        <f aca="false">AF46+AF47+AF50+AF57+AF58</f>
        <v>-91.0239069243761</v>
      </c>
      <c r="AG59" s="56" t="n">
        <f aca="false">AG46+AG47+AG50+AG57+AG58</f>
        <v>-91.0239069243761</v>
      </c>
      <c r="AH59" s="56" t="n">
        <f aca="false">AH46+AH47+AH50+AH57+AH58</f>
        <v>-92.0241696378307</v>
      </c>
      <c r="AI59" s="56" t="n">
        <f aca="false">AI46+AI47+AI50+AI57+AI58</f>
        <v>-92.0241696378307</v>
      </c>
      <c r="AJ59" s="56" t="n">
        <f aca="false">AJ46+AJ47+AJ50+AJ57+AJ58</f>
        <v>-90.0236442109214</v>
      </c>
      <c r="AK59" s="56" t="n">
        <f aca="false">AK46+AK47+AK50+AK57+AK58</f>
        <v>-0</v>
      </c>
      <c r="AL59" s="56" t="n">
        <f aca="false">AL46+AL47+AL50+AL57+AL58</f>
        <v>-0</v>
      </c>
      <c r="AM59" s="56" t="n">
        <f aca="false">AM46+AM47+AM50+AM57+AM58</f>
        <v>-0</v>
      </c>
      <c r="AN59" s="56" t="n">
        <f aca="false">AN46+AN47+AN50+AN57+AN58</f>
        <v>-0</v>
      </c>
      <c r="AO59" s="56" t="n">
        <f aca="false">AO46+AO47+AO50+AO57+AO58</f>
        <v>-0</v>
      </c>
      <c r="AP59" s="56" t="n">
        <f aca="false">AP46+AP47+AP50+AP57+AP58</f>
        <v>-0</v>
      </c>
      <c r="AQ59" s="56" t="n">
        <f aca="false">AQ46+AQ47+AQ50+AQ57+AQ58</f>
        <v>-0</v>
      </c>
      <c r="AR59" s="56" t="n">
        <f aca="false">AR46+AR47+AR50+AR57+AR58</f>
        <v>-0</v>
      </c>
      <c r="AS59" s="56" t="n">
        <f aca="false">AS46+AS47+AS50+AS57+AS58</f>
        <v>-0</v>
      </c>
      <c r="AT59" s="56" t="n">
        <f aca="false">AT46+AT47+AT50+AT57+AT58</f>
        <v>-0</v>
      </c>
      <c r="AU59" s="56" t="n">
        <f aca="false">AU46+AU47+AU50+AU57+AU58</f>
        <v>-0</v>
      </c>
      <c r="AV59" s="56" t="n">
        <f aca="false">AV46+AV47+AV50+AV57+AV58</f>
        <v>-0</v>
      </c>
      <c r="AW59" s="56" t="n">
        <f aca="false">AW46+AW47+AW50+AW57+AW58</f>
        <v>-0</v>
      </c>
      <c r="AX59" s="56" t="n">
        <f aca="false">AX46+AX47+AX50+AX57+AX58</f>
        <v>-0</v>
      </c>
      <c r="AY59" s="56" t="n">
        <f aca="false">AY46+AY47+AY50+AY57+AY58</f>
        <v>-0</v>
      </c>
      <c r="AZ59" s="56" t="n">
        <f aca="false">AZ46+AZ47+AZ50+AZ57+AZ58</f>
        <v>-0</v>
      </c>
      <c r="BA59" s="56" t="n">
        <f aca="false">BA46+BA47+BA50+BA57+BA58</f>
        <v>-0</v>
      </c>
      <c r="BB59" s="56" t="n">
        <f aca="false">BB46+BB47+BB50+BB57+BB58</f>
        <v>-0</v>
      </c>
      <c r="BC59" s="56" t="n">
        <f aca="false">BC46+BC47+BC50+BC57+BC58</f>
        <v>-0</v>
      </c>
      <c r="BD59" s="56" t="n">
        <f aca="false">BD46+BD47+BD50+BD57+BD58</f>
        <v>-0</v>
      </c>
      <c r="BE59" s="56" t="n">
        <f aca="false">BE46+BE47+BE50+BE57+BE58</f>
        <v>-0</v>
      </c>
      <c r="BF59" s="56" t="n">
        <f aca="false">BF46+BF47+BF50+BF57+BF58</f>
        <v>-0</v>
      </c>
      <c r="BG59" s="56" t="n">
        <f aca="false">BG46+BG47+BG50+BG57+BG58</f>
        <v>-0</v>
      </c>
      <c r="BH59" s="56" t="n">
        <f aca="false">BH46+BH47+BH50+BH57+BH58</f>
        <v>-0</v>
      </c>
      <c r="BI59" s="56" t="n">
        <f aca="false">BI46+BI47+BI50+BI57+BI58</f>
        <v>-0</v>
      </c>
      <c r="BJ59" s="56" t="n">
        <f aca="false">BJ46+BJ47+BJ50+BJ57+BJ58</f>
        <v>-0</v>
      </c>
      <c r="BK59" s="56" t="n">
        <f aca="false">BK46+BK47+BK50+BK57+BK58</f>
        <v>-0</v>
      </c>
      <c r="BL59" s="56" t="n">
        <f aca="false">BL46+BL47+BL50+BL57+BL58</f>
        <v>-0</v>
      </c>
      <c r="BM59" s="56" t="n">
        <f aca="false">BM46+BM47+BM50+BM57+BM58</f>
        <v>-0</v>
      </c>
      <c r="BN59" s="56" t="n">
        <f aca="false">BN46+BN47+BN50+BN57+BN58</f>
        <v>-0</v>
      </c>
      <c r="BO59" s="56" t="n">
        <f aca="false">BO46+BO47+BO50+BO57+BO58</f>
        <v>-0</v>
      </c>
      <c r="BP59" s="56" t="n">
        <f aca="false">BP46+BP47+BP50+BP57+BP58</f>
        <v>-0</v>
      </c>
      <c r="BQ59" s="56" t="n">
        <f aca="false">BQ46+BQ47+BQ50+BQ57+BQ58</f>
        <v>-0</v>
      </c>
      <c r="BR59" s="56" t="n">
        <f aca="false">BR46+BR47+BR50+BR57+BR58</f>
        <v>-0</v>
      </c>
      <c r="BS59" s="56" t="n">
        <f aca="false">BS46+BS47+BS50+BS57+BS58</f>
        <v>-0</v>
      </c>
      <c r="BT59" s="56" t="n">
        <f aca="false">BT46+BT47+BT50+BT57+BT58</f>
        <v>-0</v>
      </c>
      <c r="BU59" s="56" t="n">
        <f aca="false">BU46+BU47+BU50+BU57+BU58</f>
        <v>-0</v>
      </c>
      <c r="BV59" s="56" t="n">
        <f aca="false">BV46+BV47+BV50+BV57+BV58</f>
        <v>-0</v>
      </c>
      <c r="BW59" s="56" t="n">
        <f aca="false">BW46+BW47+BW50+BW57+BW58</f>
        <v>-0</v>
      </c>
      <c r="BX59" s="56" t="n">
        <f aca="false">BX46+BX47+BX50+BX57+BX58</f>
        <v>-0</v>
      </c>
      <c r="BY59" s="56" t="n">
        <f aca="false">BY46+BY47+BY50+BY57+BY58</f>
        <v>-0</v>
      </c>
      <c r="BZ59" s="56" t="n">
        <f aca="false">BZ46+BZ47+BZ50+BZ57+BZ58</f>
        <v>-0</v>
      </c>
      <c r="CA59" s="56" t="n">
        <f aca="false">CA46+CA47+CA50+CA57+CA58</f>
        <v>-0</v>
      </c>
      <c r="CB59" s="56" t="n">
        <f aca="false">CB46+CB47+CB50+CB57+CB58</f>
        <v>-0</v>
      </c>
      <c r="CC59" s="56" t="n">
        <f aca="false">CC46+CC47+CC50+CC57+CC58</f>
        <v>-0</v>
      </c>
      <c r="CD59" s="56" t="n">
        <f aca="false">CD46+CD47+CD50+CD57+CD58</f>
        <v>-0</v>
      </c>
      <c r="CE59" s="56" t="n">
        <f aca="false">CE46+CE47+CE50+CE57+CE58</f>
        <v>-0</v>
      </c>
      <c r="CF59" s="56" t="n">
        <f aca="false">CF46+CF47+CF50+CF57+CF58</f>
        <v>-0</v>
      </c>
      <c r="CG59" s="56" t="n">
        <f aca="false">CG46+CG47+CG50+CG57+CG58</f>
        <v>-0</v>
      </c>
      <c r="CH59" s="56" t="n">
        <f aca="false">CH46+CH47+CH50+CH57+CH58</f>
        <v>-0</v>
      </c>
      <c r="CI59" s="56" t="n">
        <f aca="false">CI46+CI47+CI50+CI57+CI58</f>
        <v>-0</v>
      </c>
      <c r="CJ59" s="56" t="n">
        <f aca="false">CJ46+CJ47+CJ50+CJ57+CJ58</f>
        <v>-0</v>
      </c>
      <c r="CK59" s="56" t="n">
        <f aca="false">CK46+CK47+CK50+CK57+CK58</f>
        <v>-0</v>
      </c>
      <c r="CL59" s="56" t="n">
        <f aca="false">CL46+CL47+CL50+CL57+CL58</f>
        <v>-0</v>
      </c>
      <c r="CM59" s="56" t="n">
        <f aca="false">CM46+CM47+CM50+CM57+CM58</f>
        <v>-0</v>
      </c>
      <c r="CN59" s="56" t="n">
        <f aca="false">CN46+CN47+CN50+CN57+CN58</f>
        <v>-0</v>
      </c>
      <c r="CO59" s="56" t="n">
        <f aca="false">CO46+CO47+CO50+CO57+CO58</f>
        <v>-0</v>
      </c>
      <c r="CP59" s="56" t="n">
        <f aca="false">CP46+CP47+CP50+CP57+CP58</f>
        <v>-0</v>
      </c>
      <c r="CQ59" s="56" t="n">
        <f aca="false">CQ46+CQ47+CQ50+CQ57+CQ58</f>
        <v>-0</v>
      </c>
      <c r="CR59" s="56" t="n">
        <f aca="false">CR46+CR47+CR50+CR57+CR58</f>
        <v>-0</v>
      </c>
      <c r="CS59" s="56" t="n">
        <f aca="false">CS46+CS47+CS50+CS57+CS58</f>
        <v>-0</v>
      </c>
      <c r="CT59" s="56" t="n">
        <f aca="false">CT46+CT47+CT50+CT57+CT58</f>
        <v>-0</v>
      </c>
      <c r="CU59" s="56" t="n">
        <f aca="false">CU46+CU47+CU50+CU57+CU58</f>
        <v>-0</v>
      </c>
      <c r="CV59" s="56" t="n">
        <f aca="false">CV46+CV47+CV50+CV57+CV58</f>
        <v>-0</v>
      </c>
      <c r="CW59" s="56" t="n">
        <f aca="false">CW46+CW47+CW50+CW57+CW58</f>
        <v>-0</v>
      </c>
      <c r="CX59" s="56" t="n">
        <f aca="false">CX46+CX47+CX50+CX57+CX58</f>
        <v>-0</v>
      </c>
      <c r="CY59" s="56" t="n">
        <f aca="false">CY46+CY47+CY50+CY57+CY58</f>
        <v>-0</v>
      </c>
      <c r="CZ59" s="56" t="n">
        <f aca="false">CZ46+CZ47+CZ50+CZ57+CZ58</f>
        <v>-0</v>
      </c>
      <c r="DA59" s="56" t="n">
        <f aca="false">DA46+DA47+DA50+DA57+DA58</f>
        <v>-0</v>
      </c>
      <c r="DB59" s="56" t="n">
        <f aca="false">DB46+DB47+DB50+DB57+DB58</f>
        <v>-0</v>
      </c>
      <c r="DC59" s="56" t="n">
        <f aca="false">DC46+DC47+DC50+DC57+DC58</f>
        <v>-0</v>
      </c>
      <c r="DD59" s="56" t="n">
        <f aca="false">DD46+DD47+DD50+DD57+DD58</f>
        <v>-0</v>
      </c>
      <c r="DE59" s="56" t="n">
        <f aca="false">DE46+DE47+DE50+DE57+DE58</f>
        <v>-0</v>
      </c>
      <c r="DF59" s="56" t="n">
        <f aca="false">DF46+DF47+DF50+DF57+DF58</f>
        <v>-0</v>
      </c>
      <c r="DG59" s="56" t="n">
        <f aca="false">DG46+DG47+DG50+DG57+DG58</f>
        <v>-0</v>
      </c>
      <c r="DH59" s="56" t="n">
        <f aca="false">DH46+DH47+DH50+DH57+DH58</f>
        <v>-0</v>
      </c>
      <c r="DI59" s="56" t="n">
        <f aca="false">DI46+DI47+DI50+DI57+DI58</f>
        <v>-0</v>
      </c>
      <c r="DJ59" s="56" t="n">
        <f aca="false">DJ46+DJ47+DJ50+DJ57+DJ58</f>
        <v>-0</v>
      </c>
      <c r="DK59" s="56" t="n">
        <f aca="false">DK46+DK47+DK50+DK57+DK58</f>
        <v>-0</v>
      </c>
      <c r="DL59" s="56" t="n">
        <f aca="false">DL46+DL47+DL50+DL57+DL58</f>
        <v>-0</v>
      </c>
      <c r="DM59" s="56" t="n">
        <f aca="false">DM46+DM47+DM50+DM57+DM58</f>
        <v>-0</v>
      </c>
      <c r="DN59" s="56" t="n">
        <f aca="false">DN46+DN47+DN50+DN57+DN58</f>
        <v>-0</v>
      </c>
      <c r="DO59" s="56" t="n">
        <f aca="false">DO46+DO47+DO50+DO57+DO58</f>
        <v>-0</v>
      </c>
      <c r="DP59" s="56" t="n">
        <f aca="false">DP46+DP47+DP50+DP57+DP58</f>
        <v>-0</v>
      </c>
      <c r="DQ59" s="56" t="n">
        <f aca="false">DQ46+DQ47+DQ50+DQ57+DQ58</f>
        <v>-0</v>
      </c>
      <c r="DR59" s="56" t="n">
        <f aca="false">DR46+DR47+DR50+DR57+DR58</f>
        <v>-0</v>
      </c>
      <c r="DS59" s="56" t="n">
        <f aca="false">DS46+DS47+DS50+DS57+DS58</f>
        <v>-0</v>
      </c>
      <c r="DT59" s="56" t="n">
        <f aca="false">DT46+DT47+DT50+DT57+DT58</f>
        <v>-0</v>
      </c>
      <c r="DU59" s="56" t="n">
        <f aca="false">DU46+DU47+DU50+DU57+DU58</f>
        <v>-0</v>
      </c>
      <c r="DV59" s="56" t="n">
        <f aca="false">DV46+DV47+DV50+DV57+DV58</f>
        <v>-0</v>
      </c>
      <c r="DW59" s="56" t="n">
        <f aca="false">DW46+DW47+DW50+DW57+DW58</f>
        <v>-0</v>
      </c>
      <c r="DX59" s="56" t="n">
        <f aca="false">DX46+DX47+DX50+DX57+DX58</f>
        <v>-0</v>
      </c>
      <c r="DY59" s="56" t="n">
        <f aca="false">DY46+DY47+DY50+DY57+DY58</f>
        <v>-0</v>
      </c>
      <c r="DZ59" s="56" t="n">
        <f aca="false">DZ46+DZ47+DZ50+DZ57+DZ58</f>
        <v>-0</v>
      </c>
      <c r="EA59" s="56" t="n">
        <f aca="false">EA46+EA47+EA50+EA57+EA58</f>
        <v>-0</v>
      </c>
      <c r="EB59" s="56" t="n">
        <f aca="false">EB46+EB47+EB50+EB57+EB58</f>
        <v>-0</v>
      </c>
      <c r="EC59" s="56" t="n">
        <f aca="false">EC46+EC47+EC50+EC57+EC58</f>
        <v>-0</v>
      </c>
      <c r="ED59" s="56" t="n">
        <f aca="false">ED46+ED47+ED50+ED57+ED58</f>
        <v>-0</v>
      </c>
      <c r="EE59" s="56" t="n">
        <f aca="false">EE46+EE47+EE50+EE57+EE58</f>
        <v>-0</v>
      </c>
      <c r="EF59" s="56" t="n">
        <f aca="false">EF46+EF47+EF50+EF57+EF58</f>
        <v>-0</v>
      </c>
      <c r="EG59" s="56" t="n">
        <f aca="false">EG46+EG47+EG50+EG57+EG58</f>
        <v>-0</v>
      </c>
      <c r="EH59" s="56" t="n">
        <f aca="false">EH46+EH47+EH50+EH57+EH58</f>
        <v>-0</v>
      </c>
      <c r="EI59" s="56" t="n">
        <f aca="false">EI46+EI47+EI50+EI57+EI58</f>
        <v>-0</v>
      </c>
      <c r="EJ59" s="56" t="n">
        <f aca="false">EJ46+EJ47+EJ50+EJ57+EJ58</f>
        <v>-0</v>
      </c>
      <c r="EK59" s="56" t="n">
        <f aca="false">EK46+EK47+EK50+EK57+EK58</f>
        <v>-0</v>
      </c>
      <c r="EL59" s="56" t="n">
        <f aca="false">EL46+EL47+EL50+EL57+EL58</f>
        <v>-0</v>
      </c>
      <c r="EM59" s="56" t="n">
        <f aca="false">EM46+EM47+EM50+EM57+EM58</f>
        <v>-0</v>
      </c>
      <c r="EN59" s="56" t="n">
        <f aca="false">EN46+EN47+EN50+EN57+EN58</f>
        <v>-0</v>
      </c>
      <c r="EO59" s="56" t="n">
        <f aca="false">EO46+EO47+EO50+EO57+EO58</f>
        <v>-0</v>
      </c>
      <c r="EP59" s="56" t="n">
        <f aca="false">EP46+EP47+EP50+EP57+EP58</f>
        <v>-0</v>
      </c>
      <c r="EQ59" s="56" t="n">
        <f aca="false">EQ46+EQ47+EQ50+EQ57+EQ58</f>
        <v>-0</v>
      </c>
      <c r="ER59" s="56" t="n">
        <f aca="false">ER46+ER47+ER50+ER57+ER58</f>
        <v>-0</v>
      </c>
      <c r="ES59" s="56" t="n">
        <f aca="false">ES46+ES47+ES50+ES57+ES58</f>
        <v>-0</v>
      </c>
      <c r="ET59" s="56" t="n">
        <f aca="false">ET46+ET47+ET50+ET57+ET58</f>
        <v>-0</v>
      </c>
    </row>
    <row r="60" customFormat="false" ht="15" hidden="false" customHeight="false" outlineLevel="0" collapsed="false">
      <c r="C60" s="1" t="s">
        <v>489</v>
      </c>
      <c r="D60" s="12" t="s">
        <v>222</v>
      </c>
      <c r="E60" s="47" t="n">
        <f aca="false">SUMIF($J$4:$ET$4,$E12,$J60:$ET60)</f>
        <v>21850.9278191781</v>
      </c>
      <c r="I60" s="57"/>
      <c r="J60" s="47" t="n">
        <f aca="false">I60-J47-J50-J53-J55</f>
        <v>0</v>
      </c>
      <c r="K60" s="47" t="n">
        <f aca="false">J60-K47-K50-K53-K55</f>
        <v>1241.09589041096</v>
      </c>
      <c r="L60" s="47" t="n">
        <f aca="false">K60-L47-L50-L53-L55</f>
        <v>1421.67739726027</v>
      </c>
      <c r="M60" s="47" t="n">
        <f aca="false">L60-M47-M50-M53-M55</f>
        <v>1421.67739726027</v>
      </c>
      <c r="N60" s="47" t="n">
        <f aca="false">M60-N47-N50-N53-N55</f>
        <v>1421.67739726027</v>
      </c>
      <c r="O60" s="47" t="n">
        <f aca="false">N60-O47-O50-O53-O55</f>
        <v>1421.67739726027</v>
      </c>
      <c r="P60" s="47" t="n">
        <f aca="false">O60-P47-P50-P53-P55</f>
        <v>1421.67739726027</v>
      </c>
      <c r="Q60" s="47" t="n">
        <f aca="false">P60-Q47-Q50-Q53-Q55</f>
        <v>1421.67739726027</v>
      </c>
      <c r="R60" s="47" t="n">
        <f aca="false">Q60-R47-R50-R53-R55</f>
        <v>1421.67739726027</v>
      </c>
      <c r="S60" s="47" t="n">
        <f aca="false">R60-S47-S50-S53-S55</f>
        <v>1421.67739726027</v>
      </c>
      <c r="T60" s="47" t="n">
        <f aca="false">S60-T47-T50-T53-T55</f>
        <v>21850.9278191781</v>
      </c>
      <c r="U60" s="47" t="n">
        <f aca="false">T60-U47-U50-U53-U55</f>
        <v>21850.9278191781</v>
      </c>
      <c r="V60" s="47" t="n">
        <f aca="false">U60-V47-V50-V53-V55</f>
        <v>21850.9278191781</v>
      </c>
      <c r="W60" s="47" t="n">
        <f aca="false">V60-W47-W50-W53-W55</f>
        <v>21850.9278191781</v>
      </c>
      <c r="X60" s="47" t="n">
        <f aca="false">W60-X47-X50-X53-X55</f>
        <v>21850.9278191781</v>
      </c>
      <c r="Y60" s="47" t="n">
        <f aca="false">X60-Y47-Y50-Y53-Y55</f>
        <v>21850.9278191781</v>
      </c>
      <c r="Z60" s="47" t="n">
        <f aca="false">Y60-Z47-Z50-Z53-Z55</f>
        <v>21850.9278191781</v>
      </c>
      <c r="AA60" s="47" t="n">
        <f aca="false">Z60-AA47-AA50-AA53-AA55</f>
        <v>21850.9278191781</v>
      </c>
      <c r="AB60" s="47" t="n">
        <f aca="false">AA60-AB47-AB50-AB53-AB55</f>
        <v>21850.9278191781</v>
      </c>
      <c r="AC60" s="47" t="n">
        <f aca="false">AB60-AC47-AC50-AC53-AC55</f>
        <v>21850.9278191781</v>
      </c>
      <c r="AD60" s="47" t="n">
        <f aca="false">AC60-AD47-AD50-AD53-AD55</f>
        <v>21850.9278191781</v>
      </c>
      <c r="AE60" s="47" t="n">
        <f aca="false">AD60-AE47-AE50-AE53-AE55</f>
        <v>21850.9278191781</v>
      </c>
      <c r="AF60" s="47" t="n">
        <f aca="false">AE60-AF47-AF50-AF53-AF55</f>
        <v>21850.9278191781</v>
      </c>
      <c r="AG60" s="47" t="n">
        <f aca="false">AF60-AG47-AG50-AG53-AG55</f>
        <v>21850.9278191781</v>
      </c>
      <c r="AH60" s="47" t="n">
        <f aca="false">AG60-AH47-AH50-AH53-AH55</f>
        <v>21850.9278191781</v>
      </c>
      <c r="AI60" s="47" t="n">
        <f aca="false">AH60-AI47-AI50-AI53-AI55</f>
        <v>21850.9278191781</v>
      </c>
      <c r="AJ60" s="47" t="n">
        <f aca="false">AI60-AJ47-AJ50-AJ53-AJ55</f>
        <v>21850.9278191781</v>
      </c>
      <c r="AK60" s="47" t="n">
        <f aca="false">AJ60-AK47-AK50-AK53-AK55</f>
        <v>21850.9278191781</v>
      </c>
      <c r="AL60" s="47" t="n">
        <f aca="false">AK60-AL47-AL50-AL53-AL55</f>
        <v>21850.9278191781</v>
      </c>
      <c r="AM60" s="47" t="n">
        <f aca="false">AL60-AM47-AM50-AM53-AM55</f>
        <v>21850.9278191781</v>
      </c>
      <c r="AN60" s="47" t="n">
        <f aca="false">AM60-AN47-AN50-AN53-AN55</f>
        <v>21850.9278191781</v>
      </c>
      <c r="AO60" s="47" t="n">
        <f aca="false">AN60-AO47-AO50-AO53-AO55</f>
        <v>21850.9278191781</v>
      </c>
      <c r="AP60" s="47" t="n">
        <f aca="false">AO60-AP47-AP50-AP53-AP55</f>
        <v>21850.9278191781</v>
      </c>
      <c r="AQ60" s="47" t="n">
        <f aca="false">AP60-AQ47-AQ50-AQ53-AQ55</f>
        <v>21850.9278191781</v>
      </c>
      <c r="AR60" s="47" t="n">
        <f aca="false">AQ60-AR47-AR50-AR53-AR55</f>
        <v>21850.9278191781</v>
      </c>
      <c r="AS60" s="47" t="n">
        <f aca="false">AR60-AS47-AS50-AS53-AS55</f>
        <v>21850.9278191781</v>
      </c>
      <c r="AT60" s="47" t="n">
        <f aca="false">AS60-AT47-AT50-AT53-AT55</f>
        <v>21850.9278191781</v>
      </c>
      <c r="AU60" s="47" t="n">
        <f aca="false">AT60-AU47-AU50-AU53-AU55</f>
        <v>21850.9278191781</v>
      </c>
      <c r="AV60" s="47" t="n">
        <f aca="false">AU60-AV47-AV50-AV53-AV55</f>
        <v>21850.9278191781</v>
      </c>
      <c r="AW60" s="47" t="n">
        <f aca="false">AV60-AW47-AW50-AW53-AW55</f>
        <v>21850.9278191781</v>
      </c>
      <c r="AX60" s="47" t="n">
        <f aca="false">AW60-AX47-AX50-AX53-AX55</f>
        <v>21850.9278191781</v>
      </c>
      <c r="AY60" s="47" t="n">
        <f aca="false">AX60-AY47-AY50-AY53-AY55</f>
        <v>21850.9278191781</v>
      </c>
      <c r="AZ60" s="47" t="n">
        <f aca="false">AY60-AZ47-AZ50-AZ53-AZ55</f>
        <v>21850.9278191781</v>
      </c>
      <c r="BA60" s="47" t="n">
        <f aca="false">AZ60-BA47-BA50-BA53-BA55</f>
        <v>21850.9278191781</v>
      </c>
      <c r="BB60" s="47" t="n">
        <f aca="false">BA60-BB47-BB50-BB53-BB55</f>
        <v>21850.9278191781</v>
      </c>
      <c r="BC60" s="47" t="n">
        <f aca="false">BB60-BC47-BC50-BC53-BC55</f>
        <v>21850.9278191781</v>
      </c>
      <c r="BD60" s="47" t="n">
        <f aca="false">BC60-BD47-BD50-BD53-BD55</f>
        <v>21850.9278191781</v>
      </c>
      <c r="BE60" s="47" t="n">
        <f aca="false">BD60-BE47-BE50-BE53-BE55</f>
        <v>21850.9278191781</v>
      </c>
      <c r="BF60" s="47" t="n">
        <f aca="false">BE60-BF47-BF50-BF53-BF55</f>
        <v>21850.9278191781</v>
      </c>
      <c r="BG60" s="47" t="n">
        <f aca="false">BF60-BG47-BG50-BG53-BG55</f>
        <v>21850.9278191781</v>
      </c>
      <c r="BH60" s="47" t="n">
        <f aca="false">BG60-BH47-BH50-BH53-BH55</f>
        <v>21850.9278191781</v>
      </c>
      <c r="BI60" s="47" t="n">
        <f aca="false">BH60-BI47-BI50-BI53-BI55</f>
        <v>21850.9278191781</v>
      </c>
      <c r="BJ60" s="47" t="n">
        <f aca="false">BI60-BJ47-BJ50-BJ53-BJ55</f>
        <v>21850.9278191781</v>
      </c>
      <c r="BK60" s="47" t="n">
        <f aca="false">BJ60-BK47-BK50-BK53-BK55</f>
        <v>21850.9278191781</v>
      </c>
      <c r="BL60" s="47" t="n">
        <f aca="false">BK60-BL47-BL50-BL53-BL55</f>
        <v>21850.9278191781</v>
      </c>
      <c r="BM60" s="47" t="n">
        <f aca="false">BL60-BM47-BM50-BM53-BM55</f>
        <v>21850.9278191781</v>
      </c>
      <c r="BN60" s="47" t="n">
        <f aca="false">BM60-BN47-BN50-BN53-BN55</f>
        <v>21850.9278191781</v>
      </c>
      <c r="BO60" s="47" t="n">
        <f aca="false">BN60-BO47-BO50-BO53-BO55</f>
        <v>21850.9278191781</v>
      </c>
      <c r="BP60" s="47" t="n">
        <f aca="false">BO60-BP47-BP50-BP53-BP55</f>
        <v>21850.9278191781</v>
      </c>
      <c r="BQ60" s="47" t="n">
        <f aca="false">BP60-BQ47-BQ50-BQ53-BQ55</f>
        <v>21850.9278191781</v>
      </c>
      <c r="BR60" s="47" t="n">
        <f aca="false">BQ60-BR47-BR50-BR53-BR55</f>
        <v>21850.9278191781</v>
      </c>
      <c r="BS60" s="47" t="n">
        <f aca="false">BR60-BS47-BS50-BS53-BS55</f>
        <v>21850.9278191781</v>
      </c>
      <c r="BT60" s="47" t="n">
        <f aca="false">BS60-BT47-BT50-BT53-BT55</f>
        <v>21850.9278191781</v>
      </c>
      <c r="BU60" s="47" t="n">
        <f aca="false">BT60-BU47-BU50-BU53-BU55</f>
        <v>21850.9278191781</v>
      </c>
      <c r="BV60" s="47" t="n">
        <f aca="false">BU60-BV47-BV50-BV53-BV55</f>
        <v>21850.9278191781</v>
      </c>
      <c r="BW60" s="47" t="n">
        <f aca="false">BV60-BW47-BW50-BW53-BW55</f>
        <v>21850.9278191781</v>
      </c>
      <c r="BX60" s="47" t="n">
        <f aca="false">BW60-BX47-BX50-BX53-BX55</f>
        <v>21850.9278191781</v>
      </c>
      <c r="BY60" s="47" t="n">
        <f aca="false">BX60-BY47-BY50-BY53-BY55</f>
        <v>21850.9278191781</v>
      </c>
      <c r="BZ60" s="47" t="n">
        <f aca="false">BY60-BZ47-BZ50-BZ53-BZ55</f>
        <v>21850.9278191781</v>
      </c>
      <c r="CA60" s="47" t="n">
        <f aca="false">BZ60-CA47-CA50-CA53-CA55</f>
        <v>21850.9278191781</v>
      </c>
      <c r="CB60" s="47" t="n">
        <f aca="false">CA60-CB47-CB50-CB53-CB55</f>
        <v>21850.9278191781</v>
      </c>
      <c r="CC60" s="47" t="n">
        <f aca="false">CB60-CC47-CC50-CC53-CC55</f>
        <v>21850.9278191781</v>
      </c>
      <c r="CD60" s="47" t="n">
        <f aca="false">CC60-CD47-CD50-CD53-CD55</f>
        <v>21850.9278191781</v>
      </c>
      <c r="CE60" s="47" t="n">
        <f aca="false">CD60-CE47-CE50-CE53-CE55</f>
        <v>21850.9278191781</v>
      </c>
      <c r="CF60" s="47" t="n">
        <f aca="false">CE60-CF47-CF50-CF53-CF55</f>
        <v>21850.9278191781</v>
      </c>
      <c r="CG60" s="47" t="n">
        <f aca="false">CF60-CG47-CG50-CG53-CG55</f>
        <v>21850.9278191781</v>
      </c>
      <c r="CH60" s="47" t="n">
        <f aca="false">CG60-CH47-CH50-CH53-CH55</f>
        <v>21850.9278191781</v>
      </c>
      <c r="CI60" s="47" t="n">
        <f aca="false">CH60-CI47-CI50-CI53-CI55</f>
        <v>21850.9278191781</v>
      </c>
      <c r="CJ60" s="47" t="n">
        <f aca="false">CI60-CJ47-CJ50-CJ53-CJ55</f>
        <v>21850.9278191781</v>
      </c>
      <c r="CK60" s="47" t="n">
        <f aca="false">CJ60-CK47-CK50-CK53-CK55</f>
        <v>21850.9278191781</v>
      </c>
      <c r="CL60" s="47" t="n">
        <f aca="false">CK60-CL47-CL50-CL53-CL55</f>
        <v>21850.9278191781</v>
      </c>
      <c r="CM60" s="47" t="n">
        <f aca="false">CL60-CM47-CM50-CM53-CM55</f>
        <v>21850.9278191781</v>
      </c>
      <c r="CN60" s="47" t="n">
        <f aca="false">CM60-CN47-CN50-CN53-CN55</f>
        <v>21850.9278191781</v>
      </c>
      <c r="CO60" s="47" t="n">
        <f aca="false">CN60-CO47-CO50-CO53-CO55</f>
        <v>21850.9278191781</v>
      </c>
      <c r="CP60" s="47" t="n">
        <f aca="false">CO60-CP47-CP50-CP53-CP55</f>
        <v>21850.9278191781</v>
      </c>
      <c r="CQ60" s="47" t="n">
        <f aca="false">CP60-CQ47-CQ50-CQ53-CQ55</f>
        <v>21850.9278191781</v>
      </c>
      <c r="CR60" s="47" t="n">
        <f aca="false">CQ60-CR47-CR50-CR53-CR55</f>
        <v>21850.9278191781</v>
      </c>
      <c r="CS60" s="47" t="n">
        <f aca="false">CR60-CS47-CS50-CS53-CS55</f>
        <v>21850.9278191781</v>
      </c>
      <c r="CT60" s="47" t="n">
        <f aca="false">CS60-CT47-CT50-CT53-CT55</f>
        <v>21850.9278191781</v>
      </c>
      <c r="CU60" s="47" t="n">
        <f aca="false">CT60-CU47-CU50-CU53-CU55</f>
        <v>21850.9278191781</v>
      </c>
      <c r="CV60" s="47" t="n">
        <f aca="false">CU60-CV47-CV50-CV53-CV55</f>
        <v>21850.9278191781</v>
      </c>
      <c r="CW60" s="47" t="n">
        <f aca="false">CV60-CW47-CW50-CW53-CW55</f>
        <v>21850.9278191781</v>
      </c>
      <c r="CX60" s="47" t="n">
        <f aca="false">CW60-CX47-CX50-CX53-CX55</f>
        <v>21850.9278191781</v>
      </c>
      <c r="CY60" s="47" t="n">
        <f aca="false">CX60-CY47-CY50-CY53-CY55</f>
        <v>21850.9278191781</v>
      </c>
      <c r="CZ60" s="47" t="n">
        <f aca="false">CY60-CZ47-CZ50-CZ53-CZ55</f>
        <v>21850.9278191781</v>
      </c>
      <c r="DA60" s="47" t="n">
        <f aca="false">CZ60-DA47-DA50-DA53-DA55</f>
        <v>21850.9278191781</v>
      </c>
      <c r="DB60" s="47" t="n">
        <f aca="false">DA60-DB47-DB50-DB53-DB55</f>
        <v>21850.9278191781</v>
      </c>
      <c r="DC60" s="47" t="n">
        <f aca="false">DB60-DC47-DC50-DC53-DC55</f>
        <v>21850.9278191781</v>
      </c>
      <c r="DD60" s="47" t="n">
        <f aca="false">DC60-DD47-DD50-DD53-DD55</f>
        <v>21850.9278191781</v>
      </c>
      <c r="DE60" s="47" t="n">
        <f aca="false">DD60-DE47-DE50-DE53-DE55</f>
        <v>21850.9278191781</v>
      </c>
      <c r="DF60" s="47" t="n">
        <f aca="false">DE60-DF47-DF50-DF53-DF55</f>
        <v>21850.9278191781</v>
      </c>
      <c r="DG60" s="47" t="n">
        <f aca="false">DF60-DG47-DG50-DG53-DG55</f>
        <v>21850.9278191781</v>
      </c>
      <c r="DH60" s="47" t="n">
        <f aca="false">DG60-DH47-DH50-DH53-DH55</f>
        <v>21850.9278191781</v>
      </c>
      <c r="DI60" s="47" t="n">
        <f aca="false">DH60-DI47-DI50-DI53-DI55</f>
        <v>21850.9278191781</v>
      </c>
      <c r="DJ60" s="47" t="n">
        <f aca="false">DI60-DJ47-DJ50-DJ53-DJ55</f>
        <v>21850.9278191781</v>
      </c>
      <c r="DK60" s="47" t="n">
        <f aca="false">DJ60-DK47-DK50-DK53-DK55</f>
        <v>21850.9278191781</v>
      </c>
      <c r="DL60" s="47" t="n">
        <f aca="false">DK60-DL47-DL50-DL53-DL55</f>
        <v>21850.9278191781</v>
      </c>
      <c r="DM60" s="47" t="n">
        <f aca="false">DL60-DM47-DM50-DM53-DM55</f>
        <v>21850.9278191781</v>
      </c>
      <c r="DN60" s="47" t="n">
        <f aca="false">DM60-DN47-DN50-DN53-DN55</f>
        <v>21850.9278191781</v>
      </c>
      <c r="DO60" s="47" t="n">
        <f aca="false">DN60-DO47-DO50-DO53-DO55</f>
        <v>21850.9278191781</v>
      </c>
      <c r="DP60" s="47" t="n">
        <f aca="false">DO60-DP47-DP50-DP53-DP55</f>
        <v>21850.9278191781</v>
      </c>
      <c r="DQ60" s="47" t="n">
        <f aca="false">DP60-DQ47-DQ50-DQ53-DQ55</f>
        <v>21850.9278191781</v>
      </c>
      <c r="DR60" s="47" t="n">
        <f aca="false">DQ60-DR47-DR50-DR53-DR55</f>
        <v>21850.9278191781</v>
      </c>
      <c r="DS60" s="47" t="n">
        <f aca="false">DR60-DS47-DS50-DS53-DS55</f>
        <v>21850.9278191781</v>
      </c>
      <c r="DT60" s="47" t="n">
        <f aca="false">DS60-DT47-DT50-DT53-DT55</f>
        <v>21850.9278191781</v>
      </c>
      <c r="DU60" s="47" t="n">
        <f aca="false">DT60-DU47-DU50-DU53-DU55</f>
        <v>21850.9278191781</v>
      </c>
      <c r="DV60" s="47" t="n">
        <f aca="false">DU60-DV47-DV50-DV53-DV55</f>
        <v>21850.9278191781</v>
      </c>
      <c r="DW60" s="47" t="n">
        <f aca="false">DV60-DW47-DW50-DW53-DW55</f>
        <v>21850.9278191781</v>
      </c>
      <c r="DX60" s="47" t="n">
        <f aca="false">DW60-DX47-DX50-DX53-DX55</f>
        <v>21850.9278191781</v>
      </c>
      <c r="DY60" s="47" t="n">
        <f aca="false">DX60-DY47-DY50-DY53-DY55</f>
        <v>21850.9278191781</v>
      </c>
      <c r="DZ60" s="47" t="n">
        <f aca="false">DY60-DZ47-DZ50-DZ53-DZ55</f>
        <v>21850.9278191781</v>
      </c>
      <c r="EA60" s="47" t="n">
        <f aca="false">DZ60-EA47-EA50-EA53-EA55</f>
        <v>21850.9278191781</v>
      </c>
      <c r="EB60" s="47" t="n">
        <f aca="false">EA60-EB47-EB50-EB53-EB55</f>
        <v>21850.9278191781</v>
      </c>
      <c r="EC60" s="47" t="n">
        <f aca="false">EB60-EC47-EC50-EC53-EC55</f>
        <v>21850.9278191781</v>
      </c>
      <c r="ED60" s="47" t="n">
        <f aca="false">EC60-ED47-ED50-ED53-ED55</f>
        <v>21850.9278191781</v>
      </c>
      <c r="EE60" s="47" t="n">
        <f aca="false">ED60-EE47-EE50-EE53-EE55</f>
        <v>21850.9278191781</v>
      </c>
      <c r="EF60" s="47" t="n">
        <f aca="false">EE60-EF47-EF50-EF53-EF55</f>
        <v>21850.9278191781</v>
      </c>
      <c r="EG60" s="47" t="n">
        <f aca="false">EF60-EG47-EG50-EG53-EG55</f>
        <v>21850.9278191781</v>
      </c>
      <c r="EH60" s="47" t="n">
        <f aca="false">EG60-EH47-EH50-EH53-EH55</f>
        <v>21850.9278191781</v>
      </c>
      <c r="EI60" s="47" t="n">
        <f aca="false">EH60-EI47-EI50-EI53-EI55</f>
        <v>21850.9278191781</v>
      </c>
      <c r="EJ60" s="47" t="n">
        <f aca="false">EI60-EJ47-EJ50-EJ53-EJ55</f>
        <v>21850.9278191781</v>
      </c>
      <c r="EK60" s="47" t="n">
        <f aca="false">EJ60-EK47-EK50-EK53-EK55</f>
        <v>21850.9278191781</v>
      </c>
      <c r="EL60" s="47" t="n">
        <f aca="false">EK60-EL47-EL50-EL53-EL55</f>
        <v>21850.9278191781</v>
      </c>
      <c r="EM60" s="47" t="n">
        <f aca="false">EL60-EM47-EM50-EM53-EM55</f>
        <v>21850.9278191781</v>
      </c>
      <c r="EN60" s="47" t="n">
        <f aca="false">EM60-EN47-EN50-EN53-EN55</f>
        <v>21850.9278191781</v>
      </c>
      <c r="EO60" s="47" t="n">
        <f aca="false">EN60-EO47-EO50-EO53-EO55</f>
        <v>21850.9278191781</v>
      </c>
      <c r="EP60" s="47" t="n">
        <f aca="false">EO60-EP47-EP50-EP53-EP55</f>
        <v>21850.9278191781</v>
      </c>
      <c r="EQ60" s="47" t="n">
        <f aca="false">EP60-EQ47-EQ50-EQ53-EQ55</f>
        <v>21850.9278191781</v>
      </c>
      <c r="ER60" s="47" t="n">
        <f aca="false">EQ60-ER47-ER50-ER53-ER55</f>
        <v>21850.9278191781</v>
      </c>
      <c r="ES60" s="47" t="n">
        <f aca="false">ER60-ES47-ES50-ES53-ES55</f>
        <v>21850.9278191781</v>
      </c>
      <c r="ET60" s="47" t="n">
        <f aca="false">ES60-ET47-ET50-ET53-ET55</f>
        <v>21850.9278191781</v>
      </c>
    </row>
    <row r="62" customFormat="false" ht="15" hidden="false" customHeight="false" outlineLevel="0" collapsed="false">
      <c r="A62" s="10" t="s">
        <v>13</v>
      </c>
      <c r="B62" s="10"/>
      <c r="C62" s="10" t="s">
        <v>490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</row>
    <row r="63" customFormat="false" ht="15" hidden="false" customHeight="false" outlineLevel="0" collapsed="false">
      <c r="A63" s="36"/>
      <c r="B63" s="36"/>
      <c r="C63" s="36" t="s">
        <v>491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6"/>
      <c r="DL63" s="36"/>
      <c r="DM63" s="36"/>
      <c r="DN63" s="36"/>
      <c r="DO63" s="36"/>
      <c r="DP63" s="36"/>
      <c r="DQ63" s="36"/>
      <c r="DR63" s="36"/>
      <c r="DS63" s="36"/>
      <c r="DT63" s="36"/>
      <c r="DU63" s="36"/>
      <c r="DV63" s="36"/>
      <c r="DW63" s="36"/>
      <c r="DX63" s="36"/>
      <c r="DY63" s="36"/>
      <c r="DZ63" s="36"/>
      <c r="EA63" s="36"/>
      <c r="EB63" s="36"/>
      <c r="EC63" s="36"/>
      <c r="ED63" s="36"/>
      <c r="EE63" s="36"/>
      <c r="EF63" s="36"/>
      <c r="EG63" s="36"/>
      <c r="EH63" s="36"/>
      <c r="EI63" s="36"/>
      <c r="EJ63" s="36"/>
      <c r="EK63" s="36"/>
      <c r="EL63" s="36"/>
      <c r="EM63" s="36"/>
      <c r="EN63" s="36"/>
      <c r="EO63" s="36"/>
      <c r="EP63" s="36"/>
      <c r="EQ63" s="36"/>
      <c r="ER63" s="36"/>
      <c r="ES63" s="36"/>
      <c r="ET63" s="36"/>
    </row>
    <row r="64" customFormat="false" ht="15" hidden="false" customHeight="false" outlineLevel="0" collapsed="false">
      <c r="C64" s="1" t="s">
        <v>492</v>
      </c>
      <c r="D64" s="12" t="s">
        <v>222</v>
      </c>
      <c r="E64" s="47" t="n">
        <f aca="false">SUMIF($J$4:$ET$4,"&lt;="&amp;$E12,$J64:$ET64)+$I47</f>
        <v>21412.2641205479</v>
      </c>
      <c r="I64" s="47" t="n">
        <f aca="false">SUM(J64:ET64)</f>
        <v>21420.4832986301</v>
      </c>
      <c r="J64" s="47" t="n">
        <f aca="false">-(J47+J50+J53)</f>
        <v>0</v>
      </c>
      <c r="K64" s="47" t="n">
        <f aca="false">-(K47+K50+K53)</f>
        <v>1241.09589041096</v>
      </c>
      <c r="L64" s="47" t="n">
        <f aca="false">-(L47+L50+L53)</f>
        <v>0</v>
      </c>
      <c r="M64" s="47" t="n">
        <f aca="false">-(M47+M50+M53)</f>
        <v>0</v>
      </c>
      <c r="N64" s="47" t="n">
        <f aca="false">-(N47+N50+N53)</f>
        <v>0</v>
      </c>
      <c r="O64" s="47" t="n">
        <f aca="false">-(O47+O50+O53)</f>
        <v>0</v>
      </c>
      <c r="P64" s="47" t="n">
        <f aca="false">-(P47+P50+P53)</f>
        <v>0</v>
      </c>
      <c r="Q64" s="47" t="n">
        <f aca="false">-(Q47+Q50+Q53)</f>
        <v>0</v>
      </c>
      <c r="R64" s="47" t="n">
        <f aca="false">-(R47+R50+R53)</f>
        <v>0</v>
      </c>
      <c r="S64" s="47" t="n">
        <f aca="false">-(S47+S50+S53)</f>
        <v>0</v>
      </c>
      <c r="T64" s="47" t="n">
        <f aca="false">-(T47+T50+T53)</f>
        <v>20179.3874082192</v>
      </c>
      <c r="U64" s="47" t="n">
        <f aca="false">-(U47+U50+U53)</f>
        <v>0</v>
      </c>
      <c r="V64" s="47" t="n">
        <f aca="false">-(V47+V50+V53)</f>
        <v>0</v>
      </c>
      <c r="W64" s="47" t="n">
        <f aca="false">-(W47+W50+W53)</f>
        <v>0</v>
      </c>
      <c r="X64" s="47" t="n">
        <f aca="false">-(X47+X50+X53)</f>
        <v>0</v>
      </c>
      <c r="Y64" s="47" t="n">
        <f aca="false">-(Y47+Y50+Y53)</f>
        <v>0</v>
      </c>
      <c r="Z64" s="47" t="n">
        <f aca="false">-(Z47+Z50+Z53)</f>
        <v>0</v>
      </c>
      <c r="AA64" s="47" t="n">
        <f aca="false">-(AA47+AA50+AA53)</f>
        <v>0</v>
      </c>
      <c r="AB64" s="47" t="n">
        <f aca="false">-(AB47+AB50+AB53)</f>
        <v>0</v>
      </c>
      <c r="AC64" s="47" t="n">
        <f aca="false">-(AC47+AC50+AC53)</f>
        <v>0</v>
      </c>
      <c r="AD64" s="47" t="n">
        <f aca="false">-(AD47+AD50+AD53)</f>
        <v>0</v>
      </c>
      <c r="AE64" s="47" t="n">
        <f aca="false">-(AE47+AE50+AE53)</f>
        <v>0</v>
      </c>
      <c r="AF64" s="47" t="n">
        <f aca="false">-(AF47+AF50+AF53)</f>
        <v>0</v>
      </c>
      <c r="AG64" s="47" t="n">
        <f aca="false">-(AG47+AG50+AG53)</f>
        <v>0</v>
      </c>
      <c r="AH64" s="47" t="n">
        <f aca="false">-(AH47+AH50+AH53)</f>
        <v>0</v>
      </c>
      <c r="AI64" s="47" t="n">
        <f aca="false">-(AI47+AI50+AI53)</f>
        <v>0</v>
      </c>
      <c r="AJ64" s="47" t="n">
        <f aca="false">-(AJ47+AJ50+AJ53)</f>
        <v>0</v>
      </c>
      <c r="AK64" s="47" t="n">
        <f aca="false">-(AK47+AK50+AK53)</f>
        <v>0</v>
      </c>
      <c r="AL64" s="47" t="n">
        <f aca="false">-(AL47+AL50+AL53)</f>
        <v>0</v>
      </c>
      <c r="AM64" s="47" t="n">
        <f aca="false">-(AM47+AM50+AM53)</f>
        <v>0</v>
      </c>
      <c r="AN64" s="47" t="n">
        <f aca="false">-(AN47+AN50+AN53)</f>
        <v>0</v>
      </c>
      <c r="AO64" s="47" t="n">
        <f aca="false">-(AO47+AO50+AO53)</f>
        <v>0</v>
      </c>
      <c r="AP64" s="47" t="n">
        <f aca="false">-(AP47+AP50+AP53)</f>
        <v>0</v>
      </c>
      <c r="AQ64" s="47" t="n">
        <f aca="false">-(AQ47+AQ50+AQ53)</f>
        <v>0</v>
      </c>
      <c r="AR64" s="47" t="n">
        <f aca="false">-(AR47+AR50+AR53)</f>
        <v>0</v>
      </c>
      <c r="AS64" s="47" t="n">
        <f aca="false">-(AS47+AS50+AS53)</f>
        <v>0</v>
      </c>
      <c r="AT64" s="47" t="n">
        <f aca="false">-(AT47+AT50+AT53)</f>
        <v>0</v>
      </c>
      <c r="AU64" s="47" t="n">
        <f aca="false">-(AU47+AU50+AU53)</f>
        <v>0</v>
      </c>
      <c r="AV64" s="47" t="n">
        <f aca="false">-(AV47+AV50+AV53)</f>
        <v>0</v>
      </c>
      <c r="AW64" s="47" t="n">
        <f aca="false">-(AW47+AW50+AW53)</f>
        <v>0</v>
      </c>
      <c r="AX64" s="47" t="n">
        <f aca="false">-(AX47+AX50+AX53)</f>
        <v>0</v>
      </c>
      <c r="AY64" s="47" t="n">
        <f aca="false">-(AY47+AY50+AY53)</f>
        <v>0</v>
      </c>
      <c r="AZ64" s="47" t="n">
        <f aca="false">-(AZ47+AZ50+AZ53)</f>
        <v>0</v>
      </c>
      <c r="BA64" s="47" t="n">
        <f aca="false">-(BA47+BA50+BA53)</f>
        <v>0</v>
      </c>
      <c r="BB64" s="47" t="n">
        <f aca="false">-(BB47+BB50+BB53)</f>
        <v>0</v>
      </c>
      <c r="BC64" s="47" t="n">
        <f aca="false">-(BC47+BC50+BC53)</f>
        <v>0</v>
      </c>
      <c r="BD64" s="47" t="n">
        <f aca="false">-(BD47+BD50+BD53)</f>
        <v>0</v>
      </c>
      <c r="BE64" s="47" t="n">
        <f aca="false">-(BE47+BE50+BE53)</f>
        <v>0</v>
      </c>
      <c r="BF64" s="47" t="n">
        <f aca="false">-(BF47+BF50+BF53)</f>
        <v>0</v>
      </c>
      <c r="BG64" s="47" t="n">
        <f aca="false">-(BG47+BG50+BG53)</f>
        <v>0</v>
      </c>
      <c r="BH64" s="47" t="n">
        <f aca="false">-(BH47+BH50+BH53)</f>
        <v>0</v>
      </c>
      <c r="BI64" s="47" t="n">
        <f aca="false">-(BI47+BI50+BI53)</f>
        <v>0</v>
      </c>
      <c r="BJ64" s="47" t="n">
        <f aca="false">-(BJ47+BJ50+BJ53)</f>
        <v>0</v>
      </c>
      <c r="BK64" s="47" t="n">
        <f aca="false">-(BK47+BK50+BK53)</f>
        <v>0</v>
      </c>
      <c r="BL64" s="47" t="n">
        <f aca="false">-(BL47+BL50+BL53)</f>
        <v>0</v>
      </c>
      <c r="BM64" s="47" t="n">
        <f aca="false">-(BM47+BM50+BM53)</f>
        <v>0</v>
      </c>
      <c r="BN64" s="47" t="n">
        <f aca="false">-(BN47+BN50+BN53)</f>
        <v>0</v>
      </c>
      <c r="BO64" s="47" t="n">
        <f aca="false">-(BO47+BO50+BO53)</f>
        <v>0</v>
      </c>
      <c r="BP64" s="47" t="n">
        <f aca="false">-(BP47+BP50+BP53)</f>
        <v>0</v>
      </c>
      <c r="BQ64" s="47" t="n">
        <f aca="false">-(BQ47+BQ50+BQ53)</f>
        <v>0</v>
      </c>
      <c r="BR64" s="47" t="n">
        <f aca="false">-(BR47+BR50+BR53)</f>
        <v>0</v>
      </c>
      <c r="BS64" s="47" t="n">
        <f aca="false">-(BS47+BS50+BS53)</f>
        <v>0</v>
      </c>
      <c r="BT64" s="47" t="n">
        <f aca="false">-(BT47+BT50+BT53)</f>
        <v>0</v>
      </c>
      <c r="BU64" s="47" t="n">
        <f aca="false">-(BU47+BU50+BU53)</f>
        <v>0</v>
      </c>
      <c r="BV64" s="47" t="n">
        <f aca="false">-(BV47+BV50+BV53)</f>
        <v>0</v>
      </c>
      <c r="BW64" s="47" t="n">
        <f aca="false">-(BW47+BW50+BW53)</f>
        <v>0</v>
      </c>
      <c r="BX64" s="47" t="n">
        <f aca="false">-(BX47+BX50+BX53)</f>
        <v>0</v>
      </c>
      <c r="BY64" s="47" t="n">
        <f aca="false">-(BY47+BY50+BY53)</f>
        <v>0</v>
      </c>
      <c r="BZ64" s="47" t="n">
        <f aca="false">-(BZ47+BZ50+BZ53)</f>
        <v>0</v>
      </c>
      <c r="CA64" s="47" t="n">
        <f aca="false">-(CA47+CA50+CA53)</f>
        <v>0</v>
      </c>
      <c r="CB64" s="47" t="n">
        <f aca="false">-(CB47+CB50+CB53)</f>
        <v>0</v>
      </c>
      <c r="CC64" s="47" t="n">
        <f aca="false">-(CC47+CC50+CC53)</f>
        <v>0</v>
      </c>
      <c r="CD64" s="47" t="n">
        <f aca="false">-(CD47+CD50+CD53)</f>
        <v>0</v>
      </c>
      <c r="CE64" s="47" t="n">
        <f aca="false">-(CE47+CE50+CE53)</f>
        <v>0</v>
      </c>
      <c r="CF64" s="47" t="n">
        <f aca="false">-(CF47+CF50+CF53)</f>
        <v>0</v>
      </c>
      <c r="CG64" s="47" t="n">
        <f aca="false">-(CG47+CG50+CG53)</f>
        <v>0</v>
      </c>
      <c r="CH64" s="47" t="n">
        <f aca="false">-(CH47+CH50+CH53)</f>
        <v>0</v>
      </c>
      <c r="CI64" s="47" t="n">
        <f aca="false">-(CI47+CI50+CI53)</f>
        <v>0</v>
      </c>
      <c r="CJ64" s="47" t="n">
        <f aca="false">-(CJ47+CJ50+CJ53)</f>
        <v>0</v>
      </c>
      <c r="CK64" s="47" t="n">
        <f aca="false">-(CK47+CK50+CK53)</f>
        <v>0</v>
      </c>
      <c r="CL64" s="47" t="n">
        <f aca="false">-(CL47+CL50+CL53)</f>
        <v>0</v>
      </c>
      <c r="CM64" s="47" t="n">
        <f aca="false">-(CM47+CM50+CM53)</f>
        <v>0</v>
      </c>
      <c r="CN64" s="47" t="n">
        <f aca="false">-(CN47+CN50+CN53)</f>
        <v>0</v>
      </c>
      <c r="CO64" s="47" t="n">
        <f aca="false">-(CO47+CO50+CO53)</f>
        <v>0</v>
      </c>
      <c r="CP64" s="47" t="n">
        <f aca="false">-(CP47+CP50+CP53)</f>
        <v>0</v>
      </c>
      <c r="CQ64" s="47" t="n">
        <f aca="false">-(CQ47+CQ50+CQ53)</f>
        <v>0</v>
      </c>
      <c r="CR64" s="47" t="n">
        <f aca="false">-(CR47+CR50+CR53)</f>
        <v>0</v>
      </c>
      <c r="CS64" s="47" t="n">
        <f aca="false">-(CS47+CS50+CS53)</f>
        <v>0</v>
      </c>
      <c r="CT64" s="47" t="n">
        <f aca="false">-(CT47+CT50+CT53)</f>
        <v>0</v>
      </c>
      <c r="CU64" s="47" t="n">
        <f aca="false">-(CU47+CU50+CU53)</f>
        <v>0</v>
      </c>
      <c r="CV64" s="47" t="n">
        <f aca="false">-(CV47+CV50+CV53)</f>
        <v>0</v>
      </c>
      <c r="CW64" s="47" t="n">
        <f aca="false">-(CW47+CW50+CW53)</f>
        <v>0</v>
      </c>
      <c r="CX64" s="47" t="n">
        <f aca="false">-(CX47+CX50+CX53)</f>
        <v>0</v>
      </c>
      <c r="CY64" s="47" t="n">
        <f aca="false">-(CY47+CY50+CY53)</f>
        <v>0</v>
      </c>
      <c r="CZ64" s="47" t="n">
        <f aca="false">-(CZ47+CZ50+CZ53)</f>
        <v>0</v>
      </c>
      <c r="DA64" s="47" t="n">
        <f aca="false">-(DA47+DA50+DA53)</f>
        <v>0</v>
      </c>
      <c r="DB64" s="47" t="n">
        <f aca="false">-(DB47+DB50+DB53)</f>
        <v>0</v>
      </c>
      <c r="DC64" s="47" t="n">
        <f aca="false">-(DC47+DC50+DC53)</f>
        <v>0</v>
      </c>
      <c r="DD64" s="47" t="n">
        <f aca="false">-(DD47+DD50+DD53)</f>
        <v>0</v>
      </c>
      <c r="DE64" s="47" t="n">
        <f aca="false">-(DE47+DE50+DE53)</f>
        <v>0</v>
      </c>
      <c r="DF64" s="47" t="n">
        <f aca="false">-(DF47+DF50+DF53)</f>
        <v>0</v>
      </c>
      <c r="DG64" s="47" t="n">
        <f aca="false">-(DG47+DG50+DG53)</f>
        <v>0</v>
      </c>
      <c r="DH64" s="47" t="n">
        <f aca="false">-(DH47+DH50+DH53)</f>
        <v>0</v>
      </c>
      <c r="DI64" s="47" t="n">
        <f aca="false">-(DI47+DI50+DI53)</f>
        <v>0</v>
      </c>
      <c r="DJ64" s="47" t="n">
        <f aca="false">-(DJ47+DJ50+DJ53)</f>
        <v>0</v>
      </c>
      <c r="DK64" s="47" t="n">
        <f aca="false">-(DK47+DK50+DK53)</f>
        <v>0</v>
      </c>
      <c r="DL64" s="47" t="n">
        <f aca="false">-(DL47+DL50+DL53)</f>
        <v>0</v>
      </c>
      <c r="DM64" s="47" t="n">
        <f aca="false">-(DM47+DM50+DM53)</f>
        <v>0</v>
      </c>
      <c r="DN64" s="47" t="n">
        <f aca="false">-(DN47+DN50+DN53)</f>
        <v>0</v>
      </c>
      <c r="DO64" s="47" t="n">
        <f aca="false">-(DO47+DO50+DO53)</f>
        <v>0</v>
      </c>
      <c r="DP64" s="47" t="n">
        <f aca="false">-(DP47+DP50+DP53)</f>
        <v>0</v>
      </c>
      <c r="DQ64" s="47" t="n">
        <f aca="false">-(DQ47+DQ50+DQ53)</f>
        <v>0</v>
      </c>
      <c r="DR64" s="47" t="n">
        <f aca="false">-(DR47+DR50+DR53)</f>
        <v>0</v>
      </c>
      <c r="DS64" s="47" t="n">
        <f aca="false">-(DS47+DS50+DS53)</f>
        <v>0</v>
      </c>
      <c r="DT64" s="47" t="n">
        <f aca="false">-(DT47+DT50+DT53)</f>
        <v>0</v>
      </c>
      <c r="DU64" s="47" t="n">
        <f aca="false">-(DU47+DU50+DU53)</f>
        <v>0</v>
      </c>
      <c r="DV64" s="47" t="n">
        <f aca="false">-(DV47+DV50+DV53)</f>
        <v>0</v>
      </c>
      <c r="DW64" s="47" t="n">
        <f aca="false">-(DW47+DW50+DW53)</f>
        <v>0</v>
      </c>
      <c r="DX64" s="47" t="n">
        <f aca="false">-(DX47+DX50+DX53)</f>
        <v>0</v>
      </c>
      <c r="DY64" s="47" t="n">
        <f aca="false">-(DY47+DY50+DY53)</f>
        <v>0</v>
      </c>
      <c r="DZ64" s="47" t="n">
        <f aca="false">-(DZ47+DZ50+DZ53)</f>
        <v>0</v>
      </c>
      <c r="EA64" s="47" t="n">
        <f aca="false">-(EA47+EA50+EA53)</f>
        <v>0</v>
      </c>
      <c r="EB64" s="47" t="n">
        <f aca="false">-(EB47+EB50+EB53)</f>
        <v>0</v>
      </c>
      <c r="EC64" s="47" t="n">
        <f aca="false">-(EC47+EC50+EC53)</f>
        <v>0</v>
      </c>
      <c r="ED64" s="47" t="n">
        <f aca="false">-(ED47+ED50+ED53)</f>
        <v>0</v>
      </c>
      <c r="EE64" s="47" t="n">
        <f aca="false">-(EE47+EE50+EE53)</f>
        <v>0</v>
      </c>
      <c r="EF64" s="47" t="n">
        <f aca="false">-(EF47+EF50+EF53)</f>
        <v>0</v>
      </c>
      <c r="EG64" s="47" t="n">
        <f aca="false">-(EG47+EG50+EG53)</f>
        <v>0</v>
      </c>
      <c r="EH64" s="47" t="n">
        <f aca="false">-(EH47+EH50+EH53)</f>
        <v>0</v>
      </c>
      <c r="EI64" s="47" t="n">
        <f aca="false">-(EI47+EI50+EI53)</f>
        <v>0</v>
      </c>
      <c r="EJ64" s="47" t="n">
        <f aca="false">-(EJ47+EJ50+EJ53)</f>
        <v>0</v>
      </c>
      <c r="EK64" s="47" t="n">
        <f aca="false">-(EK47+EK50+EK53)</f>
        <v>0</v>
      </c>
      <c r="EL64" s="47" t="n">
        <f aca="false">-(EL47+EL50+EL53)</f>
        <v>0</v>
      </c>
      <c r="EM64" s="47" t="n">
        <f aca="false">-(EM47+EM50+EM53)</f>
        <v>0</v>
      </c>
      <c r="EN64" s="47" t="n">
        <f aca="false">-(EN47+EN50+EN53)</f>
        <v>0</v>
      </c>
      <c r="EO64" s="47" t="n">
        <f aca="false">-(EO47+EO50+EO53)</f>
        <v>0</v>
      </c>
      <c r="EP64" s="47" t="n">
        <f aca="false">-(EP47+EP50+EP53)</f>
        <v>0</v>
      </c>
      <c r="EQ64" s="47" t="n">
        <f aca="false">-(EQ47+EQ50+EQ53)</f>
        <v>0</v>
      </c>
      <c r="ER64" s="47" t="n">
        <f aca="false">-(ER47+ER50+ER53)</f>
        <v>0</v>
      </c>
      <c r="ES64" s="47" t="n">
        <f aca="false">-(ES47+ES50+ES53)</f>
        <v>0</v>
      </c>
      <c r="ET64" s="47" t="n">
        <f aca="false">-(ET47+ET50+ET53)</f>
        <v>0</v>
      </c>
    </row>
    <row r="65" customFormat="false" ht="15" hidden="false" customHeight="false" outlineLevel="0" collapsed="false">
      <c r="C65" s="1" t="s">
        <v>493</v>
      </c>
      <c r="D65" s="12" t="s">
        <v>180</v>
      </c>
      <c r="J65" s="58" t="n">
        <f aca="false">-(J47*$F47+J50*$F50+J51*$F51+J52*$F52)</f>
        <v>0</v>
      </c>
      <c r="K65" s="58" t="n">
        <f aca="false">-(K47*$F47+K50*$F50+K51*$F51+K52*$F52)</f>
        <v>57568972.6027397</v>
      </c>
      <c r="L65" s="58" t="n">
        <f aca="false">-(L47*$F47+L50*$F50+L51*$F51+L52*$F52)</f>
        <v>0</v>
      </c>
      <c r="M65" s="58" t="n">
        <f aca="false">-(M47*$F47+M50*$F50+M51*$F51+M52*$F52)</f>
        <v>0</v>
      </c>
      <c r="N65" s="58" t="n">
        <f aca="false">-(N47*$F47+N50*$F50+N51*$F51+N52*$F52)</f>
        <v>0</v>
      </c>
      <c r="O65" s="58" t="n">
        <f aca="false">-(O47*$F47+O50*$F50+O51*$F51+O52*$F52)</f>
        <v>0</v>
      </c>
      <c r="P65" s="58" t="n">
        <f aca="false">-(P47*$F47+P50*$F50+P51*$F51+P52*$F52)</f>
        <v>0</v>
      </c>
      <c r="Q65" s="58" t="n">
        <f aca="false">-(Q47*$F47+Q50*$F50+Q51*$F51+Q52*$F52)</f>
        <v>0</v>
      </c>
      <c r="R65" s="58" t="n">
        <f aca="false">-(R47*$F47+R50*$F50+R51*$F51+R52*$F52)</f>
        <v>0</v>
      </c>
      <c r="S65" s="58" t="n">
        <f aca="false">-(S47*$F47+S50*$F50+S51*$F51+S52*$F52)</f>
        <v>0</v>
      </c>
      <c r="T65" s="58" t="n">
        <f aca="false">-(T47*$F47+T50*$F50+T51*$F51+T52*$F52)</f>
        <v>950973810.999737</v>
      </c>
      <c r="U65" s="58" t="n">
        <f aca="false">-(U47*$F47+U50*$F50+U51*$F51+U52*$F52)</f>
        <v>0</v>
      </c>
      <c r="V65" s="58" t="n">
        <f aca="false">-(V47*$F47+V50*$F50+V51*$F51+V52*$F52)</f>
        <v>0</v>
      </c>
      <c r="W65" s="58" t="n">
        <f aca="false">-(W47*$F47+W50*$F50+W51*$F51+W52*$F52)</f>
        <v>0</v>
      </c>
      <c r="X65" s="58" t="n">
        <f aca="false">-(X47*$F47+X50*$F50+X51*$F51+X52*$F52)</f>
        <v>0</v>
      </c>
      <c r="Y65" s="58" t="n">
        <f aca="false">-(Y47*$F47+Y50*$F50+Y51*$F51+Y52*$F52)</f>
        <v>0</v>
      </c>
      <c r="Z65" s="58" t="n">
        <f aca="false">-(Z47*$F47+Z50*$F50+Z51*$F51+Z52*$F52)</f>
        <v>0</v>
      </c>
      <c r="AA65" s="58" t="n">
        <f aca="false">-(AA47*$F47+AA50*$F50+AA51*$F51+AA52*$F52)</f>
        <v>0</v>
      </c>
      <c r="AB65" s="58" t="n">
        <f aca="false">-(AB47*$F47+AB50*$F50+AB51*$F51+AB52*$F52)</f>
        <v>0</v>
      </c>
      <c r="AC65" s="58" t="n">
        <f aca="false">-(AC47*$F47+AC50*$F50+AC51*$F51+AC52*$F52)</f>
        <v>0</v>
      </c>
      <c r="AD65" s="58" t="n">
        <f aca="false">-(AD47*$F47+AD50*$F50+AD51*$F51+AD52*$F52)</f>
        <v>0</v>
      </c>
      <c r="AE65" s="58" t="n">
        <f aca="false">-(AE47*$F47+AE50*$F50+AE51*$F51+AE52*$F52)</f>
        <v>0</v>
      </c>
      <c r="AF65" s="58" t="n">
        <f aca="false">-(AF47*$F47+AF50*$F50+AF51*$F51+AF52*$F52)</f>
        <v>0</v>
      </c>
      <c r="AG65" s="58" t="n">
        <f aca="false">-(AG47*$F47+AG50*$F50+AG51*$F51+AG52*$F52)</f>
        <v>0</v>
      </c>
      <c r="AH65" s="58" t="n">
        <f aca="false">-(AH47*$F47+AH50*$F50+AH51*$F51+AH52*$F52)</f>
        <v>0</v>
      </c>
      <c r="AI65" s="58" t="n">
        <f aca="false">-(AI47*$F47+AI50*$F50+AI51*$F51+AI52*$F52)</f>
        <v>0</v>
      </c>
      <c r="AJ65" s="58" t="n">
        <f aca="false">-(AJ47*$F47+AJ50*$F50+AJ51*$F51+AJ52*$F52)</f>
        <v>0</v>
      </c>
      <c r="AK65" s="58" t="n">
        <f aca="false">-(AK47*$F47+AK50*$F50+AK51*$F51+AK52*$F52)</f>
        <v>0</v>
      </c>
      <c r="AL65" s="58" t="n">
        <f aca="false">-(AL47*$F47+AL50*$F50+AL51*$F51+AL52*$F52)</f>
        <v>0</v>
      </c>
      <c r="AM65" s="58" t="n">
        <f aca="false">-(AM47*$F47+AM50*$F50+AM51*$F51+AM52*$F52)</f>
        <v>0</v>
      </c>
      <c r="AN65" s="58" t="n">
        <f aca="false">-(AN47*$F47+AN50*$F50+AN51*$F51+AN52*$F52)</f>
        <v>0</v>
      </c>
      <c r="AO65" s="58" t="n">
        <f aca="false">-(AO47*$F47+AO50*$F50+AO51*$F51+AO52*$F52)</f>
        <v>0</v>
      </c>
      <c r="AP65" s="58" t="n">
        <f aca="false">-(AP47*$F47+AP50*$F50+AP51*$F51+AP52*$F52)</f>
        <v>0</v>
      </c>
      <c r="AQ65" s="58" t="n">
        <f aca="false">-(AQ47*$F47+AQ50*$F50+AQ51*$F51+AQ52*$F52)</f>
        <v>0</v>
      </c>
      <c r="AR65" s="58" t="n">
        <f aca="false">-(AR47*$F47+AR50*$F50+AR51*$F51+AR52*$F52)</f>
        <v>0</v>
      </c>
      <c r="AS65" s="58" t="n">
        <f aca="false">-(AS47*$F47+AS50*$F50+AS51*$F51+AS52*$F52)</f>
        <v>0</v>
      </c>
      <c r="AT65" s="58" t="n">
        <f aca="false">-(AT47*$F47+AT50*$F50+AT51*$F51+AT52*$F52)</f>
        <v>0</v>
      </c>
      <c r="AU65" s="58" t="n">
        <f aca="false">-(AU47*$F47+AU50*$F50+AU51*$F51+AU52*$F52)</f>
        <v>0</v>
      </c>
      <c r="AV65" s="58" t="n">
        <f aca="false">-(AV47*$F47+AV50*$F50+AV51*$F51+AV52*$F52)</f>
        <v>0</v>
      </c>
      <c r="AW65" s="58" t="n">
        <f aca="false">-(AW47*$F47+AW50*$F50+AW51*$F51+AW52*$F52)</f>
        <v>0</v>
      </c>
      <c r="AX65" s="58" t="n">
        <f aca="false">-(AX47*$F47+AX50*$F50+AX51*$F51+AX52*$F52)</f>
        <v>0</v>
      </c>
      <c r="AY65" s="58" t="n">
        <f aca="false">-(AY47*$F47+AY50*$F50+AY51*$F51+AY52*$F52)</f>
        <v>0</v>
      </c>
      <c r="AZ65" s="58" t="n">
        <f aca="false">-(AZ47*$F47+AZ50*$F50+AZ51*$F51+AZ52*$F52)</f>
        <v>0</v>
      </c>
      <c r="BA65" s="58" t="n">
        <f aca="false">-(BA47*$F47+BA50*$F50+BA51*$F51+BA52*$F52)</f>
        <v>0</v>
      </c>
      <c r="BB65" s="58" t="n">
        <f aca="false">-(BB47*$F47+BB50*$F50+BB51*$F51+BB52*$F52)</f>
        <v>0</v>
      </c>
      <c r="BC65" s="58" t="n">
        <f aca="false">-(BC47*$F47+BC50*$F50+BC51*$F51+BC52*$F52)</f>
        <v>0</v>
      </c>
      <c r="BD65" s="58" t="n">
        <f aca="false">-(BD47*$F47+BD50*$F50+BD51*$F51+BD52*$F52)</f>
        <v>0</v>
      </c>
      <c r="BE65" s="58" t="n">
        <f aca="false">-(BE47*$F47+BE50*$F50+BE51*$F51+BE52*$F52)</f>
        <v>0</v>
      </c>
      <c r="BF65" s="58" t="n">
        <f aca="false">-(BF47*$F47+BF50*$F50+BF51*$F51+BF52*$F52)</f>
        <v>0</v>
      </c>
      <c r="BG65" s="58" t="n">
        <f aca="false">-(BG47*$F47+BG50*$F50+BG51*$F51+BG52*$F52)</f>
        <v>0</v>
      </c>
      <c r="BH65" s="58" t="n">
        <f aca="false">-(BH47*$F47+BH50*$F50+BH51*$F51+BH52*$F52)</f>
        <v>0</v>
      </c>
      <c r="BI65" s="58" t="n">
        <f aca="false">-(BI47*$F47+BI50*$F50+BI51*$F51+BI52*$F52)</f>
        <v>0</v>
      </c>
      <c r="BJ65" s="58" t="n">
        <f aca="false">-(BJ47*$F47+BJ50*$F50+BJ51*$F51+BJ52*$F52)</f>
        <v>0</v>
      </c>
      <c r="BK65" s="58" t="n">
        <f aca="false">-(BK47*$F47+BK50*$F50+BK51*$F51+BK52*$F52)</f>
        <v>0</v>
      </c>
      <c r="BL65" s="58" t="n">
        <f aca="false">-(BL47*$F47+BL50*$F50+BL51*$F51+BL52*$F52)</f>
        <v>0</v>
      </c>
      <c r="BM65" s="58" t="n">
        <f aca="false">-(BM47*$F47+BM50*$F50+BM51*$F51+BM52*$F52)</f>
        <v>0</v>
      </c>
      <c r="BN65" s="58" t="n">
        <f aca="false">-(BN47*$F47+BN50*$F50+BN51*$F51+BN52*$F52)</f>
        <v>0</v>
      </c>
      <c r="BO65" s="58" t="n">
        <f aca="false">-(BO47*$F47+BO50*$F50+BO51*$F51+BO52*$F52)</f>
        <v>0</v>
      </c>
      <c r="BP65" s="58" t="n">
        <f aca="false">-(BP47*$F47+BP50*$F50+BP51*$F51+BP52*$F52)</f>
        <v>0</v>
      </c>
      <c r="BQ65" s="58" t="n">
        <f aca="false">-(BQ47*$F47+BQ50*$F50+BQ51*$F51+BQ52*$F52)</f>
        <v>0</v>
      </c>
      <c r="BR65" s="58" t="n">
        <f aca="false">-(BR47*$F47+BR50*$F50+BR51*$F51+BR52*$F52)</f>
        <v>0</v>
      </c>
      <c r="BS65" s="58" t="n">
        <f aca="false">-(BS47*$F47+BS50*$F50+BS51*$F51+BS52*$F52)</f>
        <v>0</v>
      </c>
      <c r="BT65" s="58" t="n">
        <f aca="false">-(BT47*$F47+BT50*$F50+BT51*$F51+BT52*$F52)</f>
        <v>0</v>
      </c>
      <c r="BU65" s="58" t="n">
        <f aca="false">-(BU47*$F47+BU50*$F50+BU51*$F51+BU52*$F52)</f>
        <v>0</v>
      </c>
      <c r="BV65" s="58" t="n">
        <f aca="false">-(BV47*$F47+BV50*$F50+BV51*$F51+BV52*$F52)</f>
        <v>0</v>
      </c>
      <c r="BW65" s="58" t="n">
        <f aca="false">-(BW47*$F47+BW50*$F50+BW51*$F51+BW52*$F52)</f>
        <v>0</v>
      </c>
      <c r="BX65" s="58" t="n">
        <f aca="false">-(BX47*$F47+BX50*$F50+BX51*$F51+BX52*$F52)</f>
        <v>0</v>
      </c>
      <c r="BY65" s="58" t="n">
        <f aca="false">-(BY47*$F47+BY50*$F50+BY51*$F51+BY52*$F52)</f>
        <v>0</v>
      </c>
      <c r="BZ65" s="58" t="n">
        <f aca="false">-(BZ47*$F47+BZ50*$F50+BZ51*$F51+BZ52*$F52)</f>
        <v>0</v>
      </c>
      <c r="CA65" s="58" t="n">
        <f aca="false">-(CA47*$F47+CA50*$F50+CA51*$F51+CA52*$F52)</f>
        <v>0</v>
      </c>
      <c r="CB65" s="58" t="n">
        <f aca="false">-(CB47*$F47+CB50*$F50+CB51*$F51+CB52*$F52)</f>
        <v>0</v>
      </c>
      <c r="CC65" s="58" t="n">
        <f aca="false">-(CC47*$F47+CC50*$F50+CC51*$F51+CC52*$F52)</f>
        <v>0</v>
      </c>
      <c r="CD65" s="58" t="n">
        <f aca="false">-(CD47*$F47+CD50*$F50+CD51*$F51+CD52*$F52)</f>
        <v>0</v>
      </c>
      <c r="CE65" s="58" t="n">
        <f aca="false">-(CE47*$F47+CE50*$F50+CE51*$F51+CE52*$F52)</f>
        <v>0</v>
      </c>
      <c r="CF65" s="58" t="n">
        <f aca="false">-(CF47*$F47+CF50*$F50+CF51*$F51+CF52*$F52)</f>
        <v>0</v>
      </c>
      <c r="CG65" s="58" t="n">
        <f aca="false">-(CG47*$F47+CG50*$F50+CG51*$F51+CG52*$F52)</f>
        <v>0</v>
      </c>
      <c r="CH65" s="58" t="n">
        <f aca="false">-(CH47*$F47+CH50*$F50+CH51*$F51+CH52*$F52)</f>
        <v>0</v>
      </c>
      <c r="CI65" s="58" t="n">
        <f aca="false">-(CI47*$F47+CI50*$F50+CI51*$F51+CI52*$F52)</f>
        <v>0</v>
      </c>
      <c r="CJ65" s="58" t="n">
        <f aca="false">-(CJ47*$F47+CJ50*$F50+CJ51*$F51+CJ52*$F52)</f>
        <v>0</v>
      </c>
      <c r="CK65" s="58" t="n">
        <f aca="false">-(CK47*$F47+CK50*$F50+CK51*$F51+CK52*$F52)</f>
        <v>0</v>
      </c>
      <c r="CL65" s="58" t="n">
        <f aca="false">-(CL47*$F47+CL50*$F50+CL51*$F51+CL52*$F52)</f>
        <v>0</v>
      </c>
      <c r="CM65" s="58" t="n">
        <f aca="false">-(CM47*$F47+CM50*$F50+CM51*$F51+CM52*$F52)</f>
        <v>0</v>
      </c>
      <c r="CN65" s="58" t="n">
        <f aca="false">-(CN47*$F47+CN50*$F50+CN51*$F51+CN52*$F52)</f>
        <v>0</v>
      </c>
      <c r="CO65" s="58" t="n">
        <f aca="false">-(CO47*$F47+CO50*$F50+CO51*$F51+CO52*$F52)</f>
        <v>0</v>
      </c>
      <c r="CP65" s="58" t="n">
        <f aca="false">-(CP47*$F47+CP50*$F50+CP51*$F51+CP52*$F52)</f>
        <v>0</v>
      </c>
      <c r="CQ65" s="58" t="n">
        <f aca="false">-(CQ47*$F47+CQ50*$F50+CQ51*$F51+CQ52*$F52)</f>
        <v>0</v>
      </c>
      <c r="CR65" s="58" t="n">
        <f aca="false">-(CR47*$F47+CR50*$F50+CR51*$F51+CR52*$F52)</f>
        <v>0</v>
      </c>
      <c r="CS65" s="58" t="n">
        <f aca="false">-(CS47*$F47+CS50*$F50+CS51*$F51+CS52*$F52)</f>
        <v>0</v>
      </c>
      <c r="CT65" s="58" t="n">
        <f aca="false">-(CT47*$F47+CT50*$F50+CT51*$F51+CT52*$F52)</f>
        <v>0</v>
      </c>
      <c r="CU65" s="58" t="n">
        <f aca="false">-(CU47*$F47+CU50*$F50+CU51*$F51+CU52*$F52)</f>
        <v>0</v>
      </c>
      <c r="CV65" s="58" t="n">
        <f aca="false">-(CV47*$F47+CV50*$F50+CV51*$F51+CV52*$F52)</f>
        <v>0</v>
      </c>
      <c r="CW65" s="58" t="n">
        <f aca="false">-(CW47*$F47+CW50*$F50+CW51*$F51+CW52*$F52)</f>
        <v>0</v>
      </c>
      <c r="CX65" s="58" t="n">
        <f aca="false">-(CX47*$F47+CX50*$F50+CX51*$F51+CX52*$F52)</f>
        <v>0</v>
      </c>
      <c r="CY65" s="58" t="n">
        <f aca="false">-(CY47*$F47+CY50*$F50+CY51*$F51+CY52*$F52)</f>
        <v>0</v>
      </c>
      <c r="CZ65" s="58" t="n">
        <f aca="false">-(CZ47*$F47+CZ50*$F50+CZ51*$F51+CZ52*$F52)</f>
        <v>0</v>
      </c>
      <c r="DA65" s="58" t="n">
        <f aca="false">-(DA47*$F47+DA50*$F50+DA51*$F51+DA52*$F52)</f>
        <v>0</v>
      </c>
      <c r="DB65" s="58" t="n">
        <f aca="false">-(DB47*$F47+DB50*$F50+DB51*$F51+DB52*$F52)</f>
        <v>0</v>
      </c>
      <c r="DC65" s="58" t="n">
        <f aca="false">-(DC47*$F47+DC50*$F50+DC51*$F51+DC52*$F52)</f>
        <v>0</v>
      </c>
      <c r="DD65" s="58" t="n">
        <f aca="false">-(DD47*$F47+DD50*$F50+DD51*$F51+DD52*$F52)</f>
        <v>0</v>
      </c>
      <c r="DE65" s="58" t="n">
        <f aca="false">-(DE47*$F47+DE50*$F50+DE51*$F51+DE52*$F52)</f>
        <v>0</v>
      </c>
      <c r="DF65" s="58" t="n">
        <f aca="false">-(DF47*$F47+DF50*$F50+DF51*$F51+DF52*$F52)</f>
        <v>0</v>
      </c>
      <c r="DG65" s="58" t="n">
        <f aca="false">-(DG47*$F47+DG50*$F50+DG51*$F51+DG52*$F52)</f>
        <v>0</v>
      </c>
      <c r="DH65" s="58" t="n">
        <f aca="false">-(DH47*$F47+DH50*$F50+DH51*$F51+DH52*$F52)</f>
        <v>0</v>
      </c>
      <c r="DI65" s="58" t="n">
        <f aca="false">-(DI47*$F47+DI50*$F50+DI51*$F51+DI52*$F52)</f>
        <v>0</v>
      </c>
      <c r="DJ65" s="58" t="n">
        <f aca="false">-(DJ47*$F47+DJ50*$F50+DJ51*$F51+DJ52*$F52)</f>
        <v>0</v>
      </c>
      <c r="DK65" s="58" t="n">
        <f aca="false">-(DK47*$F47+DK50*$F50+DK51*$F51+DK52*$F52)</f>
        <v>0</v>
      </c>
      <c r="DL65" s="58" t="n">
        <f aca="false">-(DL47*$F47+DL50*$F50+DL51*$F51+DL52*$F52)</f>
        <v>0</v>
      </c>
      <c r="DM65" s="58" t="n">
        <f aca="false">-(DM47*$F47+DM50*$F50+DM51*$F51+DM52*$F52)</f>
        <v>0</v>
      </c>
      <c r="DN65" s="58" t="n">
        <f aca="false">-(DN47*$F47+DN50*$F50+DN51*$F51+DN52*$F52)</f>
        <v>0</v>
      </c>
      <c r="DO65" s="58" t="n">
        <f aca="false">-(DO47*$F47+DO50*$F50+DO51*$F51+DO52*$F52)</f>
        <v>0</v>
      </c>
      <c r="DP65" s="58" t="n">
        <f aca="false">-(DP47*$F47+DP50*$F50+DP51*$F51+DP52*$F52)</f>
        <v>0</v>
      </c>
      <c r="DQ65" s="58" t="n">
        <f aca="false">-(DQ47*$F47+DQ50*$F50+DQ51*$F51+DQ52*$F52)</f>
        <v>0</v>
      </c>
      <c r="DR65" s="58" t="n">
        <f aca="false">-(DR47*$F47+DR50*$F50+DR51*$F51+DR52*$F52)</f>
        <v>0</v>
      </c>
      <c r="DS65" s="58" t="n">
        <f aca="false">-(DS47*$F47+DS50*$F50+DS51*$F51+DS52*$F52)</f>
        <v>0</v>
      </c>
      <c r="DT65" s="58" t="n">
        <f aca="false">-(DT47*$F47+DT50*$F50+DT51*$F51+DT52*$F52)</f>
        <v>0</v>
      </c>
      <c r="DU65" s="58" t="n">
        <f aca="false">-(DU47*$F47+DU50*$F50+DU51*$F51+DU52*$F52)</f>
        <v>0</v>
      </c>
      <c r="DV65" s="58" t="n">
        <f aca="false">-(DV47*$F47+DV50*$F50+DV51*$F51+DV52*$F52)</f>
        <v>0</v>
      </c>
      <c r="DW65" s="58" t="n">
        <f aca="false">-(DW47*$F47+DW50*$F50+DW51*$F51+DW52*$F52)</f>
        <v>0</v>
      </c>
      <c r="DX65" s="58" t="n">
        <f aca="false">-(DX47*$F47+DX50*$F50+DX51*$F51+DX52*$F52)</f>
        <v>0</v>
      </c>
      <c r="DY65" s="58" t="n">
        <f aca="false">-(DY47*$F47+DY50*$F50+DY51*$F51+DY52*$F52)</f>
        <v>0</v>
      </c>
      <c r="DZ65" s="58" t="n">
        <f aca="false">-(DZ47*$F47+DZ50*$F50+DZ51*$F51+DZ52*$F52)</f>
        <v>0</v>
      </c>
      <c r="EA65" s="58" t="n">
        <f aca="false">-(EA47*$F47+EA50*$F50+EA51*$F51+EA52*$F52)</f>
        <v>0</v>
      </c>
      <c r="EB65" s="58" t="n">
        <f aca="false">-(EB47*$F47+EB50*$F50+EB51*$F51+EB52*$F52)</f>
        <v>0</v>
      </c>
      <c r="EC65" s="58" t="n">
        <f aca="false">-(EC47*$F47+EC50*$F50+EC51*$F51+EC52*$F52)</f>
        <v>0</v>
      </c>
      <c r="ED65" s="58" t="n">
        <f aca="false">-(ED47*$F47+ED50*$F50+ED51*$F51+ED52*$F52)</f>
        <v>0</v>
      </c>
      <c r="EE65" s="58" t="n">
        <f aca="false">-(EE47*$F47+EE50*$F50+EE51*$F51+EE52*$F52)</f>
        <v>0</v>
      </c>
      <c r="EF65" s="58" t="n">
        <f aca="false">-(EF47*$F47+EF50*$F50+EF51*$F51+EF52*$F52)</f>
        <v>0</v>
      </c>
      <c r="EG65" s="58" t="n">
        <f aca="false">-(EG47*$F47+EG50*$F50+EG51*$F51+EG52*$F52)</f>
        <v>0</v>
      </c>
      <c r="EH65" s="58" t="n">
        <f aca="false">-(EH47*$F47+EH50*$F50+EH51*$F51+EH52*$F52)</f>
        <v>0</v>
      </c>
      <c r="EI65" s="58" t="n">
        <f aca="false">-(EI47*$F47+EI50*$F50+EI51*$F51+EI52*$F52)</f>
        <v>0</v>
      </c>
      <c r="EJ65" s="58" t="n">
        <f aca="false">-(EJ47*$F47+EJ50*$F50+EJ51*$F51+EJ52*$F52)</f>
        <v>0</v>
      </c>
      <c r="EK65" s="58" t="n">
        <f aca="false">-(EK47*$F47+EK50*$F50+EK51*$F51+EK52*$F52)</f>
        <v>0</v>
      </c>
      <c r="EL65" s="58" t="n">
        <f aca="false">-(EL47*$F47+EL50*$F50+EL51*$F51+EL52*$F52)</f>
        <v>0</v>
      </c>
      <c r="EM65" s="58" t="n">
        <f aca="false">-(EM47*$F47+EM50*$F50+EM51*$F51+EM52*$F52)</f>
        <v>0</v>
      </c>
      <c r="EN65" s="58" t="n">
        <f aca="false">-(EN47*$F47+EN50*$F50+EN51*$F51+EN52*$F52)</f>
        <v>0</v>
      </c>
      <c r="EO65" s="58" t="n">
        <f aca="false">-(EO47*$F47+EO50*$F50+EO51*$F51+EO52*$F52)</f>
        <v>0</v>
      </c>
      <c r="EP65" s="58" t="n">
        <f aca="false">-(EP47*$F47+EP50*$F50+EP51*$F51+EP52*$F52)</f>
        <v>0</v>
      </c>
      <c r="EQ65" s="58" t="n">
        <f aca="false">-(EQ47*$F47+EQ50*$F50+EQ51*$F51+EQ52*$F52)</f>
        <v>0</v>
      </c>
      <c r="ER65" s="58" t="n">
        <f aca="false">-(ER47*$F47+ER50*$F50+ER51*$F51+ER52*$F52)</f>
        <v>0</v>
      </c>
      <c r="ES65" s="58" t="n">
        <f aca="false">-(ES47*$F47+ES50*$F50+ES51*$F51+ES52*$F52)</f>
        <v>0</v>
      </c>
      <c r="ET65" s="58" t="n">
        <f aca="false">-(ET47*$F47+ET50*$F50+ET51*$F51+ET52*$F52)</f>
        <v>0</v>
      </c>
    </row>
    <row r="66" customFormat="false" ht="15" hidden="false" customHeight="false" outlineLevel="0" collapsed="false">
      <c r="C66" s="1" t="s">
        <v>494</v>
      </c>
      <c r="D66" s="12" t="s">
        <v>222</v>
      </c>
      <c r="J66" s="23" t="n">
        <f aca="false">I69</f>
        <v>0</v>
      </c>
      <c r="K66" s="23" t="n">
        <f aca="false">J69</f>
        <v>0</v>
      </c>
      <c r="L66" s="23" t="n">
        <f aca="false">K69</f>
        <v>1242.07678738976</v>
      </c>
      <c r="M66" s="23" t="n">
        <f aca="false">L69</f>
        <v>1242.07678738976</v>
      </c>
      <c r="N66" s="23" t="n">
        <f aca="false">M69</f>
        <v>1242.07678738976</v>
      </c>
      <c r="O66" s="23" t="n">
        <f aca="false">N69</f>
        <v>1242.07678738976</v>
      </c>
      <c r="P66" s="23" t="n">
        <f aca="false">O69</f>
        <v>1391.12600187653</v>
      </c>
      <c r="Q66" s="23" t="n">
        <f aca="false">P69</f>
        <v>1391.12600187653</v>
      </c>
      <c r="R66" s="23" t="n">
        <f aca="false">Q69</f>
        <v>1391.12600187653</v>
      </c>
      <c r="S66" s="23" t="n">
        <f aca="false">R69</f>
        <v>1391.12600187653</v>
      </c>
      <c r="T66" s="23" t="n">
        <f aca="false">S69</f>
        <v>1558.51847859548</v>
      </c>
      <c r="U66" s="23" t="n">
        <f aca="false">T69</f>
        <v>21737.9058868147</v>
      </c>
      <c r="V66" s="23" t="n">
        <f aca="false">U69</f>
        <v>21737.9058868147</v>
      </c>
      <c r="W66" s="23" t="n">
        <f aca="false">V69</f>
        <v>21737.9058868147</v>
      </c>
      <c r="X66" s="23" t="n">
        <f aca="false">W69</f>
        <v>22985.0199428111</v>
      </c>
      <c r="Y66" s="23" t="n">
        <f aca="false">X69</f>
        <v>22985.0199428111</v>
      </c>
      <c r="Z66" s="23" t="n">
        <f aca="false">Y69</f>
        <v>22985.0199428111</v>
      </c>
      <c r="AA66" s="23" t="n">
        <f aca="false">Z69</f>
        <v>22985.0199428111</v>
      </c>
      <c r="AB66" s="23" t="n">
        <f aca="false">AA69</f>
        <v>25743.2223359484</v>
      </c>
      <c r="AC66" s="23" t="n">
        <f aca="false">AB69</f>
        <v>25743.2223359484</v>
      </c>
      <c r="AD66" s="23" t="n">
        <f aca="false">AC69</f>
        <v>25743.2223359484</v>
      </c>
      <c r="AE66" s="23" t="n">
        <f aca="false">AD69</f>
        <v>25743.2223359484</v>
      </c>
      <c r="AF66" s="23" t="n">
        <f aca="false">AE69</f>
        <v>28053.7647023201</v>
      </c>
      <c r="AG66" s="23" t="n">
        <f aca="false">AF69</f>
        <v>28053.7647023201</v>
      </c>
      <c r="AH66" s="23" t="n">
        <f aca="false">AG69</f>
        <v>28053.7647023201</v>
      </c>
      <c r="AI66" s="23" t="n">
        <f aca="false">AH69</f>
        <v>28053.7647023201</v>
      </c>
      <c r="AJ66" s="23" t="n">
        <f aca="false">AI69</f>
        <v>28053.7647023201</v>
      </c>
      <c r="AK66" s="23" t="n">
        <f aca="false">AJ69</f>
        <v>28053.7647023201</v>
      </c>
      <c r="AL66" s="23" t="n">
        <f aca="false">AK69</f>
        <v>28053.7647023201</v>
      </c>
      <c r="AM66" s="23" t="n">
        <f aca="false">AL69</f>
        <v>28053.7647023201</v>
      </c>
      <c r="AN66" s="23" t="n">
        <f aca="false">AM69</f>
        <v>28053.7647023201</v>
      </c>
      <c r="AO66" s="23" t="n">
        <f aca="false">AN69</f>
        <v>28053.7647023201</v>
      </c>
      <c r="AP66" s="23" t="n">
        <f aca="false">AO69</f>
        <v>28053.7647023201</v>
      </c>
      <c r="AQ66" s="23" t="n">
        <f aca="false">AP69</f>
        <v>28053.7647023201</v>
      </c>
      <c r="AR66" s="23" t="n">
        <f aca="false">AQ69</f>
        <v>28053.7647023201</v>
      </c>
      <c r="AS66" s="23" t="n">
        <f aca="false">AR69</f>
        <v>28053.7647023201</v>
      </c>
      <c r="AT66" s="23" t="n">
        <f aca="false">AS69</f>
        <v>28053.7647023201</v>
      </c>
      <c r="AU66" s="23" t="n">
        <f aca="false">AT69</f>
        <v>28053.7647023201</v>
      </c>
      <c r="AV66" s="23" t="n">
        <f aca="false">AU69</f>
        <v>28053.7647023201</v>
      </c>
      <c r="AW66" s="23" t="n">
        <f aca="false">AV69</f>
        <v>28053.7647023201</v>
      </c>
      <c r="AX66" s="23" t="n">
        <f aca="false">AW69</f>
        <v>28053.7647023201</v>
      </c>
      <c r="AY66" s="23" t="n">
        <f aca="false">AX69</f>
        <v>28053.7647023201</v>
      </c>
      <c r="AZ66" s="23" t="n">
        <f aca="false">AY69</f>
        <v>28053.7647023201</v>
      </c>
      <c r="BA66" s="23" t="n">
        <f aca="false">AZ69</f>
        <v>28053.7647023201</v>
      </c>
      <c r="BB66" s="23" t="n">
        <f aca="false">BA69</f>
        <v>28053.7647023201</v>
      </c>
      <c r="BC66" s="23" t="n">
        <f aca="false">BB69</f>
        <v>28053.7647023201</v>
      </c>
      <c r="BD66" s="23" t="n">
        <f aca="false">BC69</f>
        <v>28053.7647023201</v>
      </c>
      <c r="BE66" s="23" t="n">
        <f aca="false">BD69</f>
        <v>28053.7647023201</v>
      </c>
      <c r="BF66" s="23" t="n">
        <f aca="false">BE69</f>
        <v>28053.7647023201</v>
      </c>
      <c r="BG66" s="23" t="n">
        <f aca="false">BF69</f>
        <v>28053.7647023201</v>
      </c>
      <c r="BH66" s="23" t="n">
        <f aca="false">BG69</f>
        <v>28053.7647023201</v>
      </c>
      <c r="BI66" s="23" t="n">
        <f aca="false">BH69</f>
        <v>28053.7647023201</v>
      </c>
      <c r="BJ66" s="23" t="n">
        <f aca="false">BI69</f>
        <v>28053.7647023201</v>
      </c>
      <c r="BK66" s="23" t="n">
        <f aca="false">BJ69</f>
        <v>28053.7647023201</v>
      </c>
      <c r="BL66" s="23" t="n">
        <f aca="false">BK69</f>
        <v>28053.7647023201</v>
      </c>
      <c r="BM66" s="23" t="n">
        <f aca="false">BL69</f>
        <v>28053.7647023201</v>
      </c>
      <c r="BN66" s="23" t="n">
        <f aca="false">BM69</f>
        <v>28053.7647023201</v>
      </c>
      <c r="BO66" s="23" t="n">
        <f aca="false">BN69</f>
        <v>28053.7647023201</v>
      </c>
      <c r="BP66" s="23" t="n">
        <f aca="false">BO69</f>
        <v>28053.7647023201</v>
      </c>
      <c r="BQ66" s="23" t="n">
        <f aca="false">BP69</f>
        <v>28053.7647023201</v>
      </c>
      <c r="BR66" s="23" t="n">
        <f aca="false">BQ69</f>
        <v>28053.7647023201</v>
      </c>
      <c r="BS66" s="23" t="n">
        <f aca="false">BR69</f>
        <v>28053.7647023201</v>
      </c>
      <c r="BT66" s="23" t="n">
        <f aca="false">BS69</f>
        <v>28053.7647023201</v>
      </c>
      <c r="BU66" s="23" t="n">
        <f aca="false">BT69</f>
        <v>28053.7647023201</v>
      </c>
      <c r="BV66" s="23" t="n">
        <f aca="false">BU69</f>
        <v>28053.7647023201</v>
      </c>
      <c r="BW66" s="23" t="n">
        <f aca="false">BV69</f>
        <v>28053.7647023201</v>
      </c>
      <c r="BX66" s="23" t="n">
        <f aca="false">BW69</f>
        <v>28053.7647023201</v>
      </c>
      <c r="BY66" s="23" t="n">
        <f aca="false">BX69</f>
        <v>28053.7647023201</v>
      </c>
      <c r="BZ66" s="23" t="n">
        <f aca="false">BY69</f>
        <v>28053.7647023201</v>
      </c>
      <c r="CA66" s="23" t="n">
        <f aca="false">BZ69</f>
        <v>28053.7647023201</v>
      </c>
      <c r="CB66" s="23" t="n">
        <f aca="false">CA69</f>
        <v>28053.7647023201</v>
      </c>
      <c r="CC66" s="23" t="n">
        <f aca="false">CB69</f>
        <v>28053.7647023201</v>
      </c>
      <c r="CD66" s="23" t="n">
        <f aca="false">CC69</f>
        <v>28053.7647023201</v>
      </c>
      <c r="CE66" s="23" t="n">
        <f aca="false">CD69</f>
        <v>28053.7647023201</v>
      </c>
      <c r="CF66" s="23" t="n">
        <f aca="false">CE69</f>
        <v>28053.7647023201</v>
      </c>
      <c r="CG66" s="23" t="n">
        <f aca="false">CF69</f>
        <v>28053.7647023201</v>
      </c>
      <c r="CH66" s="23" t="n">
        <f aca="false">CG69</f>
        <v>28053.7647023201</v>
      </c>
      <c r="CI66" s="23" t="n">
        <f aca="false">CH69</f>
        <v>28053.7647023201</v>
      </c>
      <c r="CJ66" s="23" t="n">
        <f aca="false">CI69</f>
        <v>28053.7647023201</v>
      </c>
      <c r="CK66" s="23" t="n">
        <f aca="false">CJ69</f>
        <v>28053.7647023201</v>
      </c>
      <c r="CL66" s="23" t="n">
        <f aca="false">CK69</f>
        <v>28053.7647023201</v>
      </c>
      <c r="CM66" s="23" t="n">
        <f aca="false">CL69</f>
        <v>28053.7647023201</v>
      </c>
      <c r="CN66" s="23" t="n">
        <f aca="false">CM69</f>
        <v>28053.7647023201</v>
      </c>
      <c r="CO66" s="23" t="n">
        <f aca="false">CN69</f>
        <v>28053.7647023201</v>
      </c>
      <c r="CP66" s="23" t="n">
        <f aca="false">CO69</f>
        <v>28053.7647023201</v>
      </c>
      <c r="CQ66" s="23" t="n">
        <f aca="false">CP69</f>
        <v>28053.7647023201</v>
      </c>
      <c r="CR66" s="23" t="n">
        <f aca="false">CQ69</f>
        <v>28053.7647023201</v>
      </c>
      <c r="CS66" s="23" t="n">
        <f aca="false">CR69</f>
        <v>28053.7647023201</v>
      </c>
      <c r="CT66" s="23" t="n">
        <f aca="false">CS69</f>
        <v>28053.7647023201</v>
      </c>
      <c r="CU66" s="23" t="n">
        <f aca="false">CT69</f>
        <v>28053.7647023201</v>
      </c>
      <c r="CV66" s="23" t="n">
        <f aca="false">CU69</f>
        <v>28053.7647023201</v>
      </c>
      <c r="CW66" s="23" t="n">
        <f aca="false">CV69</f>
        <v>28053.7647023201</v>
      </c>
      <c r="CX66" s="23" t="n">
        <f aca="false">CW69</f>
        <v>28053.7647023201</v>
      </c>
      <c r="CY66" s="23" t="n">
        <f aca="false">CX69</f>
        <v>28053.7647023201</v>
      </c>
      <c r="CZ66" s="23" t="n">
        <f aca="false">CY69</f>
        <v>28053.7647023201</v>
      </c>
      <c r="DA66" s="23" t="n">
        <f aca="false">CZ69</f>
        <v>28053.7647023201</v>
      </c>
      <c r="DB66" s="23" t="n">
        <f aca="false">DA69</f>
        <v>28053.7647023201</v>
      </c>
      <c r="DC66" s="23" t="n">
        <f aca="false">DB69</f>
        <v>28053.7647023201</v>
      </c>
      <c r="DD66" s="23" t="n">
        <f aca="false">DC69</f>
        <v>28053.7647023201</v>
      </c>
      <c r="DE66" s="23" t="n">
        <f aca="false">DD69</f>
        <v>28053.7647023201</v>
      </c>
      <c r="DF66" s="23" t="n">
        <f aca="false">DE69</f>
        <v>28053.7647023201</v>
      </c>
      <c r="DG66" s="23" t="n">
        <f aca="false">DF69</f>
        <v>28053.7647023201</v>
      </c>
      <c r="DH66" s="23" t="n">
        <f aca="false">DG69</f>
        <v>28053.7647023201</v>
      </c>
      <c r="DI66" s="23" t="n">
        <f aca="false">DH69</f>
        <v>28053.7647023201</v>
      </c>
      <c r="DJ66" s="23" t="n">
        <f aca="false">DI69</f>
        <v>28053.7647023201</v>
      </c>
      <c r="DK66" s="23" t="n">
        <f aca="false">DJ69</f>
        <v>28053.7647023201</v>
      </c>
      <c r="DL66" s="23" t="n">
        <f aca="false">DK69</f>
        <v>28053.7647023201</v>
      </c>
      <c r="DM66" s="23" t="n">
        <f aca="false">DL69</f>
        <v>28053.7647023201</v>
      </c>
      <c r="DN66" s="23" t="n">
        <f aca="false">DM69</f>
        <v>28053.7647023201</v>
      </c>
      <c r="DO66" s="23" t="n">
        <f aca="false">DN69</f>
        <v>28053.7647023201</v>
      </c>
      <c r="DP66" s="23" t="n">
        <f aca="false">DO69</f>
        <v>28053.7647023201</v>
      </c>
      <c r="DQ66" s="23" t="n">
        <f aca="false">DP69</f>
        <v>28053.7647023201</v>
      </c>
      <c r="DR66" s="23" t="n">
        <f aca="false">DQ69</f>
        <v>28053.7647023201</v>
      </c>
      <c r="DS66" s="23" t="n">
        <f aca="false">DR69</f>
        <v>28053.7647023201</v>
      </c>
      <c r="DT66" s="23" t="n">
        <f aca="false">DS69</f>
        <v>28053.7647023201</v>
      </c>
      <c r="DU66" s="23" t="n">
        <f aca="false">DT69</f>
        <v>28053.7647023201</v>
      </c>
      <c r="DV66" s="23" t="n">
        <f aca="false">DU69</f>
        <v>28053.7647023201</v>
      </c>
      <c r="DW66" s="23" t="n">
        <f aca="false">DV69</f>
        <v>28053.7647023201</v>
      </c>
      <c r="DX66" s="23" t="n">
        <f aca="false">DW69</f>
        <v>28053.7647023201</v>
      </c>
      <c r="DY66" s="23" t="n">
        <f aca="false">DX69</f>
        <v>28053.7647023201</v>
      </c>
      <c r="DZ66" s="23" t="n">
        <f aca="false">DY69</f>
        <v>28053.7647023201</v>
      </c>
      <c r="EA66" s="23" t="n">
        <f aca="false">DZ69</f>
        <v>28053.7647023201</v>
      </c>
      <c r="EB66" s="23" t="n">
        <f aca="false">EA69</f>
        <v>28053.7647023201</v>
      </c>
      <c r="EC66" s="23" t="n">
        <f aca="false">EB69</f>
        <v>28053.7647023201</v>
      </c>
      <c r="ED66" s="23" t="n">
        <f aca="false">EC69</f>
        <v>28053.7647023201</v>
      </c>
      <c r="EE66" s="23" t="n">
        <f aca="false">ED69</f>
        <v>28053.7647023201</v>
      </c>
      <c r="EF66" s="23" t="n">
        <f aca="false">EE69</f>
        <v>28053.7647023201</v>
      </c>
      <c r="EG66" s="23" t="n">
        <f aca="false">EF69</f>
        <v>28053.7647023201</v>
      </c>
      <c r="EH66" s="23" t="n">
        <f aca="false">EG69</f>
        <v>28053.7647023201</v>
      </c>
      <c r="EI66" s="23" t="n">
        <f aca="false">EH69</f>
        <v>28053.7647023201</v>
      </c>
      <c r="EJ66" s="23" t="n">
        <f aca="false">EI69</f>
        <v>28053.7647023201</v>
      </c>
      <c r="EK66" s="23" t="n">
        <f aca="false">EJ69</f>
        <v>28053.7647023201</v>
      </c>
      <c r="EL66" s="23" t="n">
        <f aca="false">EK69</f>
        <v>28053.7647023201</v>
      </c>
      <c r="EM66" s="23" t="n">
        <f aca="false">EL69</f>
        <v>28053.7647023201</v>
      </c>
      <c r="EN66" s="23" t="n">
        <f aca="false">EM69</f>
        <v>28053.7647023201</v>
      </c>
      <c r="EO66" s="23" t="n">
        <f aca="false">EN69</f>
        <v>28053.7647023201</v>
      </c>
      <c r="EP66" s="23" t="n">
        <f aca="false">EO69</f>
        <v>28053.7647023201</v>
      </c>
      <c r="EQ66" s="23" t="n">
        <f aca="false">EP69</f>
        <v>28053.7647023201</v>
      </c>
      <c r="ER66" s="23" t="n">
        <f aca="false">EQ69</f>
        <v>28053.7647023201</v>
      </c>
      <c r="ES66" s="23" t="n">
        <f aca="false">ER69</f>
        <v>28053.7647023201</v>
      </c>
      <c r="ET66" s="23" t="n">
        <f aca="false">ES69</f>
        <v>28053.7647023201</v>
      </c>
    </row>
    <row r="67" customFormat="false" ht="15" hidden="false" customHeight="false" outlineLevel="0" collapsed="false">
      <c r="C67" s="1" t="s">
        <v>495</v>
      </c>
      <c r="D67" s="12" t="s">
        <v>222</v>
      </c>
      <c r="E67" s="47" t="n">
        <f aca="false">SUMIF($J$4:$ET$4,"&lt;="&amp;$E12,$J67:$ET67)</f>
        <v>1564.53664418093</v>
      </c>
      <c r="F67" s="47" t="n">
        <f aca="false">SUMIF($J$4:$ET$4,"&lt;="&amp;In_COD,$J67:$ET67)</f>
        <v>6633.28140368995</v>
      </c>
      <c r="I67" s="47" t="n">
        <f aca="false">SUM(J67:ET67)</f>
        <v>6633.28140368995</v>
      </c>
      <c r="J67" s="47" t="n">
        <f aca="false">In_Cash_Rate/Days_In_Year*(1-J19)*(J66*J$5+(J$4+1)*J64-J65)*(J$4&lt;=In_COD)</f>
        <v>0</v>
      </c>
      <c r="K67" s="47" t="n">
        <f aca="false">In_Cash_Rate/Days_In_Year*(1-K19)*(K66*K$5+(K$4+1)*K64-K65)*(K$4&lt;=In_COD)</f>
        <v>0.980896978796345</v>
      </c>
      <c r="L67" s="47" t="n">
        <f aca="false">In_Cash_Rate/Days_In_Year*(1-L19)*(L66*L$5+(L$4+1)*L64-L65)*(L$4&lt;=In_COD)</f>
        <v>36.751861106327</v>
      </c>
      <c r="M67" s="47" t="n">
        <f aca="false">In_Cash_Rate/Days_In_Year*(1-M19)*(M66*M$5+(M$4+1)*M64-M65)*(M$4&lt;=In_COD)</f>
        <v>37.1602151186195</v>
      </c>
      <c r="N67" s="47" t="n">
        <f aca="false">In_Cash_Rate/Days_In_Year*(1-N19)*(N66*N$5+(N$4+1)*N64-N65)*(N$4&lt;=In_COD)</f>
        <v>37.5685691309121</v>
      </c>
      <c r="O67" s="47" t="n">
        <f aca="false">In_Cash_Rate/Days_In_Year*(1-O19)*(O66*O$5+(O$4+1)*O64-O65)*(O$4&lt;=In_COD)</f>
        <v>37.5685691309121</v>
      </c>
      <c r="P67" s="47" t="n">
        <f aca="false">In_Cash_Rate/Days_In_Year*(1-P19)*(P66*P$5+(P$4+1)*P64-P65)*(P$4&lt;=In_COD)</f>
        <v>41.6194409328539</v>
      </c>
      <c r="Q67" s="47" t="n">
        <f aca="false">In_Cash_Rate/Days_In_Year*(1-Q19)*(Q66*Q$5+(Q$4+1)*Q64-Q65)*(Q$4&lt;=In_COD)</f>
        <v>41.6194409328539</v>
      </c>
      <c r="R67" s="47" t="n">
        <f aca="false">In_Cash_Rate/Days_In_Year*(1-R19)*(R66*R$5+(R$4+1)*R64-R65)*(R$4&lt;=In_COD)</f>
        <v>42.0767974266215</v>
      </c>
      <c r="S67" s="47" t="n">
        <f aca="false">In_Cash_Rate/Days_In_Year*(1-S19)*(S66*S$5+(S$4+1)*S64-S65)*(S$4&lt;=In_COD)</f>
        <v>42.0767974266215</v>
      </c>
      <c r="T67" s="47" t="n">
        <f aca="false">In_Cash_Rate/Days_In_Year*(1-T19)*(T66*T$5+(T$4+1)*T64-T65)*(T$4&lt;=In_COD)</f>
        <v>596.763556588147</v>
      </c>
      <c r="U67" s="47" t="n">
        <f aca="false">In_Cash_Rate/Days_In_Year*(1-U19)*(U66*U$5+(U$4+1)*U64-U65)*(U$4&lt;=In_COD)</f>
        <v>650.350499408263</v>
      </c>
      <c r="V67" s="47" t="n">
        <f aca="false">In_Cash_Rate/Days_In_Year*(1-V19)*(V66*V$5+(V$4+1)*V64-V65)*(V$4&lt;=In_COD)</f>
        <v>0</v>
      </c>
      <c r="W67" s="47" t="n">
        <f aca="false">In_Cash_Rate/Days_In_Year*(1-W19)*(W66*W$5+(W$4+1)*W64-W65)*(W$4&lt;=In_COD)</f>
        <v>0</v>
      </c>
      <c r="X67" s="47" t="n">
        <f aca="false">In_Cash_Rate/Days_In_Year*(1-X19)*(X66*X$5+(X$4+1)*X64-X65)*(X$4&lt;=In_COD)</f>
        <v>680.104699677698</v>
      </c>
      <c r="Y67" s="47" t="n">
        <f aca="false">In_Cash_Rate/Days_In_Year*(1-Y19)*(Y66*Y$5+(Y$4+1)*Y64-Y65)*(Y$4&lt;=In_COD)</f>
        <v>687.661418563005</v>
      </c>
      <c r="Z67" s="47" t="n">
        <f aca="false">In_Cash_Rate/Days_In_Year*(1-Z19)*(Z66*Z$5+(Z$4+1)*Z64-Z65)*(Z$4&lt;=In_COD)</f>
        <v>695.218137448313</v>
      </c>
      <c r="AA67" s="47" t="n">
        <f aca="false">In_Cash_Rate/Days_In_Year*(1-AA19)*(AA66*AA$5+(AA$4+1)*AA64-AA65)*(AA$4&lt;=In_COD)</f>
        <v>695.218137448313</v>
      </c>
      <c r="AB67" s="47" t="n">
        <f aca="false">In_Cash_Rate/Days_In_Year*(1-AB19)*(AB66*AB$5+(AB$4+1)*AB64-AB65)*(AB$4&lt;=In_COD)</f>
        <v>761.717263639021</v>
      </c>
      <c r="AC67" s="47" t="n">
        <f aca="false">In_Cash_Rate/Days_In_Year*(1-AC19)*(AC66*AC$5+(AC$4+1)*AC64-AC65)*(AC$4&lt;=In_COD)</f>
        <v>770.180788790566</v>
      </c>
      <c r="AD67" s="47" t="n">
        <f aca="false">In_Cash_Rate/Days_In_Year*(1-AD19)*(AD66*AD$5+(AD$4+1)*AD64-AD65)*(AD$4&lt;=In_COD)</f>
        <v>778.64431394211</v>
      </c>
      <c r="AE67" s="47" t="n">
        <f aca="false">In_Cash_Rate/Days_In_Year*(1-AE19)*(AE66*AE$5+(AE$4+1)*AE64-AE65)*(AE$4&lt;=In_COD)</f>
        <v>0</v>
      </c>
      <c r="AF67" s="47" t="n">
        <f aca="false">In_Cash_Rate/Days_In_Year*(1-AF19)*(AF66*AF$5+(AF$4+1)*AF64-AF65)*(AF$4&lt;=In_COD)</f>
        <v>0</v>
      </c>
      <c r="AG67" s="47" t="n">
        <f aca="false">In_Cash_Rate/Days_In_Year*(1-AG19)*(AG66*AG$5+(AG$4+1)*AG64-AG65)*(AG$4&lt;=In_COD)</f>
        <v>0</v>
      </c>
      <c r="AH67" s="47" t="n">
        <f aca="false">In_Cash_Rate/Days_In_Year*(1-AH19)*(AH66*AH$5+(AH$4+1)*AH64-AH65)*(AH$4&lt;=In_COD)</f>
        <v>0</v>
      </c>
      <c r="AI67" s="47" t="n">
        <f aca="false">In_Cash_Rate/Days_In_Year*(1-AI19)*(AI66*AI$5+(AI$4+1)*AI64-AI65)*(AI$4&lt;=In_COD)</f>
        <v>0</v>
      </c>
      <c r="AJ67" s="47" t="n">
        <f aca="false">In_Cash_Rate/Days_In_Year*(1-AJ19)*(AJ66*AJ$5+(AJ$4+1)*AJ64-AJ65)*(AJ$4&lt;=In_COD)</f>
        <v>0</v>
      </c>
      <c r="AK67" s="47" t="n">
        <f aca="false">In_Cash_Rate/Days_In_Year*(1-AK19)*(AK66*AK$5+(AK$4+1)*AK64-AK65)*(AK$4&lt;=In_COD)</f>
        <v>0</v>
      </c>
      <c r="AL67" s="47" t="n">
        <f aca="false">In_Cash_Rate/Days_In_Year*(1-AL19)*(AL66*AL$5+(AL$4+1)*AL64-AL65)*(AL$4&lt;=In_COD)</f>
        <v>0</v>
      </c>
      <c r="AM67" s="47" t="n">
        <f aca="false">In_Cash_Rate/Days_In_Year*(1-AM19)*(AM66*AM$5+(AM$4+1)*AM64-AM65)*(AM$4&lt;=In_COD)</f>
        <v>0</v>
      </c>
      <c r="AN67" s="47" t="n">
        <f aca="false">In_Cash_Rate/Days_In_Year*(1-AN19)*(AN66*AN$5+(AN$4+1)*AN64-AN65)*(AN$4&lt;=In_COD)</f>
        <v>0</v>
      </c>
      <c r="AO67" s="47" t="n">
        <f aca="false">In_Cash_Rate/Days_In_Year*(1-AO19)*(AO66*AO$5+(AO$4+1)*AO64-AO65)*(AO$4&lt;=In_COD)</f>
        <v>0</v>
      </c>
      <c r="AP67" s="47" t="n">
        <f aca="false">In_Cash_Rate/Days_In_Year*(1-AP19)*(AP66*AP$5+(AP$4+1)*AP64-AP65)*(AP$4&lt;=In_COD)</f>
        <v>0</v>
      </c>
      <c r="AQ67" s="47" t="n">
        <f aca="false">In_Cash_Rate/Days_In_Year*(1-AQ19)*(AQ66*AQ$5+(AQ$4+1)*AQ64-AQ65)*(AQ$4&lt;=In_COD)</f>
        <v>0</v>
      </c>
      <c r="AR67" s="47" t="n">
        <f aca="false">In_Cash_Rate/Days_In_Year*(1-AR19)*(AR66*AR$5+(AR$4+1)*AR64-AR65)*(AR$4&lt;=In_COD)</f>
        <v>0</v>
      </c>
      <c r="AS67" s="47" t="n">
        <f aca="false">In_Cash_Rate/Days_In_Year*(1-AS19)*(AS66*AS$5+(AS$4+1)*AS64-AS65)*(AS$4&lt;=In_COD)</f>
        <v>0</v>
      </c>
      <c r="AT67" s="47" t="n">
        <f aca="false">In_Cash_Rate/Days_In_Year*(1-AT19)*(AT66*AT$5+(AT$4+1)*AT64-AT65)*(AT$4&lt;=In_COD)</f>
        <v>0</v>
      </c>
      <c r="AU67" s="47" t="n">
        <f aca="false">In_Cash_Rate/Days_In_Year*(1-AU19)*(AU66*AU$5+(AU$4+1)*AU64-AU65)*(AU$4&lt;=In_COD)</f>
        <v>0</v>
      </c>
      <c r="AV67" s="47" t="n">
        <f aca="false">In_Cash_Rate/Days_In_Year*(1-AV19)*(AV66*AV$5+(AV$4+1)*AV64-AV65)*(AV$4&lt;=In_COD)</f>
        <v>0</v>
      </c>
      <c r="AW67" s="47" t="n">
        <f aca="false">In_Cash_Rate/Days_In_Year*(1-AW19)*(AW66*AW$5+(AW$4+1)*AW64-AW65)*(AW$4&lt;=In_COD)</f>
        <v>0</v>
      </c>
      <c r="AX67" s="47" t="n">
        <f aca="false">In_Cash_Rate/Days_In_Year*(1-AX19)*(AX66*AX$5+(AX$4+1)*AX64-AX65)*(AX$4&lt;=In_COD)</f>
        <v>0</v>
      </c>
      <c r="AY67" s="47" t="n">
        <f aca="false">In_Cash_Rate/Days_In_Year*(1-AY19)*(AY66*AY$5+(AY$4+1)*AY64-AY65)*(AY$4&lt;=In_COD)</f>
        <v>0</v>
      </c>
      <c r="AZ67" s="47" t="n">
        <f aca="false">In_Cash_Rate/Days_In_Year*(1-AZ19)*(AZ66*AZ$5+(AZ$4+1)*AZ64-AZ65)*(AZ$4&lt;=In_COD)</f>
        <v>0</v>
      </c>
      <c r="BA67" s="47" t="n">
        <f aca="false">In_Cash_Rate/Days_In_Year*(1-BA19)*(BA66*BA$5+(BA$4+1)*BA64-BA65)*(BA$4&lt;=In_COD)</f>
        <v>0</v>
      </c>
      <c r="BB67" s="47" t="n">
        <f aca="false">In_Cash_Rate/Days_In_Year*(1-BB19)*(BB66*BB$5+(BB$4+1)*BB64-BB65)*(BB$4&lt;=In_COD)</f>
        <v>0</v>
      </c>
      <c r="BC67" s="47" t="n">
        <f aca="false">In_Cash_Rate/Days_In_Year*(1-BC19)*(BC66*BC$5+(BC$4+1)*BC64-BC65)*(BC$4&lt;=In_COD)</f>
        <v>0</v>
      </c>
      <c r="BD67" s="47" t="n">
        <f aca="false">In_Cash_Rate/Days_In_Year*(1-BD19)*(BD66*BD$5+(BD$4+1)*BD64-BD65)*(BD$4&lt;=In_COD)</f>
        <v>0</v>
      </c>
      <c r="BE67" s="47" t="n">
        <f aca="false">In_Cash_Rate/Days_In_Year*(1-BE19)*(BE66*BE$5+(BE$4+1)*BE64-BE65)*(BE$4&lt;=In_COD)</f>
        <v>0</v>
      </c>
      <c r="BF67" s="47" t="n">
        <f aca="false">In_Cash_Rate/Days_In_Year*(1-BF19)*(BF66*BF$5+(BF$4+1)*BF64-BF65)*(BF$4&lt;=In_COD)</f>
        <v>0</v>
      </c>
      <c r="BG67" s="47" t="n">
        <f aca="false">In_Cash_Rate/Days_In_Year*(1-BG19)*(BG66*BG$5+(BG$4+1)*BG64-BG65)*(BG$4&lt;=In_COD)</f>
        <v>0</v>
      </c>
      <c r="BH67" s="47" t="n">
        <f aca="false">In_Cash_Rate/Days_In_Year*(1-BH19)*(BH66*BH$5+(BH$4+1)*BH64-BH65)*(BH$4&lt;=In_COD)</f>
        <v>0</v>
      </c>
      <c r="BI67" s="47" t="n">
        <f aca="false">In_Cash_Rate/Days_In_Year*(1-BI19)*(BI66*BI$5+(BI$4+1)*BI64-BI65)*(BI$4&lt;=In_COD)</f>
        <v>0</v>
      </c>
      <c r="BJ67" s="47" t="n">
        <f aca="false">In_Cash_Rate/Days_In_Year*(1-BJ19)*(BJ66*BJ$5+(BJ$4+1)*BJ64-BJ65)*(BJ$4&lt;=In_COD)</f>
        <v>0</v>
      </c>
      <c r="BK67" s="47" t="n">
        <f aca="false">In_Cash_Rate/Days_In_Year*(1-BK19)*(BK66*BK$5+(BK$4+1)*BK64-BK65)*(BK$4&lt;=In_COD)</f>
        <v>0</v>
      </c>
      <c r="BL67" s="47" t="n">
        <f aca="false">In_Cash_Rate/Days_In_Year*(1-BL19)*(BL66*BL$5+(BL$4+1)*BL64-BL65)*(BL$4&lt;=In_COD)</f>
        <v>0</v>
      </c>
      <c r="BM67" s="47" t="n">
        <f aca="false">In_Cash_Rate/Days_In_Year*(1-BM19)*(BM66*BM$5+(BM$4+1)*BM64-BM65)*(BM$4&lt;=In_COD)</f>
        <v>0</v>
      </c>
      <c r="BN67" s="47" t="n">
        <f aca="false">In_Cash_Rate/Days_In_Year*(1-BN19)*(BN66*BN$5+(BN$4+1)*BN64-BN65)*(BN$4&lt;=In_COD)</f>
        <v>0</v>
      </c>
      <c r="BO67" s="47" t="n">
        <f aca="false">In_Cash_Rate/Days_In_Year*(1-BO19)*(BO66*BO$5+(BO$4+1)*BO64-BO65)*(BO$4&lt;=In_COD)</f>
        <v>0</v>
      </c>
      <c r="BP67" s="47" t="n">
        <f aca="false">In_Cash_Rate/Days_In_Year*(1-BP19)*(BP66*BP$5+(BP$4+1)*BP64-BP65)*(BP$4&lt;=In_COD)</f>
        <v>0</v>
      </c>
      <c r="BQ67" s="47" t="n">
        <f aca="false">In_Cash_Rate/Days_In_Year*(1-BQ19)*(BQ66*BQ$5+(BQ$4+1)*BQ64-BQ65)*(BQ$4&lt;=In_COD)</f>
        <v>0</v>
      </c>
      <c r="BR67" s="47" t="n">
        <f aca="false">In_Cash_Rate/Days_In_Year*(1-BR19)*(BR66*BR$5+(BR$4+1)*BR64-BR65)*(BR$4&lt;=In_COD)</f>
        <v>0</v>
      </c>
      <c r="BS67" s="47" t="n">
        <f aca="false">In_Cash_Rate/Days_In_Year*(1-BS19)*(BS66*BS$5+(BS$4+1)*BS64-BS65)*(BS$4&lt;=In_COD)</f>
        <v>0</v>
      </c>
      <c r="BT67" s="47" t="n">
        <f aca="false">In_Cash_Rate/Days_In_Year*(1-BT19)*(BT66*BT$5+(BT$4+1)*BT64-BT65)*(BT$4&lt;=In_COD)</f>
        <v>0</v>
      </c>
      <c r="BU67" s="47" t="n">
        <f aca="false">In_Cash_Rate/Days_In_Year*(1-BU19)*(BU66*BU$5+(BU$4+1)*BU64-BU65)*(BU$4&lt;=In_COD)</f>
        <v>0</v>
      </c>
      <c r="BV67" s="47" t="n">
        <f aca="false">In_Cash_Rate/Days_In_Year*(1-BV19)*(BV66*BV$5+(BV$4+1)*BV64-BV65)*(BV$4&lt;=In_COD)</f>
        <v>0</v>
      </c>
      <c r="BW67" s="47" t="n">
        <f aca="false">In_Cash_Rate/Days_In_Year*(1-BW19)*(BW66*BW$5+(BW$4+1)*BW64-BW65)*(BW$4&lt;=In_COD)</f>
        <v>0</v>
      </c>
      <c r="BX67" s="47" t="n">
        <f aca="false">In_Cash_Rate/Days_In_Year*(1-BX19)*(BX66*BX$5+(BX$4+1)*BX64-BX65)*(BX$4&lt;=In_COD)</f>
        <v>0</v>
      </c>
      <c r="BY67" s="47" t="n">
        <f aca="false">In_Cash_Rate/Days_In_Year*(1-BY19)*(BY66*BY$5+(BY$4+1)*BY64-BY65)*(BY$4&lt;=In_COD)</f>
        <v>0</v>
      </c>
      <c r="BZ67" s="47" t="n">
        <f aca="false">In_Cash_Rate/Days_In_Year*(1-BZ19)*(BZ66*BZ$5+(BZ$4+1)*BZ64-BZ65)*(BZ$4&lt;=In_COD)</f>
        <v>0</v>
      </c>
      <c r="CA67" s="47" t="n">
        <f aca="false">In_Cash_Rate/Days_In_Year*(1-CA19)*(CA66*CA$5+(CA$4+1)*CA64-CA65)*(CA$4&lt;=In_COD)</f>
        <v>0</v>
      </c>
      <c r="CB67" s="47" t="n">
        <f aca="false">In_Cash_Rate/Days_In_Year*(1-CB19)*(CB66*CB$5+(CB$4+1)*CB64-CB65)*(CB$4&lt;=In_COD)</f>
        <v>0</v>
      </c>
      <c r="CC67" s="47" t="n">
        <f aca="false">In_Cash_Rate/Days_In_Year*(1-CC19)*(CC66*CC$5+(CC$4+1)*CC64-CC65)*(CC$4&lt;=In_COD)</f>
        <v>0</v>
      </c>
      <c r="CD67" s="47" t="n">
        <f aca="false">In_Cash_Rate/Days_In_Year*(1-CD19)*(CD66*CD$5+(CD$4+1)*CD64-CD65)*(CD$4&lt;=In_COD)</f>
        <v>0</v>
      </c>
      <c r="CE67" s="47" t="n">
        <f aca="false">In_Cash_Rate/Days_In_Year*(1-CE19)*(CE66*CE$5+(CE$4+1)*CE64-CE65)*(CE$4&lt;=In_COD)</f>
        <v>0</v>
      </c>
      <c r="CF67" s="47" t="n">
        <f aca="false">In_Cash_Rate/Days_In_Year*(1-CF19)*(CF66*CF$5+(CF$4+1)*CF64-CF65)*(CF$4&lt;=In_COD)</f>
        <v>0</v>
      </c>
      <c r="CG67" s="47" t="n">
        <f aca="false">In_Cash_Rate/Days_In_Year*(1-CG19)*(CG66*CG$5+(CG$4+1)*CG64-CG65)*(CG$4&lt;=In_COD)</f>
        <v>0</v>
      </c>
      <c r="CH67" s="47" t="n">
        <f aca="false">In_Cash_Rate/Days_In_Year*(1-CH19)*(CH66*CH$5+(CH$4+1)*CH64-CH65)*(CH$4&lt;=In_COD)</f>
        <v>0</v>
      </c>
      <c r="CI67" s="47" t="n">
        <f aca="false">In_Cash_Rate/Days_In_Year*(1-CI19)*(CI66*CI$5+(CI$4+1)*CI64-CI65)*(CI$4&lt;=In_COD)</f>
        <v>0</v>
      </c>
      <c r="CJ67" s="47" t="n">
        <f aca="false">In_Cash_Rate/Days_In_Year*(1-CJ19)*(CJ66*CJ$5+(CJ$4+1)*CJ64-CJ65)*(CJ$4&lt;=In_COD)</f>
        <v>0</v>
      </c>
      <c r="CK67" s="47" t="n">
        <f aca="false">In_Cash_Rate/Days_In_Year*(1-CK19)*(CK66*CK$5+(CK$4+1)*CK64-CK65)*(CK$4&lt;=In_COD)</f>
        <v>0</v>
      </c>
      <c r="CL67" s="47" t="n">
        <f aca="false">In_Cash_Rate/Days_In_Year*(1-CL19)*(CL66*CL$5+(CL$4+1)*CL64-CL65)*(CL$4&lt;=In_COD)</f>
        <v>0</v>
      </c>
      <c r="CM67" s="47" t="n">
        <f aca="false">In_Cash_Rate/Days_In_Year*(1-CM19)*(CM66*CM$5+(CM$4+1)*CM64-CM65)*(CM$4&lt;=In_COD)</f>
        <v>0</v>
      </c>
      <c r="CN67" s="47" t="n">
        <f aca="false">In_Cash_Rate/Days_In_Year*(1-CN19)*(CN66*CN$5+(CN$4+1)*CN64-CN65)*(CN$4&lt;=In_COD)</f>
        <v>0</v>
      </c>
      <c r="CO67" s="47" t="n">
        <f aca="false">In_Cash_Rate/Days_In_Year*(1-CO19)*(CO66*CO$5+(CO$4+1)*CO64-CO65)*(CO$4&lt;=In_COD)</f>
        <v>0</v>
      </c>
      <c r="CP67" s="47" t="n">
        <f aca="false">In_Cash_Rate/Days_In_Year*(1-CP19)*(CP66*CP$5+(CP$4+1)*CP64-CP65)*(CP$4&lt;=In_COD)</f>
        <v>0</v>
      </c>
      <c r="CQ67" s="47" t="n">
        <f aca="false">In_Cash_Rate/Days_In_Year*(1-CQ19)*(CQ66*CQ$5+(CQ$4+1)*CQ64-CQ65)*(CQ$4&lt;=In_COD)</f>
        <v>0</v>
      </c>
      <c r="CR67" s="47" t="n">
        <f aca="false">In_Cash_Rate/Days_In_Year*(1-CR19)*(CR66*CR$5+(CR$4+1)*CR64-CR65)*(CR$4&lt;=In_COD)</f>
        <v>0</v>
      </c>
      <c r="CS67" s="47" t="n">
        <f aca="false">In_Cash_Rate/Days_In_Year*(1-CS19)*(CS66*CS$5+(CS$4+1)*CS64-CS65)*(CS$4&lt;=In_COD)</f>
        <v>0</v>
      </c>
      <c r="CT67" s="47" t="n">
        <f aca="false">In_Cash_Rate/Days_In_Year*(1-CT19)*(CT66*CT$5+(CT$4+1)*CT64-CT65)*(CT$4&lt;=In_COD)</f>
        <v>0</v>
      </c>
      <c r="CU67" s="47" t="n">
        <f aca="false">In_Cash_Rate/Days_In_Year*(1-CU19)*(CU66*CU$5+(CU$4+1)*CU64-CU65)*(CU$4&lt;=In_COD)</f>
        <v>0</v>
      </c>
      <c r="CV67" s="47" t="n">
        <f aca="false">In_Cash_Rate/Days_In_Year*(1-CV19)*(CV66*CV$5+(CV$4+1)*CV64-CV65)*(CV$4&lt;=In_COD)</f>
        <v>0</v>
      </c>
      <c r="CW67" s="47" t="n">
        <f aca="false">In_Cash_Rate/Days_In_Year*(1-CW19)*(CW66*CW$5+(CW$4+1)*CW64-CW65)*(CW$4&lt;=In_COD)</f>
        <v>0</v>
      </c>
      <c r="CX67" s="47" t="n">
        <f aca="false">In_Cash_Rate/Days_In_Year*(1-CX19)*(CX66*CX$5+(CX$4+1)*CX64-CX65)*(CX$4&lt;=In_COD)</f>
        <v>0</v>
      </c>
      <c r="CY67" s="47" t="n">
        <f aca="false">In_Cash_Rate/Days_In_Year*(1-CY19)*(CY66*CY$5+(CY$4+1)*CY64-CY65)*(CY$4&lt;=In_COD)</f>
        <v>0</v>
      </c>
      <c r="CZ67" s="47" t="n">
        <f aca="false">In_Cash_Rate/Days_In_Year*(1-CZ19)*(CZ66*CZ$5+(CZ$4+1)*CZ64-CZ65)*(CZ$4&lt;=In_COD)</f>
        <v>0</v>
      </c>
      <c r="DA67" s="47" t="n">
        <f aca="false">In_Cash_Rate/Days_In_Year*(1-DA19)*(DA66*DA$5+(DA$4+1)*DA64-DA65)*(DA$4&lt;=In_COD)</f>
        <v>0</v>
      </c>
      <c r="DB67" s="47" t="n">
        <f aca="false">In_Cash_Rate/Days_In_Year*(1-DB19)*(DB66*DB$5+(DB$4+1)*DB64-DB65)*(DB$4&lt;=In_COD)</f>
        <v>0</v>
      </c>
      <c r="DC67" s="47" t="n">
        <f aca="false">In_Cash_Rate/Days_In_Year*(1-DC19)*(DC66*DC$5+(DC$4+1)*DC64-DC65)*(DC$4&lt;=In_COD)</f>
        <v>0</v>
      </c>
      <c r="DD67" s="47" t="n">
        <f aca="false">In_Cash_Rate/Days_In_Year*(1-DD19)*(DD66*DD$5+(DD$4+1)*DD64-DD65)*(DD$4&lt;=In_COD)</f>
        <v>0</v>
      </c>
      <c r="DE67" s="47" t="n">
        <f aca="false">In_Cash_Rate/Days_In_Year*(1-DE19)*(DE66*DE$5+(DE$4+1)*DE64-DE65)*(DE$4&lt;=In_COD)</f>
        <v>0</v>
      </c>
      <c r="DF67" s="47" t="n">
        <f aca="false">In_Cash_Rate/Days_In_Year*(1-DF19)*(DF66*DF$5+(DF$4+1)*DF64-DF65)*(DF$4&lt;=In_COD)</f>
        <v>0</v>
      </c>
      <c r="DG67" s="47" t="n">
        <f aca="false">In_Cash_Rate/Days_In_Year*(1-DG19)*(DG66*DG$5+(DG$4+1)*DG64-DG65)*(DG$4&lt;=In_COD)</f>
        <v>0</v>
      </c>
      <c r="DH67" s="47" t="n">
        <f aca="false">In_Cash_Rate/Days_In_Year*(1-DH19)*(DH66*DH$5+(DH$4+1)*DH64-DH65)*(DH$4&lt;=In_COD)</f>
        <v>0</v>
      </c>
      <c r="DI67" s="47" t="n">
        <f aca="false">In_Cash_Rate/Days_In_Year*(1-DI19)*(DI66*DI$5+(DI$4+1)*DI64-DI65)*(DI$4&lt;=In_COD)</f>
        <v>0</v>
      </c>
      <c r="DJ67" s="47" t="n">
        <f aca="false">In_Cash_Rate/Days_In_Year*(1-DJ19)*(DJ66*DJ$5+(DJ$4+1)*DJ64-DJ65)*(DJ$4&lt;=In_COD)</f>
        <v>0</v>
      </c>
      <c r="DK67" s="47" t="n">
        <f aca="false">In_Cash_Rate/Days_In_Year*(1-DK19)*(DK66*DK$5+(DK$4+1)*DK64-DK65)*(DK$4&lt;=In_COD)</f>
        <v>0</v>
      </c>
      <c r="DL67" s="47" t="n">
        <f aca="false">In_Cash_Rate/Days_In_Year*(1-DL19)*(DL66*DL$5+(DL$4+1)*DL64-DL65)*(DL$4&lt;=In_COD)</f>
        <v>0</v>
      </c>
      <c r="DM67" s="47" t="n">
        <f aca="false">In_Cash_Rate/Days_In_Year*(1-DM19)*(DM66*DM$5+(DM$4+1)*DM64-DM65)*(DM$4&lt;=In_COD)</f>
        <v>0</v>
      </c>
      <c r="DN67" s="47" t="n">
        <f aca="false">In_Cash_Rate/Days_In_Year*(1-DN19)*(DN66*DN$5+(DN$4+1)*DN64-DN65)*(DN$4&lt;=In_COD)</f>
        <v>0</v>
      </c>
      <c r="DO67" s="47" t="n">
        <f aca="false">In_Cash_Rate/Days_In_Year*(1-DO19)*(DO66*DO$5+(DO$4+1)*DO64-DO65)*(DO$4&lt;=In_COD)</f>
        <v>0</v>
      </c>
      <c r="DP67" s="47" t="n">
        <f aca="false">In_Cash_Rate/Days_In_Year*(1-DP19)*(DP66*DP$5+(DP$4+1)*DP64-DP65)*(DP$4&lt;=In_COD)</f>
        <v>0</v>
      </c>
      <c r="DQ67" s="47" t="n">
        <f aca="false">In_Cash_Rate/Days_In_Year*(1-DQ19)*(DQ66*DQ$5+(DQ$4+1)*DQ64-DQ65)*(DQ$4&lt;=In_COD)</f>
        <v>0</v>
      </c>
      <c r="DR67" s="47" t="n">
        <f aca="false">In_Cash_Rate/Days_In_Year*(1-DR19)*(DR66*DR$5+(DR$4+1)*DR64-DR65)*(DR$4&lt;=In_COD)</f>
        <v>0</v>
      </c>
      <c r="DS67" s="47" t="n">
        <f aca="false">In_Cash_Rate/Days_In_Year*(1-DS19)*(DS66*DS$5+(DS$4+1)*DS64-DS65)*(DS$4&lt;=In_COD)</f>
        <v>0</v>
      </c>
      <c r="DT67" s="47" t="n">
        <f aca="false">In_Cash_Rate/Days_In_Year*(1-DT19)*(DT66*DT$5+(DT$4+1)*DT64-DT65)*(DT$4&lt;=In_COD)</f>
        <v>0</v>
      </c>
      <c r="DU67" s="47" t="n">
        <f aca="false">In_Cash_Rate/Days_In_Year*(1-DU19)*(DU66*DU$5+(DU$4+1)*DU64-DU65)*(DU$4&lt;=In_COD)</f>
        <v>0</v>
      </c>
      <c r="DV67" s="47" t="n">
        <f aca="false">In_Cash_Rate/Days_In_Year*(1-DV19)*(DV66*DV$5+(DV$4+1)*DV64-DV65)*(DV$4&lt;=In_COD)</f>
        <v>0</v>
      </c>
      <c r="DW67" s="47" t="n">
        <f aca="false">In_Cash_Rate/Days_In_Year*(1-DW19)*(DW66*DW$5+(DW$4+1)*DW64-DW65)*(DW$4&lt;=In_COD)</f>
        <v>0</v>
      </c>
      <c r="DX67" s="47" t="n">
        <f aca="false">In_Cash_Rate/Days_In_Year*(1-DX19)*(DX66*DX$5+(DX$4+1)*DX64-DX65)*(DX$4&lt;=In_COD)</f>
        <v>0</v>
      </c>
      <c r="DY67" s="47" t="n">
        <f aca="false">In_Cash_Rate/Days_In_Year*(1-DY19)*(DY66*DY$5+(DY$4+1)*DY64-DY65)*(DY$4&lt;=In_COD)</f>
        <v>0</v>
      </c>
      <c r="DZ67" s="47" t="n">
        <f aca="false">In_Cash_Rate/Days_In_Year*(1-DZ19)*(DZ66*DZ$5+(DZ$4+1)*DZ64-DZ65)*(DZ$4&lt;=In_COD)</f>
        <v>0</v>
      </c>
      <c r="EA67" s="47" t="n">
        <f aca="false">In_Cash_Rate/Days_In_Year*(1-EA19)*(EA66*EA$5+(EA$4+1)*EA64-EA65)*(EA$4&lt;=In_COD)</f>
        <v>0</v>
      </c>
      <c r="EB67" s="47" t="n">
        <f aca="false">In_Cash_Rate/Days_In_Year*(1-EB19)*(EB66*EB$5+(EB$4+1)*EB64-EB65)*(EB$4&lt;=In_COD)</f>
        <v>0</v>
      </c>
      <c r="EC67" s="47" t="n">
        <f aca="false">In_Cash_Rate/Days_In_Year*(1-EC19)*(EC66*EC$5+(EC$4+1)*EC64-EC65)*(EC$4&lt;=In_COD)</f>
        <v>0</v>
      </c>
      <c r="ED67" s="47" t="n">
        <f aca="false">In_Cash_Rate/Days_In_Year*(1-ED19)*(ED66*ED$5+(ED$4+1)*ED64-ED65)*(ED$4&lt;=In_COD)</f>
        <v>0</v>
      </c>
      <c r="EE67" s="47" t="n">
        <f aca="false">In_Cash_Rate/Days_In_Year*(1-EE19)*(EE66*EE$5+(EE$4+1)*EE64-EE65)*(EE$4&lt;=In_COD)</f>
        <v>0</v>
      </c>
      <c r="EF67" s="47" t="n">
        <f aca="false">In_Cash_Rate/Days_In_Year*(1-EF19)*(EF66*EF$5+(EF$4+1)*EF64-EF65)*(EF$4&lt;=In_COD)</f>
        <v>0</v>
      </c>
      <c r="EG67" s="47" t="n">
        <f aca="false">In_Cash_Rate/Days_In_Year*(1-EG19)*(EG66*EG$5+(EG$4+1)*EG64-EG65)*(EG$4&lt;=In_COD)</f>
        <v>0</v>
      </c>
      <c r="EH67" s="47" t="n">
        <f aca="false">In_Cash_Rate/Days_In_Year*(1-EH19)*(EH66*EH$5+(EH$4+1)*EH64-EH65)*(EH$4&lt;=In_COD)</f>
        <v>0</v>
      </c>
      <c r="EI67" s="47" t="n">
        <f aca="false">In_Cash_Rate/Days_In_Year*(1-EI19)*(EI66*EI$5+(EI$4+1)*EI64-EI65)*(EI$4&lt;=In_COD)</f>
        <v>0</v>
      </c>
      <c r="EJ67" s="47" t="n">
        <f aca="false">In_Cash_Rate/Days_In_Year*(1-EJ19)*(EJ66*EJ$5+(EJ$4+1)*EJ64-EJ65)*(EJ$4&lt;=In_COD)</f>
        <v>0</v>
      </c>
      <c r="EK67" s="47" t="n">
        <f aca="false">In_Cash_Rate/Days_In_Year*(1-EK19)*(EK66*EK$5+(EK$4+1)*EK64-EK65)*(EK$4&lt;=In_COD)</f>
        <v>0</v>
      </c>
      <c r="EL67" s="47" t="n">
        <f aca="false">In_Cash_Rate/Days_In_Year*(1-EL19)*(EL66*EL$5+(EL$4+1)*EL64-EL65)*(EL$4&lt;=In_COD)</f>
        <v>0</v>
      </c>
      <c r="EM67" s="47" t="n">
        <f aca="false">In_Cash_Rate/Days_In_Year*(1-EM19)*(EM66*EM$5+(EM$4+1)*EM64-EM65)*(EM$4&lt;=In_COD)</f>
        <v>0</v>
      </c>
      <c r="EN67" s="47" t="n">
        <f aca="false">In_Cash_Rate/Days_In_Year*(1-EN19)*(EN66*EN$5+(EN$4+1)*EN64-EN65)*(EN$4&lt;=In_COD)</f>
        <v>0</v>
      </c>
      <c r="EO67" s="47" t="n">
        <f aca="false">In_Cash_Rate/Days_In_Year*(1-EO19)*(EO66*EO$5+(EO$4+1)*EO64-EO65)*(EO$4&lt;=In_COD)</f>
        <v>0</v>
      </c>
      <c r="EP67" s="47" t="n">
        <f aca="false">In_Cash_Rate/Days_In_Year*(1-EP19)*(EP66*EP$5+(EP$4+1)*EP64-EP65)*(EP$4&lt;=In_COD)</f>
        <v>0</v>
      </c>
      <c r="EQ67" s="47" t="n">
        <f aca="false">In_Cash_Rate/Days_In_Year*(1-EQ19)*(EQ66*EQ$5+(EQ$4+1)*EQ64-EQ65)*(EQ$4&lt;=In_COD)</f>
        <v>0</v>
      </c>
      <c r="ER67" s="47" t="n">
        <f aca="false">In_Cash_Rate/Days_In_Year*(1-ER19)*(ER66*ER$5+(ER$4+1)*ER64-ER65)*(ER$4&lt;=In_COD)</f>
        <v>0</v>
      </c>
      <c r="ES67" s="47" t="n">
        <f aca="false">In_Cash_Rate/Days_In_Year*(1-ES19)*(ES66*ES$5+(ES$4+1)*ES64-ES65)*(ES$4&lt;=In_COD)</f>
        <v>0</v>
      </c>
      <c r="ET67" s="47" t="n">
        <f aca="false">In_Cash_Rate/Days_In_Year*(1-ET19)*(ET66*ET$5+(ET$4+1)*ET64-ET65)*(ET$4&lt;=In_COD)</f>
        <v>0</v>
      </c>
    </row>
    <row r="68" customFormat="false" ht="15" hidden="false" customHeight="false" outlineLevel="0" collapsed="false">
      <c r="C68" s="1" t="s">
        <v>496</v>
      </c>
      <c r="D68" s="12" t="s">
        <v>222</v>
      </c>
      <c r="I68" s="47" t="n">
        <f aca="false">SUM(J68:ET68)</f>
        <v>6633.28140368995</v>
      </c>
      <c r="J68" s="47" t="n">
        <f aca="false">J20*SUMIF($J$7:J$7,J$7,$J67:J67)</f>
        <v>0</v>
      </c>
      <c r="K68" s="47" t="n">
        <f aca="false">K20*SUMIF($J$7:K$7,K$7,$J67:K67)</f>
        <v>0.980896978796345</v>
      </c>
      <c r="L68" s="47" t="n">
        <f aca="false">L20*SUMIF($J$7:L$7,L$7,$J67:L67)</f>
        <v>0</v>
      </c>
      <c r="M68" s="47" t="n">
        <f aca="false">M20*SUMIF($J$7:M$7,M$7,$J67:M67)</f>
        <v>0</v>
      </c>
      <c r="N68" s="47" t="n">
        <f aca="false">N20*SUMIF($J$7:N$7,N$7,$J67:N67)</f>
        <v>0</v>
      </c>
      <c r="O68" s="47" t="n">
        <f aca="false">O20*SUMIF($J$7:O$7,O$7,$J67:O67)</f>
        <v>149.049214486771</v>
      </c>
      <c r="P68" s="47" t="n">
        <f aca="false">P20*SUMIF($J$7:P$7,P$7,$J67:P67)</f>
        <v>0</v>
      </c>
      <c r="Q68" s="47" t="n">
        <f aca="false">Q20*SUMIF($J$7:Q$7,Q$7,$J67:Q67)</f>
        <v>0</v>
      </c>
      <c r="R68" s="47" t="n">
        <f aca="false">R20*SUMIF($J$7:R$7,R$7,$J67:R67)</f>
        <v>0</v>
      </c>
      <c r="S68" s="47" t="n">
        <f aca="false">S20*SUMIF($J$7:S$7,S$7,$J67:S67)</f>
        <v>167.392476718951</v>
      </c>
      <c r="T68" s="47" t="n">
        <f aca="false">T20*SUMIF($J$7:T$7,T$7,$J67:T67)</f>
        <v>0</v>
      </c>
      <c r="U68" s="47" t="n">
        <f aca="false">U20*SUMIF($J$7:U$7,U$7,$J67:U67)</f>
        <v>0</v>
      </c>
      <c r="V68" s="47" t="n">
        <f aca="false">V20*SUMIF($J$7:V$7,V$7,$J67:V67)</f>
        <v>0</v>
      </c>
      <c r="W68" s="47" t="n">
        <f aca="false">W20*SUMIF($J$7:W$7,W$7,$J67:W67)</f>
        <v>1247.11405599641</v>
      </c>
      <c r="X68" s="47" t="n">
        <f aca="false">X20*SUMIF($J$7:X$7,X$7,$J67:X67)</f>
        <v>0</v>
      </c>
      <c r="Y68" s="47" t="n">
        <f aca="false">Y20*SUMIF($J$7:Y$7,Y$7,$J67:Y67)</f>
        <v>0</v>
      </c>
      <c r="Z68" s="47" t="n">
        <f aca="false">Z20*SUMIF($J$7:Z$7,Z$7,$J67:Z67)</f>
        <v>0</v>
      </c>
      <c r="AA68" s="47" t="n">
        <f aca="false">AA20*SUMIF($J$7:AA$7,AA$7,$J67:AA67)</f>
        <v>2758.20239313733</v>
      </c>
      <c r="AB68" s="47" t="n">
        <f aca="false">AB20*SUMIF($J$7:AB$7,AB$7,$J67:AB67)</f>
        <v>0</v>
      </c>
      <c r="AC68" s="47" t="n">
        <f aca="false">AC20*SUMIF($J$7:AC$7,AC$7,$J67:AC67)</f>
        <v>0</v>
      </c>
      <c r="AD68" s="47" t="n">
        <f aca="false">AD20*SUMIF($J$7:AD$7,AD$7,$J67:AD67)</f>
        <v>0</v>
      </c>
      <c r="AE68" s="47" t="n">
        <f aca="false">AE20*SUMIF($J$7:AE$7,AE$7,$J67:AE67)</f>
        <v>2310.5423663717</v>
      </c>
      <c r="AF68" s="47" t="n">
        <f aca="false">AF20*SUMIF($J$7:AF$7,AF$7,$J67:AF67)</f>
        <v>0</v>
      </c>
      <c r="AG68" s="47" t="n">
        <f aca="false">AG20*SUMIF($J$7:AG$7,AG$7,$J67:AG67)</f>
        <v>0</v>
      </c>
      <c r="AH68" s="47" t="n">
        <f aca="false">AH20*SUMIF($J$7:AH$7,AH$7,$J67:AH67)</f>
        <v>0</v>
      </c>
      <c r="AI68" s="47" t="n">
        <f aca="false">AI20*SUMIF($J$7:AI$7,AI$7,$J67:AI67)</f>
        <v>0</v>
      </c>
      <c r="AJ68" s="47" t="n">
        <f aca="false">AJ20*SUMIF($J$7:AJ$7,AJ$7,$J67:AJ67)</f>
        <v>0</v>
      </c>
      <c r="AK68" s="47" t="n">
        <f aca="false">AK20*SUMIF($J$7:AK$7,AK$7,$J67:AK67)</f>
        <v>0</v>
      </c>
      <c r="AL68" s="47" t="n">
        <f aca="false">AL20*SUMIF($J$7:AL$7,AL$7,$J67:AL67)</f>
        <v>0</v>
      </c>
      <c r="AM68" s="47" t="n">
        <f aca="false">AM20*SUMIF($J$7:AM$7,AM$7,$J67:AM67)</f>
        <v>0</v>
      </c>
      <c r="AN68" s="47" t="n">
        <f aca="false">AN20*SUMIF($J$7:AN$7,AN$7,$J67:AN67)</f>
        <v>0</v>
      </c>
      <c r="AO68" s="47" t="n">
        <f aca="false">AO20*SUMIF($J$7:AO$7,AO$7,$J67:AO67)</f>
        <v>0</v>
      </c>
      <c r="AP68" s="47" t="n">
        <f aca="false">AP20*SUMIF($J$7:AP$7,AP$7,$J67:AP67)</f>
        <v>0</v>
      </c>
      <c r="AQ68" s="47" t="n">
        <f aca="false">AQ20*SUMIF($J$7:AQ$7,AQ$7,$J67:AQ67)</f>
        <v>0</v>
      </c>
      <c r="AR68" s="47" t="n">
        <f aca="false">AR20*SUMIF($J$7:AR$7,AR$7,$J67:AR67)</f>
        <v>0</v>
      </c>
      <c r="AS68" s="47" t="n">
        <f aca="false">AS20*SUMIF($J$7:AS$7,AS$7,$J67:AS67)</f>
        <v>0</v>
      </c>
      <c r="AT68" s="47" t="n">
        <f aca="false">AT20*SUMIF($J$7:AT$7,AT$7,$J67:AT67)</f>
        <v>0</v>
      </c>
      <c r="AU68" s="47" t="n">
        <f aca="false">AU20*SUMIF($J$7:AU$7,AU$7,$J67:AU67)</f>
        <v>0</v>
      </c>
      <c r="AV68" s="47" t="n">
        <f aca="false">AV20*SUMIF($J$7:AV$7,AV$7,$J67:AV67)</f>
        <v>0</v>
      </c>
      <c r="AW68" s="47" t="n">
        <f aca="false">AW20*SUMIF($J$7:AW$7,AW$7,$J67:AW67)</f>
        <v>0</v>
      </c>
      <c r="AX68" s="47" t="n">
        <f aca="false">AX20*SUMIF($J$7:AX$7,AX$7,$J67:AX67)</f>
        <v>0</v>
      </c>
      <c r="AY68" s="47" t="n">
        <f aca="false">AY20*SUMIF($J$7:AY$7,AY$7,$J67:AY67)</f>
        <v>0</v>
      </c>
      <c r="AZ68" s="47" t="n">
        <f aca="false">AZ20*SUMIF($J$7:AZ$7,AZ$7,$J67:AZ67)</f>
        <v>0</v>
      </c>
      <c r="BA68" s="47" t="n">
        <f aca="false">BA20*SUMIF($J$7:BA$7,BA$7,$J67:BA67)</f>
        <v>0</v>
      </c>
      <c r="BB68" s="47" t="n">
        <f aca="false">BB20*SUMIF($J$7:BB$7,BB$7,$J67:BB67)</f>
        <v>0</v>
      </c>
      <c r="BC68" s="47" t="n">
        <f aca="false">BC20*SUMIF($J$7:BC$7,BC$7,$J67:BC67)</f>
        <v>0</v>
      </c>
      <c r="BD68" s="47" t="n">
        <f aca="false">BD20*SUMIF($J$7:BD$7,BD$7,$J67:BD67)</f>
        <v>0</v>
      </c>
      <c r="BE68" s="47" t="n">
        <f aca="false">BE20*SUMIF($J$7:BE$7,BE$7,$J67:BE67)</f>
        <v>0</v>
      </c>
      <c r="BF68" s="47" t="n">
        <f aca="false">BF20*SUMIF($J$7:BF$7,BF$7,$J67:BF67)</f>
        <v>0</v>
      </c>
      <c r="BG68" s="47" t="n">
        <f aca="false">BG20*SUMIF($J$7:BG$7,BG$7,$J67:BG67)</f>
        <v>0</v>
      </c>
      <c r="BH68" s="47" t="n">
        <f aca="false">BH20*SUMIF($J$7:BH$7,BH$7,$J67:BH67)</f>
        <v>0</v>
      </c>
      <c r="BI68" s="47" t="n">
        <f aca="false">BI20*SUMIF($J$7:BI$7,BI$7,$J67:BI67)</f>
        <v>0</v>
      </c>
      <c r="BJ68" s="47" t="n">
        <f aca="false">BJ20*SUMIF($J$7:BJ$7,BJ$7,$J67:BJ67)</f>
        <v>0</v>
      </c>
      <c r="BK68" s="47" t="n">
        <f aca="false">BK20*SUMIF($J$7:BK$7,BK$7,$J67:BK67)</f>
        <v>0</v>
      </c>
      <c r="BL68" s="47" t="n">
        <f aca="false">BL20*SUMIF($J$7:BL$7,BL$7,$J67:BL67)</f>
        <v>0</v>
      </c>
      <c r="BM68" s="47" t="n">
        <f aca="false">BM20*SUMIF($J$7:BM$7,BM$7,$J67:BM67)</f>
        <v>0</v>
      </c>
      <c r="BN68" s="47" t="n">
        <f aca="false">BN20*SUMIF($J$7:BN$7,BN$7,$J67:BN67)</f>
        <v>0</v>
      </c>
      <c r="BO68" s="47" t="n">
        <f aca="false">BO20*SUMIF($J$7:BO$7,BO$7,$J67:BO67)</f>
        <v>0</v>
      </c>
      <c r="BP68" s="47" t="n">
        <f aca="false">BP20*SUMIF($J$7:BP$7,BP$7,$J67:BP67)</f>
        <v>0</v>
      </c>
      <c r="BQ68" s="47" t="n">
        <f aca="false">BQ20*SUMIF($J$7:BQ$7,BQ$7,$J67:BQ67)</f>
        <v>0</v>
      </c>
      <c r="BR68" s="47" t="n">
        <f aca="false">BR20*SUMIF($J$7:BR$7,BR$7,$J67:BR67)</f>
        <v>0</v>
      </c>
      <c r="BS68" s="47" t="n">
        <f aca="false">BS20*SUMIF($J$7:BS$7,BS$7,$J67:BS67)</f>
        <v>0</v>
      </c>
      <c r="BT68" s="47" t="n">
        <f aca="false">BT20*SUMIF($J$7:BT$7,BT$7,$J67:BT67)</f>
        <v>0</v>
      </c>
      <c r="BU68" s="47" t="n">
        <f aca="false">BU20*SUMIF($J$7:BU$7,BU$7,$J67:BU67)</f>
        <v>0</v>
      </c>
      <c r="BV68" s="47" t="n">
        <f aca="false">BV20*SUMIF($J$7:BV$7,BV$7,$J67:BV67)</f>
        <v>0</v>
      </c>
      <c r="BW68" s="47" t="n">
        <f aca="false">BW20*SUMIF($J$7:BW$7,BW$7,$J67:BW67)</f>
        <v>0</v>
      </c>
      <c r="BX68" s="47" t="n">
        <f aca="false">BX20*SUMIF($J$7:BX$7,BX$7,$J67:BX67)</f>
        <v>0</v>
      </c>
      <c r="BY68" s="47" t="n">
        <f aca="false">BY20*SUMIF($J$7:BY$7,BY$7,$J67:BY67)</f>
        <v>0</v>
      </c>
      <c r="BZ68" s="47" t="n">
        <f aca="false">BZ20*SUMIF($J$7:BZ$7,BZ$7,$J67:BZ67)</f>
        <v>0</v>
      </c>
      <c r="CA68" s="47" t="n">
        <f aca="false">CA20*SUMIF($J$7:CA$7,CA$7,$J67:CA67)</f>
        <v>0</v>
      </c>
      <c r="CB68" s="47" t="n">
        <f aca="false">CB20*SUMIF($J$7:CB$7,CB$7,$J67:CB67)</f>
        <v>0</v>
      </c>
      <c r="CC68" s="47" t="n">
        <f aca="false">CC20*SUMIF($J$7:CC$7,CC$7,$J67:CC67)</f>
        <v>0</v>
      </c>
      <c r="CD68" s="47" t="n">
        <f aca="false">CD20*SUMIF($J$7:CD$7,CD$7,$J67:CD67)</f>
        <v>0</v>
      </c>
      <c r="CE68" s="47" t="n">
        <f aca="false">CE20*SUMIF($J$7:CE$7,CE$7,$J67:CE67)</f>
        <v>0</v>
      </c>
      <c r="CF68" s="47" t="n">
        <f aca="false">CF20*SUMIF($J$7:CF$7,CF$7,$J67:CF67)</f>
        <v>0</v>
      </c>
      <c r="CG68" s="47" t="n">
        <f aca="false">CG20*SUMIF($J$7:CG$7,CG$7,$J67:CG67)</f>
        <v>0</v>
      </c>
      <c r="CH68" s="47" t="n">
        <f aca="false">CH20*SUMIF($J$7:CH$7,CH$7,$J67:CH67)</f>
        <v>0</v>
      </c>
      <c r="CI68" s="47" t="n">
        <f aca="false">CI20*SUMIF($J$7:CI$7,CI$7,$J67:CI67)</f>
        <v>0</v>
      </c>
      <c r="CJ68" s="47" t="n">
        <f aca="false">CJ20*SUMIF($J$7:CJ$7,CJ$7,$J67:CJ67)</f>
        <v>0</v>
      </c>
      <c r="CK68" s="47" t="n">
        <f aca="false">CK20*SUMIF($J$7:CK$7,CK$7,$J67:CK67)</f>
        <v>0</v>
      </c>
      <c r="CL68" s="47" t="n">
        <f aca="false">CL20*SUMIF($J$7:CL$7,CL$7,$J67:CL67)</f>
        <v>0</v>
      </c>
      <c r="CM68" s="47" t="n">
        <f aca="false">CM20*SUMIF($J$7:CM$7,CM$7,$J67:CM67)</f>
        <v>0</v>
      </c>
      <c r="CN68" s="47" t="n">
        <f aca="false">CN20*SUMIF($J$7:CN$7,CN$7,$J67:CN67)</f>
        <v>0</v>
      </c>
      <c r="CO68" s="47" t="n">
        <f aca="false">CO20*SUMIF($J$7:CO$7,CO$7,$J67:CO67)</f>
        <v>0</v>
      </c>
      <c r="CP68" s="47" t="n">
        <f aca="false">CP20*SUMIF($J$7:CP$7,CP$7,$J67:CP67)</f>
        <v>0</v>
      </c>
      <c r="CQ68" s="47" t="n">
        <f aca="false">CQ20*SUMIF($J$7:CQ$7,CQ$7,$J67:CQ67)</f>
        <v>0</v>
      </c>
      <c r="CR68" s="47" t="n">
        <f aca="false">CR20*SUMIF($J$7:CR$7,CR$7,$J67:CR67)</f>
        <v>0</v>
      </c>
      <c r="CS68" s="47" t="n">
        <f aca="false">CS20*SUMIF($J$7:CS$7,CS$7,$J67:CS67)</f>
        <v>0</v>
      </c>
      <c r="CT68" s="47" t="n">
        <f aca="false">CT20*SUMIF($J$7:CT$7,CT$7,$J67:CT67)</f>
        <v>0</v>
      </c>
      <c r="CU68" s="47" t="n">
        <f aca="false">CU20*SUMIF($J$7:CU$7,CU$7,$J67:CU67)</f>
        <v>0</v>
      </c>
      <c r="CV68" s="47" t="n">
        <f aca="false">CV20*SUMIF($J$7:CV$7,CV$7,$J67:CV67)</f>
        <v>0</v>
      </c>
      <c r="CW68" s="47" t="n">
        <f aca="false">CW20*SUMIF($J$7:CW$7,CW$7,$J67:CW67)</f>
        <v>0</v>
      </c>
      <c r="CX68" s="47" t="n">
        <f aca="false">CX20*SUMIF($J$7:CX$7,CX$7,$J67:CX67)</f>
        <v>0</v>
      </c>
      <c r="CY68" s="47" t="n">
        <f aca="false">CY20*SUMIF($J$7:CY$7,CY$7,$J67:CY67)</f>
        <v>0</v>
      </c>
      <c r="CZ68" s="47" t="n">
        <f aca="false">CZ20*SUMIF($J$7:CZ$7,CZ$7,$J67:CZ67)</f>
        <v>0</v>
      </c>
      <c r="DA68" s="47" t="n">
        <f aca="false">DA20*SUMIF($J$7:DA$7,DA$7,$J67:DA67)</f>
        <v>0</v>
      </c>
      <c r="DB68" s="47" t="n">
        <f aca="false">DB20*SUMIF($J$7:DB$7,DB$7,$J67:DB67)</f>
        <v>0</v>
      </c>
      <c r="DC68" s="47" t="n">
        <f aca="false">DC20*SUMIF($J$7:DC$7,DC$7,$J67:DC67)</f>
        <v>0</v>
      </c>
      <c r="DD68" s="47" t="n">
        <f aca="false">DD20*SUMIF($J$7:DD$7,DD$7,$J67:DD67)</f>
        <v>0</v>
      </c>
      <c r="DE68" s="47" t="n">
        <f aca="false">DE20*SUMIF($J$7:DE$7,DE$7,$J67:DE67)</f>
        <v>0</v>
      </c>
      <c r="DF68" s="47" t="n">
        <f aca="false">DF20*SUMIF($J$7:DF$7,DF$7,$J67:DF67)</f>
        <v>0</v>
      </c>
      <c r="DG68" s="47" t="n">
        <f aca="false">DG20*SUMIF($J$7:DG$7,DG$7,$J67:DG67)</f>
        <v>0</v>
      </c>
      <c r="DH68" s="47" t="n">
        <f aca="false">DH20*SUMIF($J$7:DH$7,DH$7,$J67:DH67)</f>
        <v>0</v>
      </c>
      <c r="DI68" s="47" t="n">
        <f aca="false">DI20*SUMIF($J$7:DI$7,DI$7,$J67:DI67)</f>
        <v>0</v>
      </c>
      <c r="DJ68" s="47" t="n">
        <f aca="false">DJ20*SUMIF($J$7:DJ$7,DJ$7,$J67:DJ67)</f>
        <v>0</v>
      </c>
      <c r="DK68" s="47" t="n">
        <f aca="false">DK20*SUMIF($J$7:DK$7,DK$7,$J67:DK67)</f>
        <v>0</v>
      </c>
      <c r="DL68" s="47" t="n">
        <f aca="false">DL20*SUMIF($J$7:DL$7,DL$7,$J67:DL67)</f>
        <v>0</v>
      </c>
      <c r="DM68" s="47" t="n">
        <f aca="false">DM20*SUMIF($J$7:DM$7,DM$7,$J67:DM67)</f>
        <v>0</v>
      </c>
      <c r="DN68" s="47" t="n">
        <f aca="false">DN20*SUMIF($J$7:DN$7,DN$7,$J67:DN67)</f>
        <v>0</v>
      </c>
      <c r="DO68" s="47" t="n">
        <f aca="false">DO20*SUMIF($J$7:DO$7,DO$7,$J67:DO67)</f>
        <v>0</v>
      </c>
      <c r="DP68" s="47" t="n">
        <f aca="false">DP20*SUMIF($J$7:DP$7,DP$7,$J67:DP67)</f>
        <v>0</v>
      </c>
      <c r="DQ68" s="47" t="n">
        <f aca="false">DQ20*SUMIF($J$7:DQ$7,DQ$7,$J67:DQ67)</f>
        <v>0</v>
      </c>
      <c r="DR68" s="47" t="n">
        <f aca="false">DR20*SUMIF($J$7:DR$7,DR$7,$J67:DR67)</f>
        <v>0</v>
      </c>
      <c r="DS68" s="47" t="n">
        <f aca="false">DS20*SUMIF($J$7:DS$7,DS$7,$J67:DS67)</f>
        <v>0</v>
      </c>
      <c r="DT68" s="47" t="n">
        <f aca="false">DT20*SUMIF($J$7:DT$7,DT$7,$J67:DT67)</f>
        <v>0</v>
      </c>
      <c r="DU68" s="47" t="n">
        <f aca="false">DU20*SUMIF($J$7:DU$7,DU$7,$J67:DU67)</f>
        <v>0</v>
      </c>
      <c r="DV68" s="47" t="n">
        <f aca="false">DV20*SUMIF($J$7:DV$7,DV$7,$J67:DV67)</f>
        <v>0</v>
      </c>
      <c r="DW68" s="47" t="n">
        <f aca="false">DW20*SUMIF($J$7:DW$7,DW$7,$J67:DW67)</f>
        <v>0</v>
      </c>
      <c r="DX68" s="47" t="n">
        <f aca="false">DX20*SUMIF($J$7:DX$7,DX$7,$J67:DX67)</f>
        <v>0</v>
      </c>
      <c r="DY68" s="47" t="n">
        <f aca="false">DY20*SUMIF($J$7:DY$7,DY$7,$J67:DY67)</f>
        <v>0</v>
      </c>
      <c r="DZ68" s="47" t="n">
        <f aca="false">DZ20*SUMIF($J$7:DZ$7,DZ$7,$J67:DZ67)</f>
        <v>0</v>
      </c>
      <c r="EA68" s="47" t="n">
        <f aca="false">EA20*SUMIF($J$7:EA$7,EA$7,$J67:EA67)</f>
        <v>0</v>
      </c>
      <c r="EB68" s="47" t="n">
        <f aca="false">EB20*SUMIF($J$7:EB$7,EB$7,$J67:EB67)</f>
        <v>0</v>
      </c>
      <c r="EC68" s="47" t="n">
        <f aca="false">EC20*SUMIF($J$7:EC$7,EC$7,$J67:EC67)</f>
        <v>0</v>
      </c>
      <c r="ED68" s="47" t="n">
        <f aca="false">ED20*SUMIF($J$7:ED$7,ED$7,$J67:ED67)</f>
        <v>0</v>
      </c>
      <c r="EE68" s="47" t="n">
        <f aca="false">EE20*SUMIF($J$7:EE$7,EE$7,$J67:EE67)</f>
        <v>0</v>
      </c>
      <c r="EF68" s="47" t="n">
        <f aca="false">EF20*SUMIF($J$7:EF$7,EF$7,$J67:EF67)</f>
        <v>0</v>
      </c>
      <c r="EG68" s="47" t="n">
        <f aca="false">EG20*SUMIF($J$7:EG$7,EG$7,$J67:EG67)</f>
        <v>0</v>
      </c>
      <c r="EH68" s="47" t="n">
        <f aca="false">EH20*SUMIF($J$7:EH$7,EH$7,$J67:EH67)</f>
        <v>0</v>
      </c>
      <c r="EI68" s="47" t="n">
        <f aca="false">EI20*SUMIF($J$7:EI$7,EI$7,$J67:EI67)</f>
        <v>0</v>
      </c>
      <c r="EJ68" s="47" t="n">
        <f aca="false">EJ20*SUMIF($J$7:EJ$7,EJ$7,$J67:EJ67)</f>
        <v>0</v>
      </c>
      <c r="EK68" s="47" t="n">
        <f aca="false">EK20*SUMIF($J$7:EK$7,EK$7,$J67:EK67)</f>
        <v>0</v>
      </c>
      <c r="EL68" s="47" t="n">
        <f aca="false">EL20*SUMIF($J$7:EL$7,EL$7,$J67:EL67)</f>
        <v>0</v>
      </c>
      <c r="EM68" s="47" t="n">
        <f aca="false">EM20*SUMIF($J$7:EM$7,EM$7,$J67:EM67)</f>
        <v>0</v>
      </c>
      <c r="EN68" s="47" t="n">
        <f aca="false">EN20*SUMIF($J$7:EN$7,EN$7,$J67:EN67)</f>
        <v>0</v>
      </c>
      <c r="EO68" s="47" t="n">
        <f aca="false">EO20*SUMIF($J$7:EO$7,EO$7,$J67:EO67)</f>
        <v>0</v>
      </c>
      <c r="EP68" s="47" t="n">
        <f aca="false">EP20*SUMIF($J$7:EP$7,EP$7,$J67:EP67)</f>
        <v>0</v>
      </c>
      <c r="EQ68" s="47" t="n">
        <f aca="false">EQ20*SUMIF($J$7:EQ$7,EQ$7,$J67:EQ67)</f>
        <v>0</v>
      </c>
      <c r="ER68" s="47" t="n">
        <f aca="false">ER20*SUMIF($J$7:ER$7,ER$7,$J67:ER67)</f>
        <v>0</v>
      </c>
      <c r="ES68" s="47" t="n">
        <f aca="false">ES20*SUMIF($J$7:ES$7,ES$7,$J67:ES67)</f>
        <v>0</v>
      </c>
      <c r="ET68" s="47" t="n">
        <f aca="false">ET20*SUMIF($J$7:ET$7,ET$7,$J67:ET67)</f>
        <v>0</v>
      </c>
    </row>
    <row r="69" customFormat="false" ht="15" hidden="false" customHeight="false" outlineLevel="0" collapsed="false">
      <c r="C69" s="1" t="s">
        <v>497</v>
      </c>
      <c r="D69" s="12" t="s">
        <v>222</v>
      </c>
      <c r="I69" s="57"/>
      <c r="J69" s="47" t="n">
        <f aca="false">J66+J64+J68</f>
        <v>0</v>
      </c>
      <c r="K69" s="47" t="n">
        <f aca="false">K66+K64+K68</f>
        <v>1242.07678738976</v>
      </c>
      <c r="L69" s="47" t="n">
        <f aca="false">L66+L64+L68</f>
        <v>1242.07678738976</v>
      </c>
      <c r="M69" s="47" t="n">
        <f aca="false">M66+M64+M68</f>
        <v>1242.07678738976</v>
      </c>
      <c r="N69" s="47" t="n">
        <f aca="false">N66+N64+N68</f>
        <v>1242.07678738976</v>
      </c>
      <c r="O69" s="47" t="n">
        <f aca="false">O66+O64+O68</f>
        <v>1391.12600187653</v>
      </c>
      <c r="P69" s="47" t="n">
        <f aca="false">P66+P64+P68</f>
        <v>1391.12600187653</v>
      </c>
      <c r="Q69" s="47" t="n">
        <f aca="false">Q66+Q64+Q68</f>
        <v>1391.12600187653</v>
      </c>
      <c r="R69" s="47" t="n">
        <f aca="false">R66+R64+R68</f>
        <v>1391.12600187653</v>
      </c>
      <c r="S69" s="47" t="n">
        <f aca="false">S66+S64+S68</f>
        <v>1558.51847859548</v>
      </c>
      <c r="T69" s="47" t="n">
        <f aca="false">T66+T64+T68</f>
        <v>21737.9058868147</v>
      </c>
      <c r="U69" s="47" t="n">
        <f aca="false">U66+U64+U68</f>
        <v>21737.9058868147</v>
      </c>
      <c r="V69" s="47" t="n">
        <f aca="false">V66+V64+V68</f>
        <v>21737.9058868147</v>
      </c>
      <c r="W69" s="47" t="n">
        <f aca="false">W66+W64+W68</f>
        <v>22985.0199428111</v>
      </c>
      <c r="X69" s="47" t="n">
        <f aca="false">X66+X64+X68</f>
        <v>22985.0199428111</v>
      </c>
      <c r="Y69" s="47" t="n">
        <f aca="false">Y66+Y64+Y68</f>
        <v>22985.0199428111</v>
      </c>
      <c r="Z69" s="47" t="n">
        <f aca="false">Z66+Z64+Z68</f>
        <v>22985.0199428111</v>
      </c>
      <c r="AA69" s="47" t="n">
        <f aca="false">AA66+AA64+AA68</f>
        <v>25743.2223359484</v>
      </c>
      <c r="AB69" s="47" t="n">
        <f aca="false">AB66+AB64+AB68</f>
        <v>25743.2223359484</v>
      </c>
      <c r="AC69" s="47" t="n">
        <f aca="false">AC66+AC64+AC68</f>
        <v>25743.2223359484</v>
      </c>
      <c r="AD69" s="47" t="n">
        <f aca="false">AD66+AD64+AD68</f>
        <v>25743.2223359484</v>
      </c>
      <c r="AE69" s="47" t="n">
        <f aca="false">AE66+AE64+AE68</f>
        <v>28053.7647023201</v>
      </c>
      <c r="AF69" s="47" t="n">
        <f aca="false">AF66+AF64+AF68</f>
        <v>28053.7647023201</v>
      </c>
      <c r="AG69" s="47" t="n">
        <f aca="false">AG66+AG64+AG68</f>
        <v>28053.7647023201</v>
      </c>
      <c r="AH69" s="47" t="n">
        <f aca="false">AH66+AH64+AH68</f>
        <v>28053.7647023201</v>
      </c>
      <c r="AI69" s="47" t="n">
        <f aca="false">AI66+AI64+AI68</f>
        <v>28053.7647023201</v>
      </c>
      <c r="AJ69" s="47" t="n">
        <f aca="false">AJ66+AJ64+AJ68</f>
        <v>28053.7647023201</v>
      </c>
      <c r="AK69" s="47" t="n">
        <f aca="false">AK66+AK64+AK68</f>
        <v>28053.7647023201</v>
      </c>
      <c r="AL69" s="47" t="n">
        <f aca="false">AL66+AL64+AL68</f>
        <v>28053.7647023201</v>
      </c>
      <c r="AM69" s="47" t="n">
        <f aca="false">AM66+AM64+AM68</f>
        <v>28053.7647023201</v>
      </c>
      <c r="AN69" s="47" t="n">
        <f aca="false">AN66+AN64+AN68</f>
        <v>28053.7647023201</v>
      </c>
      <c r="AO69" s="47" t="n">
        <f aca="false">AO66+AO64+AO68</f>
        <v>28053.7647023201</v>
      </c>
      <c r="AP69" s="47" t="n">
        <f aca="false">AP66+AP64+AP68</f>
        <v>28053.7647023201</v>
      </c>
      <c r="AQ69" s="47" t="n">
        <f aca="false">AQ66+AQ64+AQ68</f>
        <v>28053.7647023201</v>
      </c>
      <c r="AR69" s="47" t="n">
        <f aca="false">AR66+AR64+AR68</f>
        <v>28053.7647023201</v>
      </c>
      <c r="AS69" s="47" t="n">
        <f aca="false">AS66+AS64+AS68</f>
        <v>28053.7647023201</v>
      </c>
      <c r="AT69" s="47" t="n">
        <f aca="false">AT66+AT64+AT68</f>
        <v>28053.7647023201</v>
      </c>
      <c r="AU69" s="47" t="n">
        <f aca="false">AU66+AU64+AU68</f>
        <v>28053.7647023201</v>
      </c>
      <c r="AV69" s="47" t="n">
        <f aca="false">AV66+AV64+AV68</f>
        <v>28053.7647023201</v>
      </c>
      <c r="AW69" s="47" t="n">
        <f aca="false">AW66+AW64+AW68</f>
        <v>28053.7647023201</v>
      </c>
      <c r="AX69" s="47" t="n">
        <f aca="false">AX66+AX64+AX68</f>
        <v>28053.7647023201</v>
      </c>
      <c r="AY69" s="47" t="n">
        <f aca="false">AY66+AY64+AY68</f>
        <v>28053.7647023201</v>
      </c>
      <c r="AZ69" s="47" t="n">
        <f aca="false">AZ66+AZ64+AZ68</f>
        <v>28053.7647023201</v>
      </c>
      <c r="BA69" s="47" t="n">
        <f aca="false">BA66+BA64+BA68</f>
        <v>28053.7647023201</v>
      </c>
      <c r="BB69" s="47" t="n">
        <f aca="false">BB66+BB64+BB68</f>
        <v>28053.7647023201</v>
      </c>
      <c r="BC69" s="47" t="n">
        <f aca="false">BC66+BC64+BC68</f>
        <v>28053.7647023201</v>
      </c>
      <c r="BD69" s="47" t="n">
        <f aca="false">BD66+BD64+BD68</f>
        <v>28053.7647023201</v>
      </c>
      <c r="BE69" s="47" t="n">
        <f aca="false">BE66+BE64+BE68</f>
        <v>28053.7647023201</v>
      </c>
      <c r="BF69" s="47" t="n">
        <f aca="false">BF66+BF64+BF68</f>
        <v>28053.7647023201</v>
      </c>
      <c r="BG69" s="47" t="n">
        <f aca="false">BG66+BG64+BG68</f>
        <v>28053.7647023201</v>
      </c>
      <c r="BH69" s="47" t="n">
        <f aca="false">BH66+BH64+BH68</f>
        <v>28053.7647023201</v>
      </c>
      <c r="BI69" s="47" t="n">
        <f aca="false">BI66+BI64+BI68</f>
        <v>28053.7647023201</v>
      </c>
      <c r="BJ69" s="47" t="n">
        <f aca="false">BJ66+BJ64+BJ68</f>
        <v>28053.7647023201</v>
      </c>
      <c r="BK69" s="47" t="n">
        <f aca="false">BK66+BK64+BK68</f>
        <v>28053.7647023201</v>
      </c>
      <c r="BL69" s="47" t="n">
        <f aca="false">BL66+BL64+BL68</f>
        <v>28053.7647023201</v>
      </c>
      <c r="BM69" s="47" t="n">
        <f aca="false">BM66+BM64+BM68</f>
        <v>28053.7647023201</v>
      </c>
      <c r="BN69" s="47" t="n">
        <f aca="false">BN66+BN64+BN68</f>
        <v>28053.7647023201</v>
      </c>
      <c r="BO69" s="47" t="n">
        <f aca="false">BO66+BO64+BO68</f>
        <v>28053.7647023201</v>
      </c>
      <c r="BP69" s="47" t="n">
        <f aca="false">BP66+BP64+BP68</f>
        <v>28053.7647023201</v>
      </c>
      <c r="BQ69" s="47" t="n">
        <f aca="false">BQ66+BQ64+BQ68</f>
        <v>28053.7647023201</v>
      </c>
      <c r="BR69" s="47" t="n">
        <f aca="false">BR66+BR64+BR68</f>
        <v>28053.7647023201</v>
      </c>
      <c r="BS69" s="47" t="n">
        <f aca="false">BS66+BS64+BS68</f>
        <v>28053.7647023201</v>
      </c>
      <c r="BT69" s="47" t="n">
        <f aca="false">BT66+BT64+BT68</f>
        <v>28053.7647023201</v>
      </c>
      <c r="BU69" s="47" t="n">
        <f aca="false">BU66+BU64+BU68</f>
        <v>28053.7647023201</v>
      </c>
      <c r="BV69" s="47" t="n">
        <f aca="false">BV66+BV64+BV68</f>
        <v>28053.7647023201</v>
      </c>
      <c r="BW69" s="47" t="n">
        <f aca="false">BW66+BW64+BW68</f>
        <v>28053.7647023201</v>
      </c>
      <c r="BX69" s="47" t="n">
        <f aca="false">BX66+BX64+BX68</f>
        <v>28053.7647023201</v>
      </c>
      <c r="BY69" s="47" t="n">
        <f aca="false">BY66+BY64+BY68</f>
        <v>28053.7647023201</v>
      </c>
      <c r="BZ69" s="47" t="n">
        <f aca="false">BZ66+BZ64+BZ68</f>
        <v>28053.7647023201</v>
      </c>
      <c r="CA69" s="47" t="n">
        <f aca="false">CA66+CA64+CA68</f>
        <v>28053.7647023201</v>
      </c>
      <c r="CB69" s="47" t="n">
        <f aca="false">CB66+CB64+CB68</f>
        <v>28053.7647023201</v>
      </c>
      <c r="CC69" s="47" t="n">
        <f aca="false">CC66+CC64+CC68</f>
        <v>28053.7647023201</v>
      </c>
      <c r="CD69" s="47" t="n">
        <f aca="false">CD66+CD64+CD68</f>
        <v>28053.7647023201</v>
      </c>
      <c r="CE69" s="47" t="n">
        <f aca="false">CE66+CE64+CE68</f>
        <v>28053.7647023201</v>
      </c>
      <c r="CF69" s="47" t="n">
        <f aca="false">CF66+CF64+CF68</f>
        <v>28053.7647023201</v>
      </c>
      <c r="CG69" s="47" t="n">
        <f aca="false">CG66+CG64+CG68</f>
        <v>28053.7647023201</v>
      </c>
      <c r="CH69" s="47" t="n">
        <f aca="false">CH66+CH64+CH68</f>
        <v>28053.7647023201</v>
      </c>
      <c r="CI69" s="47" t="n">
        <f aca="false">CI66+CI64+CI68</f>
        <v>28053.7647023201</v>
      </c>
      <c r="CJ69" s="47" t="n">
        <f aca="false">CJ66+CJ64+CJ68</f>
        <v>28053.7647023201</v>
      </c>
      <c r="CK69" s="47" t="n">
        <f aca="false">CK66+CK64+CK68</f>
        <v>28053.7647023201</v>
      </c>
      <c r="CL69" s="47" t="n">
        <f aca="false">CL66+CL64+CL68</f>
        <v>28053.7647023201</v>
      </c>
      <c r="CM69" s="47" t="n">
        <f aca="false">CM66+CM64+CM68</f>
        <v>28053.7647023201</v>
      </c>
      <c r="CN69" s="47" t="n">
        <f aca="false">CN66+CN64+CN68</f>
        <v>28053.7647023201</v>
      </c>
      <c r="CO69" s="47" t="n">
        <f aca="false">CO66+CO64+CO68</f>
        <v>28053.7647023201</v>
      </c>
      <c r="CP69" s="47" t="n">
        <f aca="false">CP66+CP64+CP68</f>
        <v>28053.7647023201</v>
      </c>
      <c r="CQ69" s="47" t="n">
        <f aca="false">CQ66+CQ64+CQ68</f>
        <v>28053.7647023201</v>
      </c>
      <c r="CR69" s="47" t="n">
        <f aca="false">CR66+CR64+CR68</f>
        <v>28053.7647023201</v>
      </c>
      <c r="CS69" s="47" t="n">
        <f aca="false">CS66+CS64+CS68</f>
        <v>28053.7647023201</v>
      </c>
      <c r="CT69" s="47" t="n">
        <f aca="false">CT66+CT64+CT68</f>
        <v>28053.7647023201</v>
      </c>
      <c r="CU69" s="47" t="n">
        <f aca="false">CU66+CU64+CU68</f>
        <v>28053.7647023201</v>
      </c>
      <c r="CV69" s="47" t="n">
        <f aca="false">CV66+CV64+CV68</f>
        <v>28053.7647023201</v>
      </c>
      <c r="CW69" s="47" t="n">
        <f aca="false">CW66+CW64+CW68</f>
        <v>28053.7647023201</v>
      </c>
      <c r="CX69" s="47" t="n">
        <f aca="false">CX66+CX64+CX68</f>
        <v>28053.7647023201</v>
      </c>
      <c r="CY69" s="47" t="n">
        <f aca="false">CY66+CY64+CY68</f>
        <v>28053.7647023201</v>
      </c>
      <c r="CZ69" s="47" t="n">
        <f aca="false">CZ66+CZ64+CZ68</f>
        <v>28053.7647023201</v>
      </c>
      <c r="DA69" s="47" t="n">
        <f aca="false">DA66+DA64+DA68</f>
        <v>28053.7647023201</v>
      </c>
      <c r="DB69" s="47" t="n">
        <f aca="false">DB66+DB64+DB68</f>
        <v>28053.7647023201</v>
      </c>
      <c r="DC69" s="47" t="n">
        <f aca="false">DC66+DC64+DC68</f>
        <v>28053.7647023201</v>
      </c>
      <c r="DD69" s="47" t="n">
        <f aca="false">DD66+DD64+DD68</f>
        <v>28053.7647023201</v>
      </c>
      <c r="DE69" s="47" t="n">
        <f aca="false">DE66+DE64+DE68</f>
        <v>28053.7647023201</v>
      </c>
      <c r="DF69" s="47" t="n">
        <f aca="false">DF66+DF64+DF68</f>
        <v>28053.7647023201</v>
      </c>
      <c r="DG69" s="47" t="n">
        <f aca="false">DG66+DG64+DG68</f>
        <v>28053.7647023201</v>
      </c>
      <c r="DH69" s="47" t="n">
        <f aca="false">DH66+DH64+DH68</f>
        <v>28053.7647023201</v>
      </c>
      <c r="DI69" s="47" t="n">
        <f aca="false">DI66+DI64+DI68</f>
        <v>28053.7647023201</v>
      </c>
      <c r="DJ69" s="47" t="n">
        <f aca="false">DJ66+DJ64+DJ68</f>
        <v>28053.7647023201</v>
      </c>
      <c r="DK69" s="47" t="n">
        <f aca="false">DK66+DK64+DK68</f>
        <v>28053.7647023201</v>
      </c>
      <c r="DL69" s="47" t="n">
        <f aca="false">DL66+DL64+DL68</f>
        <v>28053.7647023201</v>
      </c>
      <c r="DM69" s="47" t="n">
        <f aca="false">DM66+DM64+DM68</f>
        <v>28053.7647023201</v>
      </c>
      <c r="DN69" s="47" t="n">
        <f aca="false">DN66+DN64+DN68</f>
        <v>28053.7647023201</v>
      </c>
      <c r="DO69" s="47" t="n">
        <f aca="false">DO66+DO64+DO68</f>
        <v>28053.7647023201</v>
      </c>
      <c r="DP69" s="47" t="n">
        <f aca="false">DP66+DP64+DP68</f>
        <v>28053.7647023201</v>
      </c>
      <c r="DQ69" s="47" t="n">
        <f aca="false">DQ66+DQ64+DQ68</f>
        <v>28053.7647023201</v>
      </c>
      <c r="DR69" s="47" t="n">
        <f aca="false">DR66+DR64+DR68</f>
        <v>28053.7647023201</v>
      </c>
      <c r="DS69" s="47" t="n">
        <f aca="false">DS66+DS64+DS68</f>
        <v>28053.7647023201</v>
      </c>
      <c r="DT69" s="47" t="n">
        <f aca="false">DT66+DT64+DT68</f>
        <v>28053.7647023201</v>
      </c>
      <c r="DU69" s="47" t="n">
        <f aca="false">DU66+DU64+DU68</f>
        <v>28053.7647023201</v>
      </c>
      <c r="DV69" s="47" t="n">
        <f aca="false">DV66+DV64+DV68</f>
        <v>28053.7647023201</v>
      </c>
      <c r="DW69" s="47" t="n">
        <f aca="false">DW66+DW64+DW68</f>
        <v>28053.7647023201</v>
      </c>
      <c r="DX69" s="47" t="n">
        <f aca="false">DX66+DX64+DX68</f>
        <v>28053.7647023201</v>
      </c>
      <c r="DY69" s="47" t="n">
        <f aca="false">DY66+DY64+DY68</f>
        <v>28053.7647023201</v>
      </c>
      <c r="DZ69" s="47" t="n">
        <f aca="false">DZ66+DZ64+DZ68</f>
        <v>28053.7647023201</v>
      </c>
      <c r="EA69" s="47" t="n">
        <f aca="false">EA66+EA64+EA68</f>
        <v>28053.7647023201</v>
      </c>
      <c r="EB69" s="47" t="n">
        <f aca="false">EB66+EB64+EB68</f>
        <v>28053.7647023201</v>
      </c>
      <c r="EC69" s="47" t="n">
        <f aca="false">EC66+EC64+EC68</f>
        <v>28053.7647023201</v>
      </c>
      <c r="ED69" s="47" t="n">
        <f aca="false">ED66+ED64+ED68</f>
        <v>28053.7647023201</v>
      </c>
      <c r="EE69" s="47" t="n">
        <f aca="false">EE66+EE64+EE68</f>
        <v>28053.7647023201</v>
      </c>
      <c r="EF69" s="47" t="n">
        <f aca="false">EF66+EF64+EF68</f>
        <v>28053.7647023201</v>
      </c>
      <c r="EG69" s="47" t="n">
        <f aca="false">EG66+EG64+EG68</f>
        <v>28053.7647023201</v>
      </c>
      <c r="EH69" s="47" t="n">
        <f aca="false">EH66+EH64+EH68</f>
        <v>28053.7647023201</v>
      </c>
      <c r="EI69" s="47" t="n">
        <f aca="false">EI66+EI64+EI68</f>
        <v>28053.7647023201</v>
      </c>
      <c r="EJ69" s="47" t="n">
        <f aca="false">EJ66+EJ64+EJ68</f>
        <v>28053.7647023201</v>
      </c>
      <c r="EK69" s="47" t="n">
        <f aca="false">EK66+EK64+EK68</f>
        <v>28053.7647023201</v>
      </c>
      <c r="EL69" s="47" t="n">
        <f aca="false">EL66+EL64+EL68</f>
        <v>28053.7647023201</v>
      </c>
      <c r="EM69" s="47" t="n">
        <f aca="false">EM66+EM64+EM68</f>
        <v>28053.7647023201</v>
      </c>
      <c r="EN69" s="47" t="n">
        <f aca="false">EN66+EN64+EN68</f>
        <v>28053.7647023201</v>
      </c>
      <c r="EO69" s="47" t="n">
        <f aca="false">EO66+EO64+EO68</f>
        <v>28053.7647023201</v>
      </c>
      <c r="EP69" s="47" t="n">
        <f aca="false">EP66+EP64+EP68</f>
        <v>28053.7647023201</v>
      </c>
      <c r="EQ69" s="47" t="n">
        <f aca="false">EQ66+EQ64+EQ68</f>
        <v>28053.7647023201</v>
      </c>
      <c r="ER69" s="47" t="n">
        <f aca="false">ER66+ER64+ER68</f>
        <v>28053.7647023201</v>
      </c>
      <c r="ES69" s="47" t="n">
        <f aca="false">ES66+ES64+ES68</f>
        <v>28053.7647023201</v>
      </c>
      <c r="ET69" s="47" t="n">
        <f aca="false">ET66+ET64+ET68</f>
        <v>28053.7647023201</v>
      </c>
    </row>
    <row r="70" customFormat="false" ht="15" hidden="false" customHeight="false" outlineLevel="0" collapsed="false">
      <c r="A70" s="36"/>
      <c r="B70" s="36"/>
      <c r="C70" s="36" t="s">
        <v>498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  <c r="BB70" s="36"/>
      <c r="BC70" s="36"/>
      <c r="BD70" s="36"/>
      <c r="BE70" s="36"/>
      <c r="BF70" s="36"/>
      <c r="BG70" s="36"/>
      <c r="BH70" s="36"/>
      <c r="BI70" s="36"/>
      <c r="BJ70" s="36"/>
      <c r="BK70" s="36"/>
      <c r="BL70" s="36"/>
      <c r="BM70" s="36"/>
      <c r="BN70" s="36"/>
      <c r="BO70" s="36"/>
      <c r="BP70" s="36"/>
      <c r="BQ70" s="36"/>
      <c r="BR70" s="36"/>
      <c r="BS70" s="36"/>
      <c r="BT70" s="36"/>
      <c r="BU70" s="36"/>
      <c r="BV70" s="36"/>
      <c r="BW70" s="36"/>
      <c r="BX70" s="36"/>
      <c r="BY70" s="36"/>
      <c r="BZ70" s="36"/>
      <c r="CA70" s="36"/>
      <c r="CB70" s="36"/>
      <c r="CC70" s="36"/>
      <c r="CD70" s="36"/>
      <c r="CE70" s="36"/>
      <c r="CF70" s="36"/>
      <c r="CG70" s="36"/>
      <c r="CH70" s="36"/>
      <c r="CI70" s="36"/>
      <c r="CJ70" s="36"/>
      <c r="CK70" s="36"/>
      <c r="CL70" s="36"/>
      <c r="CM70" s="36"/>
      <c r="CN70" s="36"/>
      <c r="CO70" s="36"/>
      <c r="CP70" s="36"/>
      <c r="CQ70" s="36"/>
      <c r="CR70" s="36"/>
      <c r="CS70" s="36"/>
      <c r="CT70" s="36"/>
      <c r="CU70" s="36"/>
      <c r="CV70" s="36"/>
      <c r="CW70" s="36"/>
      <c r="CX70" s="36"/>
      <c r="CY70" s="36"/>
      <c r="CZ70" s="36"/>
      <c r="DA70" s="36"/>
      <c r="DB70" s="36"/>
      <c r="DC70" s="36"/>
      <c r="DD70" s="36"/>
      <c r="DE70" s="36"/>
      <c r="DF70" s="36"/>
      <c r="DG70" s="36"/>
      <c r="DH70" s="36"/>
      <c r="DI70" s="36"/>
      <c r="DJ70" s="36"/>
      <c r="DK70" s="36"/>
      <c r="DL70" s="36"/>
      <c r="DM70" s="36"/>
      <c r="DN70" s="36"/>
      <c r="DO70" s="36"/>
      <c r="DP70" s="36"/>
      <c r="DQ70" s="36"/>
      <c r="DR70" s="36"/>
      <c r="DS70" s="36"/>
      <c r="DT70" s="36"/>
      <c r="DU70" s="36"/>
      <c r="DV70" s="36"/>
      <c r="DW70" s="36"/>
      <c r="DX70" s="36"/>
      <c r="DY70" s="36"/>
      <c r="DZ70" s="36"/>
      <c r="EA70" s="36"/>
      <c r="EB70" s="36"/>
      <c r="EC70" s="36"/>
      <c r="ED70" s="36"/>
      <c r="EE70" s="36"/>
      <c r="EF70" s="36"/>
      <c r="EG70" s="36"/>
      <c r="EH70" s="36"/>
      <c r="EI70" s="36"/>
      <c r="EJ70" s="36"/>
      <c r="EK70" s="36"/>
      <c r="EL70" s="36"/>
      <c r="EM70" s="36"/>
      <c r="EN70" s="36"/>
      <c r="EO70" s="36"/>
      <c r="EP70" s="36"/>
      <c r="EQ70" s="36"/>
      <c r="ER70" s="36"/>
      <c r="ES70" s="36"/>
      <c r="ET70" s="36"/>
    </row>
    <row r="71" customFormat="false" ht="15" hidden="false" customHeight="false" outlineLevel="0" collapsed="false">
      <c r="C71" s="1" t="s">
        <v>499</v>
      </c>
      <c r="D71" s="12" t="s">
        <v>222</v>
      </c>
      <c r="J71" s="23" t="n">
        <f aca="false">I74</f>
        <v>0</v>
      </c>
      <c r="K71" s="23" t="n">
        <f aca="false">J74</f>
        <v>0</v>
      </c>
      <c r="L71" s="23" t="n">
        <f aca="false">K74</f>
        <v>15.804150872584</v>
      </c>
      <c r="M71" s="23" t="n">
        <f aca="false">L74</f>
        <v>15.804150872584</v>
      </c>
      <c r="N71" s="23" t="n">
        <f aca="false">M74</f>
        <v>15.804150872584</v>
      </c>
      <c r="O71" s="23" t="n">
        <f aca="false">N74</f>
        <v>15.804150872584</v>
      </c>
      <c r="P71" s="23" t="n">
        <f aca="false">O74</f>
        <v>381.848290335898</v>
      </c>
      <c r="Q71" s="23" t="n">
        <f aca="false">P74</f>
        <v>381.848290335898</v>
      </c>
      <c r="R71" s="23" t="n">
        <f aca="false">Q74</f>
        <v>381.848290335898</v>
      </c>
      <c r="S71" s="23" t="n">
        <f aca="false">R74</f>
        <v>381.848290335898</v>
      </c>
      <c r="T71" s="23" t="n">
        <f aca="false">S74</f>
        <v>770.918110462438</v>
      </c>
      <c r="U71" s="23" t="n">
        <f aca="false">T74</f>
        <v>770.918110462438</v>
      </c>
      <c r="V71" s="23" t="n">
        <f aca="false">U74</f>
        <v>770.918110462438</v>
      </c>
      <c r="W71" s="23" t="n">
        <f aca="false">V74</f>
        <v>770.918110462438</v>
      </c>
      <c r="X71" s="23" t="n">
        <f aca="false">W74</f>
        <v>974.903115514509</v>
      </c>
      <c r="Y71" s="23" t="n">
        <f aca="false">X74</f>
        <v>974.903115514509</v>
      </c>
      <c r="Z71" s="23" t="n">
        <f aca="false">Y74</f>
        <v>974.903115514509</v>
      </c>
      <c r="AA71" s="23" t="n">
        <f aca="false">Z74</f>
        <v>974.903115514509</v>
      </c>
      <c r="AB71" s="23" t="n">
        <f aca="false">AA74</f>
        <v>1398.49319285634</v>
      </c>
      <c r="AC71" s="23" t="n">
        <f aca="false">AB74</f>
        <v>1398.49319285634</v>
      </c>
      <c r="AD71" s="23" t="n">
        <f aca="false">AC74</f>
        <v>1398.49319285634</v>
      </c>
      <c r="AE71" s="23" t="n">
        <f aca="false">AD74</f>
        <v>1398.49319285634</v>
      </c>
      <c r="AF71" s="23" t="n">
        <f aca="false">AE74</f>
        <v>1734.32469033902</v>
      </c>
      <c r="AG71" s="23" t="n">
        <f aca="false">AF74</f>
        <v>1734.32469033902</v>
      </c>
      <c r="AH71" s="23" t="n">
        <f aca="false">AG74</f>
        <v>1734.32469033902</v>
      </c>
      <c r="AI71" s="23" t="n">
        <f aca="false">AH74</f>
        <v>1734.32469033902</v>
      </c>
      <c r="AJ71" s="23" t="n">
        <f aca="false">AI74</f>
        <v>1734.32469033902</v>
      </c>
      <c r="AK71" s="23" t="n">
        <f aca="false">AJ74</f>
        <v>1734.32469033902</v>
      </c>
      <c r="AL71" s="23" t="n">
        <f aca="false">AK74</f>
        <v>1734.32469033902</v>
      </c>
      <c r="AM71" s="23" t="n">
        <f aca="false">AL74</f>
        <v>1734.32469033902</v>
      </c>
      <c r="AN71" s="23" t="n">
        <f aca="false">AM74</f>
        <v>1734.32469033902</v>
      </c>
      <c r="AO71" s="23" t="n">
        <f aca="false">AN74</f>
        <v>1734.32469033902</v>
      </c>
      <c r="AP71" s="23" t="n">
        <f aca="false">AO74</f>
        <v>1734.32469033902</v>
      </c>
      <c r="AQ71" s="23" t="n">
        <f aca="false">AP74</f>
        <v>1734.32469033902</v>
      </c>
      <c r="AR71" s="23" t="n">
        <f aca="false">AQ74</f>
        <v>1734.32469033902</v>
      </c>
      <c r="AS71" s="23" t="n">
        <f aca="false">AR74</f>
        <v>1734.32469033902</v>
      </c>
      <c r="AT71" s="23" t="n">
        <f aca="false">AS74</f>
        <v>1734.32469033902</v>
      </c>
      <c r="AU71" s="23" t="n">
        <f aca="false">AT74</f>
        <v>1734.32469033902</v>
      </c>
      <c r="AV71" s="23" t="n">
        <f aca="false">AU74</f>
        <v>1734.32469033902</v>
      </c>
      <c r="AW71" s="23" t="n">
        <f aca="false">AV74</f>
        <v>1734.32469033902</v>
      </c>
      <c r="AX71" s="23" t="n">
        <f aca="false">AW74</f>
        <v>1734.32469033902</v>
      </c>
      <c r="AY71" s="23" t="n">
        <f aca="false">AX74</f>
        <v>1734.32469033902</v>
      </c>
      <c r="AZ71" s="23" t="n">
        <f aca="false">AY74</f>
        <v>1734.32469033902</v>
      </c>
      <c r="BA71" s="23" t="n">
        <f aca="false">AZ74</f>
        <v>1734.32469033902</v>
      </c>
      <c r="BB71" s="23" t="n">
        <f aca="false">BA74</f>
        <v>1734.32469033902</v>
      </c>
      <c r="BC71" s="23" t="n">
        <f aca="false">BB74</f>
        <v>1734.32469033902</v>
      </c>
      <c r="BD71" s="23" t="n">
        <f aca="false">BC74</f>
        <v>1734.32469033902</v>
      </c>
      <c r="BE71" s="23" t="n">
        <f aca="false">BD74</f>
        <v>1734.32469033902</v>
      </c>
      <c r="BF71" s="23" t="n">
        <f aca="false">BE74</f>
        <v>1734.32469033902</v>
      </c>
      <c r="BG71" s="23" t="n">
        <f aca="false">BF74</f>
        <v>1734.32469033902</v>
      </c>
      <c r="BH71" s="23" t="n">
        <f aca="false">BG74</f>
        <v>1734.32469033902</v>
      </c>
      <c r="BI71" s="23" t="n">
        <f aca="false">BH74</f>
        <v>1734.32469033902</v>
      </c>
      <c r="BJ71" s="23" t="n">
        <f aca="false">BI74</f>
        <v>1734.32469033902</v>
      </c>
      <c r="BK71" s="23" t="n">
        <f aca="false">BJ74</f>
        <v>1734.32469033902</v>
      </c>
      <c r="BL71" s="23" t="n">
        <f aca="false">BK74</f>
        <v>1734.32469033902</v>
      </c>
      <c r="BM71" s="23" t="n">
        <f aca="false">BL74</f>
        <v>1734.32469033902</v>
      </c>
      <c r="BN71" s="23" t="n">
        <f aca="false">BM74</f>
        <v>1734.32469033902</v>
      </c>
      <c r="BO71" s="23" t="n">
        <f aca="false">BN74</f>
        <v>1734.32469033902</v>
      </c>
      <c r="BP71" s="23" t="n">
        <f aca="false">BO74</f>
        <v>1734.32469033902</v>
      </c>
      <c r="BQ71" s="23" t="n">
        <f aca="false">BP74</f>
        <v>1734.32469033902</v>
      </c>
      <c r="BR71" s="23" t="n">
        <f aca="false">BQ74</f>
        <v>1734.32469033902</v>
      </c>
      <c r="BS71" s="23" t="n">
        <f aca="false">BR74</f>
        <v>1734.32469033902</v>
      </c>
      <c r="BT71" s="23" t="n">
        <f aca="false">BS74</f>
        <v>1734.32469033902</v>
      </c>
      <c r="BU71" s="23" t="n">
        <f aca="false">BT74</f>
        <v>1734.32469033902</v>
      </c>
      <c r="BV71" s="23" t="n">
        <f aca="false">BU74</f>
        <v>1734.32469033902</v>
      </c>
      <c r="BW71" s="23" t="n">
        <f aca="false">BV74</f>
        <v>1734.32469033902</v>
      </c>
      <c r="BX71" s="23" t="n">
        <f aca="false">BW74</f>
        <v>1734.32469033902</v>
      </c>
      <c r="BY71" s="23" t="n">
        <f aca="false">BX74</f>
        <v>1734.32469033902</v>
      </c>
      <c r="BZ71" s="23" t="n">
        <f aca="false">BY74</f>
        <v>1734.32469033902</v>
      </c>
      <c r="CA71" s="23" t="n">
        <f aca="false">BZ74</f>
        <v>1734.32469033902</v>
      </c>
      <c r="CB71" s="23" t="n">
        <f aca="false">CA74</f>
        <v>1734.32469033902</v>
      </c>
      <c r="CC71" s="23" t="n">
        <f aca="false">CB74</f>
        <v>1734.32469033902</v>
      </c>
      <c r="CD71" s="23" t="n">
        <f aca="false">CC74</f>
        <v>1734.32469033902</v>
      </c>
      <c r="CE71" s="23" t="n">
        <f aca="false">CD74</f>
        <v>1734.32469033902</v>
      </c>
      <c r="CF71" s="23" t="n">
        <f aca="false">CE74</f>
        <v>1734.32469033902</v>
      </c>
      <c r="CG71" s="23" t="n">
        <f aca="false">CF74</f>
        <v>1734.32469033902</v>
      </c>
      <c r="CH71" s="23" t="n">
        <f aca="false">CG74</f>
        <v>1734.32469033902</v>
      </c>
      <c r="CI71" s="23" t="n">
        <f aca="false">CH74</f>
        <v>1734.32469033902</v>
      </c>
      <c r="CJ71" s="23" t="n">
        <f aca="false">CI74</f>
        <v>1734.32469033902</v>
      </c>
      <c r="CK71" s="23" t="n">
        <f aca="false">CJ74</f>
        <v>1734.32469033902</v>
      </c>
      <c r="CL71" s="23" t="n">
        <f aca="false">CK74</f>
        <v>1734.32469033902</v>
      </c>
      <c r="CM71" s="23" t="n">
        <f aca="false">CL74</f>
        <v>1734.32469033902</v>
      </c>
      <c r="CN71" s="23" t="n">
        <f aca="false">CM74</f>
        <v>1734.32469033902</v>
      </c>
      <c r="CO71" s="23" t="n">
        <f aca="false">CN74</f>
        <v>1734.32469033902</v>
      </c>
      <c r="CP71" s="23" t="n">
        <f aca="false">CO74</f>
        <v>1734.32469033902</v>
      </c>
      <c r="CQ71" s="23" t="n">
        <f aca="false">CP74</f>
        <v>1734.32469033902</v>
      </c>
      <c r="CR71" s="23" t="n">
        <f aca="false">CQ74</f>
        <v>1734.32469033902</v>
      </c>
      <c r="CS71" s="23" t="n">
        <f aca="false">CR74</f>
        <v>1734.32469033902</v>
      </c>
      <c r="CT71" s="23" t="n">
        <f aca="false">CS74</f>
        <v>1734.32469033902</v>
      </c>
      <c r="CU71" s="23" t="n">
        <f aca="false">CT74</f>
        <v>1734.32469033902</v>
      </c>
      <c r="CV71" s="23" t="n">
        <f aca="false">CU74</f>
        <v>1734.32469033902</v>
      </c>
      <c r="CW71" s="23" t="n">
        <f aca="false">CV74</f>
        <v>1734.32469033902</v>
      </c>
      <c r="CX71" s="23" t="n">
        <f aca="false">CW74</f>
        <v>1734.32469033902</v>
      </c>
      <c r="CY71" s="23" t="n">
        <f aca="false">CX74</f>
        <v>1734.32469033902</v>
      </c>
      <c r="CZ71" s="23" t="n">
        <f aca="false">CY74</f>
        <v>1734.32469033902</v>
      </c>
      <c r="DA71" s="23" t="n">
        <f aca="false">CZ74</f>
        <v>1734.32469033902</v>
      </c>
      <c r="DB71" s="23" t="n">
        <f aca="false">DA74</f>
        <v>1734.32469033902</v>
      </c>
      <c r="DC71" s="23" t="n">
        <f aca="false">DB74</f>
        <v>1734.32469033902</v>
      </c>
      <c r="DD71" s="23" t="n">
        <f aca="false">DC74</f>
        <v>1734.32469033902</v>
      </c>
      <c r="DE71" s="23" t="n">
        <f aca="false">DD74</f>
        <v>1734.32469033902</v>
      </c>
      <c r="DF71" s="23" t="n">
        <f aca="false">DE74</f>
        <v>1734.32469033902</v>
      </c>
      <c r="DG71" s="23" t="n">
        <f aca="false">DF74</f>
        <v>1734.32469033902</v>
      </c>
      <c r="DH71" s="23" t="n">
        <f aca="false">DG74</f>
        <v>1734.32469033902</v>
      </c>
      <c r="DI71" s="23" t="n">
        <f aca="false">DH74</f>
        <v>1734.32469033902</v>
      </c>
      <c r="DJ71" s="23" t="n">
        <f aca="false">DI74</f>
        <v>1734.32469033902</v>
      </c>
      <c r="DK71" s="23" t="n">
        <f aca="false">DJ74</f>
        <v>1734.32469033902</v>
      </c>
      <c r="DL71" s="23" t="n">
        <f aca="false">DK74</f>
        <v>1734.32469033902</v>
      </c>
      <c r="DM71" s="23" t="n">
        <f aca="false">DL74</f>
        <v>1734.32469033902</v>
      </c>
      <c r="DN71" s="23" t="n">
        <f aca="false">DM74</f>
        <v>1734.32469033902</v>
      </c>
      <c r="DO71" s="23" t="n">
        <f aca="false">DN74</f>
        <v>1734.32469033902</v>
      </c>
      <c r="DP71" s="23" t="n">
        <f aca="false">DO74</f>
        <v>1734.32469033902</v>
      </c>
      <c r="DQ71" s="23" t="n">
        <f aca="false">DP74</f>
        <v>1734.32469033902</v>
      </c>
      <c r="DR71" s="23" t="n">
        <f aca="false">DQ74</f>
        <v>1734.32469033902</v>
      </c>
      <c r="DS71" s="23" t="n">
        <f aca="false">DR74</f>
        <v>1734.32469033902</v>
      </c>
      <c r="DT71" s="23" t="n">
        <f aca="false">DS74</f>
        <v>1734.32469033902</v>
      </c>
      <c r="DU71" s="23" t="n">
        <f aca="false">DT74</f>
        <v>1734.32469033902</v>
      </c>
      <c r="DV71" s="23" t="n">
        <f aca="false">DU74</f>
        <v>1734.32469033902</v>
      </c>
      <c r="DW71" s="23" t="n">
        <f aca="false">DV74</f>
        <v>1734.32469033902</v>
      </c>
      <c r="DX71" s="23" t="n">
        <f aca="false">DW74</f>
        <v>1734.32469033902</v>
      </c>
      <c r="DY71" s="23" t="n">
        <f aca="false">DX74</f>
        <v>1734.32469033902</v>
      </c>
      <c r="DZ71" s="23" t="n">
        <f aca="false">DY74</f>
        <v>1734.32469033902</v>
      </c>
      <c r="EA71" s="23" t="n">
        <f aca="false">DZ74</f>
        <v>1734.32469033902</v>
      </c>
      <c r="EB71" s="23" t="n">
        <f aca="false">EA74</f>
        <v>1734.32469033902</v>
      </c>
      <c r="EC71" s="23" t="n">
        <f aca="false">EB74</f>
        <v>1734.32469033902</v>
      </c>
      <c r="ED71" s="23" t="n">
        <f aca="false">EC74</f>
        <v>1734.32469033902</v>
      </c>
      <c r="EE71" s="23" t="n">
        <f aca="false">ED74</f>
        <v>1734.32469033902</v>
      </c>
      <c r="EF71" s="23" t="n">
        <f aca="false">EE74</f>
        <v>1734.32469033902</v>
      </c>
      <c r="EG71" s="23" t="n">
        <f aca="false">EF74</f>
        <v>1734.32469033902</v>
      </c>
      <c r="EH71" s="23" t="n">
        <f aca="false">EG74</f>
        <v>1734.32469033902</v>
      </c>
      <c r="EI71" s="23" t="n">
        <f aca="false">EH74</f>
        <v>1734.32469033902</v>
      </c>
      <c r="EJ71" s="23" t="n">
        <f aca="false">EI74</f>
        <v>1734.32469033902</v>
      </c>
      <c r="EK71" s="23" t="n">
        <f aca="false">EJ74</f>
        <v>1734.32469033902</v>
      </c>
      <c r="EL71" s="23" t="n">
        <f aca="false">EK74</f>
        <v>1734.32469033902</v>
      </c>
      <c r="EM71" s="23" t="n">
        <f aca="false">EL74</f>
        <v>1734.32469033902</v>
      </c>
      <c r="EN71" s="23" t="n">
        <f aca="false">EM74</f>
        <v>1734.32469033902</v>
      </c>
      <c r="EO71" s="23" t="n">
        <f aca="false">EN74</f>
        <v>1734.32469033902</v>
      </c>
      <c r="EP71" s="23" t="n">
        <f aca="false">EO74</f>
        <v>1734.32469033902</v>
      </c>
      <c r="EQ71" s="23" t="n">
        <f aca="false">EP74</f>
        <v>1734.32469033902</v>
      </c>
      <c r="ER71" s="23" t="n">
        <f aca="false">EQ74</f>
        <v>1734.32469033902</v>
      </c>
      <c r="ES71" s="23" t="n">
        <f aca="false">ER74</f>
        <v>1734.32469033902</v>
      </c>
      <c r="ET71" s="23" t="n">
        <f aca="false">ES74</f>
        <v>1734.32469033902</v>
      </c>
    </row>
    <row r="72" customFormat="false" ht="15" hidden="false" customHeight="false" outlineLevel="0" collapsed="false">
      <c r="C72" s="1" t="s">
        <v>495</v>
      </c>
      <c r="D72" s="12" t="s">
        <v>222</v>
      </c>
      <c r="E72" s="47" t="n">
        <f aca="false">SUMIF($J$4:$ET$4,"&lt;="&amp;$E12,$J72:$ET72)</f>
        <v>974.903115514509</v>
      </c>
      <c r="F72" s="47" t="n">
        <f aca="false">SUMIF($J$4:$ET$4,"&lt;="&amp;In_COD,$J72:$ET72)</f>
        <v>1734.32469033902</v>
      </c>
      <c r="I72" s="47" t="n">
        <f aca="false">SUM(J72:ET72)</f>
        <v>1734.32469033902</v>
      </c>
      <c r="J72" s="47" t="n">
        <f aca="false">In_Guar_Credit*(1-J19)*(J71+J48+J49)*J$5/Days_In_Year*(J$4&lt;=In_COD)</f>
        <v>0</v>
      </c>
      <c r="K72" s="47" t="n">
        <f aca="false">In_Guar_Credit*(1-K19)*(K71+K48+K49)*K$5/Days_In_Year*(K$4&lt;=In_COD)</f>
        <v>15.804150872584</v>
      </c>
      <c r="L72" s="47" t="n">
        <f aca="false">In_Guar_Credit*(1-L19)*(L71+L48+L49)*L$5/Days_In_Year*(L$4&lt;=In_COD)</f>
        <v>90.2574590457486</v>
      </c>
      <c r="M72" s="47" t="n">
        <f aca="false">In_Guar_Credit*(1-M19)*(M71+M48+M49)*M$5/Days_In_Year*(M$4&lt;=In_COD)</f>
        <v>91.2603197018125</v>
      </c>
      <c r="N72" s="47" t="n">
        <f aca="false">In_Guar_Credit*(1-N19)*(N71+N48+N49)*N$5/Days_In_Year*(N$4&lt;=In_COD)</f>
        <v>92.2631803578764</v>
      </c>
      <c r="O72" s="47" t="n">
        <f aca="false">In_Guar_Credit*(1-O19)*(O71+O48+O49)*O$5/Days_In_Year*(O$4&lt;=In_COD)</f>
        <v>92.2631803578764</v>
      </c>
      <c r="P72" s="47" t="n">
        <f aca="false">In_Guar_Credit*(1-P19)*(P71+P48+P49)*P$5/Days_In_Year*(P$4&lt;=In_COD)</f>
        <v>96.7359388839213</v>
      </c>
      <c r="Q72" s="47" t="n">
        <f aca="false">In_Guar_Credit*(1-Q19)*(Q71+Q48+Q49)*Q$5/Days_In_Year*(Q$4&lt;=In_COD)</f>
        <v>96.7359388839213</v>
      </c>
      <c r="R72" s="47" t="n">
        <f aca="false">In_Guar_Credit*(1-R19)*(R71+R48+R49)*R$5/Days_In_Year*(R$4&lt;=In_COD)</f>
        <v>97.798971179349</v>
      </c>
      <c r="S72" s="47" t="n">
        <f aca="false">In_Guar_Credit*(1-S19)*(S71+S48+S49)*S$5/Days_In_Year*(S$4&lt;=In_COD)</f>
        <v>97.798971179349</v>
      </c>
      <c r="T72" s="47" t="n">
        <f aca="false">In_Guar_Credit*(1-T19)*(T71+T48+T49)*T$5/Days_In_Year*(T$4&lt;=In_COD)</f>
        <v>101.429008036941</v>
      </c>
      <c r="U72" s="47" t="n">
        <f aca="false">In_Guar_Credit*(1-U19)*(U71+U48+U49)*U$5/Days_In_Year*(U$4&lt;=In_COD)</f>
        <v>102.555997015129</v>
      </c>
      <c r="V72" s="47" t="n">
        <f aca="false">In_Guar_Credit*(1-V19)*(V71+V48+V49)*V$5/Days_In_Year*(V$4&lt;=In_COD)</f>
        <v>0</v>
      </c>
      <c r="W72" s="47" t="n">
        <f aca="false">In_Guar_Credit*(1-W19)*(W71+W48+W49)*W$5/Days_In_Year*(W$4&lt;=In_COD)</f>
        <v>0</v>
      </c>
      <c r="X72" s="47" t="n">
        <f aca="false">In_Guar_Credit*(1-X19)*(X71+X48+X49)*X$5/Days_In_Year*(X$4&lt;=In_COD)</f>
        <v>104.446868385657</v>
      </c>
      <c r="Y72" s="47" t="n">
        <f aca="false">In_Guar_Credit*(1-Y19)*(Y71+Y48+Y49)*Y$5/Days_In_Year*(Y$4&lt;=In_COD)</f>
        <v>105.607389145497</v>
      </c>
      <c r="Z72" s="47" t="n">
        <f aca="false">In_Guar_Credit*(1-Z19)*(Z71+Z48+Z49)*Z$5/Days_In_Year*(Z$4&lt;=In_COD)</f>
        <v>106.767909905338</v>
      </c>
      <c r="AA72" s="47" t="n">
        <f aca="false">In_Guar_Credit*(1-AA19)*(AA71+AA48+AA49)*AA$5/Days_In_Year*(AA$4&lt;=In_COD)</f>
        <v>106.767909905338</v>
      </c>
      <c r="AB72" s="47" t="n">
        <f aca="false">In_Guar_Credit*(1-AB19)*(AB71+AB48+AB49)*AB$5/Days_In_Year*(AB$4&lt;=In_COD)</f>
        <v>110.713680488796</v>
      </c>
      <c r="AC72" s="47" t="n">
        <f aca="false">In_Guar_Credit*(1-AC19)*(AC71+AC48+AC49)*AC$5/Days_In_Year*(AC$4&lt;=In_COD)</f>
        <v>111.943832494227</v>
      </c>
      <c r="AD72" s="47" t="n">
        <f aca="false">In_Guar_Credit*(1-AD19)*(AD71+AD48+AD49)*AD$5/Days_In_Year*(AD$4&lt;=In_COD)</f>
        <v>113.173984499658</v>
      </c>
      <c r="AE72" s="47" t="n">
        <f aca="false">In_Guar_Credit*(1-AE19)*(AE71+AE48+AE49)*AE$5/Days_In_Year*(AE$4&lt;=In_COD)</f>
        <v>0</v>
      </c>
      <c r="AF72" s="47" t="n">
        <f aca="false">In_Guar_Credit*(1-AF19)*(AF71+AF48+AF49)*AF$5/Days_In_Year*(AF$4&lt;=In_COD)</f>
        <v>0</v>
      </c>
      <c r="AG72" s="47" t="n">
        <f aca="false">In_Guar_Credit*(1-AG19)*(AG71+AG48+AG49)*AG$5/Days_In_Year*(AG$4&lt;=In_COD)</f>
        <v>0</v>
      </c>
      <c r="AH72" s="47" t="n">
        <f aca="false">In_Guar_Credit*(1-AH19)*(AH71+AH48+AH49)*AH$5/Days_In_Year*(AH$4&lt;=In_COD)</f>
        <v>0</v>
      </c>
      <c r="AI72" s="47" t="n">
        <f aca="false">In_Guar_Credit*(1-AI19)*(AI71+AI48+AI49)*AI$5/Days_In_Year*(AI$4&lt;=In_COD)</f>
        <v>0</v>
      </c>
      <c r="AJ72" s="47" t="n">
        <f aca="false">In_Guar_Credit*(1-AJ19)*(AJ71+AJ48+AJ49)*AJ$5/Days_In_Year*(AJ$4&lt;=In_COD)</f>
        <v>0</v>
      </c>
      <c r="AK72" s="47" t="n">
        <f aca="false">In_Guar_Credit*(1-AK19)*(AK71+AK48+AK49)*AK$5/Days_In_Year*(AK$4&lt;=In_COD)</f>
        <v>0</v>
      </c>
      <c r="AL72" s="47" t="n">
        <f aca="false">In_Guar_Credit*(1-AL19)*(AL71+AL48+AL49)*AL$5/Days_In_Year*(AL$4&lt;=In_COD)</f>
        <v>0</v>
      </c>
      <c r="AM72" s="47" t="n">
        <f aca="false">In_Guar_Credit*(1-AM19)*(AM71+AM48+AM49)*AM$5/Days_In_Year*(AM$4&lt;=In_COD)</f>
        <v>0</v>
      </c>
      <c r="AN72" s="47" t="n">
        <f aca="false">In_Guar_Credit*(1-AN19)*(AN71+AN48+AN49)*AN$5/Days_In_Year*(AN$4&lt;=In_COD)</f>
        <v>0</v>
      </c>
      <c r="AO72" s="47" t="n">
        <f aca="false">In_Guar_Credit*(1-AO19)*(AO71+AO48+AO49)*AO$5/Days_In_Year*(AO$4&lt;=In_COD)</f>
        <v>0</v>
      </c>
      <c r="AP72" s="47" t="n">
        <f aca="false">In_Guar_Credit*(1-AP19)*(AP71+AP48+AP49)*AP$5/Days_In_Year*(AP$4&lt;=In_COD)</f>
        <v>0</v>
      </c>
      <c r="AQ72" s="47" t="n">
        <f aca="false">In_Guar_Credit*(1-AQ19)*(AQ71+AQ48+AQ49)*AQ$5/Days_In_Year*(AQ$4&lt;=In_COD)</f>
        <v>0</v>
      </c>
      <c r="AR72" s="47" t="n">
        <f aca="false">In_Guar_Credit*(1-AR19)*(AR71+AR48+AR49)*AR$5/Days_In_Year*(AR$4&lt;=In_COD)</f>
        <v>0</v>
      </c>
      <c r="AS72" s="47" t="n">
        <f aca="false">In_Guar_Credit*(1-AS19)*(AS71+AS48+AS49)*AS$5/Days_In_Year*(AS$4&lt;=In_COD)</f>
        <v>0</v>
      </c>
      <c r="AT72" s="47" t="n">
        <f aca="false">In_Guar_Credit*(1-AT19)*(AT71+AT48+AT49)*AT$5/Days_In_Year*(AT$4&lt;=In_COD)</f>
        <v>0</v>
      </c>
      <c r="AU72" s="47" t="n">
        <f aca="false">In_Guar_Credit*(1-AU19)*(AU71+AU48+AU49)*AU$5/Days_In_Year*(AU$4&lt;=In_COD)</f>
        <v>0</v>
      </c>
      <c r="AV72" s="47" t="n">
        <f aca="false">In_Guar_Credit*(1-AV19)*(AV71+AV48+AV49)*AV$5/Days_In_Year*(AV$4&lt;=In_COD)</f>
        <v>0</v>
      </c>
      <c r="AW72" s="47" t="n">
        <f aca="false">In_Guar_Credit*(1-AW19)*(AW71+AW48+AW49)*AW$5/Days_In_Year*(AW$4&lt;=In_COD)</f>
        <v>0</v>
      </c>
      <c r="AX72" s="47" t="n">
        <f aca="false">In_Guar_Credit*(1-AX19)*(AX71+AX48+AX49)*AX$5/Days_In_Year*(AX$4&lt;=In_COD)</f>
        <v>0</v>
      </c>
      <c r="AY72" s="47" t="n">
        <f aca="false">In_Guar_Credit*(1-AY19)*(AY71+AY48+AY49)*AY$5/Days_In_Year*(AY$4&lt;=In_COD)</f>
        <v>0</v>
      </c>
      <c r="AZ72" s="47" t="n">
        <f aca="false">In_Guar_Credit*(1-AZ19)*(AZ71+AZ48+AZ49)*AZ$5/Days_In_Year*(AZ$4&lt;=In_COD)</f>
        <v>0</v>
      </c>
      <c r="BA72" s="47" t="n">
        <f aca="false">In_Guar_Credit*(1-BA19)*(BA71+BA48+BA49)*BA$5/Days_In_Year*(BA$4&lt;=In_COD)</f>
        <v>0</v>
      </c>
      <c r="BB72" s="47" t="n">
        <f aca="false">In_Guar_Credit*(1-BB19)*(BB71+BB48+BB49)*BB$5/Days_In_Year*(BB$4&lt;=In_COD)</f>
        <v>0</v>
      </c>
      <c r="BC72" s="47" t="n">
        <f aca="false">In_Guar_Credit*(1-BC19)*(BC71+BC48+BC49)*BC$5/Days_In_Year*(BC$4&lt;=In_COD)</f>
        <v>0</v>
      </c>
      <c r="BD72" s="47" t="n">
        <f aca="false">In_Guar_Credit*(1-BD19)*(BD71+BD48+BD49)*BD$5/Days_In_Year*(BD$4&lt;=In_COD)</f>
        <v>0</v>
      </c>
      <c r="BE72" s="47" t="n">
        <f aca="false">In_Guar_Credit*(1-BE19)*(BE71+BE48+BE49)*BE$5/Days_In_Year*(BE$4&lt;=In_COD)</f>
        <v>0</v>
      </c>
      <c r="BF72" s="47" t="n">
        <f aca="false">In_Guar_Credit*(1-BF19)*(BF71+BF48+BF49)*BF$5/Days_In_Year*(BF$4&lt;=In_COD)</f>
        <v>0</v>
      </c>
      <c r="BG72" s="47" t="n">
        <f aca="false">In_Guar_Credit*(1-BG19)*(BG71+BG48+BG49)*BG$5/Days_In_Year*(BG$4&lt;=In_COD)</f>
        <v>0</v>
      </c>
      <c r="BH72" s="47" t="n">
        <f aca="false">In_Guar_Credit*(1-BH19)*(BH71+BH48+BH49)*BH$5/Days_In_Year*(BH$4&lt;=In_COD)</f>
        <v>0</v>
      </c>
      <c r="BI72" s="47" t="n">
        <f aca="false">In_Guar_Credit*(1-BI19)*(BI71+BI48+BI49)*BI$5/Days_In_Year*(BI$4&lt;=In_COD)</f>
        <v>0</v>
      </c>
      <c r="BJ72" s="47" t="n">
        <f aca="false">In_Guar_Credit*(1-BJ19)*(BJ71+BJ48+BJ49)*BJ$5/Days_In_Year*(BJ$4&lt;=In_COD)</f>
        <v>0</v>
      </c>
      <c r="BK72" s="47" t="n">
        <f aca="false">In_Guar_Credit*(1-BK19)*(BK71+BK48+BK49)*BK$5/Days_In_Year*(BK$4&lt;=In_COD)</f>
        <v>0</v>
      </c>
      <c r="BL72" s="47" t="n">
        <f aca="false">In_Guar_Credit*(1-BL19)*(BL71+BL48+BL49)*BL$5/Days_In_Year*(BL$4&lt;=In_COD)</f>
        <v>0</v>
      </c>
      <c r="BM72" s="47" t="n">
        <f aca="false">In_Guar_Credit*(1-BM19)*(BM71+BM48+BM49)*BM$5/Days_In_Year*(BM$4&lt;=In_COD)</f>
        <v>0</v>
      </c>
      <c r="BN72" s="47" t="n">
        <f aca="false">In_Guar_Credit*(1-BN19)*(BN71+BN48+BN49)*BN$5/Days_In_Year*(BN$4&lt;=In_COD)</f>
        <v>0</v>
      </c>
      <c r="BO72" s="47" t="n">
        <f aca="false">In_Guar_Credit*(1-BO19)*(BO71+BO48+BO49)*BO$5/Days_In_Year*(BO$4&lt;=In_COD)</f>
        <v>0</v>
      </c>
      <c r="BP72" s="47" t="n">
        <f aca="false">In_Guar_Credit*(1-BP19)*(BP71+BP48+BP49)*BP$5/Days_In_Year*(BP$4&lt;=In_COD)</f>
        <v>0</v>
      </c>
      <c r="BQ72" s="47" t="n">
        <f aca="false">In_Guar_Credit*(1-BQ19)*(BQ71+BQ48+BQ49)*BQ$5/Days_In_Year*(BQ$4&lt;=In_COD)</f>
        <v>0</v>
      </c>
      <c r="BR72" s="47" t="n">
        <f aca="false">In_Guar_Credit*(1-BR19)*(BR71+BR48+BR49)*BR$5/Days_In_Year*(BR$4&lt;=In_COD)</f>
        <v>0</v>
      </c>
      <c r="BS72" s="47" t="n">
        <f aca="false">In_Guar_Credit*(1-BS19)*(BS71+BS48+BS49)*BS$5/Days_In_Year*(BS$4&lt;=In_COD)</f>
        <v>0</v>
      </c>
      <c r="BT72" s="47" t="n">
        <f aca="false">In_Guar_Credit*(1-BT19)*(BT71+BT48+BT49)*BT$5/Days_In_Year*(BT$4&lt;=In_COD)</f>
        <v>0</v>
      </c>
      <c r="BU72" s="47" t="n">
        <f aca="false">In_Guar_Credit*(1-BU19)*(BU71+BU48+BU49)*BU$5/Days_In_Year*(BU$4&lt;=In_COD)</f>
        <v>0</v>
      </c>
      <c r="BV72" s="47" t="n">
        <f aca="false">In_Guar_Credit*(1-BV19)*(BV71+BV48+BV49)*BV$5/Days_In_Year*(BV$4&lt;=In_COD)</f>
        <v>0</v>
      </c>
      <c r="BW72" s="47" t="n">
        <f aca="false">In_Guar_Credit*(1-BW19)*(BW71+BW48+BW49)*BW$5/Days_In_Year*(BW$4&lt;=In_COD)</f>
        <v>0</v>
      </c>
      <c r="BX72" s="47" t="n">
        <f aca="false">In_Guar_Credit*(1-BX19)*(BX71+BX48+BX49)*BX$5/Days_In_Year*(BX$4&lt;=In_COD)</f>
        <v>0</v>
      </c>
      <c r="BY72" s="47" t="n">
        <f aca="false">In_Guar_Credit*(1-BY19)*(BY71+BY48+BY49)*BY$5/Days_In_Year*(BY$4&lt;=In_COD)</f>
        <v>0</v>
      </c>
      <c r="BZ72" s="47" t="n">
        <f aca="false">In_Guar_Credit*(1-BZ19)*(BZ71+BZ48+BZ49)*BZ$5/Days_In_Year*(BZ$4&lt;=In_COD)</f>
        <v>0</v>
      </c>
      <c r="CA72" s="47" t="n">
        <f aca="false">In_Guar_Credit*(1-CA19)*(CA71+CA48+CA49)*CA$5/Days_In_Year*(CA$4&lt;=In_COD)</f>
        <v>0</v>
      </c>
      <c r="CB72" s="47" t="n">
        <f aca="false">In_Guar_Credit*(1-CB19)*(CB71+CB48+CB49)*CB$5/Days_In_Year*(CB$4&lt;=In_COD)</f>
        <v>0</v>
      </c>
      <c r="CC72" s="47" t="n">
        <f aca="false">In_Guar_Credit*(1-CC19)*(CC71+CC48+CC49)*CC$5/Days_In_Year*(CC$4&lt;=In_COD)</f>
        <v>0</v>
      </c>
      <c r="CD72" s="47" t="n">
        <f aca="false">In_Guar_Credit*(1-CD19)*(CD71+CD48+CD49)*CD$5/Days_In_Year*(CD$4&lt;=In_COD)</f>
        <v>0</v>
      </c>
      <c r="CE72" s="47" t="n">
        <f aca="false">In_Guar_Credit*(1-CE19)*(CE71+CE48+CE49)*CE$5/Days_In_Year*(CE$4&lt;=In_COD)</f>
        <v>0</v>
      </c>
      <c r="CF72" s="47" t="n">
        <f aca="false">In_Guar_Credit*(1-CF19)*(CF71+CF48+CF49)*CF$5/Days_In_Year*(CF$4&lt;=In_COD)</f>
        <v>0</v>
      </c>
      <c r="CG72" s="47" t="n">
        <f aca="false">In_Guar_Credit*(1-CG19)*(CG71+CG48+CG49)*CG$5/Days_In_Year*(CG$4&lt;=In_COD)</f>
        <v>0</v>
      </c>
      <c r="CH72" s="47" t="n">
        <f aca="false">In_Guar_Credit*(1-CH19)*(CH71+CH48+CH49)*CH$5/Days_In_Year*(CH$4&lt;=In_COD)</f>
        <v>0</v>
      </c>
      <c r="CI72" s="47" t="n">
        <f aca="false">In_Guar_Credit*(1-CI19)*(CI71+CI48+CI49)*CI$5/Days_In_Year*(CI$4&lt;=In_COD)</f>
        <v>0</v>
      </c>
      <c r="CJ72" s="47" t="n">
        <f aca="false">In_Guar_Credit*(1-CJ19)*(CJ71+CJ48+CJ49)*CJ$5/Days_In_Year*(CJ$4&lt;=In_COD)</f>
        <v>0</v>
      </c>
      <c r="CK72" s="47" t="n">
        <f aca="false">In_Guar_Credit*(1-CK19)*(CK71+CK48+CK49)*CK$5/Days_In_Year*(CK$4&lt;=In_COD)</f>
        <v>0</v>
      </c>
      <c r="CL72" s="47" t="n">
        <f aca="false">In_Guar_Credit*(1-CL19)*(CL71+CL48+CL49)*CL$5/Days_In_Year*(CL$4&lt;=In_COD)</f>
        <v>0</v>
      </c>
      <c r="CM72" s="47" t="n">
        <f aca="false">In_Guar_Credit*(1-CM19)*(CM71+CM48+CM49)*CM$5/Days_In_Year*(CM$4&lt;=In_COD)</f>
        <v>0</v>
      </c>
      <c r="CN72" s="47" t="n">
        <f aca="false">In_Guar_Credit*(1-CN19)*(CN71+CN48+CN49)*CN$5/Days_In_Year*(CN$4&lt;=In_COD)</f>
        <v>0</v>
      </c>
      <c r="CO72" s="47" t="n">
        <f aca="false">In_Guar_Credit*(1-CO19)*(CO71+CO48+CO49)*CO$5/Days_In_Year*(CO$4&lt;=In_COD)</f>
        <v>0</v>
      </c>
      <c r="CP72" s="47" t="n">
        <f aca="false">In_Guar_Credit*(1-CP19)*(CP71+CP48+CP49)*CP$5/Days_In_Year*(CP$4&lt;=In_COD)</f>
        <v>0</v>
      </c>
      <c r="CQ72" s="47" t="n">
        <f aca="false">In_Guar_Credit*(1-CQ19)*(CQ71+CQ48+CQ49)*CQ$5/Days_In_Year*(CQ$4&lt;=In_COD)</f>
        <v>0</v>
      </c>
      <c r="CR72" s="47" t="n">
        <f aca="false">In_Guar_Credit*(1-CR19)*(CR71+CR48+CR49)*CR$5/Days_In_Year*(CR$4&lt;=In_COD)</f>
        <v>0</v>
      </c>
      <c r="CS72" s="47" t="n">
        <f aca="false">In_Guar_Credit*(1-CS19)*(CS71+CS48+CS49)*CS$5/Days_In_Year*(CS$4&lt;=In_COD)</f>
        <v>0</v>
      </c>
      <c r="CT72" s="47" t="n">
        <f aca="false">In_Guar_Credit*(1-CT19)*(CT71+CT48+CT49)*CT$5/Days_In_Year*(CT$4&lt;=In_COD)</f>
        <v>0</v>
      </c>
      <c r="CU72" s="47" t="n">
        <f aca="false">In_Guar_Credit*(1-CU19)*(CU71+CU48+CU49)*CU$5/Days_In_Year*(CU$4&lt;=In_COD)</f>
        <v>0</v>
      </c>
      <c r="CV72" s="47" t="n">
        <f aca="false">In_Guar_Credit*(1-CV19)*(CV71+CV48+CV49)*CV$5/Days_In_Year*(CV$4&lt;=In_COD)</f>
        <v>0</v>
      </c>
      <c r="CW72" s="47" t="n">
        <f aca="false">In_Guar_Credit*(1-CW19)*(CW71+CW48+CW49)*CW$5/Days_In_Year*(CW$4&lt;=In_COD)</f>
        <v>0</v>
      </c>
      <c r="CX72" s="47" t="n">
        <f aca="false">In_Guar_Credit*(1-CX19)*(CX71+CX48+CX49)*CX$5/Days_In_Year*(CX$4&lt;=In_COD)</f>
        <v>0</v>
      </c>
      <c r="CY72" s="47" t="n">
        <f aca="false">In_Guar_Credit*(1-CY19)*(CY71+CY48+CY49)*CY$5/Days_In_Year*(CY$4&lt;=In_COD)</f>
        <v>0</v>
      </c>
      <c r="CZ72" s="47" t="n">
        <f aca="false">In_Guar_Credit*(1-CZ19)*(CZ71+CZ48+CZ49)*CZ$5/Days_In_Year*(CZ$4&lt;=In_COD)</f>
        <v>0</v>
      </c>
      <c r="DA72" s="47" t="n">
        <f aca="false">In_Guar_Credit*(1-DA19)*(DA71+DA48+DA49)*DA$5/Days_In_Year*(DA$4&lt;=In_COD)</f>
        <v>0</v>
      </c>
      <c r="DB72" s="47" t="n">
        <f aca="false">In_Guar_Credit*(1-DB19)*(DB71+DB48+DB49)*DB$5/Days_In_Year*(DB$4&lt;=In_COD)</f>
        <v>0</v>
      </c>
      <c r="DC72" s="47" t="n">
        <f aca="false">In_Guar_Credit*(1-DC19)*(DC71+DC48+DC49)*DC$5/Days_In_Year*(DC$4&lt;=In_COD)</f>
        <v>0</v>
      </c>
      <c r="DD72" s="47" t="n">
        <f aca="false">In_Guar_Credit*(1-DD19)*(DD71+DD48+DD49)*DD$5/Days_In_Year*(DD$4&lt;=In_COD)</f>
        <v>0</v>
      </c>
      <c r="DE72" s="47" t="n">
        <f aca="false">In_Guar_Credit*(1-DE19)*(DE71+DE48+DE49)*DE$5/Days_In_Year*(DE$4&lt;=In_COD)</f>
        <v>0</v>
      </c>
      <c r="DF72" s="47" t="n">
        <f aca="false">In_Guar_Credit*(1-DF19)*(DF71+DF48+DF49)*DF$5/Days_In_Year*(DF$4&lt;=In_COD)</f>
        <v>0</v>
      </c>
      <c r="DG72" s="47" t="n">
        <f aca="false">In_Guar_Credit*(1-DG19)*(DG71+DG48+DG49)*DG$5/Days_In_Year*(DG$4&lt;=In_COD)</f>
        <v>0</v>
      </c>
      <c r="DH72" s="47" t="n">
        <f aca="false">In_Guar_Credit*(1-DH19)*(DH71+DH48+DH49)*DH$5/Days_In_Year*(DH$4&lt;=In_COD)</f>
        <v>0</v>
      </c>
      <c r="DI72" s="47" t="n">
        <f aca="false">In_Guar_Credit*(1-DI19)*(DI71+DI48+DI49)*DI$5/Days_In_Year*(DI$4&lt;=In_COD)</f>
        <v>0</v>
      </c>
      <c r="DJ72" s="47" t="n">
        <f aca="false">In_Guar_Credit*(1-DJ19)*(DJ71+DJ48+DJ49)*DJ$5/Days_In_Year*(DJ$4&lt;=In_COD)</f>
        <v>0</v>
      </c>
      <c r="DK72" s="47" t="n">
        <f aca="false">In_Guar_Credit*(1-DK19)*(DK71+DK48+DK49)*DK$5/Days_In_Year*(DK$4&lt;=In_COD)</f>
        <v>0</v>
      </c>
      <c r="DL72" s="47" t="n">
        <f aca="false">In_Guar_Credit*(1-DL19)*(DL71+DL48+DL49)*DL$5/Days_In_Year*(DL$4&lt;=In_COD)</f>
        <v>0</v>
      </c>
      <c r="DM72" s="47" t="n">
        <f aca="false">In_Guar_Credit*(1-DM19)*(DM71+DM48+DM49)*DM$5/Days_In_Year*(DM$4&lt;=In_COD)</f>
        <v>0</v>
      </c>
      <c r="DN72" s="47" t="n">
        <f aca="false">In_Guar_Credit*(1-DN19)*(DN71+DN48+DN49)*DN$5/Days_In_Year*(DN$4&lt;=In_COD)</f>
        <v>0</v>
      </c>
      <c r="DO72" s="47" t="n">
        <f aca="false">In_Guar_Credit*(1-DO19)*(DO71+DO48+DO49)*DO$5/Days_In_Year*(DO$4&lt;=In_COD)</f>
        <v>0</v>
      </c>
      <c r="DP72" s="47" t="n">
        <f aca="false">In_Guar_Credit*(1-DP19)*(DP71+DP48+DP49)*DP$5/Days_In_Year*(DP$4&lt;=In_COD)</f>
        <v>0</v>
      </c>
      <c r="DQ72" s="47" t="n">
        <f aca="false">In_Guar_Credit*(1-DQ19)*(DQ71+DQ48+DQ49)*DQ$5/Days_In_Year*(DQ$4&lt;=In_COD)</f>
        <v>0</v>
      </c>
      <c r="DR72" s="47" t="n">
        <f aca="false">In_Guar_Credit*(1-DR19)*(DR71+DR48+DR49)*DR$5/Days_In_Year*(DR$4&lt;=In_COD)</f>
        <v>0</v>
      </c>
      <c r="DS72" s="47" t="n">
        <f aca="false">In_Guar_Credit*(1-DS19)*(DS71+DS48+DS49)*DS$5/Days_In_Year*(DS$4&lt;=In_COD)</f>
        <v>0</v>
      </c>
      <c r="DT72" s="47" t="n">
        <f aca="false">In_Guar_Credit*(1-DT19)*(DT71+DT48+DT49)*DT$5/Days_In_Year*(DT$4&lt;=In_COD)</f>
        <v>0</v>
      </c>
      <c r="DU72" s="47" t="n">
        <f aca="false">In_Guar_Credit*(1-DU19)*(DU71+DU48+DU49)*DU$5/Days_In_Year*(DU$4&lt;=In_COD)</f>
        <v>0</v>
      </c>
      <c r="DV72" s="47" t="n">
        <f aca="false">In_Guar_Credit*(1-DV19)*(DV71+DV48+DV49)*DV$5/Days_In_Year*(DV$4&lt;=In_COD)</f>
        <v>0</v>
      </c>
      <c r="DW72" s="47" t="n">
        <f aca="false">In_Guar_Credit*(1-DW19)*(DW71+DW48+DW49)*DW$5/Days_In_Year*(DW$4&lt;=In_COD)</f>
        <v>0</v>
      </c>
      <c r="DX72" s="47" t="n">
        <f aca="false">In_Guar_Credit*(1-DX19)*(DX71+DX48+DX49)*DX$5/Days_In_Year*(DX$4&lt;=In_COD)</f>
        <v>0</v>
      </c>
      <c r="DY72" s="47" t="n">
        <f aca="false">In_Guar_Credit*(1-DY19)*(DY71+DY48+DY49)*DY$5/Days_In_Year*(DY$4&lt;=In_COD)</f>
        <v>0</v>
      </c>
      <c r="DZ72" s="47" t="n">
        <f aca="false">In_Guar_Credit*(1-DZ19)*(DZ71+DZ48+DZ49)*DZ$5/Days_In_Year*(DZ$4&lt;=In_COD)</f>
        <v>0</v>
      </c>
      <c r="EA72" s="47" t="n">
        <f aca="false">In_Guar_Credit*(1-EA19)*(EA71+EA48+EA49)*EA$5/Days_In_Year*(EA$4&lt;=In_COD)</f>
        <v>0</v>
      </c>
      <c r="EB72" s="47" t="n">
        <f aca="false">In_Guar_Credit*(1-EB19)*(EB71+EB48+EB49)*EB$5/Days_In_Year*(EB$4&lt;=In_COD)</f>
        <v>0</v>
      </c>
      <c r="EC72" s="47" t="n">
        <f aca="false">In_Guar_Credit*(1-EC19)*(EC71+EC48+EC49)*EC$5/Days_In_Year*(EC$4&lt;=In_COD)</f>
        <v>0</v>
      </c>
      <c r="ED72" s="47" t="n">
        <f aca="false">In_Guar_Credit*(1-ED19)*(ED71+ED48+ED49)*ED$5/Days_In_Year*(ED$4&lt;=In_COD)</f>
        <v>0</v>
      </c>
      <c r="EE72" s="47" t="n">
        <f aca="false">In_Guar_Credit*(1-EE19)*(EE71+EE48+EE49)*EE$5/Days_In_Year*(EE$4&lt;=In_COD)</f>
        <v>0</v>
      </c>
      <c r="EF72" s="47" t="n">
        <f aca="false">In_Guar_Credit*(1-EF19)*(EF71+EF48+EF49)*EF$5/Days_In_Year*(EF$4&lt;=In_COD)</f>
        <v>0</v>
      </c>
      <c r="EG72" s="47" t="n">
        <f aca="false">In_Guar_Credit*(1-EG19)*(EG71+EG48+EG49)*EG$5/Days_In_Year*(EG$4&lt;=In_COD)</f>
        <v>0</v>
      </c>
      <c r="EH72" s="47" t="n">
        <f aca="false">In_Guar_Credit*(1-EH19)*(EH71+EH48+EH49)*EH$5/Days_In_Year*(EH$4&lt;=In_COD)</f>
        <v>0</v>
      </c>
      <c r="EI72" s="47" t="n">
        <f aca="false">In_Guar_Credit*(1-EI19)*(EI71+EI48+EI49)*EI$5/Days_In_Year*(EI$4&lt;=In_COD)</f>
        <v>0</v>
      </c>
      <c r="EJ72" s="47" t="n">
        <f aca="false">In_Guar_Credit*(1-EJ19)*(EJ71+EJ48+EJ49)*EJ$5/Days_In_Year*(EJ$4&lt;=In_COD)</f>
        <v>0</v>
      </c>
      <c r="EK72" s="47" t="n">
        <f aca="false">In_Guar_Credit*(1-EK19)*(EK71+EK48+EK49)*EK$5/Days_In_Year*(EK$4&lt;=In_COD)</f>
        <v>0</v>
      </c>
      <c r="EL72" s="47" t="n">
        <f aca="false">In_Guar_Credit*(1-EL19)*(EL71+EL48+EL49)*EL$5/Days_In_Year*(EL$4&lt;=In_COD)</f>
        <v>0</v>
      </c>
      <c r="EM72" s="47" t="n">
        <f aca="false">In_Guar_Credit*(1-EM19)*(EM71+EM48+EM49)*EM$5/Days_In_Year*(EM$4&lt;=In_COD)</f>
        <v>0</v>
      </c>
      <c r="EN72" s="47" t="n">
        <f aca="false">In_Guar_Credit*(1-EN19)*(EN71+EN48+EN49)*EN$5/Days_In_Year*(EN$4&lt;=In_COD)</f>
        <v>0</v>
      </c>
      <c r="EO72" s="47" t="n">
        <f aca="false">In_Guar_Credit*(1-EO19)*(EO71+EO48+EO49)*EO$5/Days_In_Year*(EO$4&lt;=In_COD)</f>
        <v>0</v>
      </c>
      <c r="EP72" s="47" t="n">
        <f aca="false">In_Guar_Credit*(1-EP19)*(EP71+EP48+EP49)*EP$5/Days_In_Year*(EP$4&lt;=In_COD)</f>
        <v>0</v>
      </c>
      <c r="EQ72" s="47" t="n">
        <f aca="false">In_Guar_Credit*(1-EQ19)*(EQ71+EQ48+EQ49)*EQ$5/Days_In_Year*(EQ$4&lt;=In_COD)</f>
        <v>0</v>
      </c>
      <c r="ER72" s="47" t="n">
        <f aca="false">In_Guar_Credit*(1-ER19)*(ER71+ER48+ER49)*ER$5/Days_In_Year*(ER$4&lt;=In_COD)</f>
        <v>0</v>
      </c>
      <c r="ES72" s="47" t="n">
        <f aca="false">In_Guar_Credit*(1-ES19)*(ES71+ES48+ES49)*ES$5/Days_In_Year*(ES$4&lt;=In_COD)</f>
        <v>0</v>
      </c>
      <c r="ET72" s="47" t="n">
        <f aca="false">In_Guar_Credit*(1-ET19)*(ET71+ET48+ET49)*ET$5/Days_In_Year*(ET$4&lt;=In_COD)</f>
        <v>0</v>
      </c>
    </row>
    <row r="73" customFormat="false" ht="15" hidden="false" customHeight="false" outlineLevel="0" collapsed="false">
      <c r="C73" s="1" t="s">
        <v>496</v>
      </c>
      <c r="D73" s="12" t="s">
        <v>222</v>
      </c>
      <c r="I73" s="47" t="n">
        <f aca="false">SUM(J73:ET73)</f>
        <v>1734.32469033902</v>
      </c>
      <c r="J73" s="47" t="n">
        <f aca="false">J20*SUMIF($J$7:J$7,J$7,$J72:J72)</f>
        <v>0</v>
      </c>
      <c r="K73" s="47" t="n">
        <f aca="false">K20*SUMIF($J$7:K$7,K$7,$J72:K72)</f>
        <v>15.804150872584</v>
      </c>
      <c r="L73" s="47" t="n">
        <f aca="false">L20*SUMIF($J$7:L$7,L$7,$J72:L72)</f>
        <v>0</v>
      </c>
      <c r="M73" s="47" t="n">
        <f aca="false">M20*SUMIF($J$7:M$7,M$7,$J72:M72)</f>
        <v>0</v>
      </c>
      <c r="N73" s="47" t="n">
        <f aca="false">N20*SUMIF($J$7:N$7,N$7,$J72:N72)</f>
        <v>0</v>
      </c>
      <c r="O73" s="47" t="n">
        <f aca="false">O20*SUMIF($J$7:O$7,O$7,$J72:O72)</f>
        <v>366.044139463314</v>
      </c>
      <c r="P73" s="47" t="n">
        <f aca="false">P20*SUMIF($J$7:P$7,P$7,$J72:P72)</f>
        <v>0</v>
      </c>
      <c r="Q73" s="47" t="n">
        <f aca="false">Q20*SUMIF($J$7:Q$7,Q$7,$J72:Q72)</f>
        <v>0</v>
      </c>
      <c r="R73" s="47" t="n">
        <f aca="false">R20*SUMIF($J$7:R$7,R$7,$J72:R72)</f>
        <v>0</v>
      </c>
      <c r="S73" s="47" t="n">
        <f aca="false">S20*SUMIF($J$7:S$7,S$7,$J72:S72)</f>
        <v>389.069820126541</v>
      </c>
      <c r="T73" s="47" t="n">
        <f aca="false">T20*SUMIF($J$7:T$7,T$7,$J72:T72)</f>
        <v>0</v>
      </c>
      <c r="U73" s="47" t="n">
        <f aca="false">U20*SUMIF($J$7:U$7,U$7,$J72:U72)</f>
        <v>0</v>
      </c>
      <c r="V73" s="47" t="n">
        <f aca="false">V20*SUMIF($J$7:V$7,V$7,$J72:V72)</f>
        <v>0</v>
      </c>
      <c r="W73" s="47" t="n">
        <f aca="false">W20*SUMIF($J$7:W$7,W$7,$J72:W72)</f>
        <v>203.98500505207</v>
      </c>
      <c r="X73" s="47" t="n">
        <f aca="false">X20*SUMIF($J$7:X$7,X$7,$J72:X72)</f>
        <v>0</v>
      </c>
      <c r="Y73" s="47" t="n">
        <f aca="false">Y20*SUMIF($J$7:Y$7,Y$7,$J72:Y72)</f>
        <v>0</v>
      </c>
      <c r="Z73" s="47" t="n">
        <f aca="false">Z20*SUMIF($J$7:Z$7,Z$7,$J72:Z72)</f>
        <v>0</v>
      </c>
      <c r="AA73" s="47" t="n">
        <f aca="false">AA20*SUMIF($J$7:AA$7,AA$7,$J72:AA72)</f>
        <v>423.590077341829</v>
      </c>
      <c r="AB73" s="47" t="n">
        <f aca="false">AB20*SUMIF($J$7:AB$7,AB$7,$J72:AB72)</f>
        <v>0</v>
      </c>
      <c r="AC73" s="47" t="n">
        <f aca="false">AC20*SUMIF($J$7:AC$7,AC$7,$J72:AC72)</f>
        <v>0</v>
      </c>
      <c r="AD73" s="47" t="n">
        <f aca="false">AD20*SUMIF($J$7:AD$7,AD$7,$J72:AD72)</f>
        <v>0</v>
      </c>
      <c r="AE73" s="47" t="n">
        <f aca="false">AE20*SUMIF($J$7:AE$7,AE$7,$J72:AE72)</f>
        <v>335.831497482681</v>
      </c>
      <c r="AF73" s="47" t="n">
        <f aca="false">AF20*SUMIF($J$7:AF$7,AF$7,$J72:AF72)</f>
        <v>0</v>
      </c>
      <c r="AG73" s="47" t="n">
        <f aca="false">AG20*SUMIF($J$7:AG$7,AG$7,$J72:AG72)</f>
        <v>0</v>
      </c>
      <c r="AH73" s="47" t="n">
        <f aca="false">AH20*SUMIF($J$7:AH$7,AH$7,$J72:AH72)</f>
        <v>0</v>
      </c>
      <c r="AI73" s="47" t="n">
        <f aca="false">AI20*SUMIF($J$7:AI$7,AI$7,$J72:AI72)</f>
        <v>0</v>
      </c>
      <c r="AJ73" s="47" t="n">
        <f aca="false">AJ20*SUMIF($J$7:AJ$7,AJ$7,$J72:AJ72)</f>
        <v>0</v>
      </c>
      <c r="AK73" s="47" t="n">
        <f aca="false">AK20*SUMIF($J$7:AK$7,AK$7,$J72:AK72)</f>
        <v>0</v>
      </c>
      <c r="AL73" s="47" t="n">
        <f aca="false">AL20*SUMIF($J$7:AL$7,AL$7,$J72:AL72)</f>
        <v>0</v>
      </c>
      <c r="AM73" s="47" t="n">
        <f aca="false">AM20*SUMIF($J$7:AM$7,AM$7,$J72:AM72)</f>
        <v>0</v>
      </c>
      <c r="AN73" s="47" t="n">
        <f aca="false">AN20*SUMIF($J$7:AN$7,AN$7,$J72:AN72)</f>
        <v>0</v>
      </c>
      <c r="AO73" s="47" t="n">
        <f aca="false">AO20*SUMIF($J$7:AO$7,AO$7,$J72:AO72)</f>
        <v>0</v>
      </c>
      <c r="AP73" s="47" t="n">
        <f aca="false">AP20*SUMIF($J$7:AP$7,AP$7,$J72:AP72)</f>
        <v>0</v>
      </c>
      <c r="AQ73" s="47" t="n">
        <f aca="false">AQ20*SUMIF($J$7:AQ$7,AQ$7,$J72:AQ72)</f>
        <v>0</v>
      </c>
      <c r="AR73" s="47" t="n">
        <f aca="false">AR20*SUMIF($J$7:AR$7,AR$7,$J72:AR72)</f>
        <v>0</v>
      </c>
      <c r="AS73" s="47" t="n">
        <f aca="false">AS20*SUMIF($J$7:AS$7,AS$7,$J72:AS72)</f>
        <v>0</v>
      </c>
      <c r="AT73" s="47" t="n">
        <f aca="false">AT20*SUMIF($J$7:AT$7,AT$7,$J72:AT72)</f>
        <v>0</v>
      </c>
      <c r="AU73" s="47" t="n">
        <f aca="false">AU20*SUMIF($J$7:AU$7,AU$7,$J72:AU72)</f>
        <v>0</v>
      </c>
      <c r="AV73" s="47" t="n">
        <f aca="false">AV20*SUMIF($J$7:AV$7,AV$7,$J72:AV72)</f>
        <v>0</v>
      </c>
      <c r="AW73" s="47" t="n">
        <f aca="false">AW20*SUMIF($J$7:AW$7,AW$7,$J72:AW72)</f>
        <v>0</v>
      </c>
      <c r="AX73" s="47" t="n">
        <f aca="false">AX20*SUMIF($J$7:AX$7,AX$7,$J72:AX72)</f>
        <v>0</v>
      </c>
      <c r="AY73" s="47" t="n">
        <f aca="false">AY20*SUMIF($J$7:AY$7,AY$7,$J72:AY72)</f>
        <v>0</v>
      </c>
      <c r="AZ73" s="47" t="n">
        <f aca="false">AZ20*SUMIF($J$7:AZ$7,AZ$7,$J72:AZ72)</f>
        <v>0</v>
      </c>
      <c r="BA73" s="47" t="n">
        <f aca="false">BA20*SUMIF($J$7:BA$7,BA$7,$J72:BA72)</f>
        <v>0</v>
      </c>
      <c r="BB73" s="47" t="n">
        <f aca="false">BB20*SUMIF($J$7:BB$7,BB$7,$J72:BB72)</f>
        <v>0</v>
      </c>
      <c r="BC73" s="47" t="n">
        <f aca="false">BC20*SUMIF($J$7:BC$7,BC$7,$J72:BC72)</f>
        <v>0</v>
      </c>
      <c r="BD73" s="47" t="n">
        <f aca="false">BD20*SUMIF($J$7:BD$7,BD$7,$J72:BD72)</f>
        <v>0</v>
      </c>
      <c r="BE73" s="47" t="n">
        <f aca="false">BE20*SUMIF($J$7:BE$7,BE$7,$J72:BE72)</f>
        <v>0</v>
      </c>
      <c r="BF73" s="47" t="n">
        <f aca="false">BF20*SUMIF($J$7:BF$7,BF$7,$J72:BF72)</f>
        <v>0</v>
      </c>
      <c r="BG73" s="47" t="n">
        <f aca="false">BG20*SUMIF($J$7:BG$7,BG$7,$J72:BG72)</f>
        <v>0</v>
      </c>
      <c r="BH73" s="47" t="n">
        <f aca="false">BH20*SUMIF($J$7:BH$7,BH$7,$J72:BH72)</f>
        <v>0</v>
      </c>
      <c r="BI73" s="47" t="n">
        <f aca="false">BI20*SUMIF($J$7:BI$7,BI$7,$J72:BI72)</f>
        <v>0</v>
      </c>
      <c r="BJ73" s="47" t="n">
        <f aca="false">BJ20*SUMIF($J$7:BJ$7,BJ$7,$J72:BJ72)</f>
        <v>0</v>
      </c>
      <c r="BK73" s="47" t="n">
        <f aca="false">BK20*SUMIF($J$7:BK$7,BK$7,$J72:BK72)</f>
        <v>0</v>
      </c>
      <c r="BL73" s="47" t="n">
        <f aca="false">BL20*SUMIF($J$7:BL$7,BL$7,$J72:BL72)</f>
        <v>0</v>
      </c>
      <c r="BM73" s="47" t="n">
        <f aca="false">BM20*SUMIF($J$7:BM$7,BM$7,$J72:BM72)</f>
        <v>0</v>
      </c>
      <c r="BN73" s="47" t="n">
        <f aca="false">BN20*SUMIF($J$7:BN$7,BN$7,$J72:BN72)</f>
        <v>0</v>
      </c>
      <c r="BO73" s="47" t="n">
        <f aca="false">BO20*SUMIF($J$7:BO$7,BO$7,$J72:BO72)</f>
        <v>0</v>
      </c>
      <c r="BP73" s="47" t="n">
        <f aca="false">BP20*SUMIF($J$7:BP$7,BP$7,$J72:BP72)</f>
        <v>0</v>
      </c>
      <c r="BQ73" s="47" t="n">
        <f aca="false">BQ20*SUMIF($J$7:BQ$7,BQ$7,$J72:BQ72)</f>
        <v>0</v>
      </c>
      <c r="BR73" s="47" t="n">
        <f aca="false">BR20*SUMIF($J$7:BR$7,BR$7,$J72:BR72)</f>
        <v>0</v>
      </c>
      <c r="BS73" s="47" t="n">
        <f aca="false">BS20*SUMIF($J$7:BS$7,BS$7,$J72:BS72)</f>
        <v>0</v>
      </c>
      <c r="BT73" s="47" t="n">
        <f aca="false">BT20*SUMIF($J$7:BT$7,BT$7,$J72:BT72)</f>
        <v>0</v>
      </c>
      <c r="BU73" s="47" t="n">
        <f aca="false">BU20*SUMIF($J$7:BU$7,BU$7,$J72:BU72)</f>
        <v>0</v>
      </c>
      <c r="BV73" s="47" t="n">
        <f aca="false">BV20*SUMIF($J$7:BV$7,BV$7,$J72:BV72)</f>
        <v>0</v>
      </c>
      <c r="BW73" s="47" t="n">
        <f aca="false">BW20*SUMIF($J$7:BW$7,BW$7,$J72:BW72)</f>
        <v>0</v>
      </c>
      <c r="BX73" s="47" t="n">
        <f aca="false">BX20*SUMIF($J$7:BX$7,BX$7,$J72:BX72)</f>
        <v>0</v>
      </c>
      <c r="BY73" s="47" t="n">
        <f aca="false">BY20*SUMIF($J$7:BY$7,BY$7,$J72:BY72)</f>
        <v>0</v>
      </c>
      <c r="BZ73" s="47" t="n">
        <f aca="false">BZ20*SUMIF($J$7:BZ$7,BZ$7,$J72:BZ72)</f>
        <v>0</v>
      </c>
      <c r="CA73" s="47" t="n">
        <f aca="false">CA20*SUMIF($J$7:CA$7,CA$7,$J72:CA72)</f>
        <v>0</v>
      </c>
      <c r="CB73" s="47" t="n">
        <f aca="false">CB20*SUMIF($J$7:CB$7,CB$7,$J72:CB72)</f>
        <v>0</v>
      </c>
      <c r="CC73" s="47" t="n">
        <f aca="false">CC20*SUMIF($J$7:CC$7,CC$7,$J72:CC72)</f>
        <v>0</v>
      </c>
      <c r="CD73" s="47" t="n">
        <f aca="false">CD20*SUMIF($J$7:CD$7,CD$7,$J72:CD72)</f>
        <v>0</v>
      </c>
      <c r="CE73" s="47" t="n">
        <f aca="false">CE20*SUMIF($J$7:CE$7,CE$7,$J72:CE72)</f>
        <v>0</v>
      </c>
      <c r="CF73" s="47" t="n">
        <f aca="false">CF20*SUMIF($J$7:CF$7,CF$7,$J72:CF72)</f>
        <v>0</v>
      </c>
      <c r="CG73" s="47" t="n">
        <f aca="false">CG20*SUMIF($J$7:CG$7,CG$7,$J72:CG72)</f>
        <v>0</v>
      </c>
      <c r="CH73" s="47" t="n">
        <f aca="false">CH20*SUMIF($J$7:CH$7,CH$7,$J72:CH72)</f>
        <v>0</v>
      </c>
      <c r="CI73" s="47" t="n">
        <f aca="false">CI20*SUMIF($J$7:CI$7,CI$7,$J72:CI72)</f>
        <v>0</v>
      </c>
      <c r="CJ73" s="47" t="n">
        <f aca="false">CJ20*SUMIF($J$7:CJ$7,CJ$7,$J72:CJ72)</f>
        <v>0</v>
      </c>
      <c r="CK73" s="47" t="n">
        <f aca="false">CK20*SUMIF($J$7:CK$7,CK$7,$J72:CK72)</f>
        <v>0</v>
      </c>
      <c r="CL73" s="47" t="n">
        <f aca="false">CL20*SUMIF($J$7:CL$7,CL$7,$J72:CL72)</f>
        <v>0</v>
      </c>
      <c r="CM73" s="47" t="n">
        <f aca="false">CM20*SUMIF($J$7:CM$7,CM$7,$J72:CM72)</f>
        <v>0</v>
      </c>
      <c r="CN73" s="47" t="n">
        <f aca="false">CN20*SUMIF($J$7:CN$7,CN$7,$J72:CN72)</f>
        <v>0</v>
      </c>
      <c r="CO73" s="47" t="n">
        <f aca="false">CO20*SUMIF($J$7:CO$7,CO$7,$J72:CO72)</f>
        <v>0</v>
      </c>
      <c r="CP73" s="47" t="n">
        <f aca="false">CP20*SUMIF($J$7:CP$7,CP$7,$J72:CP72)</f>
        <v>0</v>
      </c>
      <c r="CQ73" s="47" t="n">
        <f aca="false">CQ20*SUMIF($J$7:CQ$7,CQ$7,$J72:CQ72)</f>
        <v>0</v>
      </c>
      <c r="CR73" s="47" t="n">
        <f aca="false">CR20*SUMIF($J$7:CR$7,CR$7,$J72:CR72)</f>
        <v>0</v>
      </c>
      <c r="CS73" s="47" t="n">
        <f aca="false">CS20*SUMIF($J$7:CS$7,CS$7,$J72:CS72)</f>
        <v>0</v>
      </c>
      <c r="CT73" s="47" t="n">
        <f aca="false">CT20*SUMIF($J$7:CT$7,CT$7,$J72:CT72)</f>
        <v>0</v>
      </c>
      <c r="CU73" s="47" t="n">
        <f aca="false">CU20*SUMIF($J$7:CU$7,CU$7,$J72:CU72)</f>
        <v>0</v>
      </c>
      <c r="CV73" s="47" t="n">
        <f aca="false">CV20*SUMIF($J$7:CV$7,CV$7,$J72:CV72)</f>
        <v>0</v>
      </c>
      <c r="CW73" s="47" t="n">
        <f aca="false">CW20*SUMIF($J$7:CW$7,CW$7,$J72:CW72)</f>
        <v>0</v>
      </c>
      <c r="CX73" s="47" t="n">
        <f aca="false">CX20*SUMIF($J$7:CX$7,CX$7,$J72:CX72)</f>
        <v>0</v>
      </c>
      <c r="CY73" s="47" t="n">
        <f aca="false">CY20*SUMIF($J$7:CY$7,CY$7,$J72:CY72)</f>
        <v>0</v>
      </c>
      <c r="CZ73" s="47" t="n">
        <f aca="false">CZ20*SUMIF($J$7:CZ$7,CZ$7,$J72:CZ72)</f>
        <v>0</v>
      </c>
      <c r="DA73" s="47" t="n">
        <f aca="false">DA20*SUMIF($J$7:DA$7,DA$7,$J72:DA72)</f>
        <v>0</v>
      </c>
      <c r="DB73" s="47" t="n">
        <f aca="false">DB20*SUMIF($J$7:DB$7,DB$7,$J72:DB72)</f>
        <v>0</v>
      </c>
      <c r="DC73" s="47" t="n">
        <f aca="false">DC20*SUMIF($J$7:DC$7,DC$7,$J72:DC72)</f>
        <v>0</v>
      </c>
      <c r="DD73" s="47" t="n">
        <f aca="false">DD20*SUMIF($J$7:DD$7,DD$7,$J72:DD72)</f>
        <v>0</v>
      </c>
      <c r="DE73" s="47" t="n">
        <f aca="false">DE20*SUMIF($J$7:DE$7,DE$7,$J72:DE72)</f>
        <v>0</v>
      </c>
      <c r="DF73" s="47" t="n">
        <f aca="false">DF20*SUMIF($J$7:DF$7,DF$7,$J72:DF72)</f>
        <v>0</v>
      </c>
      <c r="DG73" s="47" t="n">
        <f aca="false">DG20*SUMIF($J$7:DG$7,DG$7,$J72:DG72)</f>
        <v>0</v>
      </c>
      <c r="DH73" s="47" t="n">
        <f aca="false">DH20*SUMIF($J$7:DH$7,DH$7,$J72:DH72)</f>
        <v>0</v>
      </c>
      <c r="DI73" s="47" t="n">
        <f aca="false">DI20*SUMIF($J$7:DI$7,DI$7,$J72:DI72)</f>
        <v>0</v>
      </c>
      <c r="DJ73" s="47" t="n">
        <f aca="false">DJ20*SUMIF($J$7:DJ$7,DJ$7,$J72:DJ72)</f>
        <v>0</v>
      </c>
      <c r="DK73" s="47" t="n">
        <f aca="false">DK20*SUMIF($J$7:DK$7,DK$7,$J72:DK72)</f>
        <v>0</v>
      </c>
      <c r="DL73" s="47" t="n">
        <f aca="false">DL20*SUMIF($J$7:DL$7,DL$7,$J72:DL72)</f>
        <v>0</v>
      </c>
      <c r="DM73" s="47" t="n">
        <f aca="false">DM20*SUMIF($J$7:DM$7,DM$7,$J72:DM72)</f>
        <v>0</v>
      </c>
      <c r="DN73" s="47" t="n">
        <f aca="false">DN20*SUMIF($J$7:DN$7,DN$7,$J72:DN72)</f>
        <v>0</v>
      </c>
      <c r="DO73" s="47" t="n">
        <f aca="false">DO20*SUMIF($J$7:DO$7,DO$7,$J72:DO72)</f>
        <v>0</v>
      </c>
      <c r="DP73" s="47" t="n">
        <f aca="false">DP20*SUMIF($J$7:DP$7,DP$7,$J72:DP72)</f>
        <v>0</v>
      </c>
      <c r="DQ73" s="47" t="n">
        <f aca="false">DQ20*SUMIF($J$7:DQ$7,DQ$7,$J72:DQ72)</f>
        <v>0</v>
      </c>
      <c r="DR73" s="47" t="n">
        <f aca="false">DR20*SUMIF($J$7:DR$7,DR$7,$J72:DR72)</f>
        <v>0</v>
      </c>
      <c r="DS73" s="47" t="n">
        <f aca="false">DS20*SUMIF($J$7:DS$7,DS$7,$J72:DS72)</f>
        <v>0</v>
      </c>
      <c r="DT73" s="47" t="n">
        <f aca="false">DT20*SUMIF($J$7:DT$7,DT$7,$J72:DT72)</f>
        <v>0</v>
      </c>
      <c r="DU73" s="47" t="n">
        <f aca="false">DU20*SUMIF($J$7:DU$7,DU$7,$J72:DU72)</f>
        <v>0</v>
      </c>
      <c r="DV73" s="47" t="n">
        <f aca="false">DV20*SUMIF($J$7:DV$7,DV$7,$J72:DV72)</f>
        <v>0</v>
      </c>
      <c r="DW73" s="47" t="n">
        <f aca="false">DW20*SUMIF($J$7:DW$7,DW$7,$J72:DW72)</f>
        <v>0</v>
      </c>
      <c r="DX73" s="47" t="n">
        <f aca="false">DX20*SUMIF($J$7:DX$7,DX$7,$J72:DX72)</f>
        <v>0</v>
      </c>
      <c r="DY73" s="47" t="n">
        <f aca="false">DY20*SUMIF($J$7:DY$7,DY$7,$J72:DY72)</f>
        <v>0</v>
      </c>
      <c r="DZ73" s="47" t="n">
        <f aca="false">DZ20*SUMIF($J$7:DZ$7,DZ$7,$J72:DZ72)</f>
        <v>0</v>
      </c>
      <c r="EA73" s="47" t="n">
        <f aca="false">EA20*SUMIF($J$7:EA$7,EA$7,$J72:EA72)</f>
        <v>0</v>
      </c>
      <c r="EB73" s="47" t="n">
        <f aca="false">EB20*SUMIF($J$7:EB$7,EB$7,$J72:EB72)</f>
        <v>0</v>
      </c>
      <c r="EC73" s="47" t="n">
        <f aca="false">EC20*SUMIF($J$7:EC$7,EC$7,$J72:EC72)</f>
        <v>0</v>
      </c>
      <c r="ED73" s="47" t="n">
        <f aca="false">ED20*SUMIF($J$7:ED$7,ED$7,$J72:ED72)</f>
        <v>0</v>
      </c>
      <c r="EE73" s="47" t="n">
        <f aca="false">EE20*SUMIF($J$7:EE$7,EE$7,$J72:EE72)</f>
        <v>0</v>
      </c>
      <c r="EF73" s="47" t="n">
        <f aca="false">EF20*SUMIF($J$7:EF$7,EF$7,$J72:EF72)</f>
        <v>0</v>
      </c>
      <c r="EG73" s="47" t="n">
        <f aca="false">EG20*SUMIF($J$7:EG$7,EG$7,$J72:EG72)</f>
        <v>0</v>
      </c>
      <c r="EH73" s="47" t="n">
        <f aca="false">EH20*SUMIF($J$7:EH$7,EH$7,$J72:EH72)</f>
        <v>0</v>
      </c>
      <c r="EI73" s="47" t="n">
        <f aca="false">EI20*SUMIF($J$7:EI$7,EI$7,$J72:EI72)</f>
        <v>0</v>
      </c>
      <c r="EJ73" s="47" t="n">
        <f aca="false">EJ20*SUMIF($J$7:EJ$7,EJ$7,$J72:EJ72)</f>
        <v>0</v>
      </c>
      <c r="EK73" s="47" t="n">
        <f aca="false">EK20*SUMIF($J$7:EK$7,EK$7,$J72:EK72)</f>
        <v>0</v>
      </c>
      <c r="EL73" s="47" t="n">
        <f aca="false">EL20*SUMIF($J$7:EL$7,EL$7,$J72:EL72)</f>
        <v>0</v>
      </c>
      <c r="EM73" s="47" t="n">
        <f aca="false">EM20*SUMIF($J$7:EM$7,EM$7,$J72:EM72)</f>
        <v>0</v>
      </c>
      <c r="EN73" s="47" t="n">
        <f aca="false">EN20*SUMIF($J$7:EN$7,EN$7,$J72:EN72)</f>
        <v>0</v>
      </c>
      <c r="EO73" s="47" t="n">
        <f aca="false">EO20*SUMIF($J$7:EO$7,EO$7,$J72:EO72)</f>
        <v>0</v>
      </c>
      <c r="EP73" s="47" t="n">
        <f aca="false">EP20*SUMIF($J$7:EP$7,EP$7,$J72:EP72)</f>
        <v>0</v>
      </c>
      <c r="EQ73" s="47" t="n">
        <f aca="false">EQ20*SUMIF($J$7:EQ$7,EQ$7,$J72:EQ72)</f>
        <v>0</v>
      </c>
      <c r="ER73" s="47" t="n">
        <f aca="false">ER20*SUMIF($J$7:ER$7,ER$7,$J72:ER72)</f>
        <v>0</v>
      </c>
      <c r="ES73" s="47" t="n">
        <f aca="false">ES20*SUMIF($J$7:ES$7,ES$7,$J72:ES72)</f>
        <v>0</v>
      </c>
      <c r="ET73" s="47" t="n">
        <f aca="false">ET20*SUMIF($J$7:ET$7,ET$7,$J72:ET72)</f>
        <v>0</v>
      </c>
    </row>
    <row r="74" customFormat="false" ht="15" hidden="false" customHeight="false" outlineLevel="0" collapsed="false">
      <c r="C74" s="1" t="s">
        <v>500</v>
      </c>
      <c r="D74" s="12" t="s">
        <v>222</v>
      </c>
      <c r="I74" s="57"/>
      <c r="J74" s="47" t="n">
        <f aca="false">J71+J73</f>
        <v>0</v>
      </c>
      <c r="K74" s="47" t="n">
        <f aca="false">K71+K73</f>
        <v>15.804150872584</v>
      </c>
      <c r="L74" s="47" t="n">
        <f aca="false">L71+L73</f>
        <v>15.804150872584</v>
      </c>
      <c r="M74" s="47" t="n">
        <f aca="false">M71+M73</f>
        <v>15.804150872584</v>
      </c>
      <c r="N74" s="47" t="n">
        <f aca="false">N71+N73</f>
        <v>15.804150872584</v>
      </c>
      <c r="O74" s="47" t="n">
        <f aca="false">O71+O73</f>
        <v>381.848290335898</v>
      </c>
      <c r="P74" s="47" t="n">
        <f aca="false">P71+P73</f>
        <v>381.848290335898</v>
      </c>
      <c r="Q74" s="47" t="n">
        <f aca="false">Q71+Q73</f>
        <v>381.848290335898</v>
      </c>
      <c r="R74" s="47" t="n">
        <f aca="false">R71+R73</f>
        <v>381.848290335898</v>
      </c>
      <c r="S74" s="47" t="n">
        <f aca="false">S71+S73</f>
        <v>770.918110462438</v>
      </c>
      <c r="T74" s="47" t="n">
        <f aca="false">T71+T73</f>
        <v>770.918110462438</v>
      </c>
      <c r="U74" s="47" t="n">
        <f aca="false">U71+U73</f>
        <v>770.918110462438</v>
      </c>
      <c r="V74" s="47" t="n">
        <f aca="false">V71+V73</f>
        <v>770.918110462438</v>
      </c>
      <c r="W74" s="47" t="n">
        <f aca="false">W71+W73</f>
        <v>974.903115514509</v>
      </c>
      <c r="X74" s="47" t="n">
        <f aca="false">X71+X73</f>
        <v>974.903115514509</v>
      </c>
      <c r="Y74" s="47" t="n">
        <f aca="false">Y71+Y73</f>
        <v>974.903115514509</v>
      </c>
      <c r="Z74" s="47" t="n">
        <f aca="false">Z71+Z73</f>
        <v>974.903115514509</v>
      </c>
      <c r="AA74" s="47" t="n">
        <f aca="false">AA71+AA73</f>
        <v>1398.49319285634</v>
      </c>
      <c r="AB74" s="47" t="n">
        <f aca="false">AB71+AB73</f>
        <v>1398.49319285634</v>
      </c>
      <c r="AC74" s="47" t="n">
        <f aca="false">AC71+AC73</f>
        <v>1398.49319285634</v>
      </c>
      <c r="AD74" s="47" t="n">
        <f aca="false">AD71+AD73</f>
        <v>1398.49319285634</v>
      </c>
      <c r="AE74" s="47" t="n">
        <f aca="false">AE71+AE73</f>
        <v>1734.32469033902</v>
      </c>
      <c r="AF74" s="47" t="n">
        <f aca="false">AF71+AF73</f>
        <v>1734.32469033902</v>
      </c>
      <c r="AG74" s="47" t="n">
        <f aca="false">AG71+AG73</f>
        <v>1734.32469033902</v>
      </c>
      <c r="AH74" s="47" t="n">
        <f aca="false">AH71+AH73</f>
        <v>1734.32469033902</v>
      </c>
      <c r="AI74" s="47" t="n">
        <f aca="false">AI71+AI73</f>
        <v>1734.32469033902</v>
      </c>
      <c r="AJ74" s="47" t="n">
        <f aca="false">AJ71+AJ73</f>
        <v>1734.32469033902</v>
      </c>
      <c r="AK74" s="47" t="n">
        <f aca="false">AK71+AK73</f>
        <v>1734.32469033902</v>
      </c>
      <c r="AL74" s="47" t="n">
        <f aca="false">AL71+AL73</f>
        <v>1734.32469033902</v>
      </c>
      <c r="AM74" s="47" t="n">
        <f aca="false">AM71+AM73</f>
        <v>1734.32469033902</v>
      </c>
      <c r="AN74" s="47" t="n">
        <f aca="false">AN71+AN73</f>
        <v>1734.32469033902</v>
      </c>
      <c r="AO74" s="47" t="n">
        <f aca="false">AO71+AO73</f>
        <v>1734.32469033902</v>
      </c>
      <c r="AP74" s="47" t="n">
        <f aca="false">AP71+AP73</f>
        <v>1734.32469033902</v>
      </c>
      <c r="AQ74" s="47" t="n">
        <f aca="false">AQ71+AQ73</f>
        <v>1734.32469033902</v>
      </c>
      <c r="AR74" s="47" t="n">
        <f aca="false">AR71+AR73</f>
        <v>1734.32469033902</v>
      </c>
      <c r="AS74" s="47" t="n">
        <f aca="false">AS71+AS73</f>
        <v>1734.32469033902</v>
      </c>
      <c r="AT74" s="47" t="n">
        <f aca="false">AT71+AT73</f>
        <v>1734.32469033902</v>
      </c>
      <c r="AU74" s="47" t="n">
        <f aca="false">AU71+AU73</f>
        <v>1734.32469033902</v>
      </c>
      <c r="AV74" s="47" t="n">
        <f aca="false">AV71+AV73</f>
        <v>1734.32469033902</v>
      </c>
      <c r="AW74" s="47" t="n">
        <f aca="false">AW71+AW73</f>
        <v>1734.32469033902</v>
      </c>
      <c r="AX74" s="47" t="n">
        <f aca="false">AX71+AX73</f>
        <v>1734.32469033902</v>
      </c>
      <c r="AY74" s="47" t="n">
        <f aca="false">AY71+AY73</f>
        <v>1734.32469033902</v>
      </c>
      <c r="AZ74" s="47" t="n">
        <f aca="false">AZ71+AZ73</f>
        <v>1734.32469033902</v>
      </c>
      <c r="BA74" s="47" t="n">
        <f aca="false">BA71+BA73</f>
        <v>1734.32469033902</v>
      </c>
      <c r="BB74" s="47" t="n">
        <f aca="false">BB71+BB73</f>
        <v>1734.32469033902</v>
      </c>
      <c r="BC74" s="47" t="n">
        <f aca="false">BC71+BC73</f>
        <v>1734.32469033902</v>
      </c>
      <c r="BD74" s="47" t="n">
        <f aca="false">BD71+BD73</f>
        <v>1734.32469033902</v>
      </c>
      <c r="BE74" s="47" t="n">
        <f aca="false">BE71+BE73</f>
        <v>1734.32469033902</v>
      </c>
      <c r="BF74" s="47" t="n">
        <f aca="false">BF71+BF73</f>
        <v>1734.32469033902</v>
      </c>
      <c r="BG74" s="47" t="n">
        <f aca="false">BG71+BG73</f>
        <v>1734.32469033902</v>
      </c>
      <c r="BH74" s="47" t="n">
        <f aca="false">BH71+BH73</f>
        <v>1734.32469033902</v>
      </c>
      <c r="BI74" s="47" t="n">
        <f aca="false">BI71+BI73</f>
        <v>1734.32469033902</v>
      </c>
      <c r="BJ74" s="47" t="n">
        <f aca="false">BJ71+BJ73</f>
        <v>1734.32469033902</v>
      </c>
      <c r="BK74" s="47" t="n">
        <f aca="false">BK71+BK73</f>
        <v>1734.32469033902</v>
      </c>
      <c r="BL74" s="47" t="n">
        <f aca="false">BL71+BL73</f>
        <v>1734.32469033902</v>
      </c>
      <c r="BM74" s="47" t="n">
        <f aca="false">BM71+BM73</f>
        <v>1734.32469033902</v>
      </c>
      <c r="BN74" s="47" t="n">
        <f aca="false">BN71+BN73</f>
        <v>1734.32469033902</v>
      </c>
      <c r="BO74" s="47" t="n">
        <f aca="false">BO71+BO73</f>
        <v>1734.32469033902</v>
      </c>
      <c r="BP74" s="47" t="n">
        <f aca="false">BP71+BP73</f>
        <v>1734.32469033902</v>
      </c>
      <c r="BQ74" s="47" t="n">
        <f aca="false">BQ71+BQ73</f>
        <v>1734.32469033902</v>
      </c>
      <c r="BR74" s="47" t="n">
        <f aca="false">BR71+BR73</f>
        <v>1734.32469033902</v>
      </c>
      <c r="BS74" s="47" t="n">
        <f aca="false">BS71+BS73</f>
        <v>1734.32469033902</v>
      </c>
      <c r="BT74" s="47" t="n">
        <f aca="false">BT71+BT73</f>
        <v>1734.32469033902</v>
      </c>
      <c r="BU74" s="47" t="n">
        <f aca="false">BU71+BU73</f>
        <v>1734.32469033902</v>
      </c>
      <c r="BV74" s="47" t="n">
        <f aca="false">BV71+BV73</f>
        <v>1734.32469033902</v>
      </c>
      <c r="BW74" s="47" t="n">
        <f aca="false">BW71+BW73</f>
        <v>1734.32469033902</v>
      </c>
      <c r="BX74" s="47" t="n">
        <f aca="false">BX71+BX73</f>
        <v>1734.32469033902</v>
      </c>
      <c r="BY74" s="47" t="n">
        <f aca="false">BY71+BY73</f>
        <v>1734.32469033902</v>
      </c>
      <c r="BZ74" s="47" t="n">
        <f aca="false">BZ71+BZ73</f>
        <v>1734.32469033902</v>
      </c>
      <c r="CA74" s="47" t="n">
        <f aca="false">CA71+CA73</f>
        <v>1734.32469033902</v>
      </c>
      <c r="CB74" s="47" t="n">
        <f aca="false">CB71+CB73</f>
        <v>1734.32469033902</v>
      </c>
      <c r="CC74" s="47" t="n">
        <f aca="false">CC71+CC73</f>
        <v>1734.32469033902</v>
      </c>
      <c r="CD74" s="47" t="n">
        <f aca="false">CD71+CD73</f>
        <v>1734.32469033902</v>
      </c>
      <c r="CE74" s="47" t="n">
        <f aca="false">CE71+CE73</f>
        <v>1734.32469033902</v>
      </c>
      <c r="CF74" s="47" t="n">
        <f aca="false">CF71+CF73</f>
        <v>1734.32469033902</v>
      </c>
      <c r="CG74" s="47" t="n">
        <f aca="false">CG71+CG73</f>
        <v>1734.32469033902</v>
      </c>
      <c r="CH74" s="47" t="n">
        <f aca="false">CH71+CH73</f>
        <v>1734.32469033902</v>
      </c>
      <c r="CI74" s="47" t="n">
        <f aca="false">CI71+CI73</f>
        <v>1734.32469033902</v>
      </c>
      <c r="CJ74" s="47" t="n">
        <f aca="false">CJ71+CJ73</f>
        <v>1734.32469033902</v>
      </c>
      <c r="CK74" s="47" t="n">
        <f aca="false">CK71+CK73</f>
        <v>1734.32469033902</v>
      </c>
      <c r="CL74" s="47" t="n">
        <f aca="false">CL71+CL73</f>
        <v>1734.32469033902</v>
      </c>
      <c r="CM74" s="47" t="n">
        <f aca="false">CM71+CM73</f>
        <v>1734.32469033902</v>
      </c>
      <c r="CN74" s="47" t="n">
        <f aca="false">CN71+CN73</f>
        <v>1734.32469033902</v>
      </c>
      <c r="CO74" s="47" t="n">
        <f aca="false">CO71+CO73</f>
        <v>1734.32469033902</v>
      </c>
      <c r="CP74" s="47" t="n">
        <f aca="false">CP71+CP73</f>
        <v>1734.32469033902</v>
      </c>
      <c r="CQ74" s="47" t="n">
        <f aca="false">CQ71+CQ73</f>
        <v>1734.32469033902</v>
      </c>
      <c r="CR74" s="47" t="n">
        <f aca="false">CR71+CR73</f>
        <v>1734.32469033902</v>
      </c>
      <c r="CS74" s="47" t="n">
        <f aca="false">CS71+CS73</f>
        <v>1734.32469033902</v>
      </c>
      <c r="CT74" s="47" t="n">
        <f aca="false">CT71+CT73</f>
        <v>1734.32469033902</v>
      </c>
      <c r="CU74" s="47" t="n">
        <f aca="false">CU71+CU73</f>
        <v>1734.32469033902</v>
      </c>
      <c r="CV74" s="47" t="n">
        <f aca="false">CV71+CV73</f>
        <v>1734.32469033902</v>
      </c>
      <c r="CW74" s="47" t="n">
        <f aca="false">CW71+CW73</f>
        <v>1734.32469033902</v>
      </c>
      <c r="CX74" s="47" t="n">
        <f aca="false">CX71+CX73</f>
        <v>1734.32469033902</v>
      </c>
      <c r="CY74" s="47" t="n">
        <f aca="false">CY71+CY73</f>
        <v>1734.32469033902</v>
      </c>
      <c r="CZ74" s="47" t="n">
        <f aca="false">CZ71+CZ73</f>
        <v>1734.32469033902</v>
      </c>
      <c r="DA74" s="47" t="n">
        <f aca="false">DA71+DA73</f>
        <v>1734.32469033902</v>
      </c>
      <c r="DB74" s="47" t="n">
        <f aca="false">DB71+DB73</f>
        <v>1734.32469033902</v>
      </c>
      <c r="DC74" s="47" t="n">
        <f aca="false">DC71+DC73</f>
        <v>1734.32469033902</v>
      </c>
      <c r="DD74" s="47" t="n">
        <f aca="false">DD71+DD73</f>
        <v>1734.32469033902</v>
      </c>
      <c r="DE74" s="47" t="n">
        <f aca="false">DE71+DE73</f>
        <v>1734.32469033902</v>
      </c>
      <c r="DF74" s="47" t="n">
        <f aca="false">DF71+DF73</f>
        <v>1734.32469033902</v>
      </c>
      <c r="DG74" s="47" t="n">
        <f aca="false">DG71+DG73</f>
        <v>1734.32469033902</v>
      </c>
      <c r="DH74" s="47" t="n">
        <f aca="false">DH71+DH73</f>
        <v>1734.32469033902</v>
      </c>
      <c r="DI74" s="47" t="n">
        <f aca="false">DI71+DI73</f>
        <v>1734.32469033902</v>
      </c>
      <c r="DJ74" s="47" t="n">
        <f aca="false">DJ71+DJ73</f>
        <v>1734.32469033902</v>
      </c>
      <c r="DK74" s="47" t="n">
        <f aca="false">DK71+DK73</f>
        <v>1734.32469033902</v>
      </c>
      <c r="DL74" s="47" t="n">
        <f aca="false">DL71+DL73</f>
        <v>1734.32469033902</v>
      </c>
      <c r="DM74" s="47" t="n">
        <f aca="false">DM71+DM73</f>
        <v>1734.32469033902</v>
      </c>
      <c r="DN74" s="47" t="n">
        <f aca="false">DN71+DN73</f>
        <v>1734.32469033902</v>
      </c>
      <c r="DO74" s="47" t="n">
        <f aca="false">DO71+DO73</f>
        <v>1734.32469033902</v>
      </c>
      <c r="DP74" s="47" t="n">
        <f aca="false">DP71+DP73</f>
        <v>1734.32469033902</v>
      </c>
      <c r="DQ74" s="47" t="n">
        <f aca="false">DQ71+DQ73</f>
        <v>1734.32469033902</v>
      </c>
      <c r="DR74" s="47" t="n">
        <f aca="false">DR71+DR73</f>
        <v>1734.32469033902</v>
      </c>
      <c r="DS74" s="47" t="n">
        <f aca="false">DS71+DS73</f>
        <v>1734.32469033902</v>
      </c>
      <c r="DT74" s="47" t="n">
        <f aca="false">DT71+DT73</f>
        <v>1734.32469033902</v>
      </c>
      <c r="DU74" s="47" t="n">
        <f aca="false">DU71+DU73</f>
        <v>1734.32469033902</v>
      </c>
      <c r="DV74" s="47" t="n">
        <f aca="false">DV71+DV73</f>
        <v>1734.32469033902</v>
      </c>
      <c r="DW74" s="47" t="n">
        <f aca="false">DW71+DW73</f>
        <v>1734.32469033902</v>
      </c>
      <c r="DX74" s="47" t="n">
        <f aca="false">DX71+DX73</f>
        <v>1734.32469033902</v>
      </c>
      <c r="DY74" s="47" t="n">
        <f aca="false">DY71+DY73</f>
        <v>1734.32469033902</v>
      </c>
      <c r="DZ74" s="47" t="n">
        <f aca="false">DZ71+DZ73</f>
        <v>1734.32469033902</v>
      </c>
      <c r="EA74" s="47" t="n">
        <f aca="false">EA71+EA73</f>
        <v>1734.32469033902</v>
      </c>
      <c r="EB74" s="47" t="n">
        <f aca="false">EB71+EB73</f>
        <v>1734.32469033902</v>
      </c>
      <c r="EC74" s="47" t="n">
        <f aca="false">EC71+EC73</f>
        <v>1734.32469033902</v>
      </c>
      <c r="ED74" s="47" t="n">
        <f aca="false">ED71+ED73</f>
        <v>1734.32469033902</v>
      </c>
      <c r="EE74" s="47" t="n">
        <f aca="false">EE71+EE73</f>
        <v>1734.32469033902</v>
      </c>
      <c r="EF74" s="47" t="n">
        <f aca="false">EF71+EF73</f>
        <v>1734.32469033902</v>
      </c>
      <c r="EG74" s="47" t="n">
        <f aca="false">EG71+EG73</f>
        <v>1734.32469033902</v>
      </c>
      <c r="EH74" s="47" t="n">
        <f aca="false">EH71+EH73</f>
        <v>1734.32469033902</v>
      </c>
      <c r="EI74" s="47" t="n">
        <f aca="false">EI71+EI73</f>
        <v>1734.32469033902</v>
      </c>
      <c r="EJ74" s="47" t="n">
        <f aca="false">EJ71+EJ73</f>
        <v>1734.32469033902</v>
      </c>
      <c r="EK74" s="47" t="n">
        <f aca="false">EK71+EK73</f>
        <v>1734.32469033902</v>
      </c>
      <c r="EL74" s="47" t="n">
        <f aca="false">EL71+EL73</f>
        <v>1734.32469033902</v>
      </c>
      <c r="EM74" s="47" t="n">
        <f aca="false">EM71+EM73</f>
        <v>1734.32469033902</v>
      </c>
      <c r="EN74" s="47" t="n">
        <f aca="false">EN71+EN73</f>
        <v>1734.32469033902</v>
      </c>
      <c r="EO74" s="47" t="n">
        <f aca="false">EO71+EO73</f>
        <v>1734.32469033902</v>
      </c>
      <c r="EP74" s="47" t="n">
        <f aca="false">EP71+EP73</f>
        <v>1734.32469033902</v>
      </c>
      <c r="EQ74" s="47" t="n">
        <f aca="false">EQ71+EQ73</f>
        <v>1734.32469033902</v>
      </c>
      <c r="ER74" s="47" t="n">
        <f aca="false">ER71+ER73</f>
        <v>1734.32469033902</v>
      </c>
      <c r="ES74" s="47" t="n">
        <f aca="false">ES71+ES73</f>
        <v>1734.32469033902</v>
      </c>
      <c r="ET74" s="47" t="n">
        <f aca="false">ET71+ET73</f>
        <v>1734.32469033902</v>
      </c>
    </row>
    <row r="75" customFormat="false" ht="15" hidden="false" customHeight="false" outlineLevel="0" collapsed="false">
      <c r="A75" s="36"/>
      <c r="B75" s="36"/>
      <c r="C75" s="36" t="s">
        <v>501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X75" s="36"/>
      <c r="AY75" s="36"/>
      <c r="AZ75" s="36"/>
      <c r="BA75" s="36"/>
      <c r="BB75" s="36"/>
      <c r="BC75" s="36"/>
      <c r="BD75" s="36"/>
      <c r="BE75" s="36"/>
      <c r="BF75" s="36"/>
      <c r="BG75" s="36"/>
      <c r="BH75" s="36"/>
      <c r="BI75" s="36"/>
      <c r="BJ75" s="36"/>
      <c r="BK75" s="36"/>
      <c r="BL75" s="36"/>
      <c r="BM75" s="36"/>
      <c r="BN75" s="36"/>
      <c r="BO75" s="36"/>
      <c r="BP75" s="36"/>
      <c r="BQ75" s="36"/>
      <c r="BR75" s="36"/>
      <c r="BS75" s="36"/>
      <c r="BT75" s="36"/>
      <c r="BU75" s="36"/>
      <c r="BV75" s="36"/>
      <c r="BW75" s="36"/>
      <c r="BX75" s="36"/>
      <c r="BY75" s="36"/>
      <c r="BZ75" s="36"/>
      <c r="CA75" s="36"/>
      <c r="CB75" s="36"/>
      <c r="CC75" s="36"/>
      <c r="CD75" s="36"/>
      <c r="CE75" s="36"/>
      <c r="CF75" s="36"/>
      <c r="CG75" s="36"/>
      <c r="CH75" s="36"/>
      <c r="CI75" s="36"/>
      <c r="CJ75" s="36"/>
      <c r="CK75" s="36"/>
      <c r="CL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B75" s="36"/>
      <c r="DC75" s="36"/>
      <c r="DD75" s="36"/>
      <c r="DE75" s="36"/>
      <c r="DF75" s="36"/>
      <c r="DG75" s="36"/>
      <c r="DH75" s="36"/>
      <c r="DI75" s="36"/>
      <c r="DJ75" s="36"/>
      <c r="DK75" s="36"/>
      <c r="DL75" s="36"/>
      <c r="DM75" s="36"/>
      <c r="DN75" s="36"/>
      <c r="DO75" s="36"/>
      <c r="DP75" s="36"/>
      <c r="DQ75" s="36"/>
      <c r="DR75" s="36"/>
      <c r="DS75" s="36"/>
      <c r="DT75" s="36"/>
      <c r="DU75" s="36"/>
      <c r="DV75" s="36"/>
      <c r="DW75" s="36"/>
      <c r="DX75" s="36"/>
      <c r="DY75" s="36"/>
      <c r="DZ75" s="36"/>
      <c r="EA75" s="36"/>
      <c r="EB75" s="36"/>
      <c r="EC75" s="36"/>
      <c r="ED75" s="36"/>
      <c r="EE75" s="36"/>
      <c r="EF75" s="36"/>
      <c r="EG75" s="36"/>
      <c r="EH75" s="36"/>
      <c r="EI75" s="36"/>
      <c r="EJ75" s="36"/>
      <c r="EK75" s="36"/>
      <c r="EL75" s="36"/>
      <c r="EM75" s="36"/>
      <c r="EN75" s="36"/>
      <c r="EO75" s="36"/>
      <c r="EP75" s="36"/>
      <c r="EQ75" s="36"/>
      <c r="ER75" s="36"/>
      <c r="ES75" s="36"/>
      <c r="ET75" s="36"/>
    </row>
    <row r="76" customFormat="false" ht="15" hidden="false" customHeight="false" outlineLevel="0" collapsed="false">
      <c r="C76" s="1" t="s">
        <v>493</v>
      </c>
      <c r="D76" s="12" t="s">
        <v>180</v>
      </c>
      <c r="J76" s="58" t="n">
        <f aca="false">SUMPRODUCT(Devex_Keur*Devex_Date*(Devex_Date&gt;=J$3)*(Devex_Date&lt;=J$4))-J56*$F56</f>
        <v>0</v>
      </c>
      <c r="K76" s="58" t="n">
        <f aca="false">SUMPRODUCT(Devex_Keur*Devex_Date*(Devex_Date&gt;=K$3)*(Devex_Date&lt;=K$4))-K56*$F56</f>
        <v>8264787.28767123</v>
      </c>
      <c r="L76" s="58" t="n">
        <f aca="false">SUMPRODUCT(Devex_Keur*Devex_Date*(Devex_Date&gt;=L$3)*(Devex_Date&lt;=L$4))-L56*$F56</f>
        <v>27328011.4239726</v>
      </c>
      <c r="M76" s="58" t="n">
        <f aca="false">SUMPRODUCT(Devex_Keur*Devex_Date*(Devex_Date&gt;=M$3)*(Devex_Date&lt;=M$4))-M56*$F56</f>
        <v>2041249.31506849</v>
      </c>
      <c r="N76" s="58" t="n">
        <f aca="false">SUMPRODUCT(Devex_Keur*Devex_Date*(Devex_Date&gt;=N$3)*(Devex_Date&lt;=N$4))-N56*$F56</f>
        <v>2042564.38356164</v>
      </c>
      <c r="O76" s="58" t="n">
        <f aca="false">SUMPRODUCT(Devex_Keur*Devex_Date*(Devex_Date&gt;=O$3)*(Devex_Date&lt;=O$4))-O56*$F56</f>
        <v>8617904.08767123</v>
      </c>
      <c r="P76" s="58" t="n">
        <f aca="false">SUMPRODUCT(Devex_Keur*Devex_Date*(Devex_Date&gt;=P$3)*(Devex_Date&lt;=P$4))-P56*$F56</f>
        <v>60359659.8456807</v>
      </c>
      <c r="Q76" s="58" t="n">
        <f aca="false">SUMPRODUCT(Devex_Keur*Devex_Date*(Devex_Date&gt;=Q$3)*(Devex_Date&lt;=Q$4))-Q56*$F56</f>
        <v>216330.547945205</v>
      </c>
      <c r="R76" s="58" t="n">
        <f aca="false">SUMPRODUCT(Devex_Keur*Devex_Date*(Devex_Date&gt;=R$3)*(Devex_Date&lt;=R$4))-R56*$F56</f>
        <v>7708362.7728407</v>
      </c>
      <c r="S76" s="58" t="n">
        <f aca="false">SUMPRODUCT(Devex_Keur*Devex_Date*(Devex_Date&gt;=S$3)*(Devex_Date&lt;=S$4))-S56*$F56</f>
        <v>14945351.6140951</v>
      </c>
      <c r="T76" s="58" t="n">
        <f aca="false">SUMPRODUCT(Devex_Keur*Devex_Date*(Devex_Date&gt;=T$3)*(Devex_Date&lt;=T$4))-T56*$F56</f>
        <v>14376030.6849315</v>
      </c>
      <c r="U76" s="58" t="n">
        <f aca="false">SUMPRODUCT(Devex_Keur*Devex_Date*(Devex_Date&gt;=U$3)*(Devex_Date&lt;=U$4))-U56*$F56</f>
        <v>0</v>
      </c>
      <c r="V76" s="58" t="n">
        <f aca="false">SUMPRODUCT(Devex_Keur*Devex_Date*(Devex_Date&gt;=V$3)*(Devex_Date&lt;=V$4))-V56*$F56</f>
        <v>0</v>
      </c>
      <c r="W76" s="58" t="n">
        <f aca="false">SUMPRODUCT(Devex_Keur*Devex_Date*(Devex_Date&gt;=W$3)*(Devex_Date&lt;=W$4))-W56*$F56</f>
        <v>0</v>
      </c>
      <c r="X76" s="58" t="n">
        <f aca="false">SUMPRODUCT(Devex_Keur*Devex_Date*(Devex_Date&gt;=X$3)*(Devex_Date&lt;=X$4))-X56*$F56</f>
        <v>0</v>
      </c>
      <c r="Y76" s="58" t="n">
        <f aca="false">SUMPRODUCT(Devex_Keur*Devex_Date*(Devex_Date&gt;=Y$3)*(Devex_Date&lt;=Y$4))-Y56*$F56</f>
        <v>0</v>
      </c>
      <c r="Z76" s="58" t="n">
        <f aca="false">SUMPRODUCT(Devex_Keur*Devex_Date*(Devex_Date&gt;=Z$3)*(Devex_Date&lt;=Z$4))-Z56*$F56</f>
        <v>0</v>
      </c>
      <c r="AA76" s="58" t="n">
        <f aca="false">SUMPRODUCT(Devex_Keur*Devex_Date*(Devex_Date&gt;=AA$3)*(Devex_Date&lt;=AA$4))-AA56*$F56</f>
        <v>0</v>
      </c>
      <c r="AB76" s="58" t="n">
        <f aca="false">SUMPRODUCT(Devex_Keur*Devex_Date*(Devex_Date&gt;=AB$3)*(Devex_Date&lt;=AB$4))-AB56*$F56</f>
        <v>0</v>
      </c>
      <c r="AC76" s="58" t="n">
        <f aca="false">SUMPRODUCT(Devex_Keur*Devex_Date*(Devex_Date&gt;=AC$3)*(Devex_Date&lt;=AC$4))-AC56*$F56</f>
        <v>0</v>
      </c>
      <c r="AD76" s="58" t="n">
        <f aca="false">SUMPRODUCT(Devex_Keur*Devex_Date*(Devex_Date&gt;=AD$3)*(Devex_Date&lt;=AD$4))-AD56*$F56</f>
        <v>0</v>
      </c>
      <c r="AE76" s="58" t="n">
        <f aca="false">SUMPRODUCT(Devex_Keur*Devex_Date*(Devex_Date&gt;=AE$3)*(Devex_Date&lt;=AE$4))-AE56*$F56</f>
        <v>0</v>
      </c>
      <c r="AF76" s="58" t="n">
        <f aca="false">SUMPRODUCT(Devex_Keur*Devex_Date*(Devex_Date&gt;=AF$3)*(Devex_Date&lt;=AF$4))-AF56*$F56</f>
        <v>0</v>
      </c>
      <c r="AG76" s="58" t="n">
        <f aca="false">SUMPRODUCT(Devex_Keur*Devex_Date*(Devex_Date&gt;=AG$3)*(Devex_Date&lt;=AG$4))-AG56*$F56</f>
        <v>0</v>
      </c>
      <c r="AH76" s="58" t="n">
        <f aca="false">SUMPRODUCT(Devex_Keur*Devex_Date*(Devex_Date&gt;=AH$3)*(Devex_Date&lt;=AH$4))-AH56*$F56</f>
        <v>0</v>
      </c>
      <c r="AI76" s="58" t="n">
        <f aca="false">SUMPRODUCT(Devex_Keur*Devex_Date*(Devex_Date&gt;=AI$3)*(Devex_Date&lt;=AI$4))-AI56*$F56</f>
        <v>0</v>
      </c>
      <c r="AJ76" s="58" t="n">
        <f aca="false">SUMPRODUCT(Devex_Keur*Devex_Date*(Devex_Date&gt;=AJ$3)*(Devex_Date&lt;=AJ$4))-AJ56*$F56</f>
        <v>0</v>
      </c>
      <c r="AK76" s="58" t="n">
        <f aca="false">SUMPRODUCT(Devex_Keur*Devex_Date*(Devex_Date&gt;=AK$3)*(Devex_Date&lt;=AK$4))-AK56*$F56</f>
        <v>0</v>
      </c>
      <c r="AL76" s="58" t="n">
        <f aca="false">SUMPRODUCT(Devex_Keur*Devex_Date*(Devex_Date&gt;=AL$3)*(Devex_Date&lt;=AL$4))-AL56*$F56</f>
        <v>0</v>
      </c>
      <c r="AM76" s="58" t="n">
        <f aca="false">SUMPRODUCT(Devex_Keur*Devex_Date*(Devex_Date&gt;=AM$3)*(Devex_Date&lt;=AM$4))-AM56*$F56</f>
        <v>0</v>
      </c>
      <c r="AN76" s="58" t="n">
        <f aca="false">SUMPRODUCT(Devex_Keur*Devex_Date*(Devex_Date&gt;=AN$3)*(Devex_Date&lt;=AN$4))-AN56*$F56</f>
        <v>0</v>
      </c>
      <c r="AO76" s="58" t="n">
        <f aca="false">SUMPRODUCT(Devex_Keur*Devex_Date*(Devex_Date&gt;=AO$3)*(Devex_Date&lt;=AO$4))-AO56*$F56</f>
        <v>0</v>
      </c>
      <c r="AP76" s="58" t="n">
        <f aca="false">SUMPRODUCT(Devex_Keur*Devex_Date*(Devex_Date&gt;=AP$3)*(Devex_Date&lt;=AP$4))-AP56*$F56</f>
        <v>0</v>
      </c>
      <c r="AQ76" s="58" t="n">
        <f aca="false">SUMPRODUCT(Devex_Keur*Devex_Date*(Devex_Date&gt;=AQ$3)*(Devex_Date&lt;=AQ$4))-AQ56*$F56</f>
        <v>0</v>
      </c>
      <c r="AR76" s="58" t="n">
        <f aca="false">SUMPRODUCT(Devex_Keur*Devex_Date*(Devex_Date&gt;=AR$3)*(Devex_Date&lt;=AR$4))-AR56*$F56</f>
        <v>0</v>
      </c>
      <c r="AS76" s="58" t="n">
        <f aca="false">SUMPRODUCT(Devex_Keur*Devex_Date*(Devex_Date&gt;=AS$3)*(Devex_Date&lt;=AS$4))-AS56*$F56</f>
        <v>0</v>
      </c>
      <c r="AT76" s="58" t="n">
        <f aca="false">SUMPRODUCT(Devex_Keur*Devex_Date*(Devex_Date&gt;=AT$3)*(Devex_Date&lt;=AT$4))-AT56*$F56</f>
        <v>0</v>
      </c>
      <c r="AU76" s="58" t="n">
        <f aca="false">SUMPRODUCT(Devex_Keur*Devex_Date*(Devex_Date&gt;=AU$3)*(Devex_Date&lt;=AU$4))-AU56*$F56</f>
        <v>0</v>
      </c>
      <c r="AV76" s="58" t="n">
        <f aca="false">SUMPRODUCT(Devex_Keur*Devex_Date*(Devex_Date&gt;=AV$3)*(Devex_Date&lt;=AV$4))-AV56*$F56</f>
        <v>0</v>
      </c>
      <c r="AW76" s="58" t="n">
        <f aca="false">SUMPRODUCT(Devex_Keur*Devex_Date*(Devex_Date&gt;=AW$3)*(Devex_Date&lt;=AW$4))-AW56*$F56</f>
        <v>0</v>
      </c>
      <c r="AX76" s="58" t="n">
        <f aca="false">SUMPRODUCT(Devex_Keur*Devex_Date*(Devex_Date&gt;=AX$3)*(Devex_Date&lt;=AX$4))-AX56*$F56</f>
        <v>0</v>
      </c>
      <c r="AY76" s="58" t="n">
        <f aca="false">SUMPRODUCT(Devex_Keur*Devex_Date*(Devex_Date&gt;=AY$3)*(Devex_Date&lt;=AY$4))-AY56*$F56</f>
        <v>0</v>
      </c>
      <c r="AZ76" s="58" t="n">
        <f aca="false">SUMPRODUCT(Devex_Keur*Devex_Date*(Devex_Date&gt;=AZ$3)*(Devex_Date&lt;=AZ$4))-AZ56*$F56</f>
        <v>0</v>
      </c>
      <c r="BA76" s="58" t="n">
        <f aca="false">SUMPRODUCT(Devex_Keur*Devex_Date*(Devex_Date&gt;=BA$3)*(Devex_Date&lt;=BA$4))-BA56*$F56</f>
        <v>0</v>
      </c>
      <c r="BB76" s="58" t="n">
        <f aca="false">SUMPRODUCT(Devex_Keur*Devex_Date*(Devex_Date&gt;=BB$3)*(Devex_Date&lt;=BB$4))-BB56*$F56</f>
        <v>0</v>
      </c>
      <c r="BC76" s="58" t="n">
        <f aca="false">SUMPRODUCT(Devex_Keur*Devex_Date*(Devex_Date&gt;=BC$3)*(Devex_Date&lt;=BC$4))-BC56*$F56</f>
        <v>0</v>
      </c>
      <c r="BD76" s="58" t="n">
        <f aca="false">SUMPRODUCT(Devex_Keur*Devex_Date*(Devex_Date&gt;=BD$3)*(Devex_Date&lt;=BD$4))-BD56*$F56</f>
        <v>0</v>
      </c>
      <c r="BE76" s="58" t="n">
        <f aca="false">SUMPRODUCT(Devex_Keur*Devex_Date*(Devex_Date&gt;=BE$3)*(Devex_Date&lt;=BE$4))-BE56*$F56</f>
        <v>0</v>
      </c>
      <c r="BF76" s="58" t="n">
        <f aca="false">SUMPRODUCT(Devex_Keur*Devex_Date*(Devex_Date&gt;=BF$3)*(Devex_Date&lt;=BF$4))-BF56*$F56</f>
        <v>0</v>
      </c>
      <c r="BG76" s="58" t="n">
        <f aca="false">SUMPRODUCT(Devex_Keur*Devex_Date*(Devex_Date&gt;=BG$3)*(Devex_Date&lt;=BG$4))-BG56*$F56</f>
        <v>0</v>
      </c>
      <c r="BH76" s="58" t="n">
        <f aca="false">SUMPRODUCT(Devex_Keur*Devex_Date*(Devex_Date&gt;=BH$3)*(Devex_Date&lt;=BH$4))-BH56*$F56</f>
        <v>0</v>
      </c>
      <c r="BI76" s="58" t="n">
        <f aca="false">SUMPRODUCT(Devex_Keur*Devex_Date*(Devex_Date&gt;=BI$3)*(Devex_Date&lt;=BI$4))-BI56*$F56</f>
        <v>0</v>
      </c>
      <c r="BJ76" s="58" t="n">
        <f aca="false">SUMPRODUCT(Devex_Keur*Devex_Date*(Devex_Date&gt;=BJ$3)*(Devex_Date&lt;=BJ$4))-BJ56*$F56</f>
        <v>0</v>
      </c>
      <c r="BK76" s="58" t="n">
        <f aca="false">SUMPRODUCT(Devex_Keur*Devex_Date*(Devex_Date&gt;=BK$3)*(Devex_Date&lt;=BK$4))-BK56*$F56</f>
        <v>0</v>
      </c>
      <c r="BL76" s="58" t="n">
        <f aca="false">SUMPRODUCT(Devex_Keur*Devex_Date*(Devex_Date&gt;=BL$3)*(Devex_Date&lt;=BL$4))-BL56*$F56</f>
        <v>0</v>
      </c>
      <c r="BM76" s="58" t="n">
        <f aca="false">SUMPRODUCT(Devex_Keur*Devex_Date*(Devex_Date&gt;=BM$3)*(Devex_Date&lt;=BM$4))-BM56*$F56</f>
        <v>0</v>
      </c>
      <c r="BN76" s="58" t="n">
        <f aca="false">SUMPRODUCT(Devex_Keur*Devex_Date*(Devex_Date&gt;=BN$3)*(Devex_Date&lt;=BN$4))-BN56*$F56</f>
        <v>0</v>
      </c>
      <c r="BO76" s="58" t="n">
        <f aca="false">SUMPRODUCT(Devex_Keur*Devex_Date*(Devex_Date&gt;=BO$3)*(Devex_Date&lt;=BO$4))-BO56*$F56</f>
        <v>0</v>
      </c>
      <c r="BP76" s="58" t="n">
        <f aca="false">SUMPRODUCT(Devex_Keur*Devex_Date*(Devex_Date&gt;=BP$3)*(Devex_Date&lt;=BP$4))-BP56*$F56</f>
        <v>0</v>
      </c>
      <c r="BQ76" s="58" t="n">
        <f aca="false">SUMPRODUCT(Devex_Keur*Devex_Date*(Devex_Date&gt;=BQ$3)*(Devex_Date&lt;=BQ$4))-BQ56*$F56</f>
        <v>0</v>
      </c>
      <c r="BR76" s="58" t="n">
        <f aca="false">SUMPRODUCT(Devex_Keur*Devex_Date*(Devex_Date&gt;=BR$3)*(Devex_Date&lt;=BR$4))-BR56*$F56</f>
        <v>0</v>
      </c>
      <c r="BS76" s="58" t="n">
        <f aca="false">SUMPRODUCT(Devex_Keur*Devex_Date*(Devex_Date&gt;=BS$3)*(Devex_Date&lt;=BS$4))-BS56*$F56</f>
        <v>0</v>
      </c>
      <c r="BT76" s="58" t="n">
        <f aca="false">SUMPRODUCT(Devex_Keur*Devex_Date*(Devex_Date&gt;=BT$3)*(Devex_Date&lt;=BT$4))-BT56*$F56</f>
        <v>0</v>
      </c>
      <c r="BU76" s="58" t="n">
        <f aca="false">SUMPRODUCT(Devex_Keur*Devex_Date*(Devex_Date&gt;=BU$3)*(Devex_Date&lt;=BU$4))-BU56*$F56</f>
        <v>0</v>
      </c>
      <c r="BV76" s="58" t="n">
        <f aca="false">SUMPRODUCT(Devex_Keur*Devex_Date*(Devex_Date&gt;=BV$3)*(Devex_Date&lt;=BV$4))-BV56*$F56</f>
        <v>0</v>
      </c>
      <c r="BW76" s="58" t="n">
        <f aca="false">SUMPRODUCT(Devex_Keur*Devex_Date*(Devex_Date&gt;=BW$3)*(Devex_Date&lt;=BW$4))-BW56*$F56</f>
        <v>0</v>
      </c>
      <c r="BX76" s="58" t="n">
        <f aca="false">SUMPRODUCT(Devex_Keur*Devex_Date*(Devex_Date&gt;=BX$3)*(Devex_Date&lt;=BX$4))-BX56*$F56</f>
        <v>0</v>
      </c>
      <c r="BY76" s="58" t="n">
        <f aca="false">SUMPRODUCT(Devex_Keur*Devex_Date*(Devex_Date&gt;=BY$3)*(Devex_Date&lt;=BY$4))-BY56*$F56</f>
        <v>0</v>
      </c>
      <c r="BZ76" s="58" t="n">
        <f aca="false">SUMPRODUCT(Devex_Keur*Devex_Date*(Devex_Date&gt;=BZ$3)*(Devex_Date&lt;=BZ$4))-BZ56*$F56</f>
        <v>0</v>
      </c>
      <c r="CA76" s="58" t="n">
        <f aca="false">SUMPRODUCT(Devex_Keur*Devex_Date*(Devex_Date&gt;=CA$3)*(Devex_Date&lt;=CA$4))-CA56*$F56</f>
        <v>0</v>
      </c>
      <c r="CB76" s="58" t="n">
        <f aca="false">SUMPRODUCT(Devex_Keur*Devex_Date*(Devex_Date&gt;=CB$3)*(Devex_Date&lt;=CB$4))-CB56*$F56</f>
        <v>0</v>
      </c>
      <c r="CC76" s="58" t="n">
        <f aca="false">SUMPRODUCT(Devex_Keur*Devex_Date*(Devex_Date&gt;=CC$3)*(Devex_Date&lt;=CC$4))-CC56*$F56</f>
        <v>0</v>
      </c>
      <c r="CD76" s="58" t="n">
        <f aca="false">SUMPRODUCT(Devex_Keur*Devex_Date*(Devex_Date&gt;=CD$3)*(Devex_Date&lt;=CD$4))-CD56*$F56</f>
        <v>0</v>
      </c>
      <c r="CE76" s="58" t="n">
        <f aca="false">SUMPRODUCT(Devex_Keur*Devex_Date*(Devex_Date&gt;=CE$3)*(Devex_Date&lt;=CE$4))-CE56*$F56</f>
        <v>0</v>
      </c>
      <c r="CF76" s="58" t="n">
        <f aca="false">SUMPRODUCT(Devex_Keur*Devex_Date*(Devex_Date&gt;=CF$3)*(Devex_Date&lt;=CF$4))-CF56*$F56</f>
        <v>0</v>
      </c>
      <c r="CG76" s="58" t="n">
        <f aca="false">SUMPRODUCT(Devex_Keur*Devex_Date*(Devex_Date&gt;=CG$3)*(Devex_Date&lt;=CG$4))-CG56*$F56</f>
        <v>0</v>
      </c>
      <c r="CH76" s="58" t="n">
        <f aca="false">SUMPRODUCT(Devex_Keur*Devex_Date*(Devex_Date&gt;=CH$3)*(Devex_Date&lt;=CH$4))-CH56*$F56</f>
        <v>0</v>
      </c>
      <c r="CI76" s="58" t="n">
        <f aca="false">SUMPRODUCT(Devex_Keur*Devex_Date*(Devex_Date&gt;=CI$3)*(Devex_Date&lt;=CI$4))-CI56*$F56</f>
        <v>0</v>
      </c>
      <c r="CJ76" s="58" t="n">
        <f aca="false">SUMPRODUCT(Devex_Keur*Devex_Date*(Devex_Date&gt;=CJ$3)*(Devex_Date&lt;=CJ$4))-CJ56*$F56</f>
        <v>0</v>
      </c>
      <c r="CK76" s="58" t="n">
        <f aca="false">SUMPRODUCT(Devex_Keur*Devex_Date*(Devex_Date&gt;=CK$3)*(Devex_Date&lt;=CK$4))-CK56*$F56</f>
        <v>0</v>
      </c>
      <c r="CL76" s="58" t="n">
        <f aca="false">SUMPRODUCT(Devex_Keur*Devex_Date*(Devex_Date&gt;=CL$3)*(Devex_Date&lt;=CL$4))-CL56*$F56</f>
        <v>0</v>
      </c>
      <c r="CM76" s="58" t="n">
        <f aca="false">SUMPRODUCT(Devex_Keur*Devex_Date*(Devex_Date&gt;=CM$3)*(Devex_Date&lt;=CM$4))-CM56*$F56</f>
        <v>0</v>
      </c>
      <c r="CN76" s="58" t="n">
        <f aca="false">SUMPRODUCT(Devex_Keur*Devex_Date*(Devex_Date&gt;=CN$3)*(Devex_Date&lt;=CN$4))-CN56*$F56</f>
        <v>0</v>
      </c>
      <c r="CO76" s="58" t="n">
        <f aca="false">SUMPRODUCT(Devex_Keur*Devex_Date*(Devex_Date&gt;=CO$3)*(Devex_Date&lt;=CO$4))-CO56*$F56</f>
        <v>0</v>
      </c>
      <c r="CP76" s="58" t="n">
        <f aca="false">SUMPRODUCT(Devex_Keur*Devex_Date*(Devex_Date&gt;=CP$3)*(Devex_Date&lt;=CP$4))-CP56*$F56</f>
        <v>0</v>
      </c>
      <c r="CQ76" s="58" t="n">
        <f aca="false">SUMPRODUCT(Devex_Keur*Devex_Date*(Devex_Date&gt;=CQ$3)*(Devex_Date&lt;=CQ$4))-CQ56*$F56</f>
        <v>0</v>
      </c>
      <c r="CR76" s="58" t="n">
        <f aca="false">SUMPRODUCT(Devex_Keur*Devex_Date*(Devex_Date&gt;=CR$3)*(Devex_Date&lt;=CR$4))-CR56*$F56</f>
        <v>0</v>
      </c>
      <c r="CS76" s="58" t="n">
        <f aca="false">SUMPRODUCT(Devex_Keur*Devex_Date*(Devex_Date&gt;=CS$3)*(Devex_Date&lt;=CS$4))-CS56*$F56</f>
        <v>0</v>
      </c>
      <c r="CT76" s="58" t="n">
        <f aca="false">SUMPRODUCT(Devex_Keur*Devex_Date*(Devex_Date&gt;=CT$3)*(Devex_Date&lt;=CT$4))-CT56*$F56</f>
        <v>0</v>
      </c>
      <c r="CU76" s="58" t="n">
        <f aca="false">SUMPRODUCT(Devex_Keur*Devex_Date*(Devex_Date&gt;=CU$3)*(Devex_Date&lt;=CU$4))-CU56*$F56</f>
        <v>0</v>
      </c>
      <c r="CV76" s="58" t="n">
        <f aca="false">SUMPRODUCT(Devex_Keur*Devex_Date*(Devex_Date&gt;=CV$3)*(Devex_Date&lt;=CV$4))-CV56*$F56</f>
        <v>0</v>
      </c>
      <c r="CW76" s="58" t="n">
        <f aca="false">SUMPRODUCT(Devex_Keur*Devex_Date*(Devex_Date&gt;=CW$3)*(Devex_Date&lt;=CW$4))-CW56*$F56</f>
        <v>0</v>
      </c>
      <c r="CX76" s="58" t="n">
        <f aca="false">SUMPRODUCT(Devex_Keur*Devex_Date*(Devex_Date&gt;=CX$3)*(Devex_Date&lt;=CX$4))-CX56*$F56</f>
        <v>0</v>
      </c>
      <c r="CY76" s="58" t="n">
        <f aca="false">SUMPRODUCT(Devex_Keur*Devex_Date*(Devex_Date&gt;=CY$3)*(Devex_Date&lt;=CY$4))-CY56*$F56</f>
        <v>0</v>
      </c>
      <c r="CZ76" s="58" t="n">
        <f aca="false">SUMPRODUCT(Devex_Keur*Devex_Date*(Devex_Date&gt;=CZ$3)*(Devex_Date&lt;=CZ$4))-CZ56*$F56</f>
        <v>0</v>
      </c>
      <c r="DA76" s="58" t="n">
        <f aca="false">SUMPRODUCT(Devex_Keur*Devex_Date*(Devex_Date&gt;=DA$3)*(Devex_Date&lt;=DA$4))-DA56*$F56</f>
        <v>0</v>
      </c>
      <c r="DB76" s="58" t="n">
        <f aca="false">SUMPRODUCT(Devex_Keur*Devex_Date*(Devex_Date&gt;=DB$3)*(Devex_Date&lt;=DB$4))-DB56*$F56</f>
        <v>0</v>
      </c>
      <c r="DC76" s="58" t="n">
        <f aca="false">SUMPRODUCT(Devex_Keur*Devex_Date*(Devex_Date&gt;=DC$3)*(Devex_Date&lt;=DC$4))-DC56*$F56</f>
        <v>0</v>
      </c>
      <c r="DD76" s="58" t="n">
        <f aca="false">SUMPRODUCT(Devex_Keur*Devex_Date*(Devex_Date&gt;=DD$3)*(Devex_Date&lt;=DD$4))-DD56*$F56</f>
        <v>0</v>
      </c>
      <c r="DE76" s="58" t="n">
        <f aca="false">SUMPRODUCT(Devex_Keur*Devex_Date*(Devex_Date&gt;=DE$3)*(Devex_Date&lt;=DE$4))-DE56*$F56</f>
        <v>0</v>
      </c>
      <c r="DF76" s="58" t="n">
        <f aca="false">SUMPRODUCT(Devex_Keur*Devex_Date*(Devex_Date&gt;=DF$3)*(Devex_Date&lt;=DF$4))-DF56*$F56</f>
        <v>0</v>
      </c>
      <c r="DG76" s="58" t="n">
        <f aca="false">SUMPRODUCT(Devex_Keur*Devex_Date*(Devex_Date&gt;=DG$3)*(Devex_Date&lt;=DG$4))-DG56*$F56</f>
        <v>0</v>
      </c>
      <c r="DH76" s="58" t="n">
        <f aca="false">SUMPRODUCT(Devex_Keur*Devex_Date*(Devex_Date&gt;=DH$3)*(Devex_Date&lt;=DH$4))-DH56*$F56</f>
        <v>0</v>
      </c>
      <c r="DI76" s="58" t="n">
        <f aca="false">SUMPRODUCT(Devex_Keur*Devex_Date*(Devex_Date&gt;=DI$3)*(Devex_Date&lt;=DI$4))-DI56*$F56</f>
        <v>0</v>
      </c>
      <c r="DJ76" s="58" t="n">
        <f aca="false">SUMPRODUCT(Devex_Keur*Devex_Date*(Devex_Date&gt;=DJ$3)*(Devex_Date&lt;=DJ$4))-DJ56*$F56</f>
        <v>0</v>
      </c>
      <c r="DK76" s="58" t="n">
        <f aca="false">SUMPRODUCT(Devex_Keur*Devex_Date*(Devex_Date&gt;=DK$3)*(Devex_Date&lt;=DK$4))-DK56*$F56</f>
        <v>0</v>
      </c>
      <c r="DL76" s="58" t="n">
        <f aca="false">SUMPRODUCT(Devex_Keur*Devex_Date*(Devex_Date&gt;=DL$3)*(Devex_Date&lt;=DL$4))-DL56*$F56</f>
        <v>0</v>
      </c>
      <c r="DM76" s="58" t="n">
        <f aca="false">SUMPRODUCT(Devex_Keur*Devex_Date*(Devex_Date&gt;=DM$3)*(Devex_Date&lt;=DM$4))-DM56*$F56</f>
        <v>0</v>
      </c>
      <c r="DN76" s="58" t="n">
        <f aca="false">SUMPRODUCT(Devex_Keur*Devex_Date*(Devex_Date&gt;=DN$3)*(Devex_Date&lt;=DN$4))-DN56*$F56</f>
        <v>0</v>
      </c>
      <c r="DO76" s="58" t="n">
        <f aca="false">SUMPRODUCT(Devex_Keur*Devex_Date*(Devex_Date&gt;=DO$3)*(Devex_Date&lt;=DO$4))-DO56*$F56</f>
        <v>0</v>
      </c>
      <c r="DP76" s="58" t="n">
        <f aca="false">SUMPRODUCT(Devex_Keur*Devex_Date*(Devex_Date&gt;=DP$3)*(Devex_Date&lt;=DP$4))-DP56*$F56</f>
        <v>0</v>
      </c>
      <c r="DQ76" s="58" t="n">
        <f aca="false">SUMPRODUCT(Devex_Keur*Devex_Date*(Devex_Date&gt;=DQ$3)*(Devex_Date&lt;=DQ$4))-DQ56*$F56</f>
        <v>0</v>
      </c>
      <c r="DR76" s="58" t="n">
        <f aca="false">SUMPRODUCT(Devex_Keur*Devex_Date*(Devex_Date&gt;=DR$3)*(Devex_Date&lt;=DR$4))-DR56*$F56</f>
        <v>0</v>
      </c>
      <c r="DS76" s="58" t="n">
        <f aca="false">SUMPRODUCT(Devex_Keur*Devex_Date*(Devex_Date&gt;=DS$3)*(Devex_Date&lt;=DS$4))-DS56*$F56</f>
        <v>0</v>
      </c>
      <c r="DT76" s="58" t="n">
        <f aca="false">SUMPRODUCT(Devex_Keur*Devex_Date*(Devex_Date&gt;=DT$3)*(Devex_Date&lt;=DT$4))-DT56*$F56</f>
        <v>0</v>
      </c>
      <c r="DU76" s="58" t="n">
        <f aca="false">SUMPRODUCT(Devex_Keur*Devex_Date*(Devex_Date&gt;=DU$3)*(Devex_Date&lt;=DU$4))-DU56*$F56</f>
        <v>0</v>
      </c>
      <c r="DV76" s="58" t="n">
        <f aca="false">SUMPRODUCT(Devex_Keur*Devex_Date*(Devex_Date&gt;=DV$3)*(Devex_Date&lt;=DV$4))-DV56*$F56</f>
        <v>0</v>
      </c>
      <c r="DW76" s="58" t="n">
        <f aca="false">SUMPRODUCT(Devex_Keur*Devex_Date*(Devex_Date&gt;=DW$3)*(Devex_Date&lt;=DW$4))-DW56*$F56</f>
        <v>0</v>
      </c>
      <c r="DX76" s="58" t="n">
        <f aca="false">SUMPRODUCT(Devex_Keur*Devex_Date*(Devex_Date&gt;=DX$3)*(Devex_Date&lt;=DX$4))-DX56*$F56</f>
        <v>0</v>
      </c>
      <c r="DY76" s="58" t="n">
        <f aca="false">SUMPRODUCT(Devex_Keur*Devex_Date*(Devex_Date&gt;=DY$3)*(Devex_Date&lt;=DY$4))-DY56*$F56</f>
        <v>0</v>
      </c>
      <c r="DZ76" s="58" t="n">
        <f aca="false">SUMPRODUCT(Devex_Keur*Devex_Date*(Devex_Date&gt;=DZ$3)*(Devex_Date&lt;=DZ$4))-DZ56*$F56</f>
        <v>0</v>
      </c>
      <c r="EA76" s="58" t="n">
        <f aca="false">SUMPRODUCT(Devex_Keur*Devex_Date*(Devex_Date&gt;=EA$3)*(Devex_Date&lt;=EA$4))-EA56*$F56</f>
        <v>0</v>
      </c>
      <c r="EB76" s="58" t="n">
        <f aca="false">SUMPRODUCT(Devex_Keur*Devex_Date*(Devex_Date&gt;=EB$3)*(Devex_Date&lt;=EB$4))-EB56*$F56</f>
        <v>0</v>
      </c>
      <c r="EC76" s="58" t="n">
        <f aca="false">SUMPRODUCT(Devex_Keur*Devex_Date*(Devex_Date&gt;=EC$3)*(Devex_Date&lt;=EC$4))-EC56*$F56</f>
        <v>0</v>
      </c>
      <c r="ED76" s="58" t="n">
        <f aca="false">SUMPRODUCT(Devex_Keur*Devex_Date*(Devex_Date&gt;=ED$3)*(Devex_Date&lt;=ED$4))-ED56*$F56</f>
        <v>0</v>
      </c>
      <c r="EE76" s="58" t="n">
        <f aca="false">SUMPRODUCT(Devex_Keur*Devex_Date*(Devex_Date&gt;=EE$3)*(Devex_Date&lt;=EE$4))-EE56*$F56</f>
        <v>0</v>
      </c>
      <c r="EF76" s="58" t="n">
        <f aca="false">SUMPRODUCT(Devex_Keur*Devex_Date*(Devex_Date&gt;=EF$3)*(Devex_Date&lt;=EF$4))-EF56*$F56</f>
        <v>0</v>
      </c>
      <c r="EG76" s="58" t="n">
        <f aca="false">SUMPRODUCT(Devex_Keur*Devex_Date*(Devex_Date&gt;=EG$3)*(Devex_Date&lt;=EG$4))-EG56*$F56</f>
        <v>0</v>
      </c>
      <c r="EH76" s="58" t="n">
        <f aca="false">SUMPRODUCT(Devex_Keur*Devex_Date*(Devex_Date&gt;=EH$3)*(Devex_Date&lt;=EH$4))-EH56*$F56</f>
        <v>0</v>
      </c>
      <c r="EI76" s="58" t="n">
        <f aca="false">SUMPRODUCT(Devex_Keur*Devex_Date*(Devex_Date&gt;=EI$3)*(Devex_Date&lt;=EI$4))-EI56*$F56</f>
        <v>0</v>
      </c>
      <c r="EJ76" s="58" t="n">
        <f aca="false">SUMPRODUCT(Devex_Keur*Devex_Date*(Devex_Date&gt;=EJ$3)*(Devex_Date&lt;=EJ$4))-EJ56*$F56</f>
        <v>0</v>
      </c>
      <c r="EK76" s="58" t="n">
        <f aca="false">SUMPRODUCT(Devex_Keur*Devex_Date*(Devex_Date&gt;=EK$3)*(Devex_Date&lt;=EK$4))-EK56*$F56</f>
        <v>0</v>
      </c>
      <c r="EL76" s="58" t="n">
        <f aca="false">SUMPRODUCT(Devex_Keur*Devex_Date*(Devex_Date&gt;=EL$3)*(Devex_Date&lt;=EL$4))-EL56*$F56</f>
        <v>0</v>
      </c>
      <c r="EM76" s="58" t="n">
        <f aca="false">SUMPRODUCT(Devex_Keur*Devex_Date*(Devex_Date&gt;=EM$3)*(Devex_Date&lt;=EM$4))-EM56*$F56</f>
        <v>0</v>
      </c>
      <c r="EN76" s="58" t="n">
        <f aca="false">SUMPRODUCT(Devex_Keur*Devex_Date*(Devex_Date&gt;=EN$3)*(Devex_Date&lt;=EN$4))-EN56*$F56</f>
        <v>0</v>
      </c>
      <c r="EO76" s="58" t="n">
        <f aca="false">SUMPRODUCT(Devex_Keur*Devex_Date*(Devex_Date&gt;=EO$3)*(Devex_Date&lt;=EO$4))-EO56*$F56</f>
        <v>0</v>
      </c>
      <c r="EP76" s="58" t="n">
        <f aca="false">SUMPRODUCT(Devex_Keur*Devex_Date*(Devex_Date&gt;=EP$3)*(Devex_Date&lt;=EP$4))-EP56*$F56</f>
        <v>0</v>
      </c>
      <c r="EQ76" s="58" t="n">
        <f aca="false">SUMPRODUCT(Devex_Keur*Devex_Date*(Devex_Date&gt;=EQ$3)*(Devex_Date&lt;=EQ$4))-EQ56*$F56</f>
        <v>0</v>
      </c>
      <c r="ER76" s="58" t="n">
        <f aca="false">SUMPRODUCT(Devex_Keur*Devex_Date*(Devex_Date&gt;=ER$3)*(Devex_Date&lt;=ER$4))-ER56*$F56</f>
        <v>0</v>
      </c>
      <c r="ES76" s="58" t="n">
        <f aca="false">SUMPRODUCT(Devex_Keur*Devex_Date*(Devex_Date&gt;=ES$3)*(Devex_Date&lt;=ES$4))-ES56*$F56</f>
        <v>0</v>
      </c>
      <c r="ET76" s="58" t="n">
        <f aca="false">SUMPRODUCT(Devex_Keur*Devex_Date*(Devex_Date&gt;=ET$3)*(Devex_Date&lt;=ET$4))-ET56*$F56</f>
        <v>0</v>
      </c>
    </row>
    <row r="77" customFormat="false" ht="15" hidden="false" customHeight="false" outlineLevel="0" collapsed="false">
      <c r="C77" s="1" t="s">
        <v>494</v>
      </c>
      <c r="D77" s="12" t="s">
        <v>222</v>
      </c>
      <c r="J77" s="23" t="n">
        <f aca="false">I80</f>
        <v>0</v>
      </c>
      <c r="K77" s="23" t="n">
        <f aca="false">J80</f>
        <v>0</v>
      </c>
      <c r="L77" s="23" t="n">
        <f aca="false">K80</f>
        <v>187.51993995121</v>
      </c>
      <c r="M77" s="23" t="n">
        <f aca="false">L80</f>
        <v>775.964460499156</v>
      </c>
      <c r="N77" s="23" t="n">
        <f aca="false">M80</f>
        <v>819.800076937512</v>
      </c>
      <c r="O77" s="23" t="n">
        <f aca="false">N80</f>
        <v>863.635693375868</v>
      </c>
      <c r="P77" s="23" t="n">
        <f aca="false">O80</f>
        <v>1195.18381497467</v>
      </c>
      <c r="Q77" s="23" t="n">
        <f aca="false">P80</f>
        <v>2485.22560977478</v>
      </c>
      <c r="R77" s="23" t="n">
        <f aca="false">Q80</f>
        <v>2489.83519881588</v>
      </c>
      <c r="S77" s="23" t="n">
        <f aca="false">R80</f>
        <v>2653.92670879631</v>
      </c>
      <c r="T77" s="23" t="n">
        <f aca="false">S80</f>
        <v>3458.61440309663</v>
      </c>
      <c r="U77" s="23" t="n">
        <f aca="false">T80</f>
        <v>3763.27193734321</v>
      </c>
      <c r="V77" s="23" t="n">
        <f aca="false">U80</f>
        <v>3763.27193734321</v>
      </c>
      <c r="W77" s="23" t="n">
        <f aca="false">V80</f>
        <v>3763.27193734321</v>
      </c>
      <c r="X77" s="23" t="n">
        <f aca="false">W80</f>
        <v>4125.06913837992</v>
      </c>
      <c r="Y77" s="23" t="n">
        <f aca="false">X80</f>
        <v>4125.06913837992</v>
      </c>
      <c r="Z77" s="23" t="n">
        <f aca="false">Y80</f>
        <v>4125.06913837992</v>
      </c>
      <c r="AA77" s="23" t="n">
        <f aca="false">Z80</f>
        <v>4125.06913837992</v>
      </c>
      <c r="AB77" s="23" t="n">
        <f aca="false">AA80</f>
        <v>4950.0829660559</v>
      </c>
      <c r="AC77" s="23" t="n">
        <f aca="false">AB80</f>
        <v>4950.0829660559</v>
      </c>
      <c r="AD77" s="23" t="n">
        <f aca="false">AC80</f>
        <v>4950.0829660559</v>
      </c>
      <c r="AE77" s="23" t="n">
        <f aca="false">AD80</f>
        <v>4950.0829660559</v>
      </c>
      <c r="AF77" s="23" t="n">
        <f aca="false">AE80</f>
        <v>5690.56113029331</v>
      </c>
      <c r="AG77" s="23" t="n">
        <f aca="false">AF80</f>
        <v>5690.56113029331</v>
      </c>
      <c r="AH77" s="23" t="n">
        <f aca="false">AG80</f>
        <v>5690.56113029331</v>
      </c>
      <c r="AI77" s="23" t="n">
        <f aca="false">AH80</f>
        <v>5690.56113029331</v>
      </c>
      <c r="AJ77" s="23" t="n">
        <f aca="false">AI80</f>
        <v>5690.56113029331</v>
      </c>
      <c r="AK77" s="23" t="n">
        <f aca="false">AJ80</f>
        <v>5690.56113029331</v>
      </c>
      <c r="AL77" s="23" t="n">
        <f aca="false">AK80</f>
        <v>5690.56113029331</v>
      </c>
      <c r="AM77" s="23" t="n">
        <f aca="false">AL80</f>
        <v>5690.56113029331</v>
      </c>
      <c r="AN77" s="23" t="n">
        <f aca="false">AM80</f>
        <v>5690.56113029331</v>
      </c>
      <c r="AO77" s="23" t="n">
        <f aca="false">AN80</f>
        <v>5690.56113029331</v>
      </c>
      <c r="AP77" s="23" t="n">
        <f aca="false">AO80</f>
        <v>5690.56113029331</v>
      </c>
      <c r="AQ77" s="23" t="n">
        <f aca="false">AP80</f>
        <v>5690.56113029331</v>
      </c>
      <c r="AR77" s="23" t="n">
        <f aca="false">AQ80</f>
        <v>5690.56113029331</v>
      </c>
      <c r="AS77" s="23" t="n">
        <f aca="false">AR80</f>
        <v>5690.56113029331</v>
      </c>
      <c r="AT77" s="23" t="n">
        <f aca="false">AS80</f>
        <v>5690.56113029331</v>
      </c>
      <c r="AU77" s="23" t="n">
        <f aca="false">AT80</f>
        <v>5690.56113029331</v>
      </c>
      <c r="AV77" s="23" t="n">
        <f aca="false">AU80</f>
        <v>5690.56113029331</v>
      </c>
      <c r="AW77" s="23" t="n">
        <f aca="false">AV80</f>
        <v>5690.56113029331</v>
      </c>
      <c r="AX77" s="23" t="n">
        <f aca="false">AW80</f>
        <v>5690.56113029331</v>
      </c>
      <c r="AY77" s="23" t="n">
        <f aca="false">AX80</f>
        <v>5690.56113029331</v>
      </c>
      <c r="AZ77" s="23" t="n">
        <f aca="false">AY80</f>
        <v>5690.56113029331</v>
      </c>
      <c r="BA77" s="23" t="n">
        <f aca="false">AZ80</f>
        <v>5690.56113029331</v>
      </c>
      <c r="BB77" s="23" t="n">
        <f aca="false">BA80</f>
        <v>5690.56113029331</v>
      </c>
      <c r="BC77" s="23" t="n">
        <f aca="false">BB80</f>
        <v>5690.56113029331</v>
      </c>
      <c r="BD77" s="23" t="n">
        <f aca="false">BC80</f>
        <v>5690.56113029331</v>
      </c>
      <c r="BE77" s="23" t="n">
        <f aca="false">BD80</f>
        <v>5690.56113029331</v>
      </c>
      <c r="BF77" s="23" t="n">
        <f aca="false">BE80</f>
        <v>5690.56113029331</v>
      </c>
      <c r="BG77" s="23" t="n">
        <f aca="false">BF80</f>
        <v>5690.56113029331</v>
      </c>
      <c r="BH77" s="23" t="n">
        <f aca="false">BG80</f>
        <v>5690.56113029331</v>
      </c>
      <c r="BI77" s="23" t="n">
        <f aca="false">BH80</f>
        <v>5690.56113029331</v>
      </c>
      <c r="BJ77" s="23" t="n">
        <f aca="false">BI80</f>
        <v>5690.56113029331</v>
      </c>
      <c r="BK77" s="23" t="n">
        <f aca="false">BJ80</f>
        <v>5690.56113029331</v>
      </c>
      <c r="BL77" s="23" t="n">
        <f aca="false">BK80</f>
        <v>5690.56113029331</v>
      </c>
      <c r="BM77" s="23" t="n">
        <f aca="false">BL80</f>
        <v>5690.56113029331</v>
      </c>
      <c r="BN77" s="23" t="n">
        <f aca="false">BM80</f>
        <v>5690.56113029331</v>
      </c>
      <c r="BO77" s="23" t="n">
        <f aca="false">BN80</f>
        <v>5690.56113029331</v>
      </c>
      <c r="BP77" s="23" t="n">
        <f aca="false">BO80</f>
        <v>5690.56113029331</v>
      </c>
      <c r="BQ77" s="23" t="n">
        <f aca="false">BP80</f>
        <v>5690.56113029331</v>
      </c>
      <c r="BR77" s="23" t="n">
        <f aca="false">BQ80</f>
        <v>5690.56113029331</v>
      </c>
      <c r="BS77" s="23" t="n">
        <f aca="false">BR80</f>
        <v>5690.56113029331</v>
      </c>
      <c r="BT77" s="23" t="n">
        <f aca="false">BS80</f>
        <v>5690.56113029331</v>
      </c>
      <c r="BU77" s="23" t="n">
        <f aca="false">BT80</f>
        <v>5690.56113029331</v>
      </c>
      <c r="BV77" s="23" t="n">
        <f aca="false">BU80</f>
        <v>5690.56113029331</v>
      </c>
      <c r="BW77" s="23" t="n">
        <f aca="false">BV80</f>
        <v>5690.56113029331</v>
      </c>
      <c r="BX77" s="23" t="n">
        <f aca="false">BW80</f>
        <v>5690.56113029331</v>
      </c>
      <c r="BY77" s="23" t="n">
        <f aca="false">BX80</f>
        <v>5690.56113029331</v>
      </c>
      <c r="BZ77" s="23" t="n">
        <f aca="false">BY80</f>
        <v>5690.56113029331</v>
      </c>
      <c r="CA77" s="23" t="n">
        <f aca="false">BZ80</f>
        <v>5690.56113029331</v>
      </c>
      <c r="CB77" s="23" t="n">
        <f aca="false">CA80</f>
        <v>5690.56113029331</v>
      </c>
      <c r="CC77" s="23" t="n">
        <f aca="false">CB80</f>
        <v>5690.56113029331</v>
      </c>
      <c r="CD77" s="23" t="n">
        <f aca="false">CC80</f>
        <v>5690.56113029331</v>
      </c>
      <c r="CE77" s="23" t="n">
        <f aca="false">CD80</f>
        <v>5690.56113029331</v>
      </c>
      <c r="CF77" s="23" t="n">
        <f aca="false">CE80</f>
        <v>5690.56113029331</v>
      </c>
      <c r="CG77" s="23" t="n">
        <f aca="false">CF80</f>
        <v>5690.56113029331</v>
      </c>
      <c r="CH77" s="23" t="n">
        <f aca="false">CG80</f>
        <v>5690.56113029331</v>
      </c>
      <c r="CI77" s="23" t="n">
        <f aca="false">CH80</f>
        <v>5690.56113029331</v>
      </c>
      <c r="CJ77" s="23" t="n">
        <f aca="false">CI80</f>
        <v>5690.56113029331</v>
      </c>
      <c r="CK77" s="23" t="n">
        <f aca="false">CJ80</f>
        <v>5690.56113029331</v>
      </c>
      <c r="CL77" s="23" t="n">
        <f aca="false">CK80</f>
        <v>5690.56113029331</v>
      </c>
      <c r="CM77" s="23" t="n">
        <f aca="false">CL80</f>
        <v>5690.56113029331</v>
      </c>
      <c r="CN77" s="23" t="n">
        <f aca="false">CM80</f>
        <v>5690.56113029331</v>
      </c>
      <c r="CO77" s="23" t="n">
        <f aca="false">CN80</f>
        <v>5690.56113029331</v>
      </c>
      <c r="CP77" s="23" t="n">
        <f aca="false">CO80</f>
        <v>5690.56113029331</v>
      </c>
      <c r="CQ77" s="23" t="n">
        <f aca="false">CP80</f>
        <v>5690.56113029331</v>
      </c>
      <c r="CR77" s="23" t="n">
        <f aca="false">CQ80</f>
        <v>5690.56113029331</v>
      </c>
      <c r="CS77" s="23" t="n">
        <f aca="false">CR80</f>
        <v>5690.56113029331</v>
      </c>
      <c r="CT77" s="23" t="n">
        <f aca="false">CS80</f>
        <v>5690.56113029331</v>
      </c>
      <c r="CU77" s="23" t="n">
        <f aca="false">CT80</f>
        <v>5690.56113029331</v>
      </c>
      <c r="CV77" s="23" t="n">
        <f aca="false">CU80</f>
        <v>5690.56113029331</v>
      </c>
      <c r="CW77" s="23" t="n">
        <f aca="false">CV80</f>
        <v>5690.56113029331</v>
      </c>
      <c r="CX77" s="23" t="n">
        <f aca="false">CW80</f>
        <v>5690.56113029331</v>
      </c>
      <c r="CY77" s="23" t="n">
        <f aca="false">CX80</f>
        <v>5690.56113029331</v>
      </c>
      <c r="CZ77" s="23" t="n">
        <f aca="false">CY80</f>
        <v>5690.56113029331</v>
      </c>
      <c r="DA77" s="23" t="n">
        <f aca="false">CZ80</f>
        <v>5690.56113029331</v>
      </c>
      <c r="DB77" s="23" t="n">
        <f aca="false">DA80</f>
        <v>5690.56113029331</v>
      </c>
      <c r="DC77" s="23" t="n">
        <f aca="false">DB80</f>
        <v>5690.56113029331</v>
      </c>
      <c r="DD77" s="23" t="n">
        <f aca="false">DC80</f>
        <v>5690.56113029331</v>
      </c>
      <c r="DE77" s="23" t="n">
        <f aca="false">DD80</f>
        <v>5690.56113029331</v>
      </c>
      <c r="DF77" s="23" t="n">
        <f aca="false">DE80</f>
        <v>5690.56113029331</v>
      </c>
      <c r="DG77" s="23" t="n">
        <f aca="false">DF80</f>
        <v>5690.56113029331</v>
      </c>
      <c r="DH77" s="23" t="n">
        <f aca="false">DG80</f>
        <v>5690.56113029331</v>
      </c>
      <c r="DI77" s="23" t="n">
        <f aca="false">DH80</f>
        <v>5690.56113029331</v>
      </c>
      <c r="DJ77" s="23" t="n">
        <f aca="false">DI80</f>
        <v>5690.56113029331</v>
      </c>
      <c r="DK77" s="23" t="n">
        <f aca="false">DJ80</f>
        <v>5690.56113029331</v>
      </c>
      <c r="DL77" s="23" t="n">
        <f aca="false">DK80</f>
        <v>5690.56113029331</v>
      </c>
      <c r="DM77" s="23" t="n">
        <f aca="false">DL80</f>
        <v>5690.56113029331</v>
      </c>
      <c r="DN77" s="23" t="n">
        <f aca="false">DM80</f>
        <v>5690.56113029331</v>
      </c>
      <c r="DO77" s="23" t="n">
        <f aca="false">DN80</f>
        <v>5690.56113029331</v>
      </c>
      <c r="DP77" s="23" t="n">
        <f aca="false">DO80</f>
        <v>5690.56113029331</v>
      </c>
      <c r="DQ77" s="23" t="n">
        <f aca="false">DP80</f>
        <v>5690.56113029331</v>
      </c>
      <c r="DR77" s="23" t="n">
        <f aca="false">DQ80</f>
        <v>5690.56113029331</v>
      </c>
      <c r="DS77" s="23" t="n">
        <f aca="false">DR80</f>
        <v>5690.56113029331</v>
      </c>
      <c r="DT77" s="23" t="n">
        <f aca="false">DS80</f>
        <v>5690.56113029331</v>
      </c>
      <c r="DU77" s="23" t="n">
        <f aca="false">DT80</f>
        <v>5690.56113029331</v>
      </c>
      <c r="DV77" s="23" t="n">
        <f aca="false">DU80</f>
        <v>5690.56113029331</v>
      </c>
      <c r="DW77" s="23" t="n">
        <f aca="false">DV80</f>
        <v>5690.56113029331</v>
      </c>
      <c r="DX77" s="23" t="n">
        <f aca="false">DW80</f>
        <v>5690.56113029331</v>
      </c>
      <c r="DY77" s="23" t="n">
        <f aca="false">DX80</f>
        <v>5690.56113029331</v>
      </c>
      <c r="DZ77" s="23" t="n">
        <f aca="false">DY80</f>
        <v>5690.56113029331</v>
      </c>
      <c r="EA77" s="23" t="n">
        <f aca="false">DZ80</f>
        <v>5690.56113029331</v>
      </c>
      <c r="EB77" s="23" t="n">
        <f aca="false">EA80</f>
        <v>5690.56113029331</v>
      </c>
      <c r="EC77" s="23" t="n">
        <f aca="false">EB80</f>
        <v>5690.56113029331</v>
      </c>
      <c r="ED77" s="23" t="n">
        <f aca="false">EC80</f>
        <v>5690.56113029331</v>
      </c>
      <c r="EE77" s="23" t="n">
        <f aca="false">ED80</f>
        <v>5690.56113029331</v>
      </c>
      <c r="EF77" s="23" t="n">
        <f aca="false">EE80</f>
        <v>5690.56113029331</v>
      </c>
      <c r="EG77" s="23" t="n">
        <f aca="false">EF80</f>
        <v>5690.56113029331</v>
      </c>
      <c r="EH77" s="23" t="n">
        <f aca="false">EG80</f>
        <v>5690.56113029331</v>
      </c>
      <c r="EI77" s="23" t="n">
        <f aca="false">EH80</f>
        <v>5690.56113029331</v>
      </c>
      <c r="EJ77" s="23" t="n">
        <f aca="false">EI80</f>
        <v>5690.56113029331</v>
      </c>
      <c r="EK77" s="23" t="n">
        <f aca="false">EJ80</f>
        <v>5690.56113029331</v>
      </c>
      <c r="EL77" s="23" t="n">
        <f aca="false">EK80</f>
        <v>5690.56113029331</v>
      </c>
      <c r="EM77" s="23" t="n">
        <f aca="false">EL80</f>
        <v>5690.56113029331</v>
      </c>
      <c r="EN77" s="23" t="n">
        <f aca="false">EM80</f>
        <v>5690.56113029331</v>
      </c>
      <c r="EO77" s="23" t="n">
        <f aca="false">EN80</f>
        <v>5690.56113029331</v>
      </c>
      <c r="EP77" s="23" t="n">
        <f aca="false">EO80</f>
        <v>5690.56113029331</v>
      </c>
      <c r="EQ77" s="23" t="n">
        <f aca="false">EP80</f>
        <v>5690.56113029331</v>
      </c>
      <c r="ER77" s="23" t="n">
        <f aca="false">EQ80</f>
        <v>5690.56113029331</v>
      </c>
      <c r="ES77" s="23" t="n">
        <f aca="false">ER80</f>
        <v>5690.56113029331</v>
      </c>
      <c r="ET77" s="23" t="n">
        <f aca="false">ES80</f>
        <v>5690.56113029331</v>
      </c>
    </row>
    <row r="78" customFormat="false" ht="15" hidden="false" customHeight="false" outlineLevel="0" collapsed="false">
      <c r="C78" s="1" t="s">
        <v>502</v>
      </c>
      <c r="D78" s="12" t="s">
        <v>222</v>
      </c>
      <c r="E78" s="47" t="n">
        <f aca="false">MAX(SUMIF($J$4:$ET$4,"&lt;="&amp;$E12,$J78:$ET78),(In_Min_Multiple-1)*$E57)</f>
        <v>3119.62451197093</v>
      </c>
      <c r="F78" s="47" t="n">
        <f aca="false">MAX(SUMIF($J$4:$ET$4,"&lt;="&amp;In_COD,$J78:$ET78),(In_Min_Multiple-1)*$F57)</f>
        <v>3119.62451197093</v>
      </c>
      <c r="I78" s="47" t="n">
        <f aca="false">SUM(J78:ET78)</f>
        <v>2570.93661832238</v>
      </c>
      <c r="J78" s="47" t="n">
        <f aca="false">In_AtRisk_Rate/Days_In_Year*(1-J19)*(J77*J$5-(J$4+1)*J57-J76)*(J$4&lt;=In_COD)</f>
        <v>0</v>
      </c>
      <c r="K78" s="47" t="n">
        <f aca="false">In_AtRisk_Rate/Days_In_Year*(1-K19)*(K77*K$5-(K$4+1)*K57-K76)*(K$4&lt;=In_COD)</f>
        <v>8.99939200600482</v>
      </c>
      <c r="L78" s="47" t="n">
        <f aca="false">In_AtRisk_Rate/Days_In_Year*(1-L19)*(L77*L$5-(L$4+1)*L57-L76)*(L$4&lt;=In_COD)</f>
        <v>21.145094055017</v>
      </c>
      <c r="M78" s="47" t="n">
        <f aca="false">In_AtRisk_Rate/Days_In_Year*(1-M19)*(M77*M$5-(M$4+1)*M57-M76)*(M$4&lt;=In_COD)</f>
        <v>38.7639850710894</v>
      </c>
      <c r="N78" s="47" t="n">
        <f aca="false">In_AtRisk_Rate/Days_In_Year*(1-N19)*(N77*N$5-(N$4+1)*N57-N76)*(N$4&lt;=In_COD)</f>
        <v>42.8881765187639</v>
      </c>
      <c r="O78" s="47" t="n">
        <f aca="false">In_AtRisk_Rate/Days_In_Year*(1-O19)*(O77*O$5-(O$4+1)*O57-O76)*(O$4&lt;=In_COD)</f>
        <v>44.3892221183136</v>
      </c>
      <c r="P78" s="47" t="n">
        <f aca="false">In_AtRisk_Rate/Days_In_Year*(1-P19)*(P77*P$5-(P$4+1)*P57-P76)*(P$4&lt;=In_COD)</f>
        <v>98.5313518347397</v>
      </c>
      <c r="Q78" s="47" t="n">
        <f aca="false">In_AtRisk_Rate/Days_In_Year*(1-Q19)*(Q77*Q$5-(Q$4+1)*Q57-Q76)*(Q$4&lt;=In_COD)</f>
        <v>123.932079007197</v>
      </c>
      <c r="R78" s="47" t="n">
        <f aca="false">In_AtRisk_Rate/Days_In_Year*(1-R19)*(R77*R$5-(R$4+1)*R57-R76)*(R$4&lt;=In_COD)</f>
        <v>130.100550849349</v>
      </c>
      <c r="S78" s="47" t="n">
        <f aca="false">In_AtRisk_Rate/Days_In_Year*(1-S19)*(S77*S$5-(S$4+1)*S57-S76)*(S$4&lt;=In_COD)</f>
        <v>134.897573911809</v>
      </c>
      <c r="T78" s="47" t="n">
        <f aca="false">In_AtRisk_Rate/Days_In_Year*(1-T19)*(T77*T$5-(T$4+1)*T57-T76)*(T$4&lt;=In_COD)</f>
        <v>174.149120873296</v>
      </c>
      <c r="U78" s="47" t="n">
        <f aca="false">In_AtRisk_Rate/Days_In_Year*(1-U19)*(U77*U$5-(U$4+1)*U57-U76)*(U$4&lt;=In_COD)</f>
        <v>187.648080163415</v>
      </c>
      <c r="V78" s="47" t="n">
        <f aca="false">In_AtRisk_Rate/Days_In_Year*(1-V19)*(V77*V$5-(V$4+1)*V57-V76)*(V$4&lt;=In_COD)</f>
        <v>0</v>
      </c>
      <c r="W78" s="47" t="n">
        <f aca="false">In_AtRisk_Rate/Days_In_Year*(1-W19)*(W77*W$5-(W$4+1)*W57-W76)*(W$4&lt;=In_COD)</f>
        <v>0</v>
      </c>
      <c r="X78" s="47" t="n">
        <f aca="false">In_AtRisk_Rate/Days_In_Year*(1-X19)*(X77*X$5-(X$4+1)*X57-X76)*(X$4&lt;=In_COD)</f>
        <v>203.428067098188</v>
      </c>
      <c r="Y78" s="47" t="n">
        <f aca="false">In_AtRisk_Rate/Days_In_Year*(1-Y19)*(Y77*Y$5-(Y$4+1)*Y57-Y76)*(Y$4&lt;=In_COD)</f>
        <v>205.688378954834</v>
      </c>
      <c r="Z78" s="47" t="n">
        <f aca="false">In_AtRisk_Rate/Days_In_Year*(1-Z19)*(Z77*Z$5-(Z$4+1)*Z57-Z76)*(Z$4&lt;=In_COD)</f>
        <v>207.948690811481</v>
      </c>
      <c r="AA78" s="47" t="n">
        <f aca="false">In_AtRisk_Rate/Days_In_Year*(1-AA19)*(AA77*AA$5-(AA$4+1)*AA57-AA76)*(AA$4&lt;=In_COD)</f>
        <v>207.948690811481</v>
      </c>
      <c r="AB78" s="47" t="n">
        <f aca="false">In_AtRisk_Rate/Days_In_Year*(1-AB19)*(AB77*AB$5-(AB$4+1)*AB57-AB76)*(AB$4&lt;=In_COD)</f>
        <v>244.113680517825</v>
      </c>
      <c r="AC78" s="47" t="n">
        <f aca="false">In_AtRisk_Rate/Days_In_Year*(1-AC19)*(AC77*AC$5-(AC$4+1)*AC57-AC76)*(AC$4&lt;=In_COD)</f>
        <v>246.826054745801</v>
      </c>
      <c r="AD78" s="47" t="n">
        <f aca="false">In_AtRisk_Rate/Days_In_Year*(1-AD19)*(AD77*AD$5-(AD$4+1)*AD57-AD76)*(AD$4&lt;=In_COD)</f>
        <v>249.538428973777</v>
      </c>
      <c r="AE78" s="47" t="n">
        <f aca="false">In_AtRisk_Rate/Days_In_Year*(1-AE19)*(AE77*AE$5-(AE$4+1)*AE57-AE76)*(AE$4&lt;=In_COD)</f>
        <v>0</v>
      </c>
      <c r="AF78" s="47" t="n">
        <f aca="false">In_AtRisk_Rate/Days_In_Year*(1-AF19)*(AF77*AF$5-(AF$4+1)*AF57-AF76)*(AF$4&lt;=In_COD)</f>
        <v>0</v>
      </c>
      <c r="AG78" s="47" t="n">
        <f aca="false">In_AtRisk_Rate/Days_In_Year*(1-AG19)*(AG77*AG$5-(AG$4+1)*AG57-AG76)*(AG$4&lt;=In_COD)</f>
        <v>0</v>
      </c>
      <c r="AH78" s="47" t="n">
        <f aca="false">In_AtRisk_Rate/Days_In_Year*(1-AH19)*(AH77*AH$5-(AH$4+1)*AH57-AH76)*(AH$4&lt;=In_COD)</f>
        <v>0</v>
      </c>
      <c r="AI78" s="47" t="n">
        <f aca="false">In_AtRisk_Rate/Days_In_Year*(1-AI19)*(AI77*AI$5-(AI$4+1)*AI57-AI76)*(AI$4&lt;=In_COD)</f>
        <v>0</v>
      </c>
      <c r="AJ78" s="47" t="n">
        <f aca="false">In_AtRisk_Rate/Days_In_Year*(1-AJ19)*(AJ77*AJ$5-(AJ$4+1)*AJ57-AJ76)*(AJ$4&lt;=In_COD)</f>
        <v>0</v>
      </c>
      <c r="AK78" s="47" t="n">
        <f aca="false">In_AtRisk_Rate/Days_In_Year*(1-AK19)*(AK77*AK$5-(AK$4+1)*AK57-AK76)*(AK$4&lt;=In_COD)</f>
        <v>0</v>
      </c>
      <c r="AL78" s="47" t="n">
        <f aca="false">In_AtRisk_Rate/Days_In_Year*(1-AL19)*(AL77*AL$5-(AL$4+1)*AL57-AL76)*(AL$4&lt;=In_COD)</f>
        <v>0</v>
      </c>
      <c r="AM78" s="47" t="n">
        <f aca="false">In_AtRisk_Rate/Days_In_Year*(1-AM19)*(AM77*AM$5-(AM$4+1)*AM57-AM76)*(AM$4&lt;=In_COD)</f>
        <v>0</v>
      </c>
      <c r="AN78" s="47" t="n">
        <f aca="false">In_AtRisk_Rate/Days_In_Year*(1-AN19)*(AN77*AN$5-(AN$4+1)*AN57-AN76)*(AN$4&lt;=In_COD)</f>
        <v>0</v>
      </c>
      <c r="AO78" s="47" t="n">
        <f aca="false">In_AtRisk_Rate/Days_In_Year*(1-AO19)*(AO77*AO$5-(AO$4+1)*AO57-AO76)*(AO$4&lt;=In_COD)</f>
        <v>0</v>
      </c>
      <c r="AP78" s="47" t="n">
        <f aca="false">In_AtRisk_Rate/Days_In_Year*(1-AP19)*(AP77*AP$5-(AP$4+1)*AP57-AP76)*(AP$4&lt;=In_COD)</f>
        <v>0</v>
      </c>
      <c r="AQ78" s="47" t="n">
        <f aca="false">In_AtRisk_Rate/Days_In_Year*(1-AQ19)*(AQ77*AQ$5-(AQ$4+1)*AQ57-AQ76)*(AQ$4&lt;=In_COD)</f>
        <v>0</v>
      </c>
      <c r="AR78" s="47" t="n">
        <f aca="false">In_AtRisk_Rate/Days_In_Year*(1-AR19)*(AR77*AR$5-(AR$4+1)*AR57-AR76)*(AR$4&lt;=In_COD)</f>
        <v>0</v>
      </c>
      <c r="AS78" s="47" t="n">
        <f aca="false">In_AtRisk_Rate/Days_In_Year*(1-AS19)*(AS77*AS$5-(AS$4+1)*AS57-AS76)*(AS$4&lt;=In_COD)</f>
        <v>0</v>
      </c>
      <c r="AT78" s="47" t="n">
        <f aca="false">In_AtRisk_Rate/Days_In_Year*(1-AT19)*(AT77*AT$5-(AT$4+1)*AT57-AT76)*(AT$4&lt;=In_COD)</f>
        <v>0</v>
      </c>
      <c r="AU78" s="47" t="n">
        <f aca="false">In_AtRisk_Rate/Days_In_Year*(1-AU19)*(AU77*AU$5-(AU$4+1)*AU57-AU76)*(AU$4&lt;=In_COD)</f>
        <v>0</v>
      </c>
      <c r="AV78" s="47" t="n">
        <f aca="false">In_AtRisk_Rate/Days_In_Year*(1-AV19)*(AV77*AV$5-(AV$4+1)*AV57-AV76)*(AV$4&lt;=In_COD)</f>
        <v>0</v>
      </c>
      <c r="AW78" s="47" t="n">
        <f aca="false">In_AtRisk_Rate/Days_In_Year*(1-AW19)*(AW77*AW$5-(AW$4+1)*AW57-AW76)*(AW$4&lt;=In_COD)</f>
        <v>0</v>
      </c>
      <c r="AX78" s="47" t="n">
        <f aca="false">In_AtRisk_Rate/Days_In_Year*(1-AX19)*(AX77*AX$5-(AX$4+1)*AX57-AX76)*(AX$4&lt;=In_COD)</f>
        <v>0</v>
      </c>
      <c r="AY78" s="47" t="n">
        <f aca="false">In_AtRisk_Rate/Days_In_Year*(1-AY19)*(AY77*AY$5-(AY$4+1)*AY57-AY76)*(AY$4&lt;=In_COD)</f>
        <v>0</v>
      </c>
      <c r="AZ78" s="47" t="n">
        <f aca="false">In_AtRisk_Rate/Days_In_Year*(1-AZ19)*(AZ77*AZ$5-(AZ$4+1)*AZ57-AZ76)*(AZ$4&lt;=In_COD)</f>
        <v>0</v>
      </c>
      <c r="BA78" s="47" t="n">
        <f aca="false">In_AtRisk_Rate/Days_In_Year*(1-BA19)*(BA77*BA$5-(BA$4+1)*BA57-BA76)*(BA$4&lt;=In_COD)</f>
        <v>0</v>
      </c>
      <c r="BB78" s="47" t="n">
        <f aca="false">In_AtRisk_Rate/Days_In_Year*(1-BB19)*(BB77*BB$5-(BB$4+1)*BB57-BB76)*(BB$4&lt;=In_COD)</f>
        <v>0</v>
      </c>
      <c r="BC78" s="47" t="n">
        <f aca="false">In_AtRisk_Rate/Days_In_Year*(1-BC19)*(BC77*BC$5-(BC$4+1)*BC57-BC76)*(BC$4&lt;=In_COD)</f>
        <v>0</v>
      </c>
      <c r="BD78" s="47" t="n">
        <f aca="false">In_AtRisk_Rate/Days_In_Year*(1-BD19)*(BD77*BD$5-(BD$4+1)*BD57-BD76)*(BD$4&lt;=In_COD)</f>
        <v>0</v>
      </c>
      <c r="BE78" s="47" t="n">
        <f aca="false">In_AtRisk_Rate/Days_In_Year*(1-BE19)*(BE77*BE$5-(BE$4+1)*BE57-BE76)*(BE$4&lt;=In_COD)</f>
        <v>0</v>
      </c>
      <c r="BF78" s="47" t="n">
        <f aca="false">In_AtRisk_Rate/Days_In_Year*(1-BF19)*(BF77*BF$5-(BF$4+1)*BF57-BF76)*(BF$4&lt;=In_COD)</f>
        <v>0</v>
      </c>
      <c r="BG78" s="47" t="n">
        <f aca="false">In_AtRisk_Rate/Days_In_Year*(1-BG19)*(BG77*BG$5-(BG$4+1)*BG57-BG76)*(BG$4&lt;=In_COD)</f>
        <v>0</v>
      </c>
      <c r="BH78" s="47" t="n">
        <f aca="false">In_AtRisk_Rate/Days_In_Year*(1-BH19)*(BH77*BH$5-(BH$4+1)*BH57-BH76)*(BH$4&lt;=In_COD)</f>
        <v>0</v>
      </c>
      <c r="BI78" s="47" t="n">
        <f aca="false">In_AtRisk_Rate/Days_In_Year*(1-BI19)*(BI77*BI$5-(BI$4+1)*BI57-BI76)*(BI$4&lt;=In_COD)</f>
        <v>0</v>
      </c>
      <c r="BJ78" s="47" t="n">
        <f aca="false">In_AtRisk_Rate/Days_In_Year*(1-BJ19)*(BJ77*BJ$5-(BJ$4+1)*BJ57-BJ76)*(BJ$4&lt;=In_COD)</f>
        <v>0</v>
      </c>
      <c r="BK78" s="47" t="n">
        <f aca="false">In_AtRisk_Rate/Days_In_Year*(1-BK19)*(BK77*BK$5-(BK$4+1)*BK57-BK76)*(BK$4&lt;=In_COD)</f>
        <v>0</v>
      </c>
      <c r="BL78" s="47" t="n">
        <f aca="false">In_AtRisk_Rate/Days_In_Year*(1-BL19)*(BL77*BL$5-(BL$4+1)*BL57-BL76)*(BL$4&lt;=In_COD)</f>
        <v>0</v>
      </c>
      <c r="BM78" s="47" t="n">
        <f aca="false">In_AtRisk_Rate/Days_In_Year*(1-BM19)*(BM77*BM$5-(BM$4+1)*BM57-BM76)*(BM$4&lt;=In_COD)</f>
        <v>0</v>
      </c>
      <c r="BN78" s="47" t="n">
        <f aca="false">In_AtRisk_Rate/Days_In_Year*(1-BN19)*(BN77*BN$5-(BN$4+1)*BN57-BN76)*(BN$4&lt;=In_COD)</f>
        <v>0</v>
      </c>
      <c r="BO78" s="47" t="n">
        <f aca="false">In_AtRisk_Rate/Days_In_Year*(1-BO19)*(BO77*BO$5-(BO$4+1)*BO57-BO76)*(BO$4&lt;=In_COD)</f>
        <v>0</v>
      </c>
      <c r="BP78" s="47" t="n">
        <f aca="false">In_AtRisk_Rate/Days_In_Year*(1-BP19)*(BP77*BP$5-(BP$4+1)*BP57-BP76)*(BP$4&lt;=In_COD)</f>
        <v>0</v>
      </c>
      <c r="BQ78" s="47" t="n">
        <f aca="false">In_AtRisk_Rate/Days_In_Year*(1-BQ19)*(BQ77*BQ$5-(BQ$4+1)*BQ57-BQ76)*(BQ$4&lt;=In_COD)</f>
        <v>0</v>
      </c>
      <c r="BR78" s="47" t="n">
        <f aca="false">In_AtRisk_Rate/Days_In_Year*(1-BR19)*(BR77*BR$5-(BR$4+1)*BR57-BR76)*(BR$4&lt;=In_COD)</f>
        <v>0</v>
      </c>
      <c r="BS78" s="47" t="n">
        <f aca="false">In_AtRisk_Rate/Days_In_Year*(1-BS19)*(BS77*BS$5-(BS$4+1)*BS57-BS76)*(BS$4&lt;=In_COD)</f>
        <v>0</v>
      </c>
      <c r="BT78" s="47" t="n">
        <f aca="false">In_AtRisk_Rate/Days_In_Year*(1-BT19)*(BT77*BT$5-(BT$4+1)*BT57-BT76)*(BT$4&lt;=In_COD)</f>
        <v>0</v>
      </c>
      <c r="BU78" s="47" t="n">
        <f aca="false">In_AtRisk_Rate/Days_In_Year*(1-BU19)*(BU77*BU$5-(BU$4+1)*BU57-BU76)*(BU$4&lt;=In_COD)</f>
        <v>0</v>
      </c>
      <c r="BV78" s="47" t="n">
        <f aca="false">In_AtRisk_Rate/Days_In_Year*(1-BV19)*(BV77*BV$5-(BV$4+1)*BV57-BV76)*(BV$4&lt;=In_COD)</f>
        <v>0</v>
      </c>
      <c r="BW78" s="47" t="n">
        <f aca="false">In_AtRisk_Rate/Days_In_Year*(1-BW19)*(BW77*BW$5-(BW$4+1)*BW57-BW76)*(BW$4&lt;=In_COD)</f>
        <v>0</v>
      </c>
      <c r="BX78" s="47" t="n">
        <f aca="false">In_AtRisk_Rate/Days_In_Year*(1-BX19)*(BX77*BX$5-(BX$4+1)*BX57-BX76)*(BX$4&lt;=In_COD)</f>
        <v>0</v>
      </c>
      <c r="BY78" s="47" t="n">
        <f aca="false">In_AtRisk_Rate/Days_In_Year*(1-BY19)*(BY77*BY$5-(BY$4+1)*BY57-BY76)*(BY$4&lt;=In_COD)</f>
        <v>0</v>
      </c>
      <c r="BZ78" s="47" t="n">
        <f aca="false">In_AtRisk_Rate/Days_In_Year*(1-BZ19)*(BZ77*BZ$5-(BZ$4+1)*BZ57-BZ76)*(BZ$4&lt;=In_COD)</f>
        <v>0</v>
      </c>
      <c r="CA78" s="47" t="n">
        <f aca="false">In_AtRisk_Rate/Days_In_Year*(1-CA19)*(CA77*CA$5-(CA$4+1)*CA57-CA76)*(CA$4&lt;=In_COD)</f>
        <v>0</v>
      </c>
      <c r="CB78" s="47" t="n">
        <f aca="false">In_AtRisk_Rate/Days_In_Year*(1-CB19)*(CB77*CB$5-(CB$4+1)*CB57-CB76)*(CB$4&lt;=In_COD)</f>
        <v>0</v>
      </c>
      <c r="CC78" s="47" t="n">
        <f aca="false">In_AtRisk_Rate/Days_In_Year*(1-CC19)*(CC77*CC$5-(CC$4+1)*CC57-CC76)*(CC$4&lt;=In_COD)</f>
        <v>0</v>
      </c>
      <c r="CD78" s="47" t="n">
        <f aca="false">In_AtRisk_Rate/Days_In_Year*(1-CD19)*(CD77*CD$5-(CD$4+1)*CD57-CD76)*(CD$4&lt;=In_COD)</f>
        <v>0</v>
      </c>
      <c r="CE78" s="47" t="n">
        <f aca="false">In_AtRisk_Rate/Days_In_Year*(1-CE19)*(CE77*CE$5-(CE$4+1)*CE57-CE76)*(CE$4&lt;=In_COD)</f>
        <v>0</v>
      </c>
      <c r="CF78" s="47" t="n">
        <f aca="false">In_AtRisk_Rate/Days_In_Year*(1-CF19)*(CF77*CF$5-(CF$4+1)*CF57-CF76)*(CF$4&lt;=In_COD)</f>
        <v>0</v>
      </c>
      <c r="CG78" s="47" t="n">
        <f aca="false">In_AtRisk_Rate/Days_In_Year*(1-CG19)*(CG77*CG$5-(CG$4+1)*CG57-CG76)*(CG$4&lt;=In_COD)</f>
        <v>0</v>
      </c>
      <c r="CH78" s="47" t="n">
        <f aca="false">In_AtRisk_Rate/Days_In_Year*(1-CH19)*(CH77*CH$5-(CH$4+1)*CH57-CH76)*(CH$4&lt;=In_COD)</f>
        <v>0</v>
      </c>
      <c r="CI78" s="47" t="n">
        <f aca="false">In_AtRisk_Rate/Days_In_Year*(1-CI19)*(CI77*CI$5-(CI$4+1)*CI57-CI76)*(CI$4&lt;=In_COD)</f>
        <v>0</v>
      </c>
      <c r="CJ78" s="47" t="n">
        <f aca="false">In_AtRisk_Rate/Days_In_Year*(1-CJ19)*(CJ77*CJ$5-(CJ$4+1)*CJ57-CJ76)*(CJ$4&lt;=In_COD)</f>
        <v>0</v>
      </c>
      <c r="CK78" s="47" t="n">
        <f aca="false">In_AtRisk_Rate/Days_In_Year*(1-CK19)*(CK77*CK$5-(CK$4+1)*CK57-CK76)*(CK$4&lt;=In_COD)</f>
        <v>0</v>
      </c>
      <c r="CL78" s="47" t="n">
        <f aca="false">In_AtRisk_Rate/Days_In_Year*(1-CL19)*(CL77*CL$5-(CL$4+1)*CL57-CL76)*(CL$4&lt;=In_COD)</f>
        <v>0</v>
      </c>
      <c r="CM78" s="47" t="n">
        <f aca="false">In_AtRisk_Rate/Days_In_Year*(1-CM19)*(CM77*CM$5-(CM$4+1)*CM57-CM76)*(CM$4&lt;=In_COD)</f>
        <v>0</v>
      </c>
      <c r="CN78" s="47" t="n">
        <f aca="false">In_AtRisk_Rate/Days_In_Year*(1-CN19)*(CN77*CN$5-(CN$4+1)*CN57-CN76)*(CN$4&lt;=In_COD)</f>
        <v>0</v>
      </c>
      <c r="CO78" s="47" t="n">
        <f aca="false">In_AtRisk_Rate/Days_In_Year*(1-CO19)*(CO77*CO$5-(CO$4+1)*CO57-CO76)*(CO$4&lt;=In_COD)</f>
        <v>0</v>
      </c>
      <c r="CP78" s="47" t="n">
        <f aca="false">In_AtRisk_Rate/Days_In_Year*(1-CP19)*(CP77*CP$5-(CP$4+1)*CP57-CP76)*(CP$4&lt;=In_COD)</f>
        <v>0</v>
      </c>
      <c r="CQ78" s="47" t="n">
        <f aca="false">In_AtRisk_Rate/Days_In_Year*(1-CQ19)*(CQ77*CQ$5-(CQ$4+1)*CQ57-CQ76)*(CQ$4&lt;=In_COD)</f>
        <v>0</v>
      </c>
      <c r="CR78" s="47" t="n">
        <f aca="false">In_AtRisk_Rate/Days_In_Year*(1-CR19)*(CR77*CR$5-(CR$4+1)*CR57-CR76)*(CR$4&lt;=In_COD)</f>
        <v>0</v>
      </c>
      <c r="CS78" s="47" t="n">
        <f aca="false">In_AtRisk_Rate/Days_In_Year*(1-CS19)*(CS77*CS$5-(CS$4+1)*CS57-CS76)*(CS$4&lt;=In_COD)</f>
        <v>0</v>
      </c>
      <c r="CT78" s="47" t="n">
        <f aca="false">In_AtRisk_Rate/Days_In_Year*(1-CT19)*(CT77*CT$5-(CT$4+1)*CT57-CT76)*(CT$4&lt;=In_COD)</f>
        <v>0</v>
      </c>
      <c r="CU78" s="47" t="n">
        <f aca="false">In_AtRisk_Rate/Days_In_Year*(1-CU19)*(CU77*CU$5-(CU$4+1)*CU57-CU76)*(CU$4&lt;=In_COD)</f>
        <v>0</v>
      </c>
      <c r="CV78" s="47" t="n">
        <f aca="false">In_AtRisk_Rate/Days_In_Year*(1-CV19)*(CV77*CV$5-(CV$4+1)*CV57-CV76)*(CV$4&lt;=In_COD)</f>
        <v>0</v>
      </c>
      <c r="CW78" s="47" t="n">
        <f aca="false">In_AtRisk_Rate/Days_In_Year*(1-CW19)*(CW77*CW$5-(CW$4+1)*CW57-CW76)*(CW$4&lt;=In_COD)</f>
        <v>0</v>
      </c>
      <c r="CX78" s="47" t="n">
        <f aca="false">In_AtRisk_Rate/Days_In_Year*(1-CX19)*(CX77*CX$5-(CX$4+1)*CX57-CX76)*(CX$4&lt;=In_COD)</f>
        <v>0</v>
      </c>
      <c r="CY78" s="47" t="n">
        <f aca="false">In_AtRisk_Rate/Days_In_Year*(1-CY19)*(CY77*CY$5-(CY$4+1)*CY57-CY76)*(CY$4&lt;=In_COD)</f>
        <v>0</v>
      </c>
      <c r="CZ78" s="47" t="n">
        <f aca="false">In_AtRisk_Rate/Days_In_Year*(1-CZ19)*(CZ77*CZ$5-(CZ$4+1)*CZ57-CZ76)*(CZ$4&lt;=In_COD)</f>
        <v>0</v>
      </c>
      <c r="DA78" s="47" t="n">
        <f aca="false">In_AtRisk_Rate/Days_In_Year*(1-DA19)*(DA77*DA$5-(DA$4+1)*DA57-DA76)*(DA$4&lt;=In_COD)</f>
        <v>0</v>
      </c>
      <c r="DB78" s="47" t="n">
        <f aca="false">In_AtRisk_Rate/Days_In_Year*(1-DB19)*(DB77*DB$5-(DB$4+1)*DB57-DB76)*(DB$4&lt;=In_COD)</f>
        <v>0</v>
      </c>
      <c r="DC78" s="47" t="n">
        <f aca="false">In_AtRisk_Rate/Days_In_Year*(1-DC19)*(DC77*DC$5-(DC$4+1)*DC57-DC76)*(DC$4&lt;=In_COD)</f>
        <v>0</v>
      </c>
      <c r="DD78" s="47" t="n">
        <f aca="false">In_AtRisk_Rate/Days_In_Year*(1-DD19)*(DD77*DD$5-(DD$4+1)*DD57-DD76)*(DD$4&lt;=In_COD)</f>
        <v>0</v>
      </c>
      <c r="DE78" s="47" t="n">
        <f aca="false">In_AtRisk_Rate/Days_In_Year*(1-DE19)*(DE77*DE$5-(DE$4+1)*DE57-DE76)*(DE$4&lt;=In_COD)</f>
        <v>0</v>
      </c>
      <c r="DF78" s="47" t="n">
        <f aca="false">In_AtRisk_Rate/Days_In_Year*(1-DF19)*(DF77*DF$5-(DF$4+1)*DF57-DF76)*(DF$4&lt;=In_COD)</f>
        <v>0</v>
      </c>
      <c r="DG78" s="47" t="n">
        <f aca="false">In_AtRisk_Rate/Days_In_Year*(1-DG19)*(DG77*DG$5-(DG$4+1)*DG57-DG76)*(DG$4&lt;=In_COD)</f>
        <v>0</v>
      </c>
      <c r="DH78" s="47" t="n">
        <f aca="false">In_AtRisk_Rate/Days_In_Year*(1-DH19)*(DH77*DH$5-(DH$4+1)*DH57-DH76)*(DH$4&lt;=In_COD)</f>
        <v>0</v>
      </c>
      <c r="DI78" s="47" t="n">
        <f aca="false">In_AtRisk_Rate/Days_In_Year*(1-DI19)*(DI77*DI$5-(DI$4+1)*DI57-DI76)*(DI$4&lt;=In_COD)</f>
        <v>0</v>
      </c>
      <c r="DJ78" s="47" t="n">
        <f aca="false">In_AtRisk_Rate/Days_In_Year*(1-DJ19)*(DJ77*DJ$5-(DJ$4+1)*DJ57-DJ76)*(DJ$4&lt;=In_COD)</f>
        <v>0</v>
      </c>
      <c r="DK78" s="47" t="n">
        <f aca="false">In_AtRisk_Rate/Days_In_Year*(1-DK19)*(DK77*DK$5-(DK$4+1)*DK57-DK76)*(DK$4&lt;=In_COD)</f>
        <v>0</v>
      </c>
      <c r="DL78" s="47" t="n">
        <f aca="false">In_AtRisk_Rate/Days_In_Year*(1-DL19)*(DL77*DL$5-(DL$4+1)*DL57-DL76)*(DL$4&lt;=In_COD)</f>
        <v>0</v>
      </c>
      <c r="DM78" s="47" t="n">
        <f aca="false">In_AtRisk_Rate/Days_In_Year*(1-DM19)*(DM77*DM$5-(DM$4+1)*DM57-DM76)*(DM$4&lt;=In_COD)</f>
        <v>0</v>
      </c>
      <c r="DN78" s="47" t="n">
        <f aca="false">In_AtRisk_Rate/Days_In_Year*(1-DN19)*(DN77*DN$5-(DN$4+1)*DN57-DN76)*(DN$4&lt;=In_COD)</f>
        <v>0</v>
      </c>
      <c r="DO78" s="47" t="n">
        <f aca="false">In_AtRisk_Rate/Days_In_Year*(1-DO19)*(DO77*DO$5-(DO$4+1)*DO57-DO76)*(DO$4&lt;=In_COD)</f>
        <v>0</v>
      </c>
      <c r="DP78" s="47" t="n">
        <f aca="false">In_AtRisk_Rate/Days_In_Year*(1-DP19)*(DP77*DP$5-(DP$4+1)*DP57-DP76)*(DP$4&lt;=In_COD)</f>
        <v>0</v>
      </c>
      <c r="DQ78" s="47" t="n">
        <f aca="false">In_AtRisk_Rate/Days_In_Year*(1-DQ19)*(DQ77*DQ$5-(DQ$4+1)*DQ57-DQ76)*(DQ$4&lt;=In_COD)</f>
        <v>0</v>
      </c>
      <c r="DR78" s="47" t="n">
        <f aca="false">In_AtRisk_Rate/Days_In_Year*(1-DR19)*(DR77*DR$5-(DR$4+1)*DR57-DR76)*(DR$4&lt;=In_COD)</f>
        <v>0</v>
      </c>
      <c r="DS78" s="47" t="n">
        <f aca="false">In_AtRisk_Rate/Days_In_Year*(1-DS19)*(DS77*DS$5-(DS$4+1)*DS57-DS76)*(DS$4&lt;=In_COD)</f>
        <v>0</v>
      </c>
      <c r="DT78" s="47" t="n">
        <f aca="false">In_AtRisk_Rate/Days_In_Year*(1-DT19)*(DT77*DT$5-(DT$4+1)*DT57-DT76)*(DT$4&lt;=In_COD)</f>
        <v>0</v>
      </c>
      <c r="DU78" s="47" t="n">
        <f aca="false">In_AtRisk_Rate/Days_In_Year*(1-DU19)*(DU77*DU$5-(DU$4+1)*DU57-DU76)*(DU$4&lt;=In_COD)</f>
        <v>0</v>
      </c>
      <c r="DV78" s="47" t="n">
        <f aca="false">In_AtRisk_Rate/Days_In_Year*(1-DV19)*(DV77*DV$5-(DV$4+1)*DV57-DV76)*(DV$4&lt;=In_COD)</f>
        <v>0</v>
      </c>
      <c r="DW78" s="47" t="n">
        <f aca="false">In_AtRisk_Rate/Days_In_Year*(1-DW19)*(DW77*DW$5-(DW$4+1)*DW57-DW76)*(DW$4&lt;=In_COD)</f>
        <v>0</v>
      </c>
      <c r="DX78" s="47" t="n">
        <f aca="false">In_AtRisk_Rate/Days_In_Year*(1-DX19)*(DX77*DX$5-(DX$4+1)*DX57-DX76)*(DX$4&lt;=In_COD)</f>
        <v>0</v>
      </c>
      <c r="DY78" s="47" t="n">
        <f aca="false">In_AtRisk_Rate/Days_In_Year*(1-DY19)*(DY77*DY$5-(DY$4+1)*DY57-DY76)*(DY$4&lt;=In_COD)</f>
        <v>0</v>
      </c>
      <c r="DZ78" s="47" t="n">
        <f aca="false">In_AtRisk_Rate/Days_In_Year*(1-DZ19)*(DZ77*DZ$5-(DZ$4+1)*DZ57-DZ76)*(DZ$4&lt;=In_COD)</f>
        <v>0</v>
      </c>
      <c r="EA78" s="47" t="n">
        <f aca="false">In_AtRisk_Rate/Days_In_Year*(1-EA19)*(EA77*EA$5-(EA$4+1)*EA57-EA76)*(EA$4&lt;=In_COD)</f>
        <v>0</v>
      </c>
      <c r="EB78" s="47" t="n">
        <f aca="false">In_AtRisk_Rate/Days_In_Year*(1-EB19)*(EB77*EB$5-(EB$4+1)*EB57-EB76)*(EB$4&lt;=In_COD)</f>
        <v>0</v>
      </c>
      <c r="EC78" s="47" t="n">
        <f aca="false">In_AtRisk_Rate/Days_In_Year*(1-EC19)*(EC77*EC$5-(EC$4+1)*EC57-EC76)*(EC$4&lt;=In_COD)</f>
        <v>0</v>
      </c>
      <c r="ED78" s="47" t="n">
        <f aca="false">In_AtRisk_Rate/Days_In_Year*(1-ED19)*(ED77*ED$5-(ED$4+1)*ED57-ED76)*(ED$4&lt;=In_COD)</f>
        <v>0</v>
      </c>
      <c r="EE78" s="47" t="n">
        <f aca="false">In_AtRisk_Rate/Days_In_Year*(1-EE19)*(EE77*EE$5-(EE$4+1)*EE57-EE76)*(EE$4&lt;=In_COD)</f>
        <v>0</v>
      </c>
      <c r="EF78" s="47" t="n">
        <f aca="false">In_AtRisk_Rate/Days_In_Year*(1-EF19)*(EF77*EF$5-(EF$4+1)*EF57-EF76)*(EF$4&lt;=In_COD)</f>
        <v>0</v>
      </c>
      <c r="EG78" s="47" t="n">
        <f aca="false">In_AtRisk_Rate/Days_In_Year*(1-EG19)*(EG77*EG$5-(EG$4+1)*EG57-EG76)*(EG$4&lt;=In_COD)</f>
        <v>0</v>
      </c>
      <c r="EH78" s="47" t="n">
        <f aca="false">In_AtRisk_Rate/Days_In_Year*(1-EH19)*(EH77*EH$5-(EH$4+1)*EH57-EH76)*(EH$4&lt;=In_COD)</f>
        <v>0</v>
      </c>
      <c r="EI78" s="47" t="n">
        <f aca="false">In_AtRisk_Rate/Days_In_Year*(1-EI19)*(EI77*EI$5-(EI$4+1)*EI57-EI76)*(EI$4&lt;=In_COD)</f>
        <v>0</v>
      </c>
      <c r="EJ78" s="47" t="n">
        <f aca="false">In_AtRisk_Rate/Days_In_Year*(1-EJ19)*(EJ77*EJ$5-(EJ$4+1)*EJ57-EJ76)*(EJ$4&lt;=In_COD)</f>
        <v>0</v>
      </c>
      <c r="EK78" s="47" t="n">
        <f aca="false">In_AtRisk_Rate/Days_In_Year*(1-EK19)*(EK77*EK$5-(EK$4+1)*EK57-EK76)*(EK$4&lt;=In_COD)</f>
        <v>0</v>
      </c>
      <c r="EL78" s="47" t="n">
        <f aca="false">In_AtRisk_Rate/Days_In_Year*(1-EL19)*(EL77*EL$5-(EL$4+1)*EL57-EL76)*(EL$4&lt;=In_COD)</f>
        <v>0</v>
      </c>
      <c r="EM78" s="47" t="n">
        <f aca="false">In_AtRisk_Rate/Days_In_Year*(1-EM19)*(EM77*EM$5-(EM$4+1)*EM57-EM76)*(EM$4&lt;=In_COD)</f>
        <v>0</v>
      </c>
      <c r="EN78" s="47" t="n">
        <f aca="false">In_AtRisk_Rate/Days_In_Year*(1-EN19)*(EN77*EN$5-(EN$4+1)*EN57-EN76)*(EN$4&lt;=In_COD)</f>
        <v>0</v>
      </c>
      <c r="EO78" s="47" t="n">
        <f aca="false">In_AtRisk_Rate/Days_In_Year*(1-EO19)*(EO77*EO$5-(EO$4+1)*EO57-EO76)*(EO$4&lt;=In_COD)</f>
        <v>0</v>
      </c>
      <c r="EP78" s="47" t="n">
        <f aca="false">In_AtRisk_Rate/Days_In_Year*(1-EP19)*(EP77*EP$5-(EP$4+1)*EP57-EP76)*(EP$4&lt;=In_COD)</f>
        <v>0</v>
      </c>
      <c r="EQ78" s="47" t="n">
        <f aca="false">In_AtRisk_Rate/Days_In_Year*(1-EQ19)*(EQ77*EQ$5-(EQ$4+1)*EQ57-EQ76)*(EQ$4&lt;=In_COD)</f>
        <v>0</v>
      </c>
      <c r="ER78" s="47" t="n">
        <f aca="false">In_AtRisk_Rate/Days_In_Year*(1-ER19)*(ER77*ER$5-(ER$4+1)*ER57-ER76)*(ER$4&lt;=In_COD)</f>
        <v>0</v>
      </c>
      <c r="ES78" s="47" t="n">
        <f aca="false">In_AtRisk_Rate/Days_In_Year*(1-ES19)*(ES77*ES$5-(ES$4+1)*ES57-ES76)*(ES$4&lt;=In_COD)</f>
        <v>0</v>
      </c>
      <c r="ET78" s="47" t="n">
        <f aca="false">In_AtRisk_Rate/Days_In_Year*(1-ET19)*(ET77*ET$5-(ET$4+1)*ET57-ET76)*(ET$4&lt;=In_COD)</f>
        <v>0</v>
      </c>
    </row>
    <row r="79" customFormat="false" ht="15" hidden="false" customHeight="false" outlineLevel="0" collapsed="false">
      <c r="C79" s="1" t="s">
        <v>496</v>
      </c>
      <c r="D79" s="12" t="s">
        <v>222</v>
      </c>
      <c r="I79" s="47" t="n">
        <f aca="false">SUM(J79:ET79)</f>
        <v>2570.93661832238</v>
      </c>
      <c r="J79" s="47" t="n">
        <f aca="false">J20*SUMIF($J$7:J$7,J$7,$J78:J78)</f>
        <v>0</v>
      </c>
      <c r="K79" s="47" t="n">
        <f aca="false">K20*SUMIF($J$7:K$7,K$7,$J78:K78)</f>
        <v>8.99939200600482</v>
      </c>
      <c r="L79" s="47" t="n">
        <f aca="false">L20*SUMIF($J$7:L$7,L$7,$J78:L78)</f>
        <v>0</v>
      </c>
      <c r="M79" s="47" t="n">
        <f aca="false">M20*SUMIF($J$7:M$7,M$7,$J78:M78)</f>
        <v>0</v>
      </c>
      <c r="N79" s="47" t="n">
        <f aca="false">N20*SUMIF($J$7:N$7,N$7,$J78:N78)</f>
        <v>0</v>
      </c>
      <c r="O79" s="47" t="n">
        <f aca="false">O20*SUMIF($J$7:O$7,O$7,$J78:O78)</f>
        <v>147.186477763184</v>
      </c>
      <c r="P79" s="47" t="n">
        <f aca="false">P20*SUMIF($J$7:P$7,P$7,$J78:P78)</f>
        <v>0</v>
      </c>
      <c r="Q79" s="47" t="n">
        <f aca="false">Q20*SUMIF($J$7:Q$7,Q$7,$J78:Q78)</f>
        <v>0</v>
      </c>
      <c r="R79" s="47" t="n">
        <f aca="false">R20*SUMIF($J$7:R$7,R$7,$J78:R78)</f>
        <v>0</v>
      </c>
      <c r="S79" s="47" t="n">
        <f aca="false">S20*SUMIF($J$7:S$7,S$7,$J78:S78)</f>
        <v>487.461555603095</v>
      </c>
      <c r="T79" s="47" t="n">
        <f aca="false">T20*SUMIF($J$7:T$7,T$7,$J78:T78)</f>
        <v>0</v>
      </c>
      <c r="U79" s="47" t="n">
        <f aca="false">U20*SUMIF($J$7:U$7,U$7,$J78:U78)</f>
        <v>0</v>
      </c>
      <c r="V79" s="47" t="n">
        <f aca="false">V20*SUMIF($J$7:V$7,V$7,$J78:V78)</f>
        <v>0</v>
      </c>
      <c r="W79" s="47" t="n">
        <f aca="false">W20*SUMIF($J$7:W$7,W$7,$J78:W78)</f>
        <v>361.79720103671</v>
      </c>
      <c r="X79" s="47" t="n">
        <f aca="false">X20*SUMIF($J$7:X$7,X$7,$J78:X78)</f>
        <v>0</v>
      </c>
      <c r="Y79" s="47" t="n">
        <f aca="false">Y20*SUMIF($J$7:Y$7,Y$7,$J78:Y78)</f>
        <v>0</v>
      </c>
      <c r="Z79" s="47" t="n">
        <f aca="false">Z20*SUMIF($J$7:Z$7,Z$7,$J78:Z78)</f>
        <v>0</v>
      </c>
      <c r="AA79" s="47" t="n">
        <f aca="false">AA20*SUMIF($J$7:AA$7,AA$7,$J78:AA78)</f>
        <v>825.013827675984</v>
      </c>
      <c r="AB79" s="47" t="n">
        <f aca="false">AB20*SUMIF($J$7:AB$7,AB$7,$J78:AB78)</f>
        <v>0</v>
      </c>
      <c r="AC79" s="47" t="n">
        <f aca="false">AC20*SUMIF($J$7:AC$7,AC$7,$J78:AC78)</f>
        <v>0</v>
      </c>
      <c r="AD79" s="47" t="n">
        <f aca="false">AD20*SUMIF($J$7:AD$7,AD$7,$J78:AD78)</f>
        <v>0</v>
      </c>
      <c r="AE79" s="47" t="n">
        <f aca="false">AE20*SUMIF($J$7:AE$7,AE$7,$J78:AE78)</f>
        <v>740.478164237404</v>
      </c>
      <c r="AF79" s="47" t="n">
        <f aca="false">AF20*SUMIF($J$7:AF$7,AF$7,$J78:AF78)</f>
        <v>0</v>
      </c>
      <c r="AG79" s="47" t="n">
        <f aca="false">AG20*SUMIF($J$7:AG$7,AG$7,$J78:AG78)</f>
        <v>0</v>
      </c>
      <c r="AH79" s="47" t="n">
        <f aca="false">AH20*SUMIF($J$7:AH$7,AH$7,$J78:AH78)</f>
        <v>0</v>
      </c>
      <c r="AI79" s="47" t="n">
        <f aca="false">AI20*SUMIF($J$7:AI$7,AI$7,$J78:AI78)</f>
        <v>0</v>
      </c>
      <c r="AJ79" s="47" t="n">
        <f aca="false">AJ20*SUMIF($J$7:AJ$7,AJ$7,$J78:AJ78)</f>
        <v>0</v>
      </c>
      <c r="AK79" s="47" t="n">
        <f aca="false">AK20*SUMIF($J$7:AK$7,AK$7,$J78:AK78)</f>
        <v>0</v>
      </c>
      <c r="AL79" s="47" t="n">
        <f aca="false">AL20*SUMIF($J$7:AL$7,AL$7,$J78:AL78)</f>
        <v>0</v>
      </c>
      <c r="AM79" s="47" t="n">
        <f aca="false">AM20*SUMIF($J$7:AM$7,AM$7,$J78:AM78)</f>
        <v>0</v>
      </c>
      <c r="AN79" s="47" t="n">
        <f aca="false">AN20*SUMIF($J$7:AN$7,AN$7,$J78:AN78)</f>
        <v>0</v>
      </c>
      <c r="AO79" s="47" t="n">
        <f aca="false">AO20*SUMIF($J$7:AO$7,AO$7,$J78:AO78)</f>
        <v>0</v>
      </c>
      <c r="AP79" s="47" t="n">
        <f aca="false">AP20*SUMIF($J$7:AP$7,AP$7,$J78:AP78)</f>
        <v>0</v>
      </c>
      <c r="AQ79" s="47" t="n">
        <f aca="false">AQ20*SUMIF($J$7:AQ$7,AQ$7,$J78:AQ78)</f>
        <v>0</v>
      </c>
      <c r="AR79" s="47" t="n">
        <f aca="false">AR20*SUMIF($J$7:AR$7,AR$7,$J78:AR78)</f>
        <v>0</v>
      </c>
      <c r="AS79" s="47" t="n">
        <f aca="false">AS20*SUMIF($J$7:AS$7,AS$7,$J78:AS78)</f>
        <v>0</v>
      </c>
      <c r="AT79" s="47" t="n">
        <f aca="false">AT20*SUMIF($J$7:AT$7,AT$7,$J78:AT78)</f>
        <v>0</v>
      </c>
      <c r="AU79" s="47" t="n">
        <f aca="false">AU20*SUMIF($J$7:AU$7,AU$7,$J78:AU78)</f>
        <v>0</v>
      </c>
      <c r="AV79" s="47" t="n">
        <f aca="false">AV20*SUMIF($J$7:AV$7,AV$7,$J78:AV78)</f>
        <v>0</v>
      </c>
      <c r="AW79" s="47" t="n">
        <f aca="false">AW20*SUMIF($J$7:AW$7,AW$7,$J78:AW78)</f>
        <v>0</v>
      </c>
      <c r="AX79" s="47" t="n">
        <f aca="false">AX20*SUMIF($J$7:AX$7,AX$7,$J78:AX78)</f>
        <v>0</v>
      </c>
      <c r="AY79" s="47" t="n">
        <f aca="false">AY20*SUMIF($J$7:AY$7,AY$7,$J78:AY78)</f>
        <v>0</v>
      </c>
      <c r="AZ79" s="47" t="n">
        <f aca="false">AZ20*SUMIF($J$7:AZ$7,AZ$7,$J78:AZ78)</f>
        <v>0</v>
      </c>
      <c r="BA79" s="47" t="n">
        <f aca="false">BA20*SUMIF($J$7:BA$7,BA$7,$J78:BA78)</f>
        <v>0</v>
      </c>
      <c r="BB79" s="47" t="n">
        <f aca="false">BB20*SUMIF($J$7:BB$7,BB$7,$J78:BB78)</f>
        <v>0</v>
      </c>
      <c r="BC79" s="47" t="n">
        <f aca="false">BC20*SUMIF($J$7:BC$7,BC$7,$J78:BC78)</f>
        <v>0</v>
      </c>
      <c r="BD79" s="47" t="n">
        <f aca="false">BD20*SUMIF($J$7:BD$7,BD$7,$J78:BD78)</f>
        <v>0</v>
      </c>
      <c r="BE79" s="47" t="n">
        <f aca="false">BE20*SUMIF($J$7:BE$7,BE$7,$J78:BE78)</f>
        <v>0</v>
      </c>
      <c r="BF79" s="47" t="n">
        <f aca="false">BF20*SUMIF($J$7:BF$7,BF$7,$J78:BF78)</f>
        <v>0</v>
      </c>
      <c r="BG79" s="47" t="n">
        <f aca="false">BG20*SUMIF($J$7:BG$7,BG$7,$J78:BG78)</f>
        <v>0</v>
      </c>
      <c r="BH79" s="47" t="n">
        <f aca="false">BH20*SUMIF($J$7:BH$7,BH$7,$J78:BH78)</f>
        <v>0</v>
      </c>
      <c r="BI79" s="47" t="n">
        <f aca="false">BI20*SUMIF($J$7:BI$7,BI$7,$J78:BI78)</f>
        <v>0</v>
      </c>
      <c r="BJ79" s="47" t="n">
        <f aca="false">BJ20*SUMIF($J$7:BJ$7,BJ$7,$J78:BJ78)</f>
        <v>0</v>
      </c>
      <c r="BK79" s="47" t="n">
        <f aca="false">BK20*SUMIF($J$7:BK$7,BK$7,$J78:BK78)</f>
        <v>0</v>
      </c>
      <c r="BL79" s="47" t="n">
        <f aca="false">BL20*SUMIF($J$7:BL$7,BL$7,$J78:BL78)</f>
        <v>0</v>
      </c>
      <c r="BM79" s="47" t="n">
        <f aca="false">BM20*SUMIF($J$7:BM$7,BM$7,$J78:BM78)</f>
        <v>0</v>
      </c>
      <c r="BN79" s="47" t="n">
        <f aca="false">BN20*SUMIF($J$7:BN$7,BN$7,$J78:BN78)</f>
        <v>0</v>
      </c>
      <c r="BO79" s="47" t="n">
        <f aca="false">BO20*SUMIF($J$7:BO$7,BO$7,$J78:BO78)</f>
        <v>0</v>
      </c>
      <c r="BP79" s="47" t="n">
        <f aca="false">BP20*SUMIF($J$7:BP$7,BP$7,$J78:BP78)</f>
        <v>0</v>
      </c>
      <c r="BQ79" s="47" t="n">
        <f aca="false">BQ20*SUMIF($J$7:BQ$7,BQ$7,$J78:BQ78)</f>
        <v>0</v>
      </c>
      <c r="BR79" s="47" t="n">
        <f aca="false">BR20*SUMIF($J$7:BR$7,BR$7,$J78:BR78)</f>
        <v>0</v>
      </c>
      <c r="BS79" s="47" t="n">
        <f aca="false">BS20*SUMIF($J$7:BS$7,BS$7,$J78:BS78)</f>
        <v>0</v>
      </c>
      <c r="BT79" s="47" t="n">
        <f aca="false">BT20*SUMIF($J$7:BT$7,BT$7,$J78:BT78)</f>
        <v>0</v>
      </c>
      <c r="BU79" s="47" t="n">
        <f aca="false">BU20*SUMIF($J$7:BU$7,BU$7,$J78:BU78)</f>
        <v>0</v>
      </c>
      <c r="BV79" s="47" t="n">
        <f aca="false">BV20*SUMIF($J$7:BV$7,BV$7,$J78:BV78)</f>
        <v>0</v>
      </c>
      <c r="BW79" s="47" t="n">
        <f aca="false">BW20*SUMIF($J$7:BW$7,BW$7,$J78:BW78)</f>
        <v>0</v>
      </c>
      <c r="BX79" s="47" t="n">
        <f aca="false">BX20*SUMIF($J$7:BX$7,BX$7,$J78:BX78)</f>
        <v>0</v>
      </c>
      <c r="BY79" s="47" t="n">
        <f aca="false">BY20*SUMIF($J$7:BY$7,BY$7,$J78:BY78)</f>
        <v>0</v>
      </c>
      <c r="BZ79" s="47" t="n">
        <f aca="false">BZ20*SUMIF($J$7:BZ$7,BZ$7,$J78:BZ78)</f>
        <v>0</v>
      </c>
      <c r="CA79" s="47" t="n">
        <f aca="false">CA20*SUMIF($J$7:CA$7,CA$7,$J78:CA78)</f>
        <v>0</v>
      </c>
      <c r="CB79" s="47" t="n">
        <f aca="false">CB20*SUMIF($J$7:CB$7,CB$7,$J78:CB78)</f>
        <v>0</v>
      </c>
      <c r="CC79" s="47" t="n">
        <f aca="false">CC20*SUMIF($J$7:CC$7,CC$7,$J78:CC78)</f>
        <v>0</v>
      </c>
      <c r="CD79" s="47" t="n">
        <f aca="false">CD20*SUMIF($J$7:CD$7,CD$7,$J78:CD78)</f>
        <v>0</v>
      </c>
      <c r="CE79" s="47" t="n">
        <f aca="false">CE20*SUMIF($J$7:CE$7,CE$7,$J78:CE78)</f>
        <v>0</v>
      </c>
      <c r="CF79" s="47" t="n">
        <f aca="false">CF20*SUMIF($J$7:CF$7,CF$7,$J78:CF78)</f>
        <v>0</v>
      </c>
      <c r="CG79" s="47" t="n">
        <f aca="false">CG20*SUMIF($J$7:CG$7,CG$7,$J78:CG78)</f>
        <v>0</v>
      </c>
      <c r="CH79" s="47" t="n">
        <f aca="false">CH20*SUMIF($J$7:CH$7,CH$7,$J78:CH78)</f>
        <v>0</v>
      </c>
      <c r="CI79" s="47" t="n">
        <f aca="false">CI20*SUMIF($J$7:CI$7,CI$7,$J78:CI78)</f>
        <v>0</v>
      </c>
      <c r="CJ79" s="47" t="n">
        <f aca="false">CJ20*SUMIF($J$7:CJ$7,CJ$7,$J78:CJ78)</f>
        <v>0</v>
      </c>
      <c r="CK79" s="47" t="n">
        <f aca="false">CK20*SUMIF($J$7:CK$7,CK$7,$J78:CK78)</f>
        <v>0</v>
      </c>
      <c r="CL79" s="47" t="n">
        <f aca="false">CL20*SUMIF($J$7:CL$7,CL$7,$J78:CL78)</f>
        <v>0</v>
      </c>
      <c r="CM79" s="47" t="n">
        <f aca="false">CM20*SUMIF($J$7:CM$7,CM$7,$J78:CM78)</f>
        <v>0</v>
      </c>
      <c r="CN79" s="47" t="n">
        <f aca="false">CN20*SUMIF($J$7:CN$7,CN$7,$J78:CN78)</f>
        <v>0</v>
      </c>
      <c r="CO79" s="47" t="n">
        <f aca="false">CO20*SUMIF($J$7:CO$7,CO$7,$J78:CO78)</f>
        <v>0</v>
      </c>
      <c r="CP79" s="47" t="n">
        <f aca="false">CP20*SUMIF($J$7:CP$7,CP$7,$J78:CP78)</f>
        <v>0</v>
      </c>
      <c r="CQ79" s="47" t="n">
        <f aca="false">CQ20*SUMIF($J$7:CQ$7,CQ$7,$J78:CQ78)</f>
        <v>0</v>
      </c>
      <c r="CR79" s="47" t="n">
        <f aca="false">CR20*SUMIF($J$7:CR$7,CR$7,$J78:CR78)</f>
        <v>0</v>
      </c>
      <c r="CS79" s="47" t="n">
        <f aca="false">CS20*SUMIF($J$7:CS$7,CS$7,$J78:CS78)</f>
        <v>0</v>
      </c>
      <c r="CT79" s="47" t="n">
        <f aca="false">CT20*SUMIF($J$7:CT$7,CT$7,$J78:CT78)</f>
        <v>0</v>
      </c>
      <c r="CU79" s="47" t="n">
        <f aca="false">CU20*SUMIF($J$7:CU$7,CU$7,$J78:CU78)</f>
        <v>0</v>
      </c>
      <c r="CV79" s="47" t="n">
        <f aca="false">CV20*SUMIF($J$7:CV$7,CV$7,$J78:CV78)</f>
        <v>0</v>
      </c>
      <c r="CW79" s="47" t="n">
        <f aca="false">CW20*SUMIF($J$7:CW$7,CW$7,$J78:CW78)</f>
        <v>0</v>
      </c>
      <c r="CX79" s="47" t="n">
        <f aca="false">CX20*SUMIF($J$7:CX$7,CX$7,$J78:CX78)</f>
        <v>0</v>
      </c>
      <c r="CY79" s="47" t="n">
        <f aca="false">CY20*SUMIF($J$7:CY$7,CY$7,$J78:CY78)</f>
        <v>0</v>
      </c>
      <c r="CZ79" s="47" t="n">
        <f aca="false">CZ20*SUMIF($J$7:CZ$7,CZ$7,$J78:CZ78)</f>
        <v>0</v>
      </c>
      <c r="DA79" s="47" t="n">
        <f aca="false">DA20*SUMIF($J$7:DA$7,DA$7,$J78:DA78)</f>
        <v>0</v>
      </c>
      <c r="DB79" s="47" t="n">
        <f aca="false">DB20*SUMIF($J$7:DB$7,DB$7,$J78:DB78)</f>
        <v>0</v>
      </c>
      <c r="DC79" s="47" t="n">
        <f aca="false">DC20*SUMIF($J$7:DC$7,DC$7,$J78:DC78)</f>
        <v>0</v>
      </c>
      <c r="DD79" s="47" t="n">
        <f aca="false">DD20*SUMIF($J$7:DD$7,DD$7,$J78:DD78)</f>
        <v>0</v>
      </c>
      <c r="DE79" s="47" t="n">
        <f aca="false">DE20*SUMIF($J$7:DE$7,DE$7,$J78:DE78)</f>
        <v>0</v>
      </c>
      <c r="DF79" s="47" t="n">
        <f aca="false">DF20*SUMIF($J$7:DF$7,DF$7,$J78:DF78)</f>
        <v>0</v>
      </c>
      <c r="DG79" s="47" t="n">
        <f aca="false">DG20*SUMIF($J$7:DG$7,DG$7,$J78:DG78)</f>
        <v>0</v>
      </c>
      <c r="DH79" s="47" t="n">
        <f aca="false">DH20*SUMIF($J$7:DH$7,DH$7,$J78:DH78)</f>
        <v>0</v>
      </c>
      <c r="DI79" s="47" t="n">
        <f aca="false">DI20*SUMIF($J$7:DI$7,DI$7,$J78:DI78)</f>
        <v>0</v>
      </c>
      <c r="DJ79" s="47" t="n">
        <f aca="false">DJ20*SUMIF($J$7:DJ$7,DJ$7,$J78:DJ78)</f>
        <v>0</v>
      </c>
      <c r="DK79" s="47" t="n">
        <f aca="false">DK20*SUMIF($J$7:DK$7,DK$7,$J78:DK78)</f>
        <v>0</v>
      </c>
      <c r="DL79" s="47" t="n">
        <f aca="false">DL20*SUMIF($J$7:DL$7,DL$7,$J78:DL78)</f>
        <v>0</v>
      </c>
      <c r="DM79" s="47" t="n">
        <f aca="false">DM20*SUMIF($J$7:DM$7,DM$7,$J78:DM78)</f>
        <v>0</v>
      </c>
      <c r="DN79" s="47" t="n">
        <f aca="false">DN20*SUMIF($J$7:DN$7,DN$7,$J78:DN78)</f>
        <v>0</v>
      </c>
      <c r="DO79" s="47" t="n">
        <f aca="false">DO20*SUMIF($J$7:DO$7,DO$7,$J78:DO78)</f>
        <v>0</v>
      </c>
      <c r="DP79" s="47" t="n">
        <f aca="false">DP20*SUMIF($J$7:DP$7,DP$7,$J78:DP78)</f>
        <v>0</v>
      </c>
      <c r="DQ79" s="47" t="n">
        <f aca="false">DQ20*SUMIF($J$7:DQ$7,DQ$7,$J78:DQ78)</f>
        <v>0</v>
      </c>
      <c r="DR79" s="47" t="n">
        <f aca="false">DR20*SUMIF($J$7:DR$7,DR$7,$J78:DR78)</f>
        <v>0</v>
      </c>
      <c r="DS79" s="47" t="n">
        <f aca="false">DS20*SUMIF($J$7:DS$7,DS$7,$J78:DS78)</f>
        <v>0</v>
      </c>
      <c r="DT79" s="47" t="n">
        <f aca="false">DT20*SUMIF($J$7:DT$7,DT$7,$J78:DT78)</f>
        <v>0</v>
      </c>
      <c r="DU79" s="47" t="n">
        <f aca="false">DU20*SUMIF($J$7:DU$7,DU$7,$J78:DU78)</f>
        <v>0</v>
      </c>
      <c r="DV79" s="47" t="n">
        <f aca="false">DV20*SUMIF($J$7:DV$7,DV$7,$J78:DV78)</f>
        <v>0</v>
      </c>
      <c r="DW79" s="47" t="n">
        <f aca="false">DW20*SUMIF($J$7:DW$7,DW$7,$J78:DW78)</f>
        <v>0</v>
      </c>
      <c r="DX79" s="47" t="n">
        <f aca="false">DX20*SUMIF($J$7:DX$7,DX$7,$J78:DX78)</f>
        <v>0</v>
      </c>
      <c r="DY79" s="47" t="n">
        <f aca="false">DY20*SUMIF($J$7:DY$7,DY$7,$J78:DY78)</f>
        <v>0</v>
      </c>
      <c r="DZ79" s="47" t="n">
        <f aca="false">DZ20*SUMIF($J$7:DZ$7,DZ$7,$J78:DZ78)</f>
        <v>0</v>
      </c>
      <c r="EA79" s="47" t="n">
        <f aca="false">EA20*SUMIF($J$7:EA$7,EA$7,$J78:EA78)</f>
        <v>0</v>
      </c>
      <c r="EB79" s="47" t="n">
        <f aca="false">EB20*SUMIF($J$7:EB$7,EB$7,$J78:EB78)</f>
        <v>0</v>
      </c>
      <c r="EC79" s="47" t="n">
        <f aca="false">EC20*SUMIF($J$7:EC$7,EC$7,$J78:EC78)</f>
        <v>0</v>
      </c>
      <c r="ED79" s="47" t="n">
        <f aca="false">ED20*SUMIF($J$7:ED$7,ED$7,$J78:ED78)</f>
        <v>0</v>
      </c>
      <c r="EE79" s="47" t="n">
        <f aca="false">EE20*SUMIF($J$7:EE$7,EE$7,$J78:EE78)</f>
        <v>0</v>
      </c>
      <c r="EF79" s="47" t="n">
        <f aca="false">EF20*SUMIF($J$7:EF$7,EF$7,$J78:EF78)</f>
        <v>0</v>
      </c>
      <c r="EG79" s="47" t="n">
        <f aca="false">EG20*SUMIF($J$7:EG$7,EG$7,$J78:EG78)</f>
        <v>0</v>
      </c>
      <c r="EH79" s="47" t="n">
        <f aca="false">EH20*SUMIF($J$7:EH$7,EH$7,$J78:EH78)</f>
        <v>0</v>
      </c>
      <c r="EI79" s="47" t="n">
        <f aca="false">EI20*SUMIF($J$7:EI$7,EI$7,$J78:EI78)</f>
        <v>0</v>
      </c>
      <c r="EJ79" s="47" t="n">
        <f aca="false">EJ20*SUMIF($J$7:EJ$7,EJ$7,$J78:EJ78)</f>
        <v>0</v>
      </c>
      <c r="EK79" s="47" t="n">
        <f aca="false">EK20*SUMIF($J$7:EK$7,EK$7,$J78:EK78)</f>
        <v>0</v>
      </c>
      <c r="EL79" s="47" t="n">
        <f aca="false">EL20*SUMIF($J$7:EL$7,EL$7,$J78:EL78)</f>
        <v>0</v>
      </c>
      <c r="EM79" s="47" t="n">
        <f aca="false">EM20*SUMIF($J$7:EM$7,EM$7,$J78:EM78)</f>
        <v>0</v>
      </c>
      <c r="EN79" s="47" t="n">
        <f aca="false">EN20*SUMIF($J$7:EN$7,EN$7,$J78:EN78)</f>
        <v>0</v>
      </c>
      <c r="EO79" s="47" t="n">
        <f aca="false">EO20*SUMIF($J$7:EO$7,EO$7,$J78:EO78)</f>
        <v>0</v>
      </c>
      <c r="EP79" s="47" t="n">
        <f aca="false">EP20*SUMIF($J$7:EP$7,EP$7,$J78:EP78)</f>
        <v>0</v>
      </c>
      <c r="EQ79" s="47" t="n">
        <f aca="false">EQ20*SUMIF($J$7:EQ$7,EQ$7,$J78:EQ78)</f>
        <v>0</v>
      </c>
      <c r="ER79" s="47" t="n">
        <f aca="false">ER20*SUMIF($J$7:ER$7,ER$7,$J78:ER78)</f>
        <v>0</v>
      </c>
      <c r="ES79" s="47" t="n">
        <f aca="false">ES20*SUMIF($J$7:ES$7,ES$7,$J78:ES78)</f>
        <v>0</v>
      </c>
      <c r="ET79" s="47" t="n">
        <f aca="false">ET20*SUMIF($J$7:ET$7,ET$7,$J78:ET78)</f>
        <v>0</v>
      </c>
    </row>
    <row r="80" customFormat="false" ht="15" hidden="false" customHeight="false" outlineLevel="0" collapsed="false">
      <c r="C80" s="1" t="s">
        <v>497</v>
      </c>
      <c r="D80" s="12" t="s">
        <v>222</v>
      </c>
      <c r="I80" s="57"/>
      <c r="J80" s="47" t="n">
        <f aca="false">J77-J57+J79</f>
        <v>0</v>
      </c>
      <c r="K80" s="47" t="n">
        <f aca="false">K77-K57+K79</f>
        <v>187.51993995121</v>
      </c>
      <c r="L80" s="47" t="n">
        <f aca="false">L77-L57+L79</f>
        <v>775.964460499156</v>
      </c>
      <c r="M80" s="47" t="n">
        <f aca="false">M77-M57+M79</f>
        <v>819.800076937512</v>
      </c>
      <c r="N80" s="47" t="n">
        <f aca="false">N77-N57+N79</f>
        <v>863.635693375868</v>
      </c>
      <c r="O80" s="47" t="n">
        <f aca="false">O77-O57+O79</f>
        <v>1195.18381497467</v>
      </c>
      <c r="P80" s="47" t="n">
        <f aca="false">P77-P57+P79</f>
        <v>2485.22560977478</v>
      </c>
      <c r="Q80" s="47" t="n">
        <f aca="false">Q77-Q57+Q79</f>
        <v>2489.83519881588</v>
      </c>
      <c r="R80" s="47" t="n">
        <f aca="false">R77-R57+R79</f>
        <v>2653.92670879631</v>
      </c>
      <c r="S80" s="47" t="n">
        <f aca="false">S77-S57+S79</f>
        <v>3458.61440309663</v>
      </c>
      <c r="T80" s="47" t="n">
        <f aca="false">T77-T57+T79</f>
        <v>3763.27193734321</v>
      </c>
      <c r="U80" s="47" t="n">
        <f aca="false">U77-U57+U79</f>
        <v>3763.27193734321</v>
      </c>
      <c r="V80" s="47" t="n">
        <f aca="false">V77-V57+V79</f>
        <v>3763.27193734321</v>
      </c>
      <c r="W80" s="47" t="n">
        <f aca="false">W77-W57+W79</f>
        <v>4125.06913837992</v>
      </c>
      <c r="X80" s="47" t="n">
        <f aca="false">X77-X57+X79</f>
        <v>4125.06913837992</v>
      </c>
      <c r="Y80" s="47" t="n">
        <f aca="false">Y77-Y57+Y79</f>
        <v>4125.06913837992</v>
      </c>
      <c r="Z80" s="47" t="n">
        <f aca="false">Z77-Z57+Z79</f>
        <v>4125.06913837992</v>
      </c>
      <c r="AA80" s="47" t="n">
        <f aca="false">AA77-AA57+AA79</f>
        <v>4950.0829660559</v>
      </c>
      <c r="AB80" s="47" t="n">
        <f aca="false">AB77-AB57+AB79</f>
        <v>4950.0829660559</v>
      </c>
      <c r="AC80" s="47" t="n">
        <f aca="false">AC77-AC57+AC79</f>
        <v>4950.0829660559</v>
      </c>
      <c r="AD80" s="47" t="n">
        <f aca="false">AD77-AD57+AD79</f>
        <v>4950.0829660559</v>
      </c>
      <c r="AE80" s="47" t="n">
        <f aca="false">AE77-AE57+AE79</f>
        <v>5690.56113029331</v>
      </c>
      <c r="AF80" s="47" t="n">
        <f aca="false">AF77-AF57+AF79</f>
        <v>5690.56113029331</v>
      </c>
      <c r="AG80" s="47" t="n">
        <f aca="false">AG77-AG57+AG79</f>
        <v>5690.56113029331</v>
      </c>
      <c r="AH80" s="47" t="n">
        <f aca="false">AH77-AH57+AH79</f>
        <v>5690.56113029331</v>
      </c>
      <c r="AI80" s="47" t="n">
        <f aca="false">AI77-AI57+AI79</f>
        <v>5690.56113029331</v>
      </c>
      <c r="AJ80" s="47" t="n">
        <f aca="false">AJ77-AJ57+AJ79</f>
        <v>5690.56113029331</v>
      </c>
      <c r="AK80" s="47" t="n">
        <f aca="false">AK77-AK57+AK79</f>
        <v>5690.56113029331</v>
      </c>
      <c r="AL80" s="47" t="n">
        <f aca="false">AL77-AL57+AL79</f>
        <v>5690.56113029331</v>
      </c>
      <c r="AM80" s="47" t="n">
        <f aca="false">AM77-AM57+AM79</f>
        <v>5690.56113029331</v>
      </c>
      <c r="AN80" s="47" t="n">
        <f aca="false">AN77-AN57+AN79</f>
        <v>5690.56113029331</v>
      </c>
      <c r="AO80" s="47" t="n">
        <f aca="false">AO77-AO57+AO79</f>
        <v>5690.56113029331</v>
      </c>
      <c r="AP80" s="47" t="n">
        <f aca="false">AP77-AP57+AP79</f>
        <v>5690.56113029331</v>
      </c>
      <c r="AQ80" s="47" t="n">
        <f aca="false">AQ77-AQ57+AQ79</f>
        <v>5690.56113029331</v>
      </c>
      <c r="AR80" s="47" t="n">
        <f aca="false">AR77-AR57+AR79</f>
        <v>5690.56113029331</v>
      </c>
      <c r="AS80" s="47" t="n">
        <f aca="false">AS77-AS57+AS79</f>
        <v>5690.56113029331</v>
      </c>
      <c r="AT80" s="47" t="n">
        <f aca="false">AT77-AT57+AT79</f>
        <v>5690.56113029331</v>
      </c>
      <c r="AU80" s="47" t="n">
        <f aca="false">AU77-AU57+AU79</f>
        <v>5690.56113029331</v>
      </c>
      <c r="AV80" s="47" t="n">
        <f aca="false">AV77-AV57+AV79</f>
        <v>5690.56113029331</v>
      </c>
      <c r="AW80" s="47" t="n">
        <f aca="false">AW77-AW57+AW79</f>
        <v>5690.56113029331</v>
      </c>
      <c r="AX80" s="47" t="n">
        <f aca="false">AX77-AX57+AX79</f>
        <v>5690.56113029331</v>
      </c>
      <c r="AY80" s="47" t="n">
        <f aca="false">AY77-AY57+AY79</f>
        <v>5690.56113029331</v>
      </c>
      <c r="AZ80" s="47" t="n">
        <f aca="false">AZ77-AZ57+AZ79</f>
        <v>5690.56113029331</v>
      </c>
      <c r="BA80" s="47" t="n">
        <f aca="false">BA77-BA57+BA79</f>
        <v>5690.56113029331</v>
      </c>
      <c r="BB80" s="47" t="n">
        <f aca="false">BB77-BB57+BB79</f>
        <v>5690.56113029331</v>
      </c>
      <c r="BC80" s="47" t="n">
        <f aca="false">BC77-BC57+BC79</f>
        <v>5690.56113029331</v>
      </c>
      <c r="BD80" s="47" t="n">
        <f aca="false">BD77-BD57+BD79</f>
        <v>5690.56113029331</v>
      </c>
      <c r="BE80" s="47" t="n">
        <f aca="false">BE77-BE57+BE79</f>
        <v>5690.56113029331</v>
      </c>
      <c r="BF80" s="47" t="n">
        <f aca="false">BF77-BF57+BF79</f>
        <v>5690.56113029331</v>
      </c>
      <c r="BG80" s="47" t="n">
        <f aca="false">BG77-BG57+BG79</f>
        <v>5690.56113029331</v>
      </c>
      <c r="BH80" s="47" t="n">
        <f aca="false">BH77-BH57+BH79</f>
        <v>5690.56113029331</v>
      </c>
      <c r="BI80" s="47" t="n">
        <f aca="false">BI77-BI57+BI79</f>
        <v>5690.56113029331</v>
      </c>
      <c r="BJ80" s="47" t="n">
        <f aca="false">BJ77-BJ57+BJ79</f>
        <v>5690.56113029331</v>
      </c>
      <c r="BK80" s="47" t="n">
        <f aca="false">BK77-BK57+BK79</f>
        <v>5690.56113029331</v>
      </c>
      <c r="BL80" s="47" t="n">
        <f aca="false">BL77-BL57+BL79</f>
        <v>5690.56113029331</v>
      </c>
      <c r="BM80" s="47" t="n">
        <f aca="false">BM77-BM57+BM79</f>
        <v>5690.56113029331</v>
      </c>
      <c r="BN80" s="47" t="n">
        <f aca="false">BN77-BN57+BN79</f>
        <v>5690.56113029331</v>
      </c>
      <c r="BO80" s="47" t="n">
        <f aca="false">BO77-BO57+BO79</f>
        <v>5690.56113029331</v>
      </c>
      <c r="BP80" s="47" t="n">
        <f aca="false">BP77-BP57+BP79</f>
        <v>5690.56113029331</v>
      </c>
      <c r="BQ80" s="47" t="n">
        <f aca="false">BQ77-BQ57+BQ79</f>
        <v>5690.56113029331</v>
      </c>
      <c r="BR80" s="47" t="n">
        <f aca="false">BR77-BR57+BR79</f>
        <v>5690.56113029331</v>
      </c>
      <c r="BS80" s="47" t="n">
        <f aca="false">BS77-BS57+BS79</f>
        <v>5690.56113029331</v>
      </c>
      <c r="BT80" s="47" t="n">
        <f aca="false">BT77-BT57+BT79</f>
        <v>5690.56113029331</v>
      </c>
      <c r="BU80" s="47" t="n">
        <f aca="false">BU77-BU57+BU79</f>
        <v>5690.56113029331</v>
      </c>
      <c r="BV80" s="47" t="n">
        <f aca="false">BV77-BV57+BV79</f>
        <v>5690.56113029331</v>
      </c>
      <c r="BW80" s="47" t="n">
        <f aca="false">BW77-BW57+BW79</f>
        <v>5690.56113029331</v>
      </c>
      <c r="BX80" s="47" t="n">
        <f aca="false">BX77-BX57+BX79</f>
        <v>5690.56113029331</v>
      </c>
      <c r="BY80" s="47" t="n">
        <f aca="false">BY77-BY57+BY79</f>
        <v>5690.56113029331</v>
      </c>
      <c r="BZ80" s="47" t="n">
        <f aca="false">BZ77-BZ57+BZ79</f>
        <v>5690.56113029331</v>
      </c>
      <c r="CA80" s="47" t="n">
        <f aca="false">CA77-CA57+CA79</f>
        <v>5690.56113029331</v>
      </c>
      <c r="CB80" s="47" t="n">
        <f aca="false">CB77-CB57+CB79</f>
        <v>5690.56113029331</v>
      </c>
      <c r="CC80" s="47" t="n">
        <f aca="false">CC77-CC57+CC79</f>
        <v>5690.56113029331</v>
      </c>
      <c r="CD80" s="47" t="n">
        <f aca="false">CD77-CD57+CD79</f>
        <v>5690.56113029331</v>
      </c>
      <c r="CE80" s="47" t="n">
        <f aca="false">CE77-CE57+CE79</f>
        <v>5690.56113029331</v>
      </c>
      <c r="CF80" s="47" t="n">
        <f aca="false">CF77-CF57+CF79</f>
        <v>5690.56113029331</v>
      </c>
      <c r="CG80" s="47" t="n">
        <f aca="false">CG77-CG57+CG79</f>
        <v>5690.56113029331</v>
      </c>
      <c r="CH80" s="47" t="n">
        <f aca="false">CH77-CH57+CH79</f>
        <v>5690.56113029331</v>
      </c>
      <c r="CI80" s="47" t="n">
        <f aca="false">CI77-CI57+CI79</f>
        <v>5690.56113029331</v>
      </c>
      <c r="CJ80" s="47" t="n">
        <f aca="false">CJ77-CJ57+CJ79</f>
        <v>5690.56113029331</v>
      </c>
      <c r="CK80" s="47" t="n">
        <f aca="false">CK77-CK57+CK79</f>
        <v>5690.56113029331</v>
      </c>
      <c r="CL80" s="47" t="n">
        <f aca="false">CL77-CL57+CL79</f>
        <v>5690.56113029331</v>
      </c>
      <c r="CM80" s="47" t="n">
        <f aca="false">CM77-CM57+CM79</f>
        <v>5690.56113029331</v>
      </c>
      <c r="CN80" s="47" t="n">
        <f aca="false">CN77-CN57+CN79</f>
        <v>5690.56113029331</v>
      </c>
      <c r="CO80" s="47" t="n">
        <f aca="false">CO77-CO57+CO79</f>
        <v>5690.56113029331</v>
      </c>
      <c r="CP80" s="47" t="n">
        <f aca="false">CP77-CP57+CP79</f>
        <v>5690.56113029331</v>
      </c>
      <c r="CQ80" s="47" t="n">
        <f aca="false">CQ77-CQ57+CQ79</f>
        <v>5690.56113029331</v>
      </c>
      <c r="CR80" s="47" t="n">
        <f aca="false">CR77-CR57+CR79</f>
        <v>5690.56113029331</v>
      </c>
      <c r="CS80" s="47" t="n">
        <f aca="false">CS77-CS57+CS79</f>
        <v>5690.56113029331</v>
      </c>
      <c r="CT80" s="47" t="n">
        <f aca="false">CT77-CT57+CT79</f>
        <v>5690.56113029331</v>
      </c>
      <c r="CU80" s="47" t="n">
        <f aca="false">CU77-CU57+CU79</f>
        <v>5690.56113029331</v>
      </c>
      <c r="CV80" s="47" t="n">
        <f aca="false">CV77-CV57+CV79</f>
        <v>5690.56113029331</v>
      </c>
      <c r="CW80" s="47" t="n">
        <f aca="false">CW77-CW57+CW79</f>
        <v>5690.56113029331</v>
      </c>
      <c r="CX80" s="47" t="n">
        <f aca="false">CX77-CX57+CX79</f>
        <v>5690.56113029331</v>
      </c>
      <c r="CY80" s="47" t="n">
        <f aca="false">CY77-CY57+CY79</f>
        <v>5690.56113029331</v>
      </c>
      <c r="CZ80" s="47" t="n">
        <f aca="false">CZ77-CZ57+CZ79</f>
        <v>5690.56113029331</v>
      </c>
      <c r="DA80" s="47" t="n">
        <f aca="false">DA77-DA57+DA79</f>
        <v>5690.56113029331</v>
      </c>
      <c r="DB80" s="47" t="n">
        <f aca="false">DB77-DB57+DB79</f>
        <v>5690.56113029331</v>
      </c>
      <c r="DC80" s="47" t="n">
        <f aca="false">DC77-DC57+DC79</f>
        <v>5690.56113029331</v>
      </c>
      <c r="DD80" s="47" t="n">
        <f aca="false">DD77-DD57+DD79</f>
        <v>5690.56113029331</v>
      </c>
      <c r="DE80" s="47" t="n">
        <f aca="false">DE77-DE57+DE79</f>
        <v>5690.56113029331</v>
      </c>
      <c r="DF80" s="47" t="n">
        <f aca="false">DF77-DF57+DF79</f>
        <v>5690.56113029331</v>
      </c>
      <c r="DG80" s="47" t="n">
        <f aca="false">DG77-DG57+DG79</f>
        <v>5690.56113029331</v>
      </c>
      <c r="DH80" s="47" t="n">
        <f aca="false">DH77-DH57+DH79</f>
        <v>5690.56113029331</v>
      </c>
      <c r="DI80" s="47" t="n">
        <f aca="false">DI77-DI57+DI79</f>
        <v>5690.56113029331</v>
      </c>
      <c r="DJ80" s="47" t="n">
        <f aca="false">DJ77-DJ57+DJ79</f>
        <v>5690.56113029331</v>
      </c>
      <c r="DK80" s="47" t="n">
        <f aca="false">DK77-DK57+DK79</f>
        <v>5690.56113029331</v>
      </c>
      <c r="DL80" s="47" t="n">
        <f aca="false">DL77-DL57+DL79</f>
        <v>5690.56113029331</v>
      </c>
      <c r="DM80" s="47" t="n">
        <f aca="false">DM77-DM57+DM79</f>
        <v>5690.56113029331</v>
      </c>
      <c r="DN80" s="47" t="n">
        <f aca="false">DN77-DN57+DN79</f>
        <v>5690.56113029331</v>
      </c>
      <c r="DO80" s="47" t="n">
        <f aca="false">DO77-DO57+DO79</f>
        <v>5690.56113029331</v>
      </c>
      <c r="DP80" s="47" t="n">
        <f aca="false">DP77-DP57+DP79</f>
        <v>5690.56113029331</v>
      </c>
      <c r="DQ80" s="47" t="n">
        <f aca="false">DQ77-DQ57+DQ79</f>
        <v>5690.56113029331</v>
      </c>
      <c r="DR80" s="47" t="n">
        <f aca="false">DR77-DR57+DR79</f>
        <v>5690.56113029331</v>
      </c>
      <c r="DS80" s="47" t="n">
        <f aca="false">DS77-DS57+DS79</f>
        <v>5690.56113029331</v>
      </c>
      <c r="DT80" s="47" t="n">
        <f aca="false">DT77-DT57+DT79</f>
        <v>5690.56113029331</v>
      </c>
      <c r="DU80" s="47" t="n">
        <f aca="false">DU77-DU57+DU79</f>
        <v>5690.56113029331</v>
      </c>
      <c r="DV80" s="47" t="n">
        <f aca="false">DV77-DV57+DV79</f>
        <v>5690.56113029331</v>
      </c>
      <c r="DW80" s="47" t="n">
        <f aca="false">DW77-DW57+DW79</f>
        <v>5690.56113029331</v>
      </c>
      <c r="DX80" s="47" t="n">
        <f aca="false">DX77-DX57+DX79</f>
        <v>5690.56113029331</v>
      </c>
      <c r="DY80" s="47" t="n">
        <f aca="false">DY77-DY57+DY79</f>
        <v>5690.56113029331</v>
      </c>
      <c r="DZ80" s="47" t="n">
        <f aca="false">DZ77-DZ57+DZ79</f>
        <v>5690.56113029331</v>
      </c>
      <c r="EA80" s="47" t="n">
        <f aca="false">EA77-EA57+EA79</f>
        <v>5690.56113029331</v>
      </c>
      <c r="EB80" s="47" t="n">
        <f aca="false">EB77-EB57+EB79</f>
        <v>5690.56113029331</v>
      </c>
      <c r="EC80" s="47" t="n">
        <f aca="false">EC77-EC57+EC79</f>
        <v>5690.56113029331</v>
      </c>
      <c r="ED80" s="47" t="n">
        <f aca="false">ED77-ED57+ED79</f>
        <v>5690.56113029331</v>
      </c>
      <c r="EE80" s="47" t="n">
        <f aca="false">EE77-EE57+EE79</f>
        <v>5690.56113029331</v>
      </c>
      <c r="EF80" s="47" t="n">
        <f aca="false">EF77-EF57+EF79</f>
        <v>5690.56113029331</v>
      </c>
      <c r="EG80" s="47" t="n">
        <f aca="false">EG77-EG57+EG79</f>
        <v>5690.56113029331</v>
      </c>
      <c r="EH80" s="47" t="n">
        <f aca="false">EH77-EH57+EH79</f>
        <v>5690.56113029331</v>
      </c>
      <c r="EI80" s="47" t="n">
        <f aca="false">EI77-EI57+EI79</f>
        <v>5690.56113029331</v>
      </c>
      <c r="EJ80" s="47" t="n">
        <f aca="false">EJ77-EJ57+EJ79</f>
        <v>5690.56113029331</v>
      </c>
      <c r="EK80" s="47" t="n">
        <f aca="false">EK77-EK57+EK79</f>
        <v>5690.56113029331</v>
      </c>
      <c r="EL80" s="47" t="n">
        <f aca="false">EL77-EL57+EL79</f>
        <v>5690.56113029331</v>
      </c>
      <c r="EM80" s="47" t="n">
        <f aca="false">EM77-EM57+EM79</f>
        <v>5690.56113029331</v>
      </c>
      <c r="EN80" s="47" t="n">
        <f aca="false">EN77-EN57+EN79</f>
        <v>5690.56113029331</v>
      </c>
      <c r="EO80" s="47" t="n">
        <f aca="false">EO77-EO57+EO79</f>
        <v>5690.56113029331</v>
      </c>
      <c r="EP80" s="47" t="n">
        <f aca="false">EP77-EP57+EP79</f>
        <v>5690.56113029331</v>
      </c>
      <c r="EQ80" s="47" t="n">
        <f aca="false">EQ77-EQ57+EQ79</f>
        <v>5690.56113029331</v>
      </c>
      <c r="ER80" s="47" t="n">
        <f aca="false">ER77-ER57+ER79</f>
        <v>5690.56113029331</v>
      </c>
      <c r="ES80" s="47" t="n">
        <f aca="false">ES77-ES57+ES79</f>
        <v>5690.56113029331</v>
      </c>
      <c r="ET80" s="47" t="n">
        <f aca="false">ET77-ET57+ET79</f>
        <v>5690.56113029331</v>
      </c>
    </row>
    <row r="82" customFormat="false" ht="15" hidden="false" customHeight="false" outlineLevel="0" collapsed="false">
      <c r="A82" s="10" t="s">
        <v>13</v>
      </c>
      <c r="B82" s="10"/>
      <c r="C82" s="10" t="s">
        <v>503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</row>
    <row r="83" customFormat="false" ht="15" hidden="false" customHeight="false" outlineLevel="0" collapsed="false">
      <c r="C83" s="1" t="s">
        <v>504</v>
      </c>
      <c r="D83" s="12" t="s">
        <v>35</v>
      </c>
      <c r="E83" s="48" t="n">
        <f aca="false">1-$F24/$E24</f>
        <v>0.285714285714286</v>
      </c>
      <c r="F83" s="48" t="n">
        <f aca="false">(1-In_BESS_Built)*($E25&gt;0)</f>
        <v>0</v>
      </c>
    </row>
    <row r="84" customFormat="false" ht="15" hidden="false" customHeight="false" outlineLevel="0" collapsed="false">
      <c r="C84" s="1" t="s">
        <v>505</v>
      </c>
      <c r="D84" s="12" t="s">
        <v>222</v>
      </c>
      <c r="E84" s="47" t="n">
        <f aca="false">$E49*$E24*In_Bench_Wind/$E45</f>
        <v>3893.15068493151</v>
      </c>
      <c r="F84" s="47" t="n">
        <f aca="false">$E49-$E84</f>
        <v>2191.78082191781</v>
      </c>
    </row>
    <row r="85" customFormat="false" ht="15" hidden="false" customHeight="false" outlineLevel="0" collapsed="false">
      <c r="C85" s="1" t="s">
        <v>506</v>
      </c>
      <c r="D85" s="12" t="s">
        <v>222</v>
      </c>
      <c r="E85" s="47" t="n">
        <f aca="false">($E83&gt;In_Tolerance_Cap)*$E83*$E84+($F83&gt;In_Tolerance_Cap)*$F83*$F84</f>
        <v>1112.32876712329</v>
      </c>
      <c r="F85" s="47" t="n">
        <f aca="false">($E83+$F83&gt;0)*$E49</f>
        <v>6084.93150684932</v>
      </c>
    </row>
    <row r="86" customFormat="false" ht="15" hidden="false" customHeight="false" outlineLevel="0" collapsed="false">
      <c r="C86" s="1" t="s">
        <v>507</v>
      </c>
      <c r="D86" s="12" t="s">
        <v>222</v>
      </c>
      <c r="E86" s="44" t="n">
        <f aca="false">EDATE(In_COD,In_Sanction_Lag)</f>
        <v>48303</v>
      </c>
      <c r="I86" s="47" t="n">
        <f aca="false">SUM(J86:ET86)</f>
        <v>-1112.32876712329</v>
      </c>
      <c r="J86" s="47" t="n">
        <f aca="false">-CHOOSE(In_Sanction_Regime,$E85,$F85)*N(AND(J$3&lt;=$E86,J$4&gt;=$E86))</f>
        <v>-0</v>
      </c>
      <c r="K86" s="47" t="n">
        <f aca="false">-CHOOSE(In_Sanction_Regime,$E85,$F85)*N(AND(K$3&lt;=$E86,K$4&gt;=$E86))</f>
        <v>-0</v>
      </c>
      <c r="L86" s="47" t="n">
        <f aca="false">-CHOOSE(In_Sanction_Regime,$E85,$F85)*N(AND(L$3&lt;=$E86,L$4&gt;=$E86))</f>
        <v>-0</v>
      </c>
      <c r="M86" s="47" t="n">
        <f aca="false">-CHOOSE(In_Sanction_Regime,$E85,$F85)*N(AND(M$3&lt;=$E86,M$4&gt;=$E86))</f>
        <v>-0</v>
      </c>
      <c r="N86" s="47" t="n">
        <f aca="false">-CHOOSE(In_Sanction_Regime,$E85,$F85)*N(AND(N$3&lt;=$E86,N$4&gt;=$E86))</f>
        <v>-0</v>
      </c>
      <c r="O86" s="47" t="n">
        <f aca="false">-CHOOSE(In_Sanction_Regime,$E85,$F85)*N(AND(O$3&lt;=$E86,O$4&gt;=$E86))</f>
        <v>-0</v>
      </c>
      <c r="P86" s="47" t="n">
        <f aca="false">-CHOOSE(In_Sanction_Regime,$E85,$F85)*N(AND(P$3&lt;=$E86,P$4&gt;=$E86))</f>
        <v>-0</v>
      </c>
      <c r="Q86" s="47" t="n">
        <f aca="false">-CHOOSE(In_Sanction_Regime,$E85,$F85)*N(AND(Q$3&lt;=$E86,Q$4&gt;=$E86))</f>
        <v>-0</v>
      </c>
      <c r="R86" s="47" t="n">
        <f aca="false">-CHOOSE(In_Sanction_Regime,$E85,$F85)*N(AND(R$3&lt;=$E86,R$4&gt;=$E86))</f>
        <v>-0</v>
      </c>
      <c r="S86" s="47" t="n">
        <f aca="false">-CHOOSE(In_Sanction_Regime,$E85,$F85)*N(AND(S$3&lt;=$E86,S$4&gt;=$E86))</f>
        <v>-0</v>
      </c>
      <c r="T86" s="47" t="n">
        <f aca="false">-CHOOSE(In_Sanction_Regime,$E85,$F85)*N(AND(T$3&lt;=$E86,T$4&gt;=$E86))</f>
        <v>-0</v>
      </c>
      <c r="U86" s="47" t="n">
        <f aca="false">-CHOOSE(In_Sanction_Regime,$E85,$F85)*N(AND(U$3&lt;=$E86,U$4&gt;=$E86))</f>
        <v>-0</v>
      </c>
      <c r="V86" s="47" t="n">
        <f aca="false">-CHOOSE(In_Sanction_Regime,$E85,$F85)*N(AND(V$3&lt;=$E86,V$4&gt;=$E86))</f>
        <v>-0</v>
      </c>
      <c r="W86" s="47" t="n">
        <f aca="false">-CHOOSE(In_Sanction_Regime,$E85,$F85)*N(AND(W$3&lt;=$E86,W$4&gt;=$E86))</f>
        <v>-0</v>
      </c>
      <c r="X86" s="47" t="n">
        <f aca="false">-CHOOSE(In_Sanction_Regime,$E85,$F85)*N(AND(X$3&lt;=$E86,X$4&gt;=$E86))</f>
        <v>-0</v>
      </c>
      <c r="Y86" s="47" t="n">
        <f aca="false">-CHOOSE(In_Sanction_Regime,$E85,$F85)*N(AND(Y$3&lt;=$E86,Y$4&gt;=$E86))</f>
        <v>-0</v>
      </c>
      <c r="Z86" s="47" t="n">
        <f aca="false">-CHOOSE(In_Sanction_Regime,$E85,$F85)*N(AND(Z$3&lt;=$E86,Z$4&gt;=$E86))</f>
        <v>-0</v>
      </c>
      <c r="AA86" s="47" t="n">
        <f aca="false">-CHOOSE(In_Sanction_Regime,$E85,$F85)*N(AND(AA$3&lt;=$E86,AA$4&gt;=$E86))</f>
        <v>-0</v>
      </c>
      <c r="AB86" s="47" t="n">
        <f aca="false">-CHOOSE(In_Sanction_Regime,$E85,$F85)*N(AND(AB$3&lt;=$E86,AB$4&gt;=$E86))</f>
        <v>-0</v>
      </c>
      <c r="AC86" s="47" t="n">
        <f aca="false">-CHOOSE(In_Sanction_Regime,$E85,$F85)*N(AND(AC$3&lt;=$E86,AC$4&gt;=$E86))</f>
        <v>-0</v>
      </c>
      <c r="AD86" s="47" t="n">
        <f aca="false">-CHOOSE(In_Sanction_Regime,$E85,$F85)*N(AND(AD$3&lt;=$E86,AD$4&gt;=$E86))</f>
        <v>-0</v>
      </c>
      <c r="AE86" s="47" t="n">
        <f aca="false">-CHOOSE(In_Sanction_Regime,$E85,$F85)*N(AND(AE$3&lt;=$E86,AE$4&gt;=$E86))</f>
        <v>-0</v>
      </c>
      <c r="AF86" s="47" t="n">
        <f aca="false">-CHOOSE(In_Sanction_Regime,$E85,$F85)*N(AND(AF$3&lt;=$E86,AF$4&gt;=$E86))</f>
        <v>-1112.32876712329</v>
      </c>
      <c r="AG86" s="47" t="n">
        <f aca="false">-CHOOSE(In_Sanction_Regime,$E85,$F85)*N(AND(AG$3&lt;=$E86,AG$4&gt;=$E86))</f>
        <v>-0</v>
      </c>
      <c r="AH86" s="47" t="n">
        <f aca="false">-CHOOSE(In_Sanction_Regime,$E85,$F85)*N(AND(AH$3&lt;=$E86,AH$4&gt;=$E86))</f>
        <v>-0</v>
      </c>
      <c r="AI86" s="47" t="n">
        <f aca="false">-CHOOSE(In_Sanction_Regime,$E85,$F85)*N(AND(AI$3&lt;=$E86,AI$4&gt;=$E86))</f>
        <v>-0</v>
      </c>
      <c r="AJ86" s="47" t="n">
        <f aca="false">-CHOOSE(In_Sanction_Regime,$E85,$F85)*N(AND(AJ$3&lt;=$E86,AJ$4&gt;=$E86))</f>
        <v>-0</v>
      </c>
      <c r="AK86" s="47" t="n">
        <f aca="false">-CHOOSE(In_Sanction_Regime,$E85,$F85)*N(AND(AK$3&lt;=$E86,AK$4&gt;=$E86))</f>
        <v>-0</v>
      </c>
      <c r="AL86" s="47" t="n">
        <f aca="false">-CHOOSE(In_Sanction_Regime,$E85,$F85)*N(AND(AL$3&lt;=$E86,AL$4&gt;=$E86))</f>
        <v>-0</v>
      </c>
      <c r="AM86" s="47" t="n">
        <f aca="false">-CHOOSE(In_Sanction_Regime,$E85,$F85)*N(AND(AM$3&lt;=$E86,AM$4&gt;=$E86))</f>
        <v>-0</v>
      </c>
      <c r="AN86" s="47" t="n">
        <f aca="false">-CHOOSE(In_Sanction_Regime,$E85,$F85)*N(AND(AN$3&lt;=$E86,AN$4&gt;=$E86))</f>
        <v>-0</v>
      </c>
      <c r="AO86" s="47" t="n">
        <f aca="false">-CHOOSE(In_Sanction_Regime,$E85,$F85)*N(AND(AO$3&lt;=$E86,AO$4&gt;=$E86))</f>
        <v>-0</v>
      </c>
      <c r="AP86" s="47" t="n">
        <f aca="false">-CHOOSE(In_Sanction_Regime,$E85,$F85)*N(AND(AP$3&lt;=$E86,AP$4&gt;=$E86))</f>
        <v>-0</v>
      </c>
      <c r="AQ86" s="47" t="n">
        <f aca="false">-CHOOSE(In_Sanction_Regime,$E85,$F85)*N(AND(AQ$3&lt;=$E86,AQ$4&gt;=$E86))</f>
        <v>-0</v>
      </c>
      <c r="AR86" s="47" t="n">
        <f aca="false">-CHOOSE(In_Sanction_Regime,$E85,$F85)*N(AND(AR$3&lt;=$E86,AR$4&gt;=$E86))</f>
        <v>-0</v>
      </c>
      <c r="AS86" s="47" t="n">
        <f aca="false">-CHOOSE(In_Sanction_Regime,$E85,$F85)*N(AND(AS$3&lt;=$E86,AS$4&gt;=$E86))</f>
        <v>-0</v>
      </c>
      <c r="AT86" s="47" t="n">
        <f aca="false">-CHOOSE(In_Sanction_Regime,$E85,$F85)*N(AND(AT$3&lt;=$E86,AT$4&gt;=$E86))</f>
        <v>-0</v>
      </c>
      <c r="AU86" s="47" t="n">
        <f aca="false">-CHOOSE(In_Sanction_Regime,$E85,$F85)*N(AND(AU$3&lt;=$E86,AU$4&gt;=$E86))</f>
        <v>-0</v>
      </c>
      <c r="AV86" s="47" t="n">
        <f aca="false">-CHOOSE(In_Sanction_Regime,$E85,$F85)*N(AND(AV$3&lt;=$E86,AV$4&gt;=$E86))</f>
        <v>-0</v>
      </c>
      <c r="AW86" s="47" t="n">
        <f aca="false">-CHOOSE(In_Sanction_Regime,$E85,$F85)*N(AND(AW$3&lt;=$E86,AW$4&gt;=$E86))</f>
        <v>-0</v>
      </c>
      <c r="AX86" s="47" t="n">
        <f aca="false">-CHOOSE(In_Sanction_Regime,$E85,$F85)*N(AND(AX$3&lt;=$E86,AX$4&gt;=$E86))</f>
        <v>-0</v>
      </c>
      <c r="AY86" s="47" t="n">
        <f aca="false">-CHOOSE(In_Sanction_Regime,$E85,$F85)*N(AND(AY$3&lt;=$E86,AY$4&gt;=$E86))</f>
        <v>-0</v>
      </c>
      <c r="AZ86" s="47" t="n">
        <f aca="false">-CHOOSE(In_Sanction_Regime,$E85,$F85)*N(AND(AZ$3&lt;=$E86,AZ$4&gt;=$E86))</f>
        <v>-0</v>
      </c>
      <c r="BA86" s="47" t="n">
        <f aca="false">-CHOOSE(In_Sanction_Regime,$E85,$F85)*N(AND(BA$3&lt;=$E86,BA$4&gt;=$E86))</f>
        <v>-0</v>
      </c>
      <c r="BB86" s="47" t="n">
        <f aca="false">-CHOOSE(In_Sanction_Regime,$E85,$F85)*N(AND(BB$3&lt;=$E86,BB$4&gt;=$E86))</f>
        <v>-0</v>
      </c>
      <c r="BC86" s="47" t="n">
        <f aca="false">-CHOOSE(In_Sanction_Regime,$E85,$F85)*N(AND(BC$3&lt;=$E86,BC$4&gt;=$E86))</f>
        <v>-0</v>
      </c>
      <c r="BD86" s="47" t="n">
        <f aca="false">-CHOOSE(In_Sanction_Regime,$E85,$F85)*N(AND(BD$3&lt;=$E86,BD$4&gt;=$E86))</f>
        <v>-0</v>
      </c>
      <c r="BE86" s="47" t="n">
        <f aca="false">-CHOOSE(In_Sanction_Regime,$E85,$F85)*N(AND(BE$3&lt;=$E86,BE$4&gt;=$E86))</f>
        <v>-0</v>
      </c>
      <c r="BF86" s="47" t="n">
        <f aca="false">-CHOOSE(In_Sanction_Regime,$E85,$F85)*N(AND(BF$3&lt;=$E86,BF$4&gt;=$E86))</f>
        <v>-0</v>
      </c>
      <c r="BG86" s="47" t="n">
        <f aca="false">-CHOOSE(In_Sanction_Regime,$E85,$F85)*N(AND(BG$3&lt;=$E86,BG$4&gt;=$E86))</f>
        <v>-0</v>
      </c>
      <c r="BH86" s="47" t="n">
        <f aca="false">-CHOOSE(In_Sanction_Regime,$E85,$F85)*N(AND(BH$3&lt;=$E86,BH$4&gt;=$E86))</f>
        <v>-0</v>
      </c>
      <c r="BI86" s="47" t="n">
        <f aca="false">-CHOOSE(In_Sanction_Regime,$E85,$F85)*N(AND(BI$3&lt;=$E86,BI$4&gt;=$E86))</f>
        <v>-0</v>
      </c>
      <c r="BJ86" s="47" t="n">
        <f aca="false">-CHOOSE(In_Sanction_Regime,$E85,$F85)*N(AND(BJ$3&lt;=$E86,BJ$4&gt;=$E86))</f>
        <v>-0</v>
      </c>
      <c r="BK86" s="47" t="n">
        <f aca="false">-CHOOSE(In_Sanction_Regime,$E85,$F85)*N(AND(BK$3&lt;=$E86,BK$4&gt;=$E86))</f>
        <v>-0</v>
      </c>
      <c r="BL86" s="47" t="n">
        <f aca="false">-CHOOSE(In_Sanction_Regime,$E85,$F85)*N(AND(BL$3&lt;=$E86,BL$4&gt;=$E86))</f>
        <v>-0</v>
      </c>
      <c r="BM86" s="47" t="n">
        <f aca="false">-CHOOSE(In_Sanction_Regime,$E85,$F85)*N(AND(BM$3&lt;=$E86,BM$4&gt;=$E86))</f>
        <v>-0</v>
      </c>
      <c r="BN86" s="47" t="n">
        <f aca="false">-CHOOSE(In_Sanction_Regime,$E85,$F85)*N(AND(BN$3&lt;=$E86,BN$4&gt;=$E86))</f>
        <v>-0</v>
      </c>
      <c r="BO86" s="47" t="n">
        <f aca="false">-CHOOSE(In_Sanction_Regime,$E85,$F85)*N(AND(BO$3&lt;=$E86,BO$4&gt;=$E86))</f>
        <v>-0</v>
      </c>
      <c r="BP86" s="47" t="n">
        <f aca="false">-CHOOSE(In_Sanction_Regime,$E85,$F85)*N(AND(BP$3&lt;=$E86,BP$4&gt;=$E86))</f>
        <v>-0</v>
      </c>
      <c r="BQ86" s="47" t="n">
        <f aca="false">-CHOOSE(In_Sanction_Regime,$E85,$F85)*N(AND(BQ$3&lt;=$E86,BQ$4&gt;=$E86))</f>
        <v>-0</v>
      </c>
      <c r="BR86" s="47" t="n">
        <f aca="false">-CHOOSE(In_Sanction_Regime,$E85,$F85)*N(AND(BR$3&lt;=$E86,BR$4&gt;=$E86))</f>
        <v>-0</v>
      </c>
      <c r="BS86" s="47" t="n">
        <f aca="false">-CHOOSE(In_Sanction_Regime,$E85,$F85)*N(AND(BS$3&lt;=$E86,BS$4&gt;=$E86))</f>
        <v>-0</v>
      </c>
      <c r="BT86" s="47" t="n">
        <f aca="false">-CHOOSE(In_Sanction_Regime,$E85,$F85)*N(AND(BT$3&lt;=$E86,BT$4&gt;=$E86))</f>
        <v>-0</v>
      </c>
      <c r="BU86" s="47" t="n">
        <f aca="false">-CHOOSE(In_Sanction_Regime,$E85,$F85)*N(AND(BU$3&lt;=$E86,BU$4&gt;=$E86))</f>
        <v>-0</v>
      </c>
      <c r="BV86" s="47" t="n">
        <f aca="false">-CHOOSE(In_Sanction_Regime,$E85,$F85)*N(AND(BV$3&lt;=$E86,BV$4&gt;=$E86))</f>
        <v>-0</v>
      </c>
      <c r="BW86" s="47" t="n">
        <f aca="false">-CHOOSE(In_Sanction_Regime,$E85,$F85)*N(AND(BW$3&lt;=$E86,BW$4&gt;=$E86))</f>
        <v>-0</v>
      </c>
      <c r="BX86" s="47" t="n">
        <f aca="false">-CHOOSE(In_Sanction_Regime,$E85,$F85)*N(AND(BX$3&lt;=$E86,BX$4&gt;=$E86))</f>
        <v>-0</v>
      </c>
      <c r="BY86" s="47" t="n">
        <f aca="false">-CHOOSE(In_Sanction_Regime,$E85,$F85)*N(AND(BY$3&lt;=$E86,BY$4&gt;=$E86))</f>
        <v>-0</v>
      </c>
      <c r="BZ86" s="47" t="n">
        <f aca="false">-CHOOSE(In_Sanction_Regime,$E85,$F85)*N(AND(BZ$3&lt;=$E86,BZ$4&gt;=$E86))</f>
        <v>-0</v>
      </c>
      <c r="CA86" s="47" t="n">
        <f aca="false">-CHOOSE(In_Sanction_Regime,$E85,$F85)*N(AND(CA$3&lt;=$E86,CA$4&gt;=$E86))</f>
        <v>-0</v>
      </c>
      <c r="CB86" s="47" t="n">
        <f aca="false">-CHOOSE(In_Sanction_Regime,$E85,$F85)*N(AND(CB$3&lt;=$E86,CB$4&gt;=$E86))</f>
        <v>-0</v>
      </c>
      <c r="CC86" s="47" t="n">
        <f aca="false">-CHOOSE(In_Sanction_Regime,$E85,$F85)*N(AND(CC$3&lt;=$E86,CC$4&gt;=$E86))</f>
        <v>-0</v>
      </c>
      <c r="CD86" s="47" t="n">
        <f aca="false">-CHOOSE(In_Sanction_Regime,$E85,$F85)*N(AND(CD$3&lt;=$E86,CD$4&gt;=$E86))</f>
        <v>-0</v>
      </c>
      <c r="CE86" s="47" t="n">
        <f aca="false">-CHOOSE(In_Sanction_Regime,$E85,$F85)*N(AND(CE$3&lt;=$E86,CE$4&gt;=$E86))</f>
        <v>-0</v>
      </c>
      <c r="CF86" s="47" t="n">
        <f aca="false">-CHOOSE(In_Sanction_Regime,$E85,$F85)*N(AND(CF$3&lt;=$E86,CF$4&gt;=$E86))</f>
        <v>-0</v>
      </c>
      <c r="CG86" s="47" t="n">
        <f aca="false">-CHOOSE(In_Sanction_Regime,$E85,$F85)*N(AND(CG$3&lt;=$E86,CG$4&gt;=$E86))</f>
        <v>-0</v>
      </c>
      <c r="CH86" s="47" t="n">
        <f aca="false">-CHOOSE(In_Sanction_Regime,$E85,$F85)*N(AND(CH$3&lt;=$E86,CH$4&gt;=$E86))</f>
        <v>-0</v>
      </c>
      <c r="CI86" s="47" t="n">
        <f aca="false">-CHOOSE(In_Sanction_Regime,$E85,$F85)*N(AND(CI$3&lt;=$E86,CI$4&gt;=$E86))</f>
        <v>-0</v>
      </c>
      <c r="CJ86" s="47" t="n">
        <f aca="false">-CHOOSE(In_Sanction_Regime,$E85,$F85)*N(AND(CJ$3&lt;=$E86,CJ$4&gt;=$E86))</f>
        <v>-0</v>
      </c>
      <c r="CK86" s="47" t="n">
        <f aca="false">-CHOOSE(In_Sanction_Regime,$E85,$F85)*N(AND(CK$3&lt;=$E86,CK$4&gt;=$E86))</f>
        <v>-0</v>
      </c>
      <c r="CL86" s="47" t="n">
        <f aca="false">-CHOOSE(In_Sanction_Regime,$E85,$F85)*N(AND(CL$3&lt;=$E86,CL$4&gt;=$E86))</f>
        <v>-0</v>
      </c>
      <c r="CM86" s="47" t="n">
        <f aca="false">-CHOOSE(In_Sanction_Regime,$E85,$F85)*N(AND(CM$3&lt;=$E86,CM$4&gt;=$E86))</f>
        <v>-0</v>
      </c>
      <c r="CN86" s="47" t="n">
        <f aca="false">-CHOOSE(In_Sanction_Regime,$E85,$F85)*N(AND(CN$3&lt;=$E86,CN$4&gt;=$E86))</f>
        <v>-0</v>
      </c>
      <c r="CO86" s="47" t="n">
        <f aca="false">-CHOOSE(In_Sanction_Regime,$E85,$F85)*N(AND(CO$3&lt;=$E86,CO$4&gt;=$E86))</f>
        <v>-0</v>
      </c>
      <c r="CP86" s="47" t="n">
        <f aca="false">-CHOOSE(In_Sanction_Regime,$E85,$F85)*N(AND(CP$3&lt;=$E86,CP$4&gt;=$E86))</f>
        <v>-0</v>
      </c>
      <c r="CQ86" s="47" t="n">
        <f aca="false">-CHOOSE(In_Sanction_Regime,$E85,$F85)*N(AND(CQ$3&lt;=$E86,CQ$4&gt;=$E86))</f>
        <v>-0</v>
      </c>
      <c r="CR86" s="47" t="n">
        <f aca="false">-CHOOSE(In_Sanction_Regime,$E85,$F85)*N(AND(CR$3&lt;=$E86,CR$4&gt;=$E86))</f>
        <v>-0</v>
      </c>
      <c r="CS86" s="47" t="n">
        <f aca="false">-CHOOSE(In_Sanction_Regime,$E85,$F85)*N(AND(CS$3&lt;=$E86,CS$4&gt;=$E86))</f>
        <v>-0</v>
      </c>
      <c r="CT86" s="47" t="n">
        <f aca="false">-CHOOSE(In_Sanction_Regime,$E85,$F85)*N(AND(CT$3&lt;=$E86,CT$4&gt;=$E86))</f>
        <v>-0</v>
      </c>
      <c r="CU86" s="47" t="n">
        <f aca="false">-CHOOSE(In_Sanction_Regime,$E85,$F85)*N(AND(CU$3&lt;=$E86,CU$4&gt;=$E86))</f>
        <v>-0</v>
      </c>
      <c r="CV86" s="47" t="n">
        <f aca="false">-CHOOSE(In_Sanction_Regime,$E85,$F85)*N(AND(CV$3&lt;=$E86,CV$4&gt;=$E86))</f>
        <v>-0</v>
      </c>
      <c r="CW86" s="47" t="n">
        <f aca="false">-CHOOSE(In_Sanction_Regime,$E85,$F85)*N(AND(CW$3&lt;=$E86,CW$4&gt;=$E86))</f>
        <v>-0</v>
      </c>
      <c r="CX86" s="47" t="n">
        <f aca="false">-CHOOSE(In_Sanction_Regime,$E85,$F85)*N(AND(CX$3&lt;=$E86,CX$4&gt;=$E86))</f>
        <v>-0</v>
      </c>
      <c r="CY86" s="47" t="n">
        <f aca="false">-CHOOSE(In_Sanction_Regime,$E85,$F85)*N(AND(CY$3&lt;=$E86,CY$4&gt;=$E86))</f>
        <v>-0</v>
      </c>
      <c r="CZ86" s="47" t="n">
        <f aca="false">-CHOOSE(In_Sanction_Regime,$E85,$F85)*N(AND(CZ$3&lt;=$E86,CZ$4&gt;=$E86))</f>
        <v>-0</v>
      </c>
      <c r="DA86" s="47" t="n">
        <f aca="false">-CHOOSE(In_Sanction_Regime,$E85,$F85)*N(AND(DA$3&lt;=$E86,DA$4&gt;=$E86))</f>
        <v>-0</v>
      </c>
      <c r="DB86" s="47" t="n">
        <f aca="false">-CHOOSE(In_Sanction_Regime,$E85,$F85)*N(AND(DB$3&lt;=$E86,DB$4&gt;=$E86))</f>
        <v>-0</v>
      </c>
      <c r="DC86" s="47" t="n">
        <f aca="false">-CHOOSE(In_Sanction_Regime,$E85,$F85)*N(AND(DC$3&lt;=$E86,DC$4&gt;=$E86))</f>
        <v>-0</v>
      </c>
      <c r="DD86" s="47" t="n">
        <f aca="false">-CHOOSE(In_Sanction_Regime,$E85,$F85)*N(AND(DD$3&lt;=$E86,DD$4&gt;=$E86))</f>
        <v>-0</v>
      </c>
      <c r="DE86" s="47" t="n">
        <f aca="false">-CHOOSE(In_Sanction_Regime,$E85,$F85)*N(AND(DE$3&lt;=$E86,DE$4&gt;=$E86))</f>
        <v>-0</v>
      </c>
      <c r="DF86" s="47" t="n">
        <f aca="false">-CHOOSE(In_Sanction_Regime,$E85,$F85)*N(AND(DF$3&lt;=$E86,DF$4&gt;=$E86))</f>
        <v>-0</v>
      </c>
      <c r="DG86" s="47" t="n">
        <f aca="false">-CHOOSE(In_Sanction_Regime,$E85,$F85)*N(AND(DG$3&lt;=$E86,DG$4&gt;=$E86))</f>
        <v>-0</v>
      </c>
      <c r="DH86" s="47" t="n">
        <f aca="false">-CHOOSE(In_Sanction_Regime,$E85,$F85)*N(AND(DH$3&lt;=$E86,DH$4&gt;=$E86))</f>
        <v>-0</v>
      </c>
      <c r="DI86" s="47" t="n">
        <f aca="false">-CHOOSE(In_Sanction_Regime,$E85,$F85)*N(AND(DI$3&lt;=$E86,DI$4&gt;=$E86))</f>
        <v>-0</v>
      </c>
      <c r="DJ86" s="47" t="n">
        <f aca="false">-CHOOSE(In_Sanction_Regime,$E85,$F85)*N(AND(DJ$3&lt;=$E86,DJ$4&gt;=$E86))</f>
        <v>-0</v>
      </c>
      <c r="DK86" s="47" t="n">
        <f aca="false">-CHOOSE(In_Sanction_Regime,$E85,$F85)*N(AND(DK$3&lt;=$E86,DK$4&gt;=$E86))</f>
        <v>-0</v>
      </c>
      <c r="DL86" s="47" t="n">
        <f aca="false">-CHOOSE(In_Sanction_Regime,$E85,$F85)*N(AND(DL$3&lt;=$E86,DL$4&gt;=$E86))</f>
        <v>-0</v>
      </c>
      <c r="DM86" s="47" t="n">
        <f aca="false">-CHOOSE(In_Sanction_Regime,$E85,$F85)*N(AND(DM$3&lt;=$E86,DM$4&gt;=$E86))</f>
        <v>-0</v>
      </c>
      <c r="DN86" s="47" t="n">
        <f aca="false">-CHOOSE(In_Sanction_Regime,$E85,$F85)*N(AND(DN$3&lt;=$E86,DN$4&gt;=$E86))</f>
        <v>-0</v>
      </c>
      <c r="DO86" s="47" t="n">
        <f aca="false">-CHOOSE(In_Sanction_Regime,$E85,$F85)*N(AND(DO$3&lt;=$E86,DO$4&gt;=$E86))</f>
        <v>-0</v>
      </c>
      <c r="DP86" s="47" t="n">
        <f aca="false">-CHOOSE(In_Sanction_Regime,$E85,$F85)*N(AND(DP$3&lt;=$E86,DP$4&gt;=$E86))</f>
        <v>-0</v>
      </c>
      <c r="DQ86" s="47" t="n">
        <f aca="false">-CHOOSE(In_Sanction_Regime,$E85,$F85)*N(AND(DQ$3&lt;=$E86,DQ$4&gt;=$E86))</f>
        <v>-0</v>
      </c>
      <c r="DR86" s="47" t="n">
        <f aca="false">-CHOOSE(In_Sanction_Regime,$E85,$F85)*N(AND(DR$3&lt;=$E86,DR$4&gt;=$E86))</f>
        <v>-0</v>
      </c>
      <c r="DS86" s="47" t="n">
        <f aca="false">-CHOOSE(In_Sanction_Regime,$E85,$F85)*N(AND(DS$3&lt;=$E86,DS$4&gt;=$E86))</f>
        <v>-0</v>
      </c>
      <c r="DT86" s="47" t="n">
        <f aca="false">-CHOOSE(In_Sanction_Regime,$E85,$F85)*N(AND(DT$3&lt;=$E86,DT$4&gt;=$E86))</f>
        <v>-0</v>
      </c>
      <c r="DU86" s="47" t="n">
        <f aca="false">-CHOOSE(In_Sanction_Regime,$E85,$F85)*N(AND(DU$3&lt;=$E86,DU$4&gt;=$E86))</f>
        <v>-0</v>
      </c>
      <c r="DV86" s="47" t="n">
        <f aca="false">-CHOOSE(In_Sanction_Regime,$E85,$F85)*N(AND(DV$3&lt;=$E86,DV$4&gt;=$E86))</f>
        <v>-0</v>
      </c>
      <c r="DW86" s="47" t="n">
        <f aca="false">-CHOOSE(In_Sanction_Regime,$E85,$F85)*N(AND(DW$3&lt;=$E86,DW$4&gt;=$E86))</f>
        <v>-0</v>
      </c>
      <c r="DX86" s="47" t="n">
        <f aca="false">-CHOOSE(In_Sanction_Regime,$E85,$F85)*N(AND(DX$3&lt;=$E86,DX$4&gt;=$E86))</f>
        <v>-0</v>
      </c>
      <c r="DY86" s="47" t="n">
        <f aca="false">-CHOOSE(In_Sanction_Regime,$E85,$F85)*N(AND(DY$3&lt;=$E86,DY$4&gt;=$E86))</f>
        <v>-0</v>
      </c>
      <c r="DZ86" s="47" t="n">
        <f aca="false">-CHOOSE(In_Sanction_Regime,$E85,$F85)*N(AND(DZ$3&lt;=$E86,DZ$4&gt;=$E86))</f>
        <v>-0</v>
      </c>
      <c r="EA86" s="47" t="n">
        <f aca="false">-CHOOSE(In_Sanction_Regime,$E85,$F85)*N(AND(EA$3&lt;=$E86,EA$4&gt;=$E86))</f>
        <v>-0</v>
      </c>
      <c r="EB86" s="47" t="n">
        <f aca="false">-CHOOSE(In_Sanction_Regime,$E85,$F85)*N(AND(EB$3&lt;=$E86,EB$4&gt;=$E86))</f>
        <v>-0</v>
      </c>
      <c r="EC86" s="47" t="n">
        <f aca="false">-CHOOSE(In_Sanction_Regime,$E85,$F85)*N(AND(EC$3&lt;=$E86,EC$4&gt;=$E86))</f>
        <v>-0</v>
      </c>
      <c r="ED86" s="47" t="n">
        <f aca="false">-CHOOSE(In_Sanction_Regime,$E85,$F85)*N(AND(ED$3&lt;=$E86,ED$4&gt;=$E86))</f>
        <v>-0</v>
      </c>
      <c r="EE86" s="47" t="n">
        <f aca="false">-CHOOSE(In_Sanction_Regime,$E85,$F85)*N(AND(EE$3&lt;=$E86,EE$4&gt;=$E86))</f>
        <v>-0</v>
      </c>
      <c r="EF86" s="47" t="n">
        <f aca="false">-CHOOSE(In_Sanction_Regime,$E85,$F85)*N(AND(EF$3&lt;=$E86,EF$4&gt;=$E86))</f>
        <v>-0</v>
      </c>
      <c r="EG86" s="47" t="n">
        <f aca="false">-CHOOSE(In_Sanction_Regime,$E85,$F85)*N(AND(EG$3&lt;=$E86,EG$4&gt;=$E86))</f>
        <v>-0</v>
      </c>
      <c r="EH86" s="47" t="n">
        <f aca="false">-CHOOSE(In_Sanction_Regime,$E85,$F85)*N(AND(EH$3&lt;=$E86,EH$4&gt;=$E86))</f>
        <v>-0</v>
      </c>
      <c r="EI86" s="47" t="n">
        <f aca="false">-CHOOSE(In_Sanction_Regime,$E85,$F85)*N(AND(EI$3&lt;=$E86,EI$4&gt;=$E86))</f>
        <v>-0</v>
      </c>
      <c r="EJ86" s="47" t="n">
        <f aca="false">-CHOOSE(In_Sanction_Regime,$E85,$F85)*N(AND(EJ$3&lt;=$E86,EJ$4&gt;=$E86))</f>
        <v>-0</v>
      </c>
      <c r="EK86" s="47" t="n">
        <f aca="false">-CHOOSE(In_Sanction_Regime,$E85,$F85)*N(AND(EK$3&lt;=$E86,EK$4&gt;=$E86))</f>
        <v>-0</v>
      </c>
      <c r="EL86" s="47" t="n">
        <f aca="false">-CHOOSE(In_Sanction_Regime,$E85,$F85)*N(AND(EL$3&lt;=$E86,EL$4&gt;=$E86))</f>
        <v>-0</v>
      </c>
      <c r="EM86" s="47" t="n">
        <f aca="false">-CHOOSE(In_Sanction_Regime,$E85,$F85)*N(AND(EM$3&lt;=$E86,EM$4&gt;=$E86))</f>
        <v>-0</v>
      </c>
      <c r="EN86" s="47" t="n">
        <f aca="false">-CHOOSE(In_Sanction_Regime,$E85,$F85)*N(AND(EN$3&lt;=$E86,EN$4&gt;=$E86))</f>
        <v>-0</v>
      </c>
      <c r="EO86" s="47" t="n">
        <f aca="false">-CHOOSE(In_Sanction_Regime,$E85,$F85)*N(AND(EO$3&lt;=$E86,EO$4&gt;=$E86))</f>
        <v>-0</v>
      </c>
      <c r="EP86" s="47" t="n">
        <f aca="false">-CHOOSE(In_Sanction_Regime,$E85,$F85)*N(AND(EP$3&lt;=$E86,EP$4&gt;=$E86))</f>
        <v>-0</v>
      </c>
      <c r="EQ86" s="47" t="n">
        <f aca="false">-CHOOSE(In_Sanction_Regime,$E85,$F85)*N(AND(EQ$3&lt;=$E86,EQ$4&gt;=$E86))</f>
        <v>-0</v>
      </c>
      <c r="ER86" s="47" t="n">
        <f aca="false">-CHOOSE(In_Sanction_Regime,$E85,$F85)*N(AND(ER$3&lt;=$E86,ER$4&gt;=$E86))</f>
        <v>-0</v>
      </c>
      <c r="ES86" s="47" t="n">
        <f aca="false">-CHOOSE(In_Sanction_Regime,$E85,$F85)*N(AND(ES$3&lt;=$E86,ES$4&gt;=$E86))</f>
        <v>-0</v>
      </c>
      <c r="ET86" s="47" t="n">
        <f aca="false">-CHOOSE(In_Sanction_Regime,$E85,$F85)*N(AND(ET$3&lt;=$E86,ET$4&gt;=$E86))</f>
        <v>-0</v>
      </c>
    </row>
    <row r="87" customFormat="false" ht="15" hidden="false" customHeight="false" outlineLevel="0" collapsed="false">
      <c r="C87" s="1" t="s">
        <v>508</v>
      </c>
      <c r="D87" s="12" t="s">
        <v>114</v>
      </c>
      <c r="E87" s="49" t="n">
        <f aca="false">($E83&gt;In_Tolerance_Cap)*$E83*In_MVA</f>
        <v>28.5714285714286</v>
      </c>
    </row>
    <row r="88" customFormat="false" ht="15" hidden="false" customHeight="false" outlineLevel="0" collapsed="false">
      <c r="C88" s="1" t="s">
        <v>115</v>
      </c>
      <c r="D88" s="12" t="s">
        <v>41</v>
      </c>
      <c r="E88" s="46" t="n">
        <f aca="false">N($I86&lt;0)</f>
        <v>1</v>
      </c>
    </row>
    <row r="90" customFormat="false" ht="15" hidden="false" customHeight="false" outlineLevel="0" collapsed="false">
      <c r="A90" s="10" t="s">
        <v>13</v>
      </c>
      <c r="B90" s="10"/>
      <c r="C90" s="10" t="s">
        <v>509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</row>
    <row r="91" customFormat="false" ht="15" hidden="false" customHeight="false" outlineLevel="0" collapsed="false">
      <c r="C91" s="1" t="s">
        <v>510</v>
      </c>
      <c r="D91" s="12" t="s">
        <v>27</v>
      </c>
      <c r="E91" s="47" t="n">
        <f aca="false">IF(In_CN_Turbine=1,In_Turbine_CN,In_Turbine)</f>
        <v>600</v>
      </c>
    </row>
    <row r="92" customFormat="false" ht="15" hidden="false" customHeight="false" outlineLevel="0" collapsed="false">
      <c r="C92" s="1" t="s">
        <v>511</v>
      </c>
      <c r="D92" s="12" t="s">
        <v>222</v>
      </c>
      <c r="E92" s="47" t="n">
        <f aca="false">IF(In_CN_Turbine=1,In_Substation_CN,In_Substation)</f>
        <v>12000</v>
      </c>
    </row>
    <row r="93" customFormat="false" ht="15" hidden="false" customHeight="false" outlineLevel="0" collapsed="false">
      <c r="C93" s="1" t="s">
        <v>512</v>
      </c>
      <c r="D93" s="12" t="s">
        <v>222</v>
      </c>
      <c r="E93" s="47" t="n">
        <f aca="false">(($E91+In_Other_Wind)*$F24+$E92)*(1+In_Capex_Contingency)+In_BESS_Capex*$F25</f>
        <v>122475</v>
      </c>
      <c r="I93" s="47" t="n">
        <f aca="false">SUM(J93:ET93)</f>
        <v>-122475</v>
      </c>
      <c r="J93" s="47" t="n">
        <f aca="false">-$E93*J13</f>
        <v>-0</v>
      </c>
      <c r="K93" s="47" t="n">
        <f aca="false">-$E93*K13</f>
        <v>-0</v>
      </c>
      <c r="L93" s="47" t="n">
        <f aca="false">-$E93*L13</f>
        <v>-0</v>
      </c>
      <c r="M93" s="47" t="n">
        <f aca="false">-$E93*M13</f>
        <v>-0</v>
      </c>
      <c r="N93" s="47" t="n">
        <f aca="false">-$E93*N13</f>
        <v>-0</v>
      </c>
      <c r="O93" s="47" t="n">
        <f aca="false">-$E93*O13</f>
        <v>-0</v>
      </c>
      <c r="P93" s="47" t="n">
        <f aca="false">-$E93*P13</f>
        <v>-0</v>
      </c>
      <c r="Q93" s="47" t="n">
        <f aca="false">-$E93*Q13</f>
        <v>-0</v>
      </c>
      <c r="R93" s="47" t="n">
        <f aca="false">-$E93*R13</f>
        <v>-0</v>
      </c>
      <c r="S93" s="47" t="n">
        <f aca="false">-$E93*S13</f>
        <v>-0</v>
      </c>
      <c r="T93" s="47" t="n">
        <f aca="false">-$E93*T13</f>
        <v>-0</v>
      </c>
      <c r="U93" s="47" t="n">
        <f aca="false">-$E93*U13</f>
        <v>-0</v>
      </c>
      <c r="V93" s="47" t="n">
        <f aca="false">-$E93*V13</f>
        <v>-0</v>
      </c>
      <c r="W93" s="47" t="n">
        <f aca="false">-$E93*W13</f>
        <v>-15435.2054794521</v>
      </c>
      <c r="X93" s="47" t="n">
        <f aca="false">-$E93*X13</f>
        <v>-15099.6575342466</v>
      </c>
      <c r="Y93" s="47" t="n">
        <f aca="false">-$E93*Y13</f>
        <v>-15267.4315068493</v>
      </c>
      <c r="Z93" s="47" t="n">
        <f aca="false">-$E93*Z13</f>
        <v>-15435.2054794521</v>
      </c>
      <c r="AA93" s="47" t="n">
        <f aca="false">-$E93*AA13</f>
        <v>-15435.2054794521</v>
      </c>
      <c r="AB93" s="47" t="n">
        <f aca="false">-$E93*AB13</f>
        <v>-15099.6575342466</v>
      </c>
      <c r="AC93" s="47" t="n">
        <f aca="false">-$E93*AC13</f>
        <v>-15267.4315068493</v>
      </c>
      <c r="AD93" s="47" t="n">
        <f aca="false">-$E93*AD13</f>
        <v>-15435.2054794521</v>
      </c>
      <c r="AE93" s="47" t="n">
        <f aca="false">-$E93*AE13</f>
        <v>-0</v>
      </c>
      <c r="AF93" s="47" t="n">
        <f aca="false">-$E93*AF13</f>
        <v>-0</v>
      </c>
      <c r="AG93" s="47" t="n">
        <f aca="false">-$E93*AG13</f>
        <v>-0</v>
      </c>
      <c r="AH93" s="47" t="n">
        <f aca="false">-$E93*AH13</f>
        <v>-0</v>
      </c>
      <c r="AI93" s="47" t="n">
        <f aca="false">-$E93*AI13</f>
        <v>-0</v>
      </c>
      <c r="AJ93" s="47" t="n">
        <f aca="false">-$E93*AJ13</f>
        <v>-0</v>
      </c>
      <c r="AK93" s="47" t="n">
        <f aca="false">-$E93*AK13</f>
        <v>-0</v>
      </c>
      <c r="AL93" s="47" t="n">
        <f aca="false">-$E93*AL13</f>
        <v>-0</v>
      </c>
      <c r="AM93" s="47" t="n">
        <f aca="false">-$E93*AM13</f>
        <v>-0</v>
      </c>
      <c r="AN93" s="47" t="n">
        <f aca="false">-$E93*AN13</f>
        <v>-0</v>
      </c>
      <c r="AO93" s="47" t="n">
        <f aca="false">-$E93*AO13</f>
        <v>-0</v>
      </c>
      <c r="AP93" s="47" t="n">
        <f aca="false">-$E93*AP13</f>
        <v>-0</v>
      </c>
      <c r="AQ93" s="47" t="n">
        <f aca="false">-$E93*AQ13</f>
        <v>-0</v>
      </c>
      <c r="AR93" s="47" t="n">
        <f aca="false">-$E93*AR13</f>
        <v>-0</v>
      </c>
      <c r="AS93" s="47" t="n">
        <f aca="false">-$E93*AS13</f>
        <v>-0</v>
      </c>
      <c r="AT93" s="47" t="n">
        <f aca="false">-$E93*AT13</f>
        <v>-0</v>
      </c>
      <c r="AU93" s="47" t="n">
        <f aca="false">-$E93*AU13</f>
        <v>-0</v>
      </c>
      <c r="AV93" s="47" t="n">
        <f aca="false">-$E93*AV13</f>
        <v>-0</v>
      </c>
      <c r="AW93" s="47" t="n">
        <f aca="false">-$E93*AW13</f>
        <v>-0</v>
      </c>
      <c r="AX93" s="47" t="n">
        <f aca="false">-$E93*AX13</f>
        <v>-0</v>
      </c>
      <c r="AY93" s="47" t="n">
        <f aca="false">-$E93*AY13</f>
        <v>-0</v>
      </c>
      <c r="AZ93" s="47" t="n">
        <f aca="false">-$E93*AZ13</f>
        <v>-0</v>
      </c>
      <c r="BA93" s="47" t="n">
        <f aca="false">-$E93*BA13</f>
        <v>-0</v>
      </c>
      <c r="BB93" s="47" t="n">
        <f aca="false">-$E93*BB13</f>
        <v>-0</v>
      </c>
      <c r="BC93" s="47" t="n">
        <f aca="false">-$E93*BC13</f>
        <v>-0</v>
      </c>
      <c r="BD93" s="47" t="n">
        <f aca="false">-$E93*BD13</f>
        <v>-0</v>
      </c>
      <c r="BE93" s="47" t="n">
        <f aca="false">-$E93*BE13</f>
        <v>-0</v>
      </c>
      <c r="BF93" s="47" t="n">
        <f aca="false">-$E93*BF13</f>
        <v>-0</v>
      </c>
      <c r="BG93" s="47" t="n">
        <f aca="false">-$E93*BG13</f>
        <v>-0</v>
      </c>
      <c r="BH93" s="47" t="n">
        <f aca="false">-$E93*BH13</f>
        <v>-0</v>
      </c>
      <c r="BI93" s="47" t="n">
        <f aca="false">-$E93*BI13</f>
        <v>-0</v>
      </c>
      <c r="BJ93" s="47" t="n">
        <f aca="false">-$E93*BJ13</f>
        <v>-0</v>
      </c>
      <c r="BK93" s="47" t="n">
        <f aca="false">-$E93*BK13</f>
        <v>-0</v>
      </c>
      <c r="BL93" s="47" t="n">
        <f aca="false">-$E93*BL13</f>
        <v>-0</v>
      </c>
      <c r="BM93" s="47" t="n">
        <f aca="false">-$E93*BM13</f>
        <v>-0</v>
      </c>
      <c r="BN93" s="47" t="n">
        <f aca="false">-$E93*BN13</f>
        <v>-0</v>
      </c>
      <c r="BO93" s="47" t="n">
        <f aca="false">-$E93*BO13</f>
        <v>-0</v>
      </c>
      <c r="BP93" s="47" t="n">
        <f aca="false">-$E93*BP13</f>
        <v>-0</v>
      </c>
      <c r="BQ93" s="47" t="n">
        <f aca="false">-$E93*BQ13</f>
        <v>-0</v>
      </c>
      <c r="BR93" s="47" t="n">
        <f aca="false">-$E93*BR13</f>
        <v>-0</v>
      </c>
      <c r="BS93" s="47" t="n">
        <f aca="false">-$E93*BS13</f>
        <v>-0</v>
      </c>
      <c r="BT93" s="47" t="n">
        <f aca="false">-$E93*BT13</f>
        <v>-0</v>
      </c>
      <c r="BU93" s="47" t="n">
        <f aca="false">-$E93*BU13</f>
        <v>-0</v>
      </c>
      <c r="BV93" s="47" t="n">
        <f aca="false">-$E93*BV13</f>
        <v>-0</v>
      </c>
      <c r="BW93" s="47" t="n">
        <f aca="false">-$E93*BW13</f>
        <v>-0</v>
      </c>
      <c r="BX93" s="47" t="n">
        <f aca="false">-$E93*BX13</f>
        <v>-0</v>
      </c>
      <c r="BY93" s="47" t="n">
        <f aca="false">-$E93*BY13</f>
        <v>-0</v>
      </c>
      <c r="BZ93" s="47" t="n">
        <f aca="false">-$E93*BZ13</f>
        <v>-0</v>
      </c>
      <c r="CA93" s="47" t="n">
        <f aca="false">-$E93*CA13</f>
        <v>-0</v>
      </c>
      <c r="CB93" s="47" t="n">
        <f aca="false">-$E93*CB13</f>
        <v>-0</v>
      </c>
      <c r="CC93" s="47" t="n">
        <f aca="false">-$E93*CC13</f>
        <v>-0</v>
      </c>
      <c r="CD93" s="47" t="n">
        <f aca="false">-$E93*CD13</f>
        <v>-0</v>
      </c>
      <c r="CE93" s="47" t="n">
        <f aca="false">-$E93*CE13</f>
        <v>-0</v>
      </c>
      <c r="CF93" s="47" t="n">
        <f aca="false">-$E93*CF13</f>
        <v>-0</v>
      </c>
      <c r="CG93" s="47" t="n">
        <f aca="false">-$E93*CG13</f>
        <v>-0</v>
      </c>
      <c r="CH93" s="47" t="n">
        <f aca="false">-$E93*CH13</f>
        <v>-0</v>
      </c>
      <c r="CI93" s="47" t="n">
        <f aca="false">-$E93*CI13</f>
        <v>-0</v>
      </c>
      <c r="CJ93" s="47" t="n">
        <f aca="false">-$E93*CJ13</f>
        <v>-0</v>
      </c>
      <c r="CK93" s="47" t="n">
        <f aca="false">-$E93*CK13</f>
        <v>-0</v>
      </c>
      <c r="CL93" s="47" t="n">
        <f aca="false">-$E93*CL13</f>
        <v>-0</v>
      </c>
      <c r="CM93" s="47" t="n">
        <f aca="false">-$E93*CM13</f>
        <v>-0</v>
      </c>
      <c r="CN93" s="47" t="n">
        <f aca="false">-$E93*CN13</f>
        <v>-0</v>
      </c>
      <c r="CO93" s="47" t="n">
        <f aca="false">-$E93*CO13</f>
        <v>-0</v>
      </c>
      <c r="CP93" s="47" t="n">
        <f aca="false">-$E93*CP13</f>
        <v>-0</v>
      </c>
      <c r="CQ93" s="47" t="n">
        <f aca="false">-$E93*CQ13</f>
        <v>-0</v>
      </c>
      <c r="CR93" s="47" t="n">
        <f aca="false">-$E93*CR13</f>
        <v>-0</v>
      </c>
      <c r="CS93" s="47" t="n">
        <f aca="false">-$E93*CS13</f>
        <v>-0</v>
      </c>
      <c r="CT93" s="47" t="n">
        <f aca="false">-$E93*CT13</f>
        <v>-0</v>
      </c>
      <c r="CU93" s="47" t="n">
        <f aca="false">-$E93*CU13</f>
        <v>-0</v>
      </c>
      <c r="CV93" s="47" t="n">
        <f aca="false">-$E93*CV13</f>
        <v>-0</v>
      </c>
      <c r="CW93" s="47" t="n">
        <f aca="false">-$E93*CW13</f>
        <v>-0</v>
      </c>
      <c r="CX93" s="47" t="n">
        <f aca="false">-$E93*CX13</f>
        <v>-0</v>
      </c>
      <c r="CY93" s="47" t="n">
        <f aca="false">-$E93*CY13</f>
        <v>-0</v>
      </c>
      <c r="CZ93" s="47" t="n">
        <f aca="false">-$E93*CZ13</f>
        <v>-0</v>
      </c>
      <c r="DA93" s="47" t="n">
        <f aca="false">-$E93*DA13</f>
        <v>-0</v>
      </c>
      <c r="DB93" s="47" t="n">
        <f aca="false">-$E93*DB13</f>
        <v>-0</v>
      </c>
      <c r="DC93" s="47" t="n">
        <f aca="false">-$E93*DC13</f>
        <v>-0</v>
      </c>
      <c r="DD93" s="47" t="n">
        <f aca="false">-$E93*DD13</f>
        <v>-0</v>
      </c>
      <c r="DE93" s="47" t="n">
        <f aca="false">-$E93*DE13</f>
        <v>-0</v>
      </c>
      <c r="DF93" s="47" t="n">
        <f aca="false">-$E93*DF13</f>
        <v>-0</v>
      </c>
      <c r="DG93" s="47" t="n">
        <f aca="false">-$E93*DG13</f>
        <v>-0</v>
      </c>
      <c r="DH93" s="47" t="n">
        <f aca="false">-$E93*DH13</f>
        <v>-0</v>
      </c>
      <c r="DI93" s="47" t="n">
        <f aca="false">-$E93*DI13</f>
        <v>-0</v>
      </c>
      <c r="DJ93" s="47" t="n">
        <f aca="false">-$E93*DJ13</f>
        <v>-0</v>
      </c>
      <c r="DK93" s="47" t="n">
        <f aca="false">-$E93*DK13</f>
        <v>-0</v>
      </c>
      <c r="DL93" s="47" t="n">
        <f aca="false">-$E93*DL13</f>
        <v>-0</v>
      </c>
      <c r="DM93" s="47" t="n">
        <f aca="false">-$E93*DM13</f>
        <v>-0</v>
      </c>
      <c r="DN93" s="47" t="n">
        <f aca="false">-$E93*DN13</f>
        <v>-0</v>
      </c>
      <c r="DO93" s="47" t="n">
        <f aca="false">-$E93*DO13</f>
        <v>-0</v>
      </c>
      <c r="DP93" s="47" t="n">
        <f aca="false">-$E93*DP13</f>
        <v>-0</v>
      </c>
      <c r="DQ93" s="47" t="n">
        <f aca="false">-$E93*DQ13</f>
        <v>-0</v>
      </c>
      <c r="DR93" s="47" t="n">
        <f aca="false">-$E93*DR13</f>
        <v>-0</v>
      </c>
      <c r="DS93" s="47" t="n">
        <f aca="false">-$E93*DS13</f>
        <v>-0</v>
      </c>
      <c r="DT93" s="47" t="n">
        <f aca="false">-$E93*DT13</f>
        <v>-0</v>
      </c>
      <c r="DU93" s="47" t="n">
        <f aca="false">-$E93*DU13</f>
        <v>-0</v>
      </c>
      <c r="DV93" s="47" t="n">
        <f aca="false">-$E93*DV13</f>
        <v>-0</v>
      </c>
      <c r="DW93" s="47" t="n">
        <f aca="false">-$E93*DW13</f>
        <v>-0</v>
      </c>
      <c r="DX93" s="47" t="n">
        <f aca="false">-$E93*DX13</f>
        <v>-0</v>
      </c>
      <c r="DY93" s="47" t="n">
        <f aca="false">-$E93*DY13</f>
        <v>-0</v>
      </c>
      <c r="DZ93" s="47" t="n">
        <f aca="false">-$E93*DZ13</f>
        <v>-0</v>
      </c>
      <c r="EA93" s="47" t="n">
        <f aca="false">-$E93*EA13</f>
        <v>-0</v>
      </c>
      <c r="EB93" s="47" t="n">
        <f aca="false">-$E93*EB13</f>
        <v>-0</v>
      </c>
      <c r="EC93" s="47" t="n">
        <f aca="false">-$E93*EC13</f>
        <v>-0</v>
      </c>
      <c r="ED93" s="47" t="n">
        <f aca="false">-$E93*ED13</f>
        <v>-0</v>
      </c>
      <c r="EE93" s="47" t="n">
        <f aca="false">-$E93*EE13</f>
        <v>-0</v>
      </c>
      <c r="EF93" s="47" t="n">
        <f aca="false">-$E93*EF13</f>
        <v>-0</v>
      </c>
      <c r="EG93" s="47" t="n">
        <f aca="false">-$E93*EG13</f>
        <v>-0</v>
      </c>
      <c r="EH93" s="47" t="n">
        <f aca="false">-$E93*EH13</f>
        <v>-0</v>
      </c>
      <c r="EI93" s="47" t="n">
        <f aca="false">-$E93*EI13</f>
        <v>-0</v>
      </c>
      <c r="EJ93" s="47" t="n">
        <f aca="false">-$E93*EJ13</f>
        <v>-0</v>
      </c>
      <c r="EK93" s="47" t="n">
        <f aca="false">-$E93*EK13</f>
        <v>-0</v>
      </c>
      <c r="EL93" s="47" t="n">
        <f aca="false">-$E93*EL13</f>
        <v>-0</v>
      </c>
      <c r="EM93" s="47" t="n">
        <f aca="false">-$E93*EM13</f>
        <v>-0</v>
      </c>
      <c r="EN93" s="47" t="n">
        <f aca="false">-$E93*EN13</f>
        <v>-0</v>
      </c>
      <c r="EO93" s="47" t="n">
        <f aca="false">-$E93*EO13</f>
        <v>-0</v>
      </c>
      <c r="EP93" s="47" t="n">
        <f aca="false">-$E93*EP13</f>
        <v>-0</v>
      </c>
      <c r="EQ93" s="47" t="n">
        <f aca="false">-$E93*EQ13</f>
        <v>-0</v>
      </c>
      <c r="ER93" s="47" t="n">
        <f aca="false">-$E93*ER13</f>
        <v>-0</v>
      </c>
      <c r="ES93" s="47" t="n">
        <f aca="false">-$E93*ES13</f>
        <v>-0</v>
      </c>
      <c r="ET93" s="47" t="n">
        <f aca="false">-$E93*ET13</f>
        <v>-0</v>
      </c>
    </row>
    <row r="94" customFormat="false" ht="15" hidden="false" customHeight="false" outlineLevel="0" collapsed="false">
      <c r="C94" s="1" t="s">
        <v>513</v>
      </c>
      <c r="D94" s="12" t="s">
        <v>222</v>
      </c>
      <c r="E94" s="47" t="n">
        <f aca="false">$E30*In_MVA</f>
        <v>5000</v>
      </c>
      <c r="I94" s="47" t="n">
        <f aca="false">SUM(J94:ET94)</f>
        <v>-5000</v>
      </c>
      <c r="J94" s="47" t="n">
        <f aca="false">-$E94*J14</f>
        <v>-0</v>
      </c>
      <c r="K94" s="47" t="n">
        <f aca="false">-$E94*K14</f>
        <v>-0</v>
      </c>
      <c r="L94" s="47" t="n">
        <f aca="false">-$E94*L14</f>
        <v>-0</v>
      </c>
      <c r="M94" s="47" t="n">
        <f aca="false">-$E94*M14</f>
        <v>-0</v>
      </c>
      <c r="N94" s="47" t="n">
        <f aca="false">-$E94*N14</f>
        <v>-0</v>
      </c>
      <c r="O94" s="47" t="n">
        <f aca="false">-$E94*O14</f>
        <v>-0</v>
      </c>
      <c r="P94" s="47" t="n">
        <f aca="false">-$E94*P14</f>
        <v>-0</v>
      </c>
      <c r="Q94" s="47" t="n">
        <f aca="false">-$E94*Q14</f>
        <v>-0</v>
      </c>
      <c r="R94" s="47" t="n">
        <f aca="false">-$E94*R14</f>
        <v>-0</v>
      </c>
      <c r="S94" s="47" t="n">
        <f aca="false">-$E94*S14</f>
        <v>-0</v>
      </c>
      <c r="T94" s="47" t="n">
        <f aca="false">-$E94*T14</f>
        <v>-0</v>
      </c>
      <c r="U94" s="47" t="n">
        <f aca="false">-$E94*U14</f>
        <v>-0</v>
      </c>
      <c r="V94" s="47" t="n">
        <f aca="false">-$E94*V14</f>
        <v>-0</v>
      </c>
      <c r="W94" s="47" t="n">
        <f aca="false">-$E94*W14</f>
        <v>-0</v>
      </c>
      <c r="X94" s="47" t="n">
        <f aca="false">-$E94*X14</f>
        <v>-0</v>
      </c>
      <c r="Y94" s="47" t="n">
        <f aca="false">-$E94*Y14</f>
        <v>-0</v>
      </c>
      <c r="Z94" s="47" t="n">
        <f aca="false">-$E94*Z14</f>
        <v>-0</v>
      </c>
      <c r="AA94" s="47" t="n">
        <f aca="false">-$E94*AA14</f>
        <v>-0</v>
      </c>
      <c r="AB94" s="47" t="n">
        <f aca="false">-$E94*AB14</f>
        <v>-0</v>
      </c>
      <c r="AC94" s="47" t="n">
        <f aca="false">-$E94*AC14</f>
        <v>-0</v>
      </c>
      <c r="AD94" s="47" t="n">
        <f aca="false">-$E94*AD14</f>
        <v>-5000</v>
      </c>
      <c r="AE94" s="47" t="n">
        <f aca="false">-$E94*AE14</f>
        <v>-0</v>
      </c>
      <c r="AF94" s="47" t="n">
        <f aca="false">-$E94*AF14</f>
        <v>-0</v>
      </c>
      <c r="AG94" s="47" t="n">
        <f aca="false">-$E94*AG14</f>
        <v>-0</v>
      </c>
      <c r="AH94" s="47" t="n">
        <f aca="false">-$E94*AH14</f>
        <v>-0</v>
      </c>
      <c r="AI94" s="47" t="n">
        <f aca="false">-$E94*AI14</f>
        <v>-0</v>
      </c>
      <c r="AJ94" s="47" t="n">
        <f aca="false">-$E94*AJ14</f>
        <v>-0</v>
      </c>
      <c r="AK94" s="47" t="n">
        <f aca="false">-$E94*AK14</f>
        <v>-0</v>
      </c>
      <c r="AL94" s="47" t="n">
        <f aca="false">-$E94*AL14</f>
        <v>-0</v>
      </c>
      <c r="AM94" s="47" t="n">
        <f aca="false">-$E94*AM14</f>
        <v>-0</v>
      </c>
      <c r="AN94" s="47" t="n">
        <f aca="false">-$E94*AN14</f>
        <v>-0</v>
      </c>
      <c r="AO94" s="47" t="n">
        <f aca="false">-$E94*AO14</f>
        <v>-0</v>
      </c>
      <c r="AP94" s="47" t="n">
        <f aca="false">-$E94*AP14</f>
        <v>-0</v>
      </c>
      <c r="AQ94" s="47" t="n">
        <f aca="false">-$E94*AQ14</f>
        <v>-0</v>
      </c>
      <c r="AR94" s="47" t="n">
        <f aca="false">-$E94*AR14</f>
        <v>-0</v>
      </c>
      <c r="AS94" s="47" t="n">
        <f aca="false">-$E94*AS14</f>
        <v>-0</v>
      </c>
      <c r="AT94" s="47" t="n">
        <f aca="false">-$E94*AT14</f>
        <v>-0</v>
      </c>
      <c r="AU94" s="47" t="n">
        <f aca="false">-$E94*AU14</f>
        <v>-0</v>
      </c>
      <c r="AV94" s="47" t="n">
        <f aca="false">-$E94*AV14</f>
        <v>-0</v>
      </c>
      <c r="AW94" s="47" t="n">
        <f aca="false">-$E94*AW14</f>
        <v>-0</v>
      </c>
      <c r="AX94" s="47" t="n">
        <f aca="false">-$E94*AX14</f>
        <v>-0</v>
      </c>
      <c r="AY94" s="47" t="n">
        <f aca="false">-$E94*AY14</f>
        <v>-0</v>
      </c>
      <c r="AZ94" s="47" t="n">
        <f aca="false">-$E94*AZ14</f>
        <v>-0</v>
      </c>
      <c r="BA94" s="47" t="n">
        <f aca="false">-$E94*BA14</f>
        <v>-0</v>
      </c>
      <c r="BB94" s="47" t="n">
        <f aca="false">-$E94*BB14</f>
        <v>-0</v>
      </c>
      <c r="BC94" s="47" t="n">
        <f aca="false">-$E94*BC14</f>
        <v>-0</v>
      </c>
      <c r="BD94" s="47" t="n">
        <f aca="false">-$E94*BD14</f>
        <v>-0</v>
      </c>
      <c r="BE94" s="47" t="n">
        <f aca="false">-$E94*BE14</f>
        <v>-0</v>
      </c>
      <c r="BF94" s="47" t="n">
        <f aca="false">-$E94*BF14</f>
        <v>-0</v>
      </c>
      <c r="BG94" s="47" t="n">
        <f aca="false">-$E94*BG14</f>
        <v>-0</v>
      </c>
      <c r="BH94" s="47" t="n">
        <f aca="false">-$E94*BH14</f>
        <v>-0</v>
      </c>
      <c r="BI94" s="47" t="n">
        <f aca="false">-$E94*BI14</f>
        <v>-0</v>
      </c>
      <c r="BJ94" s="47" t="n">
        <f aca="false">-$E94*BJ14</f>
        <v>-0</v>
      </c>
      <c r="BK94" s="47" t="n">
        <f aca="false">-$E94*BK14</f>
        <v>-0</v>
      </c>
      <c r="BL94" s="47" t="n">
        <f aca="false">-$E94*BL14</f>
        <v>-0</v>
      </c>
      <c r="BM94" s="47" t="n">
        <f aca="false">-$E94*BM14</f>
        <v>-0</v>
      </c>
      <c r="BN94" s="47" t="n">
        <f aca="false">-$E94*BN14</f>
        <v>-0</v>
      </c>
      <c r="BO94" s="47" t="n">
        <f aca="false">-$E94*BO14</f>
        <v>-0</v>
      </c>
      <c r="BP94" s="47" t="n">
        <f aca="false">-$E94*BP14</f>
        <v>-0</v>
      </c>
      <c r="BQ94" s="47" t="n">
        <f aca="false">-$E94*BQ14</f>
        <v>-0</v>
      </c>
      <c r="BR94" s="47" t="n">
        <f aca="false">-$E94*BR14</f>
        <v>-0</v>
      </c>
      <c r="BS94" s="47" t="n">
        <f aca="false">-$E94*BS14</f>
        <v>-0</v>
      </c>
      <c r="BT94" s="47" t="n">
        <f aca="false">-$E94*BT14</f>
        <v>-0</v>
      </c>
      <c r="BU94" s="47" t="n">
        <f aca="false">-$E94*BU14</f>
        <v>-0</v>
      </c>
      <c r="BV94" s="47" t="n">
        <f aca="false">-$E94*BV14</f>
        <v>-0</v>
      </c>
      <c r="BW94" s="47" t="n">
        <f aca="false">-$E94*BW14</f>
        <v>-0</v>
      </c>
      <c r="BX94" s="47" t="n">
        <f aca="false">-$E94*BX14</f>
        <v>-0</v>
      </c>
      <c r="BY94" s="47" t="n">
        <f aca="false">-$E94*BY14</f>
        <v>-0</v>
      </c>
      <c r="BZ94" s="47" t="n">
        <f aca="false">-$E94*BZ14</f>
        <v>-0</v>
      </c>
      <c r="CA94" s="47" t="n">
        <f aca="false">-$E94*CA14</f>
        <v>-0</v>
      </c>
      <c r="CB94" s="47" t="n">
        <f aca="false">-$E94*CB14</f>
        <v>-0</v>
      </c>
      <c r="CC94" s="47" t="n">
        <f aca="false">-$E94*CC14</f>
        <v>-0</v>
      </c>
      <c r="CD94" s="47" t="n">
        <f aca="false">-$E94*CD14</f>
        <v>-0</v>
      </c>
      <c r="CE94" s="47" t="n">
        <f aca="false">-$E94*CE14</f>
        <v>-0</v>
      </c>
      <c r="CF94" s="47" t="n">
        <f aca="false">-$E94*CF14</f>
        <v>-0</v>
      </c>
      <c r="CG94" s="47" t="n">
        <f aca="false">-$E94*CG14</f>
        <v>-0</v>
      </c>
      <c r="CH94" s="47" t="n">
        <f aca="false">-$E94*CH14</f>
        <v>-0</v>
      </c>
      <c r="CI94" s="47" t="n">
        <f aca="false">-$E94*CI14</f>
        <v>-0</v>
      </c>
      <c r="CJ94" s="47" t="n">
        <f aca="false">-$E94*CJ14</f>
        <v>-0</v>
      </c>
      <c r="CK94" s="47" t="n">
        <f aca="false">-$E94*CK14</f>
        <v>-0</v>
      </c>
      <c r="CL94" s="47" t="n">
        <f aca="false">-$E94*CL14</f>
        <v>-0</v>
      </c>
      <c r="CM94" s="47" t="n">
        <f aca="false">-$E94*CM14</f>
        <v>-0</v>
      </c>
      <c r="CN94" s="47" t="n">
        <f aca="false">-$E94*CN14</f>
        <v>-0</v>
      </c>
      <c r="CO94" s="47" t="n">
        <f aca="false">-$E94*CO14</f>
        <v>-0</v>
      </c>
      <c r="CP94" s="47" t="n">
        <f aca="false">-$E94*CP14</f>
        <v>-0</v>
      </c>
      <c r="CQ94" s="47" t="n">
        <f aca="false">-$E94*CQ14</f>
        <v>-0</v>
      </c>
      <c r="CR94" s="47" t="n">
        <f aca="false">-$E94*CR14</f>
        <v>-0</v>
      </c>
      <c r="CS94" s="47" t="n">
        <f aca="false">-$E94*CS14</f>
        <v>-0</v>
      </c>
      <c r="CT94" s="47" t="n">
        <f aca="false">-$E94*CT14</f>
        <v>-0</v>
      </c>
      <c r="CU94" s="47" t="n">
        <f aca="false">-$E94*CU14</f>
        <v>-0</v>
      </c>
      <c r="CV94" s="47" t="n">
        <f aca="false">-$E94*CV14</f>
        <v>-0</v>
      </c>
      <c r="CW94" s="47" t="n">
        <f aca="false">-$E94*CW14</f>
        <v>-0</v>
      </c>
      <c r="CX94" s="47" t="n">
        <f aca="false">-$E94*CX14</f>
        <v>-0</v>
      </c>
      <c r="CY94" s="47" t="n">
        <f aca="false">-$E94*CY14</f>
        <v>-0</v>
      </c>
      <c r="CZ94" s="47" t="n">
        <f aca="false">-$E94*CZ14</f>
        <v>-0</v>
      </c>
      <c r="DA94" s="47" t="n">
        <f aca="false">-$E94*DA14</f>
        <v>-0</v>
      </c>
      <c r="DB94" s="47" t="n">
        <f aca="false">-$E94*DB14</f>
        <v>-0</v>
      </c>
      <c r="DC94" s="47" t="n">
        <f aca="false">-$E94*DC14</f>
        <v>-0</v>
      </c>
      <c r="DD94" s="47" t="n">
        <f aca="false">-$E94*DD14</f>
        <v>-0</v>
      </c>
      <c r="DE94" s="47" t="n">
        <f aca="false">-$E94*DE14</f>
        <v>-0</v>
      </c>
      <c r="DF94" s="47" t="n">
        <f aca="false">-$E94*DF14</f>
        <v>-0</v>
      </c>
      <c r="DG94" s="47" t="n">
        <f aca="false">-$E94*DG14</f>
        <v>-0</v>
      </c>
      <c r="DH94" s="47" t="n">
        <f aca="false">-$E94*DH14</f>
        <v>-0</v>
      </c>
      <c r="DI94" s="47" t="n">
        <f aca="false">-$E94*DI14</f>
        <v>-0</v>
      </c>
      <c r="DJ94" s="47" t="n">
        <f aca="false">-$E94*DJ14</f>
        <v>-0</v>
      </c>
      <c r="DK94" s="47" t="n">
        <f aca="false">-$E94*DK14</f>
        <v>-0</v>
      </c>
      <c r="DL94" s="47" t="n">
        <f aca="false">-$E94*DL14</f>
        <v>-0</v>
      </c>
      <c r="DM94" s="47" t="n">
        <f aca="false">-$E94*DM14</f>
        <v>-0</v>
      </c>
      <c r="DN94" s="47" t="n">
        <f aca="false">-$E94*DN14</f>
        <v>-0</v>
      </c>
      <c r="DO94" s="47" t="n">
        <f aca="false">-$E94*DO14</f>
        <v>-0</v>
      </c>
      <c r="DP94" s="47" t="n">
        <f aca="false">-$E94*DP14</f>
        <v>-0</v>
      </c>
      <c r="DQ94" s="47" t="n">
        <f aca="false">-$E94*DQ14</f>
        <v>-0</v>
      </c>
      <c r="DR94" s="47" t="n">
        <f aca="false">-$E94*DR14</f>
        <v>-0</v>
      </c>
      <c r="DS94" s="47" t="n">
        <f aca="false">-$E94*DS14</f>
        <v>-0</v>
      </c>
      <c r="DT94" s="47" t="n">
        <f aca="false">-$E94*DT14</f>
        <v>-0</v>
      </c>
      <c r="DU94" s="47" t="n">
        <f aca="false">-$E94*DU14</f>
        <v>-0</v>
      </c>
      <c r="DV94" s="47" t="n">
        <f aca="false">-$E94*DV14</f>
        <v>-0</v>
      </c>
      <c r="DW94" s="47" t="n">
        <f aca="false">-$E94*DW14</f>
        <v>-0</v>
      </c>
      <c r="DX94" s="47" t="n">
        <f aca="false">-$E94*DX14</f>
        <v>-0</v>
      </c>
      <c r="DY94" s="47" t="n">
        <f aca="false">-$E94*DY14</f>
        <v>-0</v>
      </c>
      <c r="DZ94" s="47" t="n">
        <f aca="false">-$E94*DZ14</f>
        <v>-0</v>
      </c>
      <c r="EA94" s="47" t="n">
        <f aca="false">-$E94*EA14</f>
        <v>-0</v>
      </c>
      <c r="EB94" s="47" t="n">
        <f aca="false">-$E94*EB14</f>
        <v>-0</v>
      </c>
      <c r="EC94" s="47" t="n">
        <f aca="false">-$E94*EC14</f>
        <v>-0</v>
      </c>
      <c r="ED94" s="47" t="n">
        <f aca="false">-$E94*ED14</f>
        <v>-0</v>
      </c>
      <c r="EE94" s="47" t="n">
        <f aca="false">-$E94*EE14</f>
        <v>-0</v>
      </c>
      <c r="EF94" s="47" t="n">
        <f aca="false">-$E94*EF14</f>
        <v>-0</v>
      </c>
      <c r="EG94" s="47" t="n">
        <f aca="false">-$E94*EG14</f>
        <v>-0</v>
      </c>
      <c r="EH94" s="47" t="n">
        <f aca="false">-$E94*EH14</f>
        <v>-0</v>
      </c>
      <c r="EI94" s="47" t="n">
        <f aca="false">-$E94*EI14</f>
        <v>-0</v>
      </c>
      <c r="EJ94" s="47" t="n">
        <f aca="false">-$E94*EJ14</f>
        <v>-0</v>
      </c>
      <c r="EK94" s="47" t="n">
        <f aca="false">-$E94*EK14</f>
        <v>-0</v>
      </c>
      <c r="EL94" s="47" t="n">
        <f aca="false">-$E94*EL14</f>
        <v>-0</v>
      </c>
      <c r="EM94" s="47" t="n">
        <f aca="false">-$E94*EM14</f>
        <v>-0</v>
      </c>
      <c r="EN94" s="47" t="n">
        <f aca="false">-$E94*EN14</f>
        <v>-0</v>
      </c>
      <c r="EO94" s="47" t="n">
        <f aca="false">-$E94*EO14</f>
        <v>-0</v>
      </c>
      <c r="EP94" s="47" t="n">
        <f aca="false">-$E94*EP14</f>
        <v>-0</v>
      </c>
      <c r="EQ94" s="47" t="n">
        <f aca="false">-$E94*EQ14</f>
        <v>-0</v>
      </c>
      <c r="ER94" s="47" t="n">
        <f aca="false">-$E94*ER14</f>
        <v>-0</v>
      </c>
      <c r="ES94" s="47" t="n">
        <f aca="false">-$E94*ES14</f>
        <v>-0</v>
      </c>
      <c r="ET94" s="47" t="n">
        <f aca="false">-$E94*ET14</f>
        <v>-0</v>
      </c>
    </row>
    <row r="95" customFormat="false" ht="15" hidden="false" customHeight="false" outlineLevel="0" collapsed="false">
      <c r="A95" s="36"/>
      <c r="B95" s="36"/>
      <c r="C95" s="36" t="s">
        <v>514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36"/>
      <c r="CH95" s="36"/>
      <c r="CI95" s="36"/>
      <c r="CJ95" s="36"/>
      <c r="CK95" s="36"/>
      <c r="CL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B95" s="36"/>
      <c r="DC95" s="36"/>
      <c r="DD95" s="36"/>
      <c r="DE95" s="36"/>
      <c r="DF95" s="36"/>
      <c r="DG95" s="36"/>
      <c r="DH95" s="36"/>
      <c r="DI95" s="36"/>
      <c r="DJ95" s="36"/>
      <c r="DK95" s="36"/>
      <c r="DL95" s="36"/>
      <c r="DM95" s="36"/>
      <c r="DN95" s="36"/>
      <c r="DO95" s="36"/>
      <c r="DP95" s="36"/>
      <c r="DQ95" s="36"/>
      <c r="DR95" s="36"/>
      <c r="DS95" s="36"/>
      <c r="DT95" s="36"/>
      <c r="DU95" s="36"/>
      <c r="DV95" s="36"/>
      <c r="DW95" s="36"/>
      <c r="DX95" s="36"/>
      <c r="DY95" s="36"/>
      <c r="DZ95" s="36"/>
      <c r="EA95" s="36"/>
      <c r="EB95" s="36"/>
      <c r="EC95" s="36"/>
      <c r="ED95" s="36"/>
      <c r="EE95" s="36"/>
      <c r="EF95" s="36"/>
      <c r="EG95" s="36"/>
      <c r="EH95" s="36"/>
      <c r="EI95" s="36"/>
      <c r="EJ95" s="36"/>
      <c r="EK95" s="36"/>
      <c r="EL95" s="36"/>
      <c r="EM95" s="36"/>
      <c r="EN95" s="36"/>
      <c r="EO95" s="36"/>
      <c r="EP95" s="36"/>
      <c r="EQ95" s="36"/>
      <c r="ER95" s="36"/>
      <c r="ES95" s="36"/>
      <c r="ET95" s="36"/>
    </row>
    <row r="96" customFormat="false" ht="15" hidden="false" customHeight="false" outlineLevel="0" collapsed="false">
      <c r="C96" s="1" t="s">
        <v>494</v>
      </c>
      <c r="D96" s="12" t="s">
        <v>222</v>
      </c>
      <c r="J96" s="23" t="n">
        <f aca="false">I100</f>
        <v>0</v>
      </c>
      <c r="K96" s="23" t="n">
        <f aca="false">J100</f>
        <v>0</v>
      </c>
      <c r="L96" s="23" t="n">
        <f aca="false">K100</f>
        <v>0</v>
      </c>
      <c r="M96" s="23" t="n">
        <f aca="false">L100</f>
        <v>0</v>
      </c>
      <c r="N96" s="23" t="n">
        <f aca="false">M100</f>
        <v>0</v>
      </c>
      <c r="O96" s="23" t="n">
        <f aca="false">N100</f>
        <v>0</v>
      </c>
      <c r="P96" s="23" t="n">
        <f aca="false">O100</f>
        <v>0</v>
      </c>
      <c r="Q96" s="23" t="n">
        <f aca="false">P100</f>
        <v>0</v>
      </c>
      <c r="R96" s="23" t="n">
        <f aca="false">Q100</f>
        <v>0</v>
      </c>
      <c r="S96" s="23" t="n">
        <f aca="false">R100</f>
        <v>0</v>
      </c>
      <c r="T96" s="23" t="n">
        <f aca="false">S100</f>
        <v>0</v>
      </c>
      <c r="U96" s="23" t="n">
        <f aca="false">T100</f>
        <v>0</v>
      </c>
      <c r="V96" s="23" t="n">
        <f aca="false">U100</f>
        <v>0</v>
      </c>
      <c r="W96" s="23" t="n">
        <f aca="false">V100</f>
        <v>0</v>
      </c>
      <c r="X96" s="23" t="n">
        <f aca="false">W100</f>
        <v>11165.0988834708</v>
      </c>
      <c r="Y96" s="23" t="n">
        <f aca="false">X100</f>
        <v>22227.04196204</v>
      </c>
      <c r="Z96" s="23" t="n">
        <f aca="false">Y100</f>
        <v>33548.6190995638</v>
      </c>
      <c r="AA96" s="23" t="n">
        <f aca="false">Z100</f>
        <v>45133.0757217792</v>
      </c>
      <c r="AB96" s="23" t="n">
        <f aca="false">AA100</f>
        <v>56862.3380517723</v>
      </c>
      <c r="AC96" s="23" t="n">
        <f aca="false">AB100</f>
        <v>68495.4966199452</v>
      </c>
      <c r="AD96" s="23" t="n">
        <f aca="false">AC100</f>
        <v>80395.4294406928</v>
      </c>
      <c r="AE96" s="23" t="n">
        <f aca="false">AD100</f>
        <v>92565.4711921723</v>
      </c>
      <c r="AF96" s="23" t="n">
        <f aca="false">AE100</f>
        <v>90767.7188625063</v>
      </c>
      <c r="AG96" s="23" t="n">
        <f aca="false">AF100</f>
        <v>88947.4946287195</v>
      </c>
      <c r="AH96" s="23" t="n">
        <f aca="false">AG100</f>
        <v>87104.5175920104</v>
      </c>
      <c r="AI96" s="23" t="n">
        <f aca="false">AH100</f>
        <v>85238.5033423423</v>
      </c>
      <c r="AJ96" s="23" t="n">
        <f aca="false">AI100</f>
        <v>83349.1639145535</v>
      </c>
      <c r="AK96" s="23" t="n">
        <f aca="false">AJ100</f>
        <v>81436.2077439172</v>
      </c>
      <c r="AL96" s="23" t="n">
        <f aca="false">AK100</f>
        <v>79499.339621148</v>
      </c>
      <c r="AM96" s="23" t="n">
        <f aca="false">AL100</f>
        <v>77538.2606468443</v>
      </c>
      <c r="AN96" s="23" t="n">
        <f aca="false">AM100</f>
        <v>75552.6681853617</v>
      </c>
      <c r="AO96" s="23" t="n">
        <f aca="false">AN100</f>
        <v>73542.2558181105</v>
      </c>
      <c r="AP96" s="23" t="n">
        <f aca="false">AO100</f>
        <v>71506.7132962688</v>
      </c>
      <c r="AQ96" s="23" t="n">
        <f aca="false">AP100</f>
        <v>69445.726492904</v>
      </c>
      <c r="AR96" s="23" t="n">
        <f aca="false">AQ100</f>
        <v>67358.9773544972</v>
      </c>
      <c r="AS96" s="23" t="n">
        <f aca="false">AR100</f>
        <v>65246.1438518602</v>
      </c>
      <c r="AT96" s="23" t="n">
        <f aca="false">AS100</f>
        <v>63106.8999304403</v>
      </c>
      <c r="AU96" s="23" t="n">
        <f aca="false">AT100</f>
        <v>60940.9154600027</v>
      </c>
      <c r="AV96" s="23" t="n">
        <f aca="false">AU100</f>
        <v>58747.8561836846</v>
      </c>
      <c r="AW96" s="23" t="n">
        <f aca="false">AV100</f>
        <v>56527.3836664125</v>
      </c>
      <c r="AX96" s="23" t="n">
        <f aca="false">AW100</f>
        <v>54279.1552426745</v>
      </c>
      <c r="AY96" s="23" t="n">
        <f aca="false">AX100</f>
        <v>52002.8239636398</v>
      </c>
      <c r="AZ96" s="23" t="n">
        <f aca="false">AY100</f>
        <v>49698.0385436171</v>
      </c>
      <c r="BA96" s="23" t="n">
        <f aca="false">AZ100</f>
        <v>47364.4433058442</v>
      </c>
      <c r="BB96" s="23" t="n">
        <f aca="false">BA100</f>
        <v>45001.6781275991</v>
      </c>
      <c r="BC96" s="23" t="n">
        <f aca="false">BB100</f>
        <v>42609.378384626</v>
      </c>
      <c r="BD96" s="23" t="n">
        <f aca="false">BC100</f>
        <v>40187.1748948656</v>
      </c>
      <c r="BE96" s="23" t="n">
        <f aca="false">BD100</f>
        <v>37734.6938614833</v>
      </c>
      <c r="BF96" s="23" t="n">
        <f aca="false">BE100</f>
        <v>35251.5568151837</v>
      </c>
      <c r="BG96" s="23" t="n">
        <f aca="false">BF100</f>
        <v>32737.3805558053</v>
      </c>
      <c r="BH96" s="23" t="n">
        <f aca="false">BG100</f>
        <v>30191.7770931848</v>
      </c>
      <c r="BI96" s="23" t="n">
        <f aca="false">BH100</f>
        <v>27614.3535872814</v>
      </c>
      <c r="BJ96" s="23" t="n">
        <f aca="false">BI100</f>
        <v>25004.7122875543</v>
      </c>
      <c r="BK96" s="23" t="n">
        <f aca="false">BJ100</f>
        <v>22362.4504715806</v>
      </c>
      <c r="BL96" s="23" t="n">
        <f aca="false">BK100</f>
        <v>19687.1603829072</v>
      </c>
      <c r="BM96" s="23" t="n">
        <f aca="false">BL100</f>
        <v>16978.4291681254</v>
      </c>
      <c r="BN96" s="23" t="n">
        <f aca="false">BM100</f>
        <v>14235.8388131588</v>
      </c>
      <c r="BO96" s="23" t="n">
        <f aca="false">BN100</f>
        <v>11458.9660787551</v>
      </c>
      <c r="BP96" s="23" t="n">
        <f aca="false">BO100</f>
        <v>8647.38243517144</v>
      </c>
      <c r="BQ96" s="23" t="n">
        <f aca="false">BP100</f>
        <v>5800.65399604294</v>
      </c>
      <c r="BR96" s="23" t="n">
        <f aca="false">BQ100</f>
        <v>2918.34145142533</v>
      </c>
      <c r="BS96" s="23" t="n">
        <f aca="false">BR100</f>
        <v>0</v>
      </c>
      <c r="BT96" s="23" t="n">
        <f aca="false">BS100</f>
        <v>0</v>
      </c>
      <c r="BU96" s="23" t="n">
        <f aca="false">BT100</f>
        <v>0</v>
      </c>
      <c r="BV96" s="23" t="n">
        <f aca="false">BU100</f>
        <v>0</v>
      </c>
      <c r="BW96" s="23" t="n">
        <f aca="false">BV100</f>
        <v>0</v>
      </c>
      <c r="BX96" s="23" t="n">
        <f aca="false">BW100</f>
        <v>0</v>
      </c>
      <c r="BY96" s="23" t="n">
        <f aca="false">BX100</f>
        <v>0</v>
      </c>
      <c r="BZ96" s="23" t="n">
        <f aca="false">BY100</f>
        <v>0</v>
      </c>
      <c r="CA96" s="23" t="n">
        <f aca="false">BZ100</f>
        <v>0</v>
      </c>
      <c r="CB96" s="23" t="n">
        <f aca="false">CA100</f>
        <v>0</v>
      </c>
      <c r="CC96" s="23" t="n">
        <f aca="false">CB100</f>
        <v>0</v>
      </c>
      <c r="CD96" s="23" t="n">
        <f aca="false">CC100</f>
        <v>0</v>
      </c>
      <c r="CE96" s="23" t="n">
        <f aca="false">CD100</f>
        <v>0</v>
      </c>
      <c r="CF96" s="23" t="n">
        <f aca="false">CE100</f>
        <v>0</v>
      </c>
      <c r="CG96" s="23" t="n">
        <f aca="false">CF100</f>
        <v>0</v>
      </c>
      <c r="CH96" s="23" t="n">
        <f aca="false">CG100</f>
        <v>0</v>
      </c>
      <c r="CI96" s="23" t="n">
        <f aca="false">CH100</f>
        <v>0</v>
      </c>
      <c r="CJ96" s="23" t="n">
        <f aca="false">CI100</f>
        <v>0</v>
      </c>
      <c r="CK96" s="23" t="n">
        <f aca="false">CJ100</f>
        <v>0</v>
      </c>
      <c r="CL96" s="23" t="n">
        <f aca="false">CK100</f>
        <v>0</v>
      </c>
      <c r="CM96" s="23" t="n">
        <f aca="false">CL100</f>
        <v>0</v>
      </c>
      <c r="CN96" s="23" t="n">
        <f aca="false">CM100</f>
        <v>0</v>
      </c>
      <c r="CO96" s="23" t="n">
        <f aca="false">CN100</f>
        <v>0</v>
      </c>
      <c r="CP96" s="23" t="n">
        <f aca="false">CO100</f>
        <v>0</v>
      </c>
      <c r="CQ96" s="23" t="n">
        <f aca="false">CP100</f>
        <v>0</v>
      </c>
      <c r="CR96" s="23" t="n">
        <f aca="false">CQ100</f>
        <v>0</v>
      </c>
      <c r="CS96" s="23" t="n">
        <f aca="false">CR100</f>
        <v>0</v>
      </c>
      <c r="CT96" s="23" t="n">
        <f aca="false">CS100</f>
        <v>0</v>
      </c>
      <c r="CU96" s="23" t="n">
        <f aca="false">CT100</f>
        <v>0</v>
      </c>
      <c r="CV96" s="23" t="n">
        <f aca="false">CU100</f>
        <v>0</v>
      </c>
      <c r="CW96" s="23" t="n">
        <f aca="false">CV100</f>
        <v>0</v>
      </c>
      <c r="CX96" s="23" t="n">
        <f aca="false">CW100</f>
        <v>0</v>
      </c>
      <c r="CY96" s="23" t="n">
        <f aca="false">CX100</f>
        <v>0</v>
      </c>
      <c r="CZ96" s="23" t="n">
        <f aca="false">CY100</f>
        <v>0</v>
      </c>
      <c r="DA96" s="23" t="n">
        <f aca="false">CZ100</f>
        <v>0</v>
      </c>
      <c r="DB96" s="23" t="n">
        <f aca="false">DA100</f>
        <v>0</v>
      </c>
      <c r="DC96" s="23" t="n">
        <f aca="false">DB100</f>
        <v>0</v>
      </c>
      <c r="DD96" s="23" t="n">
        <f aca="false">DC100</f>
        <v>0</v>
      </c>
      <c r="DE96" s="23" t="n">
        <f aca="false">DD100</f>
        <v>0</v>
      </c>
      <c r="DF96" s="23" t="n">
        <f aca="false">DE100</f>
        <v>0</v>
      </c>
      <c r="DG96" s="23" t="n">
        <f aca="false">DF100</f>
        <v>0</v>
      </c>
      <c r="DH96" s="23" t="n">
        <f aca="false">DG100</f>
        <v>0</v>
      </c>
      <c r="DI96" s="23" t="n">
        <f aca="false">DH100</f>
        <v>0</v>
      </c>
      <c r="DJ96" s="23" t="n">
        <f aca="false">DI100</f>
        <v>0</v>
      </c>
      <c r="DK96" s="23" t="n">
        <f aca="false">DJ100</f>
        <v>0</v>
      </c>
      <c r="DL96" s="23" t="n">
        <f aca="false">DK100</f>
        <v>0</v>
      </c>
      <c r="DM96" s="23" t="n">
        <f aca="false">DL100</f>
        <v>0</v>
      </c>
      <c r="DN96" s="23" t="n">
        <f aca="false">DM100</f>
        <v>0</v>
      </c>
      <c r="DO96" s="23" t="n">
        <f aca="false">DN100</f>
        <v>0</v>
      </c>
      <c r="DP96" s="23" t="n">
        <f aca="false">DO100</f>
        <v>0</v>
      </c>
      <c r="DQ96" s="23" t="n">
        <f aca="false">DP100</f>
        <v>0</v>
      </c>
      <c r="DR96" s="23" t="n">
        <f aca="false">DQ100</f>
        <v>0</v>
      </c>
      <c r="DS96" s="23" t="n">
        <f aca="false">DR100</f>
        <v>0</v>
      </c>
      <c r="DT96" s="23" t="n">
        <f aca="false">DS100</f>
        <v>0</v>
      </c>
      <c r="DU96" s="23" t="n">
        <f aca="false">DT100</f>
        <v>0</v>
      </c>
      <c r="DV96" s="23" t="n">
        <f aca="false">DU100</f>
        <v>0</v>
      </c>
      <c r="DW96" s="23" t="n">
        <f aca="false">DV100</f>
        <v>0</v>
      </c>
      <c r="DX96" s="23" t="n">
        <f aca="false">DW100</f>
        <v>0</v>
      </c>
      <c r="DY96" s="23" t="n">
        <f aca="false">DX100</f>
        <v>0</v>
      </c>
      <c r="DZ96" s="23" t="n">
        <f aca="false">DY100</f>
        <v>0</v>
      </c>
      <c r="EA96" s="23" t="n">
        <f aca="false">DZ100</f>
        <v>0</v>
      </c>
      <c r="EB96" s="23" t="n">
        <f aca="false">EA100</f>
        <v>0</v>
      </c>
      <c r="EC96" s="23" t="n">
        <f aca="false">EB100</f>
        <v>0</v>
      </c>
      <c r="ED96" s="23" t="n">
        <f aca="false">EC100</f>
        <v>0</v>
      </c>
      <c r="EE96" s="23" t="n">
        <f aca="false">ED100</f>
        <v>0</v>
      </c>
      <c r="EF96" s="23" t="n">
        <f aca="false">EE100</f>
        <v>0</v>
      </c>
      <c r="EG96" s="23" t="n">
        <f aca="false">EF100</f>
        <v>0</v>
      </c>
      <c r="EH96" s="23" t="n">
        <f aca="false">EG100</f>
        <v>0</v>
      </c>
      <c r="EI96" s="23" t="n">
        <f aca="false">EH100</f>
        <v>0</v>
      </c>
      <c r="EJ96" s="23" t="n">
        <f aca="false">EI100</f>
        <v>0</v>
      </c>
      <c r="EK96" s="23" t="n">
        <f aca="false">EJ100</f>
        <v>0</v>
      </c>
      <c r="EL96" s="23" t="n">
        <f aca="false">EK100</f>
        <v>0</v>
      </c>
      <c r="EM96" s="23" t="n">
        <f aca="false">EL100</f>
        <v>0</v>
      </c>
      <c r="EN96" s="23" t="n">
        <f aca="false">EM100</f>
        <v>0</v>
      </c>
      <c r="EO96" s="23" t="n">
        <f aca="false">EN100</f>
        <v>0</v>
      </c>
      <c r="EP96" s="23" t="n">
        <f aca="false">EO100</f>
        <v>0</v>
      </c>
      <c r="EQ96" s="23" t="n">
        <f aca="false">EP100</f>
        <v>0</v>
      </c>
      <c r="ER96" s="23" t="n">
        <f aca="false">EQ100</f>
        <v>0</v>
      </c>
      <c r="ES96" s="23" t="n">
        <f aca="false">ER100</f>
        <v>0</v>
      </c>
      <c r="ET96" s="23" t="n">
        <f aca="false">ES100</f>
        <v>0</v>
      </c>
    </row>
    <row r="97" customFormat="false" ht="15" hidden="false" customHeight="false" outlineLevel="0" collapsed="false">
      <c r="C97" s="1" t="s">
        <v>515</v>
      </c>
      <c r="D97" s="12" t="s">
        <v>222</v>
      </c>
      <c r="E97" s="47" t="n">
        <f aca="false">-IF(In_CN_Turbine=1,In_Gearing_CN,In_Gearing)*($I93+$I53+$I94)</f>
        <v>88592.6324449315</v>
      </c>
      <c r="I97" s="47" t="n">
        <f aca="false">SUM(J97:ET97)</f>
        <v>88592.6324449315</v>
      </c>
      <c r="J97" s="47" t="n">
        <f aca="false">$E97*J13</f>
        <v>0</v>
      </c>
      <c r="K97" s="47" t="n">
        <f aca="false">$E97*K13</f>
        <v>0</v>
      </c>
      <c r="L97" s="47" t="n">
        <f aca="false">$E97*L13</f>
        <v>0</v>
      </c>
      <c r="M97" s="47" t="n">
        <f aca="false">$E97*M13</f>
        <v>0</v>
      </c>
      <c r="N97" s="47" t="n">
        <f aca="false">$E97*N13</f>
        <v>0</v>
      </c>
      <c r="O97" s="47" t="n">
        <f aca="false">$E97*O13</f>
        <v>0</v>
      </c>
      <c r="P97" s="47" t="n">
        <f aca="false">$E97*P13</f>
        <v>0</v>
      </c>
      <c r="Q97" s="47" t="n">
        <f aca="false">$E97*Q13</f>
        <v>0</v>
      </c>
      <c r="R97" s="47" t="n">
        <f aca="false">$E97*R13</f>
        <v>0</v>
      </c>
      <c r="S97" s="47" t="n">
        <f aca="false">$E97*S13</f>
        <v>0</v>
      </c>
      <c r="T97" s="47" t="n">
        <f aca="false">$E97*T13</f>
        <v>0</v>
      </c>
      <c r="U97" s="47" t="n">
        <f aca="false">$E97*U13</f>
        <v>0</v>
      </c>
      <c r="V97" s="47" t="n">
        <f aca="false">$E97*V13</f>
        <v>0</v>
      </c>
      <c r="W97" s="47" t="n">
        <f aca="false">$E97*W13</f>
        <v>11165.0988834708</v>
      </c>
      <c r="X97" s="47" t="n">
        <f aca="false">$E97*X13</f>
        <v>10922.3793425258</v>
      </c>
      <c r="Y97" s="47" t="n">
        <f aca="false">$E97*Y13</f>
        <v>11043.7391129983</v>
      </c>
      <c r="Z97" s="47" t="n">
        <f aca="false">$E97*Z13</f>
        <v>11165.0988834708</v>
      </c>
      <c r="AA97" s="47" t="n">
        <f aca="false">$E97*AA13</f>
        <v>11165.0988834708</v>
      </c>
      <c r="AB97" s="47" t="n">
        <f aca="false">$E97*AB13</f>
        <v>10922.3793425258</v>
      </c>
      <c r="AC97" s="47" t="n">
        <f aca="false">$E97*AC13</f>
        <v>11043.7391129983</v>
      </c>
      <c r="AD97" s="47" t="n">
        <f aca="false">$E97*AD13</f>
        <v>11165.0988834708</v>
      </c>
      <c r="AE97" s="47" t="n">
        <f aca="false">$E97*AE13</f>
        <v>0</v>
      </c>
      <c r="AF97" s="47" t="n">
        <f aca="false">$E97*AF13</f>
        <v>0</v>
      </c>
      <c r="AG97" s="47" t="n">
        <f aca="false">$E97*AG13</f>
        <v>0</v>
      </c>
      <c r="AH97" s="47" t="n">
        <f aca="false">$E97*AH13</f>
        <v>0</v>
      </c>
      <c r="AI97" s="47" t="n">
        <f aca="false">$E97*AI13</f>
        <v>0</v>
      </c>
      <c r="AJ97" s="47" t="n">
        <f aca="false">$E97*AJ13</f>
        <v>0</v>
      </c>
      <c r="AK97" s="47" t="n">
        <f aca="false">$E97*AK13</f>
        <v>0</v>
      </c>
      <c r="AL97" s="47" t="n">
        <f aca="false">$E97*AL13</f>
        <v>0</v>
      </c>
      <c r="AM97" s="47" t="n">
        <f aca="false">$E97*AM13</f>
        <v>0</v>
      </c>
      <c r="AN97" s="47" t="n">
        <f aca="false">$E97*AN13</f>
        <v>0</v>
      </c>
      <c r="AO97" s="47" t="n">
        <f aca="false">$E97*AO13</f>
        <v>0</v>
      </c>
      <c r="AP97" s="47" t="n">
        <f aca="false">$E97*AP13</f>
        <v>0</v>
      </c>
      <c r="AQ97" s="47" t="n">
        <f aca="false">$E97*AQ13</f>
        <v>0</v>
      </c>
      <c r="AR97" s="47" t="n">
        <f aca="false">$E97*AR13</f>
        <v>0</v>
      </c>
      <c r="AS97" s="47" t="n">
        <f aca="false">$E97*AS13</f>
        <v>0</v>
      </c>
      <c r="AT97" s="47" t="n">
        <f aca="false">$E97*AT13</f>
        <v>0</v>
      </c>
      <c r="AU97" s="47" t="n">
        <f aca="false">$E97*AU13</f>
        <v>0</v>
      </c>
      <c r="AV97" s="47" t="n">
        <f aca="false">$E97*AV13</f>
        <v>0</v>
      </c>
      <c r="AW97" s="47" t="n">
        <f aca="false">$E97*AW13</f>
        <v>0</v>
      </c>
      <c r="AX97" s="47" t="n">
        <f aca="false">$E97*AX13</f>
        <v>0</v>
      </c>
      <c r="AY97" s="47" t="n">
        <f aca="false">$E97*AY13</f>
        <v>0</v>
      </c>
      <c r="AZ97" s="47" t="n">
        <f aca="false">$E97*AZ13</f>
        <v>0</v>
      </c>
      <c r="BA97" s="47" t="n">
        <f aca="false">$E97*BA13</f>
        <v>0</v>
      </c>
      <c r="BB97" s="47" t="n">
        <f aca="false">$E97*BB13</f>
        <v>0</v>
      </c>
      <c r="BC97" s="47" t="n">
        <f aca="false">$E97*BC13</f>
        <v>0</v>
      </c>
      <c r="BD97" s="47" t="n">
        <f aca="false">$E97*BD13</f>
        <v>0</v>
      </c>
      <c r="BE97" s="47" t="n">
        <f aca="false">$E97*BE13</f>
        <v>0</v>
      </c>
      <c r="BF97" s="47" t="n">
        <f aca="false">$E97*BF13</f>
        <v>0</v>
      </c>
      <c r="BG97" s="47" t="n">
        <f aca="false">$E97*BG13</f>
        <v>0</v>
      </c>
      <c r="BH97" s="47" t="n">
        <f aca="false">$E97*BH13</f>
        <v>0</v>
      </c>
      <c r="BI97" s="47" t="n">
        <f aca="false">$E97*BI13</f>
        <v>0</v>
      </c>
      <c r="BJ97" s="47" t="n">
        <f aca="false">$E97*BJ13</f>
        <v>0</v>
      </c>
      <c r="BK97" s="47" t="n">
        <f aca="false">$E97*BK13</f>
        <v>0</v>
      </c>
      <c r="BL97" s="47" t="n">
        <f aca="false">$E97*BL13</f>
        <v>0</v>
      </c>
      <c r="BM97" s="47" t="n">
        <f aca="false">$E97*BM13</f>
        <v>0</v>
      </c>
      <c r="BN97" s="47" t="n">
        <f aca="false">$E97*BN13</f>
        <v>0</v>
      </c>
      <c r="BO97" s="47" t="n">
        <f aca="false">$E97*BO13</f>
        <v>0</v>
      </c>
      <c r="BP97" s="47" t="n">
        <f aca="false">$E97*BP13</f>
        <v>0</v>
      </c>
      <c r="BQ97" s="47" t="n">
        <f aca="false">$E97*BQ13</f>
        <v>0</v>
      </c>
      <c r="BR97" s="47" t="n">
        <f aca="false">$E97*BR13</f>
        <v>0</v>
      </c>
      <c r="BS97" s="47" t="n">
        <f aca="false">$E97*BS13</f>
        <v>0</v>
      </c>
      <c r="BT97" s="47" t="n">
        <f aca="false">$E97*BT13</f>
        <v>0</v>
      </c>
      <c r="BU97" s="47" t="n">
        <f aca="false">$E97*BU13</f>
        <v>0</v>
      </c>
      <c r="BV97" s="47" t="n">
        <f aca="false">$E97*BV13</f>
        <v>0</v>
      </c>
      <c r="BW97" s="47" t="n">
        <f aca="false">$E97*BW13</f>
        <v>0</v>
      </c>
      <c r="BX97" s="47" t="n">
        <f aca="false">$E97*BX13</f>
        <v>0</v>
      </c>
      <c r="BY97" s="47" t="n">
        <f aca="false">$E97*BY13</f>
        <v>0</v>
      </c>
      <c r="BZ97" s="47" t="n">
        <f aca="false">$E97*BZ13</f>
        <v>0</v>
      </c>
      <c r="CA97" s="47" t="n">
        <f aca="false">$E97*CA13</f>
        <v>0</v>
      </c>
      <c r="CB97" s="47" t="n">
        <f aca="false">$E97*CB13</f>
        <v>0</v>
      </c>
      <c r="CC97" s="47" t="n">
        <f aca="false">$E97*CC13</f>
        <v>0</v>
      </c>
      <c r="CD97" s="47" t="n">
        <f aca="false">$E97*CD13</f>
        <v>0</v>
      </c>
      <c r="CE97" s="47" t="n">
        <f aca="false">$E97*CE13</f>
        <v>0</v>
      </c>
      <c r="CF97" s="47" t="n">
        <f aca="false">$E97*CF13</f>
        <v>0</v>
      </c>
      <c r="CG97" s="47" t="n">
        <f aca="false">$E97*CG13</f>
        <v>0</v>
      </c>
      <c r="CH97" s="47" t="n">
        <f aca="false">$E97*CH13</f>
        <v>0</v>
      </c>
      <c r="CI97" s="47" t="n">
        <f aca="false">$E97*CI13</f>
        <v>0</v>
      </c>
      <c r="CJ97" s="47" t="n">
        <f aca="false">$E97*CJ13</f>
        <v>0</v>
      </c>
      <c r="CK97" s="47" t="n">
        <f aca="false">$E97*CK13</f>
        <v>0</v>
      </c>
      <c r="CL97" s="47" t="n">
        <f aca="false">$E97*CL13</f>
        <v>0</v>
      </c>
      <c r="CM97" s="47" t="n">
        <f aca="false">$E97*CM13</f>
        <v>0</v>
      </c>
      <c r="CN97" s="47" t="n">
        <f aca="false">$E97*CN13</f>
        <v>0</v>
      </c>
      <c r="CO97" s="47" t="n">
        <f aca="false">$E97*CO13</f>
        <v>0</v>
      </c>
      <c r="CP97" s="47" t="n">
        <f aca="false">$E97*CP13</f>
        <v>0</v>
      </c>
      <c r="CQ97" s="47" t="n">
        <f aca="false">$E97*CQ13</f>
        <v>0</v>
      </c>
      <c r="CR97" s="47" t="n">
        <f aca="false">$E97*CR13</f>
        <v>0</v>
      </c>
      <c r="CS97" s="47" t="n">
        <f aca="false">$E97*CS13</f>
        <v>0</v>
      </c>
      <c r="CT97" s="47" t="n">
        <f aca="false">$E97*CT13</f>
        <v>0</v>
      </c>
      <c r="CU97" s="47" t="n">
        <f aca="false">$E97*CU13</f>
        <v>0</v>
      </c>
      <c r="CV97" s="47" t="n">
        <f aca="false">$E97*CV13</f>
        <v>0</v>
      </c>
      <c r="CW97" s="47" t="n">
        <f aca="false">$E97*CW13</f>
        <v>0</v>
      </c>
      <c r="CX97" s="47" t="n">
        <f aca="false">$E97*CX13</f>
        <v>0</v>
      </c>
      <c r="CY97" s="47" t="n">
        <f aca="false">$E97*CY13</f>
        <v>0</v>
      </c>
      <c r="CZ97" s="47" t="n">
        <f aca="false">$E97*CZ13</f>
        <v>0</v>
      </c>
      <c r="DA97" s="47" t="n">
        <f aca="false">$E97*DA13</f>
        <v>0</v>
      </c>
      <c r="DB97" s="47" t="n">
        <f aca="false">$E97*DB13</f>
        <v>0</v>
      </c>
      <c r="DC97" s="47" t="n">
        <f aca="false">$E97*DC13</f>
        <v>0</v>
      </c>
      <c r="DD97" s="47" t="n">
        <f aca="false">$E97*DD13</f>
        <v>0</v>
      </c>
      <c r="DE97" s="47" t="n">
        <f aca="false">$E97*DE13</f>
        <v>0</v>
      </c>
      <c r="DF97" s="47" t="n">
        <f aca="false">$E97*DF13</f>
        <v>0</v>
      </c>
      <c r="DG97" s="47" t="n">
        <f aca="false">$E97*DG13</f>
        <v>0</v>
      </c>
      <c r="DH97" s="47" t="n">
        <f aca="false">$E97*DH13</f>
        <v>0</v>
      </c>
      <c r="DI97" s="47" t="n">
        <f aca="false">$E97*DI13</f>
        <v>0</v>
      </c>
      <c r="DJ97" s="47" t="n">
        <f aca="false">$E97*DJ13</f>
        <v>0</v>
      </c>
      <c r="DK97" s="47" t="n">
        <f aca="false">$E97*DK13</f>
        <v>0</v>
      </c>
      <c r="DL97" s="47" t="n">
        <f aca="false">$E97*DL13</f>
        <v>0</v>
      </c>
      <c r="DM97" s="47" t="n">
        <f aca="false">$E97*DM13</f>
        <v>0</v>
      </c>
      <c r="DN97" s="47" t="n">
        <f aca="false">$E97*DN13</f>
        <v>0</v>
      </c>
      <c r="DO97" s="47" t="n">
        <f aca="false">$E97*DO13</f>
        <v>0</v>
      </c>
      <c r="DP97" s="47" t="n">
        <f aca="false">$E97*DP13</f>
        <v>0</v>
      </c>
      <c r="DQ97" s="47" t="n">
        <f aca="false">$E97*DQ13</f>
        <v>0</v>
      </c>
      <c r="DR97" s="47" t="n">
        <f aca="false">$E97*DR13</f>
        <v>0</v>
      </c>
      <c r="DS97" s="47" t="n">
        <f aca="false">$E97*DS13</f>
        <v>0</v>
      </c>
      <c r="DT97" s="47" t="n">
        <f aca="false">$E97*DT13</f>
        <v>0</v>
      </c>
      <c r="DU97" s="47" t="n">
        <f aca="false">$E97*DU13</f>
        <v>0</v>
      </c>
      <c r="DV97" s="47" t="n">
        <f aca="false">$E97*DV13</f>
        <v>0</v>
      </c>
      <c r="DW97" s="47" t="n">
        <f aca="false">$E97*DW13</f>
        <v>0</v>
      </c>
      <c r="DX97" s="47" t="n">
        <f aca="false">$E97*DX13</f>
        <v>0</v>
      </c>
      <c r="DY97" s="47" t="n">
        <f aca="false">$E97*DY13</f>
        <v>0</v>
      </c>
      <c r="DZ97" s="47" t="n">
        <f aca="false">$E97*DZ13</f>
        <v>0</v>
      </c>
      <c r="EA97" s="47" t="n">
        <f aca="false">$E97*EA13</f>
        <v>0</v>
      </c>
      <c r="EB97" s="47" t="n">
        <f aca="false">$E97*EB13</f>
        <v>0</v>
      </c>
      <c r="EC97" s="47" t="n">
        <f aca="false">$E97*EC13</f>
        <v>0</v>
      </c>
      <c r="ED97" s="47" t="n">
        <f aca="false">$E97*ED13</f>
        <v>0</v>
      </c>
      <c r="EE97" s="47" t="n">
        <f aca="false">$E97*EE13</f>
        <v>0</v>
      </c>
      <c r="EF97" s="47" t="n">
        <f aca="false">$E97*EF13</f>
        <v>0</v>
      </c>
      <c r="EG97" s="47" t="n">
        <f aca="false">$E97*EG13</f>
        <v>0</v>
      </c>
      <c r="EH97" s="47" t="n">
        <f aca="false">$E97*EH13</f>
        <v>0</v>
      </c>
      <c r="EI97" s="47" t="n">
        <f aca="false">$E97*EI13</f>
        <v>0</v>
      </c>
      <c r="EJ97" s="47" t="n">
        <f aca="false">$E97*EJ13</f>
        <v>0</v>
      </c>
      <c r="EK97" s="47" t="n">
        <f aca="false">$E97*EK13</f>
        <v>0</v>
      </c>
      <c r="EL97" s="47" t="n">
        <f aca="false">$E97*EL13</f>
        <v>0</v>
      </c>
      <c r="EM97" s="47" t="n">
        <f aca="false">$E97*EM13</f>
        <v>0</v>
      </c>
      <c r="EN97" s="47" t="n">
        <f aca="false">$E97*EN13</f>
        <v>0</v>
      </c>
      <c r="EO97" s="47" t="n">
        <f aca="false">$E97*EO13</f>
        <v>0</v>
      </c>
      <c r="EP97" s="47" t="n">
        <f aca="false">$E97*EP13</f>
        <v>0</v>
      </c>
      <c r="EQ97" s="47" t="n">
        <f aca="false">$E97*EQ13</f>
        <v>0</v>
      </c>
      <c r="ER97" s="47" t="n">
        <f aca="false">$E97*ER13</f>
        <v>0</v>
      </c>
      <c r="ES97" s="47" t="n">
        <f aca="false">$E97*ES13</f>
        <v>0</v>
      </c>
      <c r="ET97" s="47" t="n">
        <f aca="false">$E97*ET13</f>
        <v>0</v>
      </c>
    </row>
    <row r="98" customFormat="false" ht="15" hidden="false" customHeight="false" outlineLevel="0" collapsed="false">
      <c r="C98" s="1" t="s">
        <v>516</v>
      </c>
      <c r="D98" s="12" t="s">
        <v>222</v>
      </c>
      <c r="F98" s="55" t="n">
        <f aca="false">In_Debt_Rate*Months_Per_Period/Months_In_Year</f>
        <v>0.0125</v>
      </c>
      <c r="I98" s="47" t="n">
        <f aca="false">SUM(J98:ET98)</f>
        <v>3972.8387472408</v>
      </c>
      <c r="J98" s="47" t="n">
        <f aca="false">J96*$F98*(J$4&lt;=In_COD)</f>
        <v>0</v>
      </c>
      <c r="K98" s="47" t="n">
        <f aca="false">K96*$F98*(K$4&lt;=In_COD)</f>
        <v>0</v>
      </c>
      <c r="L98" s="47" t="n">
        <f aca="false">L96*$F98*(L$4&lt;=In_COD)</f>
        <v>0</v>
      </c>
      <c r="M98" s="47" t="n">
        <f aca="false">M96*$F98*(M$4&lt;=In_COD)</f>
        <v>0</v>
      </c>
      <c r="N98" s="47" t="n">
        <f aca="false">N96*$F98*(N$4&lt;=In_COD)</f>
        <v>0</v>
      </c>
      <c r="O98" s="47" t="n">
        <f aca="false">O96*$F98*(O$4&lt;=In_COD)</f>
        <v>0</v>
      </c>
      <c r="P98" s="47" t="n">
        <f aca="false">P96*$F98*(P$4&lt;=In_COD)</f>
        <v>0</v>
      </c>
      <c r="Q98" s="47" t="n">
        <f aca="false">Q96*$F98*(Q$4&lt;=In_COD)</f>
        <v>0</v>
      </c>
      <c r="R98" s="47" t="n">
        <f aca="false">R96*$F98*(R$4&lt;=In_COD)</f>
        <v>0</v>
      </c>
      <c r="S98" s="47" t="n">
        <f aca="false">S96*$F98*(S$4&lt;=In_COD)</f>
        <v>0</v>
      </c>
      <c r="T98" s="47" t="n">
        <f aca="false">T96*$F98*(T$4&lt;=In_COD)</f>
        <v>0</v>
      </c>
      <c r="U98" s="47" t="n">
        <f aca="false">U96*$F98*(U$4&lt;=In_COD)</f>
        <v>0</v>
      </c>
      <c r="V98" s="47" t="n">
        <f aca="false">V96*$F98*(V$4&lt;=In_COD)</f>
        <v>0</v>
      </c>
      <c r="W98" s="47" t="n">
        <f aca="false">W96*$F98*(W$4&lt;=In_COD)</f>
        <v>0</v>
      </c>
      <c r="X98" s="47" t="n">
        <f aca="false">X96*$F98*(X$4&lt;=In_COD)</f>
        <v>139.563736043385</v>
      </c>
      <c r="Y98" s="47" t="n">
        <f aca="false">Y96*$F98*(Y$4&lt;=In_COD)</f>
        <v>277.8380245255</v>
      </c>
      <c r="Z98" s="47" t="n">
        <f aca="false">Z96*$F98*(Z$4&lt;=In_COD)</f>
        <v>419.357738744548</v>
      </c>
      <c r="AA98" s="47" t="n">
        <f aca="false">AA96*$F98*(AA$4&lt;=In_COD)</f>
        <v>564.16344652224</v>
      </c>
      <c r="AB98" s="47" t="n">
        <f aca="false">AB96*$F98*(AB$4&lt;=In_COD)</f>
        <v>710.779225647153</v>
      </c>
      <c r="AC98" s="47" t="n">
        <f aca="false">AC96*$F98*(AC$4&lt;=In_COD)</f>
        <v>856.193707749315</v>
      </c>
      <c r="AD98" s="47" t="n">
        <f aca="false">AD96*$F98*(AD$4&lt;=In_COD)</f>
        <v>1004.94286800866</v>
      </c>
      <c r="AE98" s="47" t="n">
        <f aca="false">AE96*$F98*(AE$4&lt;=In_COD)</f>
        <v>0</v>
      </c>
      <c r="AF98" s="47" t="n">
        <f aca="false">AF96*$F98*(AF$4&lt;=In_COD)</f>
        <v>0</v>
      </c>
      <c r="AG98" s="47" t="n">
        <f aca="false">AG96*$F98*(AG$4&lt;=In_COD)</f>
        <v>0</v>
      </c>
      <c r="AH98" s="47" t="n">
        <f aca="false">AH96*$F98*(AH$4&lt;=In_COD)</f>
        <v>0</v>
      </c>
      <c r="AI98" s="47" t="n">
        <f aca="false">AI96*$F98*(AI$4&lt;=In_COD)</f>
        <v>0</v>
      </c>
      <c r="AJ98" s="47" t="n">
        <f aca="false">AJ96*$F98*(AJ$4&lt;=In_COD)</f>
        <v>0</v>
      </c>
      <c r="AK98" s="47" t="n">
        <f aca="false">AK96*$F98*(AK$4&lt;=In_COD)</f>
        <v>0</v>
      </c>
      <c r="AL98" s="47" t="n">
        <f aca="false">AL96*$F98*(AL$4&lt;=In_COD)</f>
        <v>0</v>
      </c>
      <c r="AM98" s="47" t="n">
        <f aca="false">AM96*$F98*(AM$4&lt;=In_COD)</f>
        <v>0</v>
      </c>
      <c r="AN98" s="47" t="n">
        <f aca="false">AN96*$F98*(AN$4&lt;=In_COD)</f>
        <v>0</v>
      </c>
      <c r="AO98" s="47" t="n">
        <f aca="false">AO96*$F98*(AO$4&lt;=In_COD)</f>
        <v>0</v>
      </c>
      <c r="AP98" s="47" t="n">
        <f aca="false">AP96*$F98*(AP$4&lt;=In_COD)</f>
        <v>0</v>
      </c>
      <c r="AQ98" s="47" t="n">
        <f aca="false">AQ96*$F98*(AQ$4&lt;=In_COD)</f>
        <v>0</v>
      </c>
      <c r="AR98" s="47" t="n">
        <f aca="false">AR96*$F98*(AR$4&lt;=In_COD)</f>
        <v>0</v>
      </c>
      <c r="AS98" s="47" t="n">
        <f aca="false">AS96*$F98*(AS$4&lt;=In_COD)</f>
        <v>0</v>
      </c>
      <c r="AT98" s="47" t="n">
        <f aca="false">AT96*$F98*(AT$4&lt;=In_COD)</f>
        <v>0</v>
      </c>
      <c r="AU98" s="47" t="n">
        <f aca="false">AU96*$F98*(AU$4&lt;=In_COD)</f>
        <v>0</v>
      </c>
      <c r="AV98" s="47" t="n">
        <f aca="false">AV96*$F98*(AV$4&lt;=In_COD)</f>
        <v>0</v>
      </c>
      <c r="AW98" s="47" t="n">
        <f aca="false">AW96*$F98*(AW$4&lt;=In_COD)</f>
        <v>0</v>
      </c>
      <c r="AX98" s="47" t="n">
        <f aca="false">AX96*$F98*(AX$4&lt;=In_COD)</f>
        <v>0</v>
      </c>
      <c r="AY98" s="47" t="n">
        <f aca="false">AY96*$F98*(AY$4&lt;=In_COD)</f>
        <v>0</v>
      </c>
      <c r="AZ98" s="47" t="n">
        <f aca="false">AZ96*$F98*(AZ$4&lt;=In_COD)</f>
        <v>0</v>
      </c>
      <c r="BA98" s="47" t="n">
        <f aca="false">BA96*$F98*(BA$4&lt;=In_COD)</f>
        <v>0</v>
      </c>
      <c r="BB98" s="47" t="n">
        <f aca="false">BB96*$F98*(BB$4&lt;=In_COD)</f>
        <v>0</v>
      </c>
      <c r="BC98" s="47" t="n">
        <f aca="false">BC96*$F98*(BC$4&lt;=In_COD)</f>
        <v>0</v>
      </c>
      <c r="BD98" s="47" t="n">
        <f aca="false">BD96*$F98*(BD$4&lt;=In_COD)</f>
        <v>0</v>
      </c>
      <c r="BE98" s="47" t="n">
        <f aca="false">BE96*$F98*(BE$4&lt;=In_COD)</f>
        <v>0</v>
      </c>
      <c r="BF98" s="47" t="n">
        <f aca="false">BF96*$F98*(BF$4&lt;=In_COD)</f>
        <v>0</v>
      </c>
      <c r="BG98" s="47" t="n">
        <f aca="false">BG96*$F98*(BG$4&lt;=In_COD)</f>
        <v>0</v>
      </c>
      <c r="BH98" s="47" t="n">
        <f aca="false">BH96*$F98*(BH$4&lt;=In_COD)</f>
        <v>0</v>
      </c>
      <c r="BI98" s="47" t="n">
        <f aca="false">BI96*$F98*(BI$4&lt;=In_COD)</f>
        <v>0</v>
      </c>
      <c r="BJ98" s="47" t="n">
        <f aca="false">BJ96*$F98*(BJ$4&lt;=In_COD)</f>
        <v>0</v>
      </c>
      <c r="BK98" s="47" t="n">
        <f aca="false">BK96*$F98*(BK$4&lt;=In_COD)</f>
        <v>0</v>
      </c>
      <c r="BL98" s="47" t="n">
        <f aca="false">BL96*$F98*(BL$4&lt;=In_COD)</f>
        <v>0</v>
      </c>
      <c r="BM98" s="47" t="n">
        <f aca="false">BM96*$F98*(BM$4&lt;=In_COD)</f>
        <v>0</v>
      </c>
      <c r="BN98" s="47" t="n">
        <f aca="false">BN96*$F98*(BN$4&lt;=In_COD)</f>
        <v>0</v>
      </c>
      <c r="BO98" s="47" t="n">
        <f aca="false">BO96*$F98*(BO$4&lt;=In_COD)</f>
        <v>0</v>
      </c>
      <c r="BP98" s="47" t="n">
        <f aca="false">BP96*$F98*(BP$4&lt;=In_COD)</f>
        <v>0</v>
      </c>
      <c r="BQ98" s="47" t="n">
        <f aca="false">BQ96*$F98*(BQ$4&lt;=In_COD)</f>
        <v>0</v>
      </c>
      <c r="BR98" s="47" t="n">
        <f aca="false">BR96*$F98*(BR$4&lt;=In_COD)</f>
        <v>0</v>
      </c>
      <c r="BS98" s="47" t="n">
        <f aca="false">BS96*$F98*(BS$4&lt;=In_COD)</f>
        <v>0</v>
      </c>
      <c r="BT98" s="47" t="n">
        <f aca="false">BT96*$F98*(BT$4&lt;=In_COD)</f>
        <v>0</v>
      </c>
      <c r="BU98" s="47" t="n">
        <f aca="false">BU96*$F98*(BU$4&lt;=In_COD)</f>
        <v>0</v>
      </c>
      <c r="BV98" s="47" t="n">
        <f aca="false">BV96*$F98*(BV$4&lt;=In_COD)</f>
        <v>0</v>
      </c>
      <c r="BW98" s="47" t="n">
        <f aca="false">BW96*$F98*(BW$4&lt;=In_COD)</f>
        <v>0</v>
      </c>
      <c r="BX98" s="47" t="n">
        <f aca="false">BX96*$F98*(BX$4&lt;=In_COD)</f>
        <v>0</v>
      </c>
      <c r="BY98" s="47" t="n">
        <f aca="false">BY96*$F98*(BY$4&lt;=In_COD)</f>
        <v>0</v>
      </c>
      <c r="BZ98" s="47" t="n">
        <f aca="false">BZ96*$F98*(BZ$4&lt;=In_COD)</f>
        <v>0</v>
      </c>
      <c r="CA98" s="47" t="n">
        <f aca="false">CA96*$F98*(CA$4&lt;=In_COD)</f>
        <v>0</v>
      </c>
      <c r="CB98" s="47" t="n">
        <f aca="false">CB96*$F98*(CB$4&lt;=In_COD)</f>
        <v>0</v>
      </c>
      <c r="CC98" s="47" t="n">
        <f aca="false">CC96*$F98*(CC$4&lt;=In_COD)</f>
        <v>0</v>
      </c>
      <c r="CD98" s="47" t="n">
        <f aca="false">CD96*$F98*(CD$4&lt;=In_COD)</f>
        <v>0</v>
      </c>
      <c r="CE98" s="47" t="n">
        <f aca="false">CE96*$F98*(CE$4&lt;=In_COD)</f>
        <v>0</v>
      </c>
      <c r="CF98" s="47" t="n">
        <f aca="false">CF96*$F98*(CF$4&lt;=In_COD)</f>
        <v>0</v>
      </c>
      <c r="CG98" s="47" t="n">
        <f aca="false">CG96*$F98*(CG$4&lt;=In_COD)</f>
        <v>0</v>
      </c>
      <c r="CH98" s="47" t="n">
        <f aca="false">CH96*$F98*(CH$4&lt;=In_COD)</f>
        <v>0</v>
      </c>
      <c r="CI98" s="47" t="n">
        <f aca="false">CI96*$F98*(CI$4&lt;=In_COD)</f>
        <v>0</v>
      </c>
      <c r="CJ98" s="47" t="n">
        <f aca="false">CJ96*$F98*(CJ$4&lt;=In_COD)</f>
        <v>0</v>
      </c>
      <c r="CK98" s="47" t="n">
        <f aca="false">CK96*$F98*(CK$4&lt;=In_COD)</f>
        <v>0</v>
      </c>
      <c r="CL98" s="47" t="n">
        <f aca="false">CL96*$F98*(CL$4&lt;=In_COD)</f>
        <v>0</v>
      </c>
      <c r="CM98" s="47" t="n">
        <f aca="false">CM96*$F98*(CM$4&lt;=In_COD)</f>
        <v>0</v>
      </c>
      <c r="CN98" s="47" t="n">
        <f aca="false">CN96*$F98*(CN$4&lt;=In_COD)</f>
        <v>0</v>
      </c>
      <c r="CO98" s="47" t="n">
        <f aca="false">CO96*$F98*(CO$4&lt;=In_COD)</f>
        <v>0</v>
      </c>
      <c r="CP98" s="47" t="n">
        <f aca="false">CP96*$F98*(CP$4&lt;=In_COD)</f>
        <v>0</v>
      </c>
      <c r="CQ98" s="47" t="n">
        <f aca="false">CQ96*$F98*(CQ$4&lt;=In_COD)</f>
        <v>0</v>
      </c>
      <c r="CR98" s="47" t="n">
        <f aca="false">CR96*$F98*(CR$4&lt;=In_COD)</f>
        <v>0</v>
      </c>
      <c r="CS98" s="47" t="n">
        <f aca="false">CS96*$F98*(CS$4&lt;=In_COD)</f>
        <v>0</v>
      </c>
      <c r="CT98" s="47" t="n">
        <f aca="false">CT96*$F98*(CT$4&lt;=In_COD)</f>
        <v>0</v>
      </c>
      <c r="CU98" s="47" t="n">
        <f aca="false">CU96*$F98*(CU$4&lt;=In_COD)</f>
        <v>0</v>
      </c>
      <c r="CV98" s="47" t="n">
        <f aca="false">CV96*$F98*(CV$4&lt;=In_COD)</f>
        <v>0</v>
      </c>
      <c r="CW98" s="47" t="n">
        <f aca="false">CW96*$F98*(CW$4&lt;=In_COD)</f>
        <v>0</v>
      </c>
      <c r="CX98" s="47" t="n">
        <f aca="false">CX96*$F98*(CX$4&lt;=In_COD)</f>
        <v>0</v>
      </c>
      <c r="CY98" s="47" t="n">
        <f aca="false">CY96*$F98*(CY$4&lt;=In_COD)</f>
        <v>0</v>
      </c>
      <c r="CZ98" s="47" t="n">
        <f aca="false">CZ96*$F98*(CZ$4&lt;=In_COD)</f>
        <v>0</v>
      </c>
      <c r="DA98" s="47" t="n">
        <f aca="false">DA96*$F98*(DA$4&lt;=In_COD)</f>
        <v>0</v>
      </c>
      <c r="DB98" s="47" t="n">
        <f aca="false">DB96*$F98*(DB$4&lt;=In_COD)</f>
        <v>0</v>
      </c>
      <c r="DC98" s="47" t="n">
        <f aca="false">DC96*$F98*(DC$4&lt;=In_COD)</f>
        <v>0</v>
      </c>
      <c r="DD98" s="47" t="n">
        <f aca="false">DD96*$F98*(DD$4&lt;=In_COD)</f>
        <v>0</v>
      </c>
      <c r="DE98" s="47" t="n">
        <f aca="false">DE96*$F98*(DE$4&lt;=In_COD)</f>
        <v>0</v>
      </c>
      <c r="DF98" s="47" t="n">
        <f aca="false">DF96*$F98*(DF$4&lt;=In_COD)</f>
        <v>0</v>
      </c>
      <c r="DG98" s="47" t="n">
        <f aca="false">DG96*$F98*(DG$4&lt;=In_COD)</f>
        <v>0</v>
      </c>
      <c r="DH98" s="47" t="n">
        <f aca="false">DH96*$F98*(DH$4&lt;=In_COD)</f>
        <v>0</v>
      </c>
      <c r="DI98" s="47" t="n">
        <f aca="false">DI96*$F98*(DI$4&lt;=In_COD)</f>
        <v>0</v>
      </c>
      <c r="DJ98" s="47" t="n">
        <f aca="false">DJ96*$F98*(DJ$4&lt;=In_COD)</f>
        <v>0</v>
      </c>
      <c r="DK98" s="47" t="n">
        <f aca="false">DK96*$F98*(DK$4&lt;=In_COD)</f>
        <v>0</v>
      </c>
      <c r="DL98" s="47" t="n">
        <f aca="false">DL96*$F98*(DL$4&lt;=In_COD)</f>
        <v>0</v>
      </c>
      <c r="DM98" s="47" t="n">
        <f aca="false">DM96*$F98*(DM$4&lt;=In_COD)</f>
        <v>0</v>
      </c>
      <c r="DN98" s="47" t="n">
        <f aca="false">DN96*$F98*(DN$4&lt;=In_COD)</f>
        <v>0</v>
      </c>
      <c r="DO98" s="47" t="n">
        <f aca="false">DO96*$F98*(DO$4&lt;=In_COD)</f>
        <v>0</v>
      </c>
      <c r="DP98" s="47" t="n">
        <f aca="false">DP96*$F98*(DP$4&lt;=In_COD)</f>
        <v>0</v>
      </c>
      <c r="DQ98" s="47" t="n">
        <f aca="false">DQ96*$F98*(DQ$4&lt;=In_COD)</f>
        <v>0</v>
      </c>
      <c r="DR98" s="47" t="n">
        <f aca="false">DR96*$F98*(DR$4&lt;=In_COD)</f>
        <v>0</v>
      </c>
      <c r="DS98" s="47" t="n">
        <f aca="false">DS96*$F98*(DS$4&lt;=In_COD)</f>
        <v>0</v>
      </c>
      <c r="DT98" s="47" t="n">
        <f aca="false">DT96*$F98*(DT$4&lt;=In_COD)</f>
        <v>0</v>
      </c>
      <c r="DU98" s="47" t="n">
        <f aca="false">DU96*$F98*(DU$4&lt;=In_COD)</f>
        <v>0</v>
      </c>
      <c r="DV98" s="47" t="n">
        <f aca="false">DV96*$F98*(DV$4&lt;=In_COD)</f>
        <v>0</v>
      </c>
      <c r="DW98" s="47" t="n">
        <f aca="false">DW96*$F98*(DW$4&lt;=In_COD)</f>
        <v>0</v>
      </c>
      <c r="DX98" s="47" t="n">
        <f aca="false">DX96*$F98*(DX$4&lt;=In_COD)</f>
        <v>0</v>
      </c>
      <c r="DY98" s="47" t="n">
        <f aca="false">DY96*$F98*(DY$4&lt;=In_COD)</f>
        <v>0</v>
      </c>
      <c r="DZ98" s="47" t="n">
        <f aca="false">DZ96*$F98*(DZ$4&lt;=In_COD)</f>
        <v>0</v>
      </c>
      <c r="EA98" s="47" t="n">
        <f aca="false">EA96*$F98*(EA$4&lt;=In_COD)</f>
        <v>0</v>
      </c>
      <c r="EB98" s="47" t="n">
        <f aca="false">EB96*$F98*(EB$4&lt;=In_COD)</f>
        <v>0</v>
      </c>
      <c r="EC98" s="47" t="n">
        <f aca="false">EC96*$F98*(EC$4&lt;=In_COD)</f>
        <v>0</v>
      </c>
      <c r="ED98" s="47" t="n">
        <f aca="false">ED96*$F98*(ED$4&lt;=In_COD)</f>
        <v>0</v>
      </c>
      <c r="EE98" s="47" t="n">
        <f aca="false">EE96*$F98*(EE$4&lt;=In_COD)</f>
        <v>0</v>
      </c>
      <c r="EF98" s="47" t="n">
        <f aca="false">EF96*$F98*(EF$4&lt;=In_COD)</f>
        <v>0</v>
      </c>
      <c r="EG98" s="47" t="n">
        <f aca="false">EG96*$F98*(EG$4&lt;=In_COD)</f>
        <v>0</v>
      </c>
      <c r="EH98" s="47" t="n">
        <f aca="false">EH96*$F98*(EH$4&lt;=In_COD)</f>
        <v>0</v>
      </c>
      <c r="EI98" s="47" t="n">
        <f aca="false">EI96*$F98*(EI$4&lt;=In_COD)</f>
        <v>0</v>
      </c>
      <c r="EJ98" s="47" t="n">
        <f aca="false">EJ96*$F98*(EJ$4&lt;=In_COD)</f>
        <v>0</v>
      </c>
      <c r="EK98" s="47" t="n">
        <f aca="false">EK96*$F98*(EK$4&lt;=In_COD)</f>
        <v>0</v>
      </c>
      <c r="EL98" s="47" t="n">
        <f aca="false">EL96*$F98*(EL$4&lt;=In_COD)</f>
        <v>0</v>
      </c>
      <c r="EM98" s="47" t="n">
        <f aca="false">EM96*$F98*(EM$4&lt;=In_COD)</f>
        <v>0</v>
      </c>
      <c r="EN98" s="47" t="n">
        <f aca="false">EN96*$F98*(EN$4&lt;=In_COD)</f>
        <v>0</v>
      </c>
      <c r="EO98" s="47" t="n">
        <f aca="false">EO96*$F98*(EO$4&lt;=In_COD)</f>
        <v>0</v>
      </c>
      <c r="EP98" s="47" t="n">
        <f aca="false">EP96*$F98*(EP$4&lt;=In_COD)</f>
        <v>0</v>
      </c>
      <c r="EQ98" s="47" t="n">
        <f aca="false">EQ96*$F98*(EQ$4&lt;=In_COD)</f>
        <v>0</v>
      </c>
      <c r="ER98" s="47" t="n">
        <f aca="false">ER96*$F98*(ER$4&lt;=In_COD)</f>
        <v>0</v>
      </c>
      <c r="ES98" s="47" t="n">
        <f aca="false">ES96*$F98*(ES$4&lt;=In_COD)</f>
        <v>0</v>
      </c>
      <c r="ET98" s="47" t="n">
        <f aca="false">ET96*$F98*(ET$4&lt;=In_COD)</f>
        <v>0</v>
      </c>
    </row>
    <row r="99" customFormat="false" ht="15" hidden="false" customHeight="false" outlineLevel="0" collapsed="false">
      <c r="C99" s="1" t="s">
        <v>517</v>
      </c>
      <c r="D99" s="12" t="s">
        <v>222</v>
      </c>
      <c r="I99" s="47" t="n">
        <f aca="false">SUM(J99:ET99)</f>
        <v>-92565.4711921723</v>
      </c>
      <c r="J99" s="47" t="n">
        <f aca="false">PPMT($F98,1,In_Debt_Tenor*Months_In_Year/Months_Per_Period-SUM($J17:J17)+1,J96)*J17</f>
        <v>0</v>
      </c>
      <c r="K99" s="47" t="n">
        <f aca="false">PPMT($F98,1,In_Debt_Tenor*Months_In_Year/Months_Per_Period-SUM($J17:K17)+1,K96)*K17</f>
        <v>0</v>
      </c>
      <c r="L99" s="47" t="n">
        <f aca="false">PPMT($F98,1,In_Debt_Tenor*Months_In_Year/Months_Per_Period-SUM($J17:L17)+1,L96)*L17</f>
        <v>0</v>
      </c>
      <c r="M99" s="47" t="n">
        <f aca="false">PPMT($F98,1,In_Debt_Tenor*Months_In_Year/Months_Per_Period-SUM($J17:M17)+1,M96)*M17</f>
        <v>0</v>
      </c>
      <c r="N99" s="47" t="n">
        <f aca="false">PPMT($F98,1,In_Debt_Tenor*Months_In_Year/Months_Per_Period-SUM($J17:N17)+1,N96)*N17</f>
        <v>0</v>
      </c>
      <c r="O99" s="47" t="n">
        <f aca="false">PPMT($F98,1,In_Debt_Tenor*Months_In_Year/Months_Per_Period-SUM($J17:O17)+1,O96)*O17</f>
        <v>0</v>
      </c>
      <c r="P99" s="47" t="n">
        <f aca="false">PPMT($F98,1,In_Debt_Tenor*Months_In_Year/Months_Per_Period-SUM($J17:P17)+1,P96)*P17</f>
        <v>0</v>
      </c>
      <c r="Q99" s="47" t="n">
        <f aca="false">PPMT($F98,1,In_Debt_Tenor*Months_In_Year/Months_Per_Period-SUM($J17:Q17)+1,Q96)*Q17</f>
        <v>0</v>
      </c>
      <c r="R99" s="47" t="n">
        <f aca="false">PPMT($F98,1,In_Debt_Tenor*Months_In_Year/Months_Per_Period-SUM($J17:R17)+1,R96)*R17</f>
        <v>0</v>
      </c>
      <c r="S99" s="47" t="n">
        <f aca="false">PPMT($F98,1,In_Debt_Tenor*Months_In_Year/Months_Per_Period-SUM($J17:S17)+1,S96)*S17</f>
        <v>0</v>
      </c>
      <c r="T99" s="47" t="n">
        <f aca="false">PPMT($F98,1,In_Debt_Tenor*Months_In_Year/Months_Per_Period-SUM($J17:T17)+1,T96)*T17</f>
        <v>0</v>
      </c>
      <c r="U99" s="47" t="n">
        <f aca="false">PPMT($F98,1,In_Debt_Tenor*Months_In_Year/Months_Per_Period-SUM($J17:U17)+1,U96)*U17</f>
        <v>0</v>
      </c>
      <c r="V99" s="47" t="n">
        <f aca="false">PPMT($F98,1,In_Debt_Tenor*Months_In_Year/Months_Per_Period-SUM($J17:V17)+1,V96)*V17</f>
        <v>0</v>
      </c>
      <c r="W99" s="47" t="n">
        <f aca="false">PPMT($F98,1,In_Debt_Tenor*Months_In_Year/Months_Per_Period-SUM($J17:W17)+1,W96)*W17</f>
        <v>0</v>
      </c>
      <c r="X99" s="47" t="n">
        <f aca="false">PPMT($F98,1,In_Debt_Tenor*Months_In_Year/Months_Per_Period-SUM($J17:X17)+1,X96)*X17</f>
        <v>-0</v>
      </c>
      <c r="Y99" s="47" t="n">
        <f aca="false">PPMT($F98,1,In_Debt_Tenor*Months_In_Year/Months_Per_Period-SUM($J17:Y17)+1,Y96)*Y17</f>
        <v>-0</v>
      </c>
      <c r="Z99" s="47" t="n">
        <f aca="false">PPMT($F98,1,In_Debt_Tenor*Months_In_Year/Months_Per_Period-SUM($J17:Z17)+1,Z96)*Z17</f>
        <v>-0</v>
      </c>
      <c r="AA99" s="47" t="n">
        <f aca="false">PPMT($F98,1,In_Debt_Tenor*Months_In_Year/Months_Per_Period-SUM($J17:AA17)+1,AA96)*AA17</f>
        <v>-0</v>
      </c>
      <c r="AB99" s="47" t="n">
        <f aca="false">PPMT($F98,1,In_Debt_Tenor*Months_In_Year/Months_Per_Period-SUM($J17:AB17)+1,AB96)*AB17</f>
        <v>-0</v>
      </c>
      <c r="AC99" s="47" t="n">
        <f aca="false">PPMT($F98,1,In_Debt_Tenor*Months_In_Year/Months_Per_Period-SUM($J17:AC17)+1,AC96)*AC17</f>
        <v>-0</v>
      </c>
      <c r="AD99" s="47" t="n">
        <f aca="false">PPMT($F98,1,In_Debt_Tenor*Months_In_Year/Months_Per_Period-SUM($J17:AD17)+1,AD96)*AD17</f>
        <v>-0</v>
      </c>
      <c r="AE99" s="47" t="n">
        <f aca="false">PPMT($F98,1,In_Debt_Tenor*Months_In_Year/Months_Per_Period-SUM($J17:AE17)+1,AE96)*AE17</f>
        <v>-1797.75232966599</v>
      </c>
      <c r="AF99" s="47" t="n">
        <f aca="false">PPMT($F98,1,In_Debt_Tenor*Months_In_Year/Months_Per_Period-SUM($J17:AF17)+1,AF96)*AF17</f>
        <v>-1820.22423378682</v>
      </c>
      <c r="AG99" s="47" t="n">
        <f aca="false">PPMT($F98,1,In_Debt_Tenor*Months_In_Year/Months_Per_Period-SUM($J17:AG17)+1,AG96)*AG17</f>
        <v>-1842.97703670915</v>
      </c>
      <c r="AH99" s="47" t="n">
        <f aca="false">PPMT($F98,1,In_Debt_Tenor*Months_In_Year/Months_Per_Period-SUM($J17:AH17)+1,AH96)*AH17</f>
        <v>-1866.01424966802</v>
      </c>
      <c r="AI99" s="47" t="n">
        <f aca="false">PPMT($F98,1,In_Debt_Tenor*Months_In_Year/Months_Per_Period-SUM($J17:AI17)+1,AI96)*AI17</f>
        <v>-1889.33942778887</v>
      </c>
      <c r="AJ99" s="47" t="n">
        <f aca="false">PPMT($F98,1,In_Debt_Tenor*Months_In_Year/Months_Per_Period-SUM($J17:AJ17)+1,AJ96)*AJ17</f>
        <v>-1912.95617063623</v>
      </c>
      <c r="AK99" s="47" t="n">
        <f aca="false">PPMT($F98,1,In_Debt_Tenor*Months_In_Year/Months_Per_Period-SUM($J17:AK17)+1,AK96)*AK17</f>
        <v>-1936.86812276918</v>
      </c>
      <c r="AL99" s="47" t="n">
        <f aca="false">PPMT($F98,1,In_Debt_Tenor*Months_In_Year/Months_Per_Period-SUM($J17:AL17)+1,AL96)*AL17</f>
        <v>-1961.0789743038</v>
      </c>
      <c r="AM99" s="47" t="n">
        <f aca="false">PPMT($F98,1,In_Debt_Tenor*Months_In_Year/Months_Per_Period-SUM($J17:AM17)+1,AM96)*AM17</f>
        <v>-1985.59246148259</v>
      </c>
      <c r="AN99" s="47" t="n">
        <f aca="false">PPMT($F98,1,In_Debt_Tenor*Months_In_Year/Months_Per_Period-SUM($J17:AN17)+1,AN96)*AN17</f>
        <v>-2010.41236725112</v>
      </c>
      <c r="AO99" s="47" t="n">
        <f aca="false">PPMT($F98,1,In_Debt_Tenor*Months_In_Year/Months_Per_Period-SUM($J17:AO17)+1,AO96)*AO17</f>
        <v>-2035.54252184176</v>
      </c>
      <c r="AP99" s="47" t="n">
        <f aca="false">PPMT($F98,1,In_Debt_Tenor*Months_In_Year/Months_Per_Period-SUM($J17:AP17)+1,AP96)*AP17</f>
        <v>-2060.98680336479</v>
      </c>
      <c r="AQ99" s="47" t="n">
        <f aca="false">PPMT($F98,1,In_Debt_Tenor*Months_In_Year/Months_Per_Period-SUM($J17:AQ17)+1,AQ96)*AQ17</f>
        <v>-2086.74913840685</v>
      </c>
      <c r="AR99" s="47" t="n">
        <f aca="false">PPMT($F98,1,In_Debt_Tenor*Months_In_Year/Months_Per_Period-SUM($J17:AR17)+1,AR96)*AR17</f>
        <v>-2112.83350263693</v>
      </c>
      <c r="AS99" s="47" t="n">
        <f aca="false">PPMT($F98,1,In_Debt_Tenor*Months_In_Year/Months_Per_Period-SUM($J17:AS17)+1,AS96)*AS17</f>
        <v>-2139.24392141989</v>
      </c>
      <c r="AT99" s="47" t="n">
        <f aca="false">PPMT($F98,1,In_Debt_Tenor*Months_In_Year/Months_Per_Period-SUM($J17:AT17)+1,AT96)*AT17</f>
        <v>-2165.98447043764</v>
      </c>
      <c r="AU99" s="47" t="n">
        <f aca="false">PPMT($F98,1,In_Debt_Tenor*Months_In_Year/Months_Per_Period-SUM($J17:AU17)+1,AU96)*AU17</f>
        <v>-2193.05927631811</v>
      </c>
      <c r="AV99" s="47" t="n">
        <f aca="false">PPMT($F98,1,In_Debt_Tenor*Months_In_Year/Months_Per_Period-SUM($J17:AV17)+1,AV96)*AV17</f>
        <v>-2220.47251727209</v>
      </c>
      <c r="AW99" s="47" t="n">
        <f aca="false">PPMT($F98,1,In_Debt_Tenor*Months_In_Year/Months_Per_Period-SUM($J17:AW17)+1,AW96)*AW17</f>
        <v>-2248.22842373799</v>
      </c>
      <c r="AX99" s="47" t="n">
        <f aca="false">PPMT($F98,1,In_Debt_Tenor*Months_In_Year/Months_Per_Period-SUM($J17:AX17)+1,AX96)*AX17</f>
        <v>-2276.33127903471</v>
      </c>
      <c r="AY99" s="47" t="n">
        <f aca="false">PPMT($F98,1,In_Debt_Tenor*Months_In_Year/Months_Per_Period-SUM($J17:AY17)+1,AY96)*AY17</f>
        <v>-2304.78542002265</v>
      </c>
      <c r="AZ99" s="47" t="n">
        <f aca="false">PPMT($F98,1,In_Debt_Tenor*Months_In_Year/Months_Per_Period-SUM($J17:AZ17)+1,AZ96)*AZ17</f>
        <v>-2333.59523777293</v>
      </c>
      <c r="BA99" s="47" t="n">
        <f aca="false">PPMT($F98,1,In_Debt_Tenor*Months_In_Year/Months_Per_Period-SUM($J17:BA17)+1,BA96)*BA17</f>
        <v>-2362.76517824509</v>
      </c>
      <c r="BB99" s="47" t="n">
        <f aca="false">PPMT($F98,1,In_Debt_Tenor*Months_In_Year/Months_Per_Period-SUM($J17:BB17)+1,BB96)*BB17</f>
        <v>-2392.29974297316</v>
      </c>
      <c r="BC99" s="47" t="n">
        <f aca="false">PPMT($F98,1,In_Debt_Tenor*Months_In_Year/Months_Per_Period-SUM($J17:BC17)+1,BC96)*BC17</f>
        <v>-2422.20348976032</v>
      </c>
      <c r="BD99" s="47" t="n">
        <f aca="false">PPMT($F98,1,In_Debt_Tenor*Months_In_Year/Months_Per_Period-SUM($J17:BD17)+1,BD96)*BD17</f>
        <v>-2452.48103338233</v>
      </c>
      <c r="BE99" s="47" t="n">
        <f aca="false">PPMT($F98,1,In_Debt_Tenor*Months_In_Year/Months_Per_Period-SUM($J17:BE17)+1,BE96)*BE17</f>
        <v>-2483.1370462996</v>
      </c>
      <c r="BF99" s="47" t="n">
        <f aca="false">PPMT($F98,1,In_Debt_Tenor*Months_In_Year/Months_Per_Period-SUM($J17:BF17)+1,BF96)*BF17</f>
        <v>-2514.17625937835</v>
      </c>
      <c r="BG99" s="47" t="n">
        <f aca="false">PPMT($F98,1,In_Debt_Tenor*Months_In_Year/Months_Per_Period-SUM($J17:BG17)+1,BG96)*BG17</f>
        <v>-2545.60346262058</v>
      </c>
      <c r="BH99" s="47" t="n">
        <f aca="false">PPMT($F98,1,In_Debt_Tenor*Months_In_Year/Months_Per_Period-SUM($J17:BH17)+1,BH96)*BH17</f>
        <v>-2577.42350590334</v>
      </c>
      <c r="BI99" s="47" t="n">
        <f aca="false">PPMT($F98,1,In_Debt_Tenor*Months_In_Year/Months_Per_Period-SUM($J17:BI17)+1,BI96)*BI17</f>
        <v>-2609.64129972713</v>
      </c>
      <c r="BJ99" s="47" t="n">
        <f aca="false">PPMT($F98,1,In_Debt_Tenor*Months_In_Year/Months_Per_Period-SUM($J17:BJ17)+1,BJ96)*BJ17</f>
        <v>-2642.26181597372</v>
      </c>
      <c r="BK99" s="47" t="n">
        <f aca="false">PPMT($F98,1,In_Debt_Tenor*Months_In_Year/Months_Per_Period-SUM($J17:BK17)+1,BK96)*BK17</f>
        <v>-2675.29008867339</v>
      </c>
      <c r="BL99" s="47" t="n">
        <f aca="false">PPMT($F98,1,In_Debt_Tenor*Months_In_Year/Months_Per_Period-SUM($J17:BL17)+1,BL96)*BL17</f>
        <v>-2708.73121478181</v>
      </c>
      <c r="BM99" s="47" t="n">
        <f aca="false">PPMT($F98,1,In_Debt_Tenor*Months_In_Year/Months_Per_Period-SUM($J17:BM17)+1,BM96)*BM17</f>
        <v>-2742.59035496658</v>
      </c>
      <c r="BN99" s="47" t="n">
        <f aca="false">PPMT($F98,1,In_Debt_Tenor*Months_In_Year/Months_Per_Period-SUM($J17:BN17)+1,BN96)*BN17</f>
        <v>-2776.87273440366</v>
      </c>
      <c r="BO99" s="47" t="n">
        <f aca="false">PPMT($F98,1,In_Debt_Tenor*Months_In_Year/Months_Per_Period-SUM($J17:BO17)+1,BO96)*BO17</f>
        <v>-2811.58364358371</v>
      </c>
      <c r="BP99" s="47" t="n">
        <f aca="false">PPMT($F98,1,In_Debt_Tenor*Months_In_Year/Months_Per_Period-SUM($J17:BP17)+1,BP96)*BP17</f>
        <v>-2846.7284391285</v>
      </c>
      <c r="BQ99" s="47" t="n">
        <f aca="false">PPMT($F98,1,In_Debt_Tenor*Months_In_Year/Months_Per_Period-SUM($J17:BQ17)+1,BQ96)*BQ17</f>
        <v>-2882.31254461761</v>
      </c>
      <c r="BR99" s="47" t="n">
        <f aca="false">PPMT($F98,1,In_Debt_Tenor*Months_In_Year/Months_Per_Period-SUM($J17:BR17)+1,BR96)*BR17</f>
        <v>-2918.34145142533</v>
      </c>
      <c r="BS99" s="47" t="n">
        <f aca="false">PPMT($F98,1,In_Debt_Tenor*Months_In_Year/Months_Per_Period-SUM($J17:BS17)+1,BS96)*BS17</f>
        <v>0</v>
      </c>
      <c r="BT99" s="47" t="n">
        <f aca="false">PPMT($F98,1,In_Debt_Tenor*Months_In_Year/Months_Per_Period-SUM($J17:BT17)+1,BT96)*BT17</f>
        <v>0</v>
      </c>
      <c r="BU99" s="47" t="n">
        <f aca="false">PPMT($F98,1,In_Debt_Tenor*Months_In_Year/Months_Per_Period-SUM($J17:BU17)+1,BU96)*BU17</f>
        <v>0</v>
      </c>
      <c r="BV99" s="47" t="n">
        <f aca="false">PPMT($F98,1,In_Debt_Tenor*Months_In_Year/Months_Per_Period-SUM($J17:BV17)+1,BV96)*BV17</f>
        <v>0</v>
      </c>
      <c r="BW99" s="47" t="n">
        <f aca="false">PPMT($F98,1,In_Debt_Tenor*Months_In_Year/Months_Per_Period-SUM($J17:BW17)+1,BW96)*BW17</f>
        <v>0</v>
      </c>
      <c r="BX99" s="47" t="n">
        <f aca="false">PPMT($F98,1,In_Debt_Tenor*Months_In_Year/Months_Per_Period-SUM($J17:BX17)+1,BX96)*BX17</f>
        <v>0</v>
      </c>
      <c r="BY99" s="47" t="n">
        <f aca="false">PPMT($F98,1,In_Debt_Tenor*Months_In_Year/Months_Per_Period-SUM($J17:BY17)+1,BY96)*BY17</f>
        <v>0</v>
      </c>
      <c r="BZ99" s="47" t="n">
        <f aca="false">PPMT($F98,1,In_Debt_Tenor*Months_In_Year/Months_Per_Period-SUM($J17:BZ17)+1,BZ96)*BZ17</f>
        <v>0</v>
      </c>
      <c r="CA99" s="47" t="n">
        <f aca="false">PPMT($F98,1,In_Debt_Tenor*Months_In_Year/Months_Per_Period-SUM($J17:CA17)+1,CA96)*CA17</f>
        <v>0</v>
      </c>
      <c r="CB99" s="47" t="n">
        <f aca="false">PPMT($F98,1,In_Debt_Tenor*Months_In_Year/Months_Per_Period-SUM($J17:CB17)+1,CB96)*CB17</f>
        <v>0</v>
      </c>
      <c r="CC99" s="47" t="n">
        <f aca="false">PPMT($F98,1,In_Debt_Tenor*Months_In_Year/Months_Per_Period-SUM($J17:CC17)+1,CC96)*CC17</f>
        <v>0</v>
      </c>
      <c r="CD99" s="47" t="n">
        <f aca="false">PPMT($F98,1,In_Debt_Tenor*Months_In_Year/Months_Per_Period-SUM($J17:CD17)+1,CD96)*CD17</f>
        <v>0</v>
      </c>
      <c r="CE99" s="47" t="n">
        <f aca="false">PPMT($F98,1,In_Debt_Tenor*Months_In_Year/Months_Per_Period-SUM($J17:CE17)+1,CE96)*CE17</f>
        <v>0</v>
      </c>
      <c r="CF99" s="47" t="n">
        <f aca="false">PPMT($F98,1,In_Debt_Tenor*Months_In_Year/Months_Per_Period-SUM($J17:CF17)+1,CF96)*CF17</f>
        <v>0</v>
      </c>
      <c r="CG99" s="47" t="n">
        <f aca="false">PPMT($F98,1,In_Debt_Tenor*Months_In_Year/Months_Per_Period-SUM($J17:CG17)+1,CG96)*CG17</f>
        <v>0</v>
      </c>
      <c r="CH99" s="47" t="n">
        <f aca="false">PPMT($F98,1,In_Debt_Tenor*Months_In_Year/Months_Per_Period-SUM($J17:CH17)+1,CH96)*CH17</f>
        <v>0</v>
      </c>
      <c r="CI99" s="47" t="n">
        <f aca="false">PPMT($F98,1,In_Debt_Tenor*Months_In_Year/Months_Per_Period-SUM($J17:CI17)+1,CI96)*CI17</f>
        <v>0</v>
      </c>
      <c r="CJ99" s="47" t="n">
        <f aca="false">PPMT($F98,1,In_Debt_Tenor*Months_In_Year/Months_Per_Period-SUM($J17:CJ17)+1,CJ96)*CJ17</f>
        <v>0</v>
      </c>
      <c r="CK99" s="47" t="n">
        <f aca="false">PPMT($F98,1,In_Debt_Tenor*Months_In_Year/Months_Per_Period-SUM($J17:CK17)+1,CK96)*CK17</f>
        <v>0</v>
      </c>
      <c r="CL99" s="47" t="n">
        <f aca="false">PPMT($F98,1,In_Debt_Tenor*Months_In_Year/Months_Per_Period-SUM($J17:CL17)+1,CL96)*CL17</f>
        <v>0</v>
      </c>
      <c r="CM99" s="47" t="n">
        <f aca="false">PPMT($F98,1,In_Debt_Tenor*Months_In_Year/Months_Per_Period-SUM($J17:CM17)+1,CM96)*CM17</f>
        <v>0</v>
      </c>
      <c r="CN99" s="47" t="n">
        <f aca="false">PPMT($F98,1,In_Debt_Tenor*Months_In_Year/Months_Per_Period-SUM($J17:CN17)+1,CN96)*CN17</f>
        <v>0</v>
      </c>
      <c r="CO99" s="47" t="n">
        <f aca="false">PPMT($F98,1,In_Debt_Tenor*Months_In_Year/Months_Per_Period-SUM($J17:CO17)+1,CO96)*CO17</f>
        <v>0</v>
      </c>
      <c r="CP99" s="47" t="n">
        <f aca="false">PPMT($F98,1,In_Debt_Tenor*Months_In_Year/Months_Per_Period-SUM($J17:CP17)+1,CP96)*CP17</f>
        <v>0</v>
      </c>
      <c r="CQ99" s="47" t="n">
        <f aca="false">PPMT($F98,1,In_Debt_Tenor*Months_In_Year/Months_Per_Period-SUM($J17:CQ17)+1,CQ96)*CQ17</f>
        <v>0</v>
      </c>
      <c r="CR99" s="47" t="n">
        <f aca="false">PPMT($F98,1,In_Debt_Tenor*Months_In_Year/Months_Per_Period-SUM($J17:CR17)+1,CR96)*CR17</f>
        <v>0</v>
      </c>
      <c r="CS99" s="47" t="n">
        <f aca="false">PPMT($F98,1,In_Debt_Tenor*Months_In_Year/Months_Per_Period-SUM($J17:CS17)+1,CS96)*CS17</f>
        <v>0</v>
      </c>
      <c r="CT99" s="47" t="n">
        <f aca="false">PPMT($F98,1,In_Debt_Tenor*Months_In_Year/Months_Per_Period-SUM($J17:CT17)+1,CT96)*CT17</f>
        <v>0</v>
      </c>
      <c r="CU99" s="47" t="n">
        <f aca="false">PPMT($F98,1,In_Debt_Tenor*Months_In_Year/Months_Per_Period-SUM($J17:CU17)+1,CU96)*CU17</f>
        <v>0</v>
      </c>
      <c r="CV99" s="47" t="n">
        <f aca="false">PPMT($F98,1,In_Debt_Tenor*Months_In_Year/Months_Per_Period-SUM($J17:CV17)+1,CV96)*CV17</f>
        <v>0</v>
      </c>
      <c r="CW99" s="47" t="n">
        <f aca="false">PPMT($F98,1,In_Debt_Tenor*Months_In_Year/Months_Per_Period-SUM($J17:CW17)+1,CW96)*CW17</f>
        <v>0</v>
      </c>
      <c r="CX99" s="47" t="n">
        <f aca="false">PPMT($F98,1,In_Debt_Tenor*Months_In_Year/Months_Per_Period-SUM($J17:CX17)+1,CX96)*CX17</f>
        <v>0</v>
      </c>
      <c r="CY99" s="47" t="n">
        <f aca="false">PPMT($F98,1,In_Debt_Tenor*Months_In_Year/Months_Per_Period-SUM($J17:CY17)+1,CY96)*CY17</f>
        <v>0</v>
      </c>
      <c r="CZ99" s="47" t="n">
        <f aca="false">PPMT($F98,1,In_Debt_Tenor*Months_In_Year/Months_Per_Period-SUM($J17:CZ17)+1,CZ96)*CZ17</f>
        <v>0</v>
      </c>
      <c r="DA99" s="47" t="n">
        <f aca="false">PPMT($F98,1,In_Debt_Tenor*Months_In_Year/Months_Per_Period-SUM($J17:DA17)+1,DA96)*DA17</f>
        <v>0</v>
      </c>
      <c r="DB99" s="47" t="n">
        <f aca="false">PPMT($F98,1,In_Debt_Tenor*Months_In_Year/Months_Per_Period-SUM($J17:DB17)+1,DB96)*DB17</f>
        <v>0</v>
      </c>
      <c r="DC99" s="47" t="n">
        <f aca="false">PPMT($F98,1,In_Debt_Tenor*Months_In_Year/Months_Per_Period-SUM($J17:DC17)+1,DC96)*DC17</f>
        <v>0</v>
      </c>
      <c r="DD99" s="47" t="n">
        <f aca="false">PPMT($F98,1,In_Debt_Tenor*Months_In_Year/Months_Per_Period-SUM($J17:DD17)+1,DD96)*DD17</f>
        <v>0</v>
      </c>
      <c r="DE99" s="47" t="n">
        <f aca="false">PPMT($F98,1,In_Debt_Tenor*Months_In_Year/Months_Per_Period-SUM($J17:DE17)+1,DE96)*DE17</f>
        <v>0</v>
      </c>
      <c r="DF99" s="47" t="n">
        <f aca="false">PPMT($F98,1,In_Debt_Tenor*Months_In_Year/Months_Per_Period-SUM($J17:DF17)+1,DF96)*DF17</f>
        <v>0</v>
      </c>
      <c r="DG99" s="47" t="n">
        <f aca="false">PPMT($F98,1,In_Debt_Tenor*Months_In_Year/Months_Per_Period-SUM($J17:DG17)+1,DG96)*DG17</f>
        <v>0</v>
      </c>
      <c r="DH99" s="47" t="n">
        <f aca="false">PPMT($F98,1,In_Debt_Tenor*Months_In_Year/Months_Per_Period-SUM($J17:DH17)+1,DH96)*DH17</f>
        <v>0</v>
      </c>
      <c r="DI99" s="47" t="n">
        <f aca="false">PPMT($F98,1,In_Debt_Tenor*Months_In_Year/Months_Per_Period-SUM($J17:DI17)+1,DI96)*DI17</f>
        <v>0</v>
      </c>
      <c r="DJ99" s="47" t="n">
        <f aca="false">PPMT($F98,1,In_Debt_Tenor*Months_In_Year/Months_Per_Period-SUM($J17:DJ17)+1,DJ96)*DJ17</f>
        <v>0</v>
      </c>
      <c r="DK99" s="47" t="n">
        <f aca="false">PPMT($F98,1,In_Debt_Tenor*Months_In_Year/Months_Per_Period-SUM($J17:DK17)+1,DK96)*DK17</f>
        <v>0</v>
      </c>
      <c r="DL99" s="47" t="n">
        <f aca="false">PPMT($F98,1,In_Debt_Tenor*Months_In_Year/Months_Per_Period-SUM($J17:DL17)+1,DL96)*DL17</f>
        <v>0</v>
      </c>
      <c r="DM99" s="47" t="n">
        <f aca="false">PPMT($F98,1,In_Debt_Tenor*Months_In_Year/Months_Per_Period-SUM($J17:DM17)+1,DM96)*DM17</f>
        <v>0</v>
      </c>
      <c r="DN99" s="47" t="n">
        <f aca="false">PPMT($F98,1,In_Debt_Tenor*Months_In_Year/Months_Per_Period-SUM($J17:DN17)+1,DN96)*DN17</f>
        <v>0</v>
      </c>
      <c r="DO99" s="47" t="n">
        <f aca="false">PPMT($F98,1,In_Debt_Tenor*Months_In_Year/Months_Per_Period-SUM($J17:DO17)+1,DO96)*DO17</f>
        <v>0</v>
      </c>
      <c r="DP99" s="47" t="n">
        <f aca="false">PPMT($F98,1,In_Debt_Tenor*Months_In_Year/Months_Per_Period-SUM($J17:DP17)+1,DP96)*DP17</f>
        <v>0</v>
      </c>
      <c r="DQ99" s="47" t="n">
        <f aca="false">PPMT($F98,1,In_Debt_Tenor*Months_In_Year/Months_Per_Period-SUM($J17:DQ17)+1,DQ96)*DQ17</f>
        <v>0</v>
      </c>
      <c r="DR99" s="47" t="n">
        <f aca="false">PPMT($F98,1,In_Debt_Tenor*Months_In_Year/Months_Per_Period-SUM($J17:DR17)+1,DR96)*DR17</f>
        <v>0</v>
      </c>
      <c r="DS99" s="47" t="n">
        <f aca="false">PPMT($F98,1,In_Debt_Tenor*Months_In_Year/Months_Per_Period-SUM($J17:DS17)+1,DS96)*DS17</f>
        <v>0</v>
      </c>
      <c r="DT99" s="47" t="n">
        <f aca="false">PPMT($F98,1,In_Debt_Tenor*Months_In_Year/Months_Per_Period-SUM($J17:DT17)+1,DT96)*DT17</f>
        <v>0</v>
      </c>
      <c r="DU99" s="47" t="n">
        <f aca="false">PPMT($F98,1,In_Debt_Tenor*Months_In_Year/Months_Per_Period-SUM($J17:DU17)+1,DU96)*DU17</f>
        <v>0</v>
      </c>
      <c r="DV99" s="47" t="n">
        <f aca="false">PPMT($F98,1,In_Debt_Tenor*Months_In_Year/Months_Per_Period-SUM($J17:DV17)+1,DV96)*DV17</f>
        <v>0</v>
      </c>
      <c r="DW99" s="47" t="n">
        <f aca="false">PPMT($F98,1,In_Debt_Tenor*Months_In_Year/Months_Per_Period-SUM($J17:DW17)+1,DW96)*DW17</f>
        <v>0</v>
      </c>
      <c r="DX99" s="47" t="n">
        <f aca="false">PPMT($F98,1,In_Debt_Tenor*Months_In_Year/Months_Per_Period-SUM($J17:DX17)+1,DX96)*DX17</f>
        <v>0</v>
      </c>
      <c r="DY99" s="47" t="n">
        <f aca="false">PPMT($F98,1,In_Debt_Tenor*Months_In_Year/Months_Per_Period-SUM($J17:DY17)+1,DY96)*DY17</f>
        <v>0</v>
      </c>
      <c r="DZ99" s="47" t="n">
        <f aca="false">PPMT($F98,1,In_Debt_Tenor*Months_In_Year/Months_Per_Period-SUM($J17:DZ17)+1,DZ96)*DZ17</f>
        <v>0</v>
      </c>
      <c r="EA99" s="47" t="n">
        <f aca="false">PPMT($F98,1,In_Debt_Tenor*Months_In_Year/Months_Per_Period-SUM($J17:EA17)+1,EA96)*EA17</f>
        <v>0</v>
      </c>
      <c r="EB99" s="47" t="n">
        <f aca="false">PPMT($F98,1,In_Debt_Tenor*Months_In_Year/Months_Per_Period-SUM($J17:EB17)+1,EB96)*EB17</f>
        <v>0</v>
      </c>
      <c r="EC99" s="47" t="n">
        <f aca="false">PPMT($F98,1,In_Debt_Tenor*Months_In_Year/Months_Per_Period-SUM($J17:EC17)+1,EC96)*EC17</f>
        <v>0</v>
      </c>
      <c r="ED99" s="47" t="n">
        <f aca="false">PPMT($F98,1,In_Debt_Tenor*Months_In_Year/Months_Per_Period-SUM($J17:ED17)+1,ED96)*ED17</f>
        <v>0</v>
      </c>
      <c r="EE99" s="47" t="n">
        <f aca="false">PPMT($F98,1,In_Debt_Tenor*Months_In_Year/Months_Per_Period-SUM($J17:EE17)+1,EE96)*EE17</f>
        <v>0</v>
      </c>
      <c r="EF99" s="47" t="n">
        <f aca="false">PPMT($F98,1,In_Debt_Tenor*Months_In_Year/Months_Per_Period-SUM($J17:EF17)+1,EF96)*EF17</f>
        <v>0</v>
      </c>
      <c r="EG99" s="47" t="n">
        <f aca="false">PPMT($F98,1,In_Debt_Tenor*Months_In_Year/Months_Per_Period-SUM($J17:EG17)+1,EG96)*EG17</f>
        <v>0</v>
      </c>
      <c r="EH99" s="47" t="n">
        <f aca="false">PPMT($F98,1,In_Debt_Tenor*Months_In_Year/Months_Per_Period-SUM($J17:EH17)+1,EH96)*EH17</f>
        <v>0</v>
      </c>
      <c r="EI99" s="47" t="n">
        <f aca="false">PPMT($F98,1,In_Debt_Tenor*Months_In_Year/Months_Per_Period-SUM($J17:EI17)+1,EI96)*EI17</f>
        <v>0</v>
      </c>
      <c r="EJ99" s="47" t="n">
        <f aca="false">PPMT($F98,1,In_Debt_Tenor*Months_In_Year/Months_Per_Period-SUM($J17:EJ17)+1,EJ96)*EJ17</f>
        <v>0</v>
      </c>
      <c r="EK99" s="47" t="n">
        <f aca="false">PPMT($F98,1,In_Debt_Tenor*Months_In_Year/Months_Per_Period-SUM($J17:EK17)+1,EK96)*EK17</f>
        <v>0</v>
      </c>
      <c r="EL99" s="47" t="n">
        <f aca="false">PPMT($F98,1,In_Debt_Tenor*Months_In_Year/Months_Per_Period-SUM($J17:EL17)+1,EL96)*EL17</f>
        <v>0</v>
      </c>
      <c r="EM99" s="47" t="n">
        <f aca="false">PPMT($F98,1,In_Debt_Tenor*Months_In_Year/Months_Per_Period-SUM($J17:EM17)+1,EM96)*EM17</f>
        <v>0</v>
      </c>
      <c r="EN99" s="47" t="n">
        <f aca="false">PPMT($F98,1,In_Debt_Tenor*Months_In_Year/Months_Per_Period-SUM($J17:EN17)+1,EN96)*EN17</f>
        <v>0</v>
      </c>
      <c r="EO99" s="47" t="n">
        <f aca="false">PPMT($F98,1,In_Debt_Tenor*Months_In_Year/Months_Per_Period-SUM($J17:EO17)+1,EO96)*EO17</f>
        <v>0</v>
      </c>
      <c r="EP99" s="47" t="n">
        <f aca="false">PPMT($F98,1,In_Debt_Tenor*Months_In_Year/Months_Per_Period-SUM($J17:EP17)+1,EP96)*EP17</f>
        <v>0</v>
      </c>
      <c r="EQ99" s="47" t="n">
        <f aca="false">PPMT($F98,1,In_Debt_Tenor*Months_In_Year/Months_Per_Period-SUM($J17:EQ17)+1,EQ96)*EQ17</f>
        <v>0</v>
      </c>
      <c r="ER99" s="47" t="n">
        <f aca="false">PPMT($F98,1,In_Debt_Tenor*Months_In_Year/Months_Per_Period-SUM($J17:ER17)+1,ER96)*ER17</f>
        <v>0</v>
      </c>
      <c r="ES99" s="47" t="n">
        <f aca="false">PPMT($F98,1,In_Debt_Tenor*Months_In_Year/Months_Per_Period-SUM($J17:ES17)+1,ES96)*ES17</f>
        <v>0</v>
      </c>
      <c r="ET99" s="47" t="n">
        <f aca="false">PPMT($F98,1,In_Debt_Tenor*Months_In_Year/Months_Per_Period-SUM($J17:ET17)+1,ET96)*ET17</f>
        <v>0</v>
      </c>
    </row>
    <row r="100" customFormat="false" ht="15" hidden="false" customHeight="false" outlineLevel="0" collapsed="false">
      <c r="C100" s="31" t="s">
        <v>497</v>
      </c>
      <c r="D100" s="12" t="s">
        <v>222</v>
      </c>
      <c r="I100" s="57"/>
      <c r="J100" s="56" t="n">
        <f aca="false">SUM(J96:J99)</f>
        <v>0</v>
      </c>
      <c r="K100" s="56" t="n">
        <f aca="false">SUM(K96:K99)</f>
        <v>0</v>
      </c>
      <c r="L100" s="56" t="n">
        <f aca="false">SUM(L96:L99)</f>
        <v>0</v>
      </c>
      <c r="M100" s="56" t="n">
        <f aca="false">SUM(M96:M99)</f>
        <v>0</v>
      </c>
      <c r="N100" s="56" t="n">
        <f aca="false">SUM(N96:N99)</f>
        <v>0</v>
      </c>
      <c r="O100" s="56" t="n">
        <f aca="false">SUM(O96:O99)</f>
        <v>0</v>
      </c>
      <c r="P100" s="56" t="n">
        <f aca="false">SUM(P96:P99)</f>
        <v>0</v>
      </c>
      <c r="Q100" s="56" t="n">
        <f aca="false">SUM(Q96:Q99)</f>
        <v>0</v>
      </c>
      <c r="R100" s="56" t="n">
        <f aca="false">SUM(R96:R99)</f>
        <v>0</v>
      </c>
      <c r="S100" s="56" t="n">
        <f aca="false">SUM(S96:S99)</f>
        <v>0</v>
      </c>
      <c r="T100" s="56" t="n">
        <f aca="false">SUM(T96:T99)</f>
        <v>0</v>
      </c>
      <c r="U100" s="56" t="n">
        <f aca="false">SUM(U96:U99)</f>
        <v>0</v>
      </c>
      <c r="V100" s="56" t="n">
        <f aca="false">SUM(V96:V99)</f>
        <v>0</v>
      </c>
      <c r="W100" s="56" t="n">
        <f aca="false">SUM(W96:W99)</f>
        <v>11165.0988834708</v>
      </c>
      <c r="X100" s="56" t="n">
        <f aca="false">SUM(X96:X99)</f>
        <v>22227.04196204</v>
      </c>
      <c r="Y100" s="56" t="n">
        <f aca="false">SUM(Y96:Y99)</f>
        <v>33548.6190995638</v>
      </c>
      <c r="Z100" s="56" t="n">
        <f aca="false">SUM(Z96:Z99)</f>
        <v>45133.0757217792</v>
      </c>
      <c r="AA100" s="56" t="n">
        <f aca="false">SUM(AA96:AA99)</f>
        <v>56862.3380517723</v>
      </c>
      <c r="AB100" s="56" t="n">
        <f aca="false">SUM(AB96:AB99)</f>
        <v>68495.4966199452</v>
      </c>
      <c r="AC100" s="56" t="n">
        <f aca="false">SUM(AC96:AC99)</f>
        <v>80395.4294406928</v>
      </c>
      <c r="AD100" s="56" t="n">
        <f aca="false">SUM(AD96:AD99)</f>
        <v>92565.4711921723</v>
      </c>
      <c r="AE100" s="56" t="n">
        <f aca="false">SUM(AE96:AE99)</f>
        <v>90767.7188625063</v>
      </c>
      <c r="AF100" s="56" t="n">
        <f aca="false">SUM(AF96:AF99)</f>
        <v>88947.4946287195</v>
      </c>
      <c r="AG100" s="56" t="n">
        <f aca="false">SUM(AG96:AG99)</f>
        <v>87104.5175920104</v>
      </c>
      <c r="AH100" s="56" t="n">
        <f aca="false">SUM(AH96:AH99)</f>
        <v>85238.5033423423</v>
      </c>
      <c r="AI100" s="56" t="n">
        <f aca="false">SUM(AI96:AI99)</f>
        <v>83349.1639145535</v>
      </c>
      <c r="AJ100" s="56" t="n">
        <f aca="false">SUM(AJ96:AJ99)</f>
        <v>81436.2077439172</v>
      </c>
      <c r="AK100" s="56" t="n">
        <f aca="false">SUM(AK96:AK99)</f>
        <v>79499.339621148</v>
      </c>
      <c r="AL100" s="56" t="n">
        <f aca="false">SUM(AL96:AL99)</f>
        <v>77538.2606468443</v>
      </c>
      <c r="AM100" s="56" t="n">
        <f aca="false">SUM(AM96:AM99)</f>
        <v>75552.6681853617</v>
      </c>
      <c r="AN100" s="56" t="n">
        <f aca="false">SUM(AN96:AN99)</f>
        <v>73542.2558181105</v>
      </c>
      <c r="AO100" s="56" t="n">
        <f aca="false">SUM(AO96:AO99)</f>
        <v>71506.7132962688</v>
      </c>
      <c r="AP100" s="56" t="n">
        <f aca="false">SUM(AP96:AP99)</f>
        <v>69445.726492904</v>
      </c>
      <c r="AQ100" s="56" t="n">
        <f aca="false">SUM(AQ96:AQ99)</f>
        <v>67358.9773544972</v>
      </c>
      <c r="AR100" s="56" t="n">
        <f aca="false">SUM(AR96:AR99)</f>
        <v>65246.1438518602</v>
      </c>
      <c r="AS100" s="56" t="n">
        <f aca="false">SUM(AS96:AS99)</f>
        <v>63106.8999304403</v>
      </c>
      <c r="AT100" s="56" t="n">
        <f aca="false">SUM(AT96:AT99)</f>
        <v>60940.9154600027</v>
      </c>
      <c r="AU100" s="56" t="n">
        <f aca="false">SUM(AU96:AU99)</f>
        <v>58747.8561836846</v>
      </c>
      <c r="AV100" s="56" t="n">
        <f aca="false">SUM(AV96:AV99)</f>
        <v>56527.3836664125</v>
      </c>
      <c r="AW100" s="56" t="n">
        <f aca="false">SUM(AW96:AW99)</f>
        <v>54279.1552426745</v>
      </c>
      <c r="AX100" s="56" t="n">
        <f aca="false">SUM(AX96:AX99)</f>
        <v>52002.8239636398</v>
      </c>
      <c r="AY100" s="56" t="n">
        <f aca="false">SUM(AY96:AY99)</f>
        <v>49698.0385436171</v>
      </c>
      <c r="AZ100" s="56" t="n">
        <f aca="false">SUM(AZ96:AZ99)</f>
        <v>47364.4433058442</v>
      </c>
      <c r="BA100" s="56" t="n">
        <f aca="false">SUM(BA96:BA99)</f>
        <v>45001.6781275991</v>
      </c>
      <c r="BB100" s="56" t="n">
        <f aca="false">SUM(BB96:BB99)</f>
        <v>42609.378384626</v>
      </c>
      <c r="BC100" s="56" t="n">
        <f aca="false">SUM(BC96:BC99)</f>
        <v>40187.1748948656</v>
      </c>
      <c r="BD100" s="56" t="n">
        <f aca="false">SUM(BD96:BD99)</f>
        <v>37734.6938614833</v>
      </c>
      <c r="BE100" s="56" t="n">
        <f aca="false">SUM(BE96:BE99)</f>
        <v>35251.5568151837</v>
      </c>
      <c r="BF100" s="56" t="n">
        <f aca="false">SUM(BF96:BF99)</f>
        <v>32737.3805558053</v>
      </c>
      <c r="BG100" s="56" t="n">
        <f aca="false">SUM(BG96:BG99)</f>
        <v>30191.7770931848</v>
      </c>
      <c r="BH100" s="56" t="n">
        <f aca="false">SUM(BH96:BH99)</f>
        <v>27614.3535872814</v>
      </c>
      <c r="BI100" s="56" t="n">
        <f aca="false">SUM(BI96:BI99)</f>
        <v>25004.7122875543</v>
      </c>
      <c r="BJ100" s="56" t="n">
        <f aca="false">SUM(BJ96:BJ99)</f>
        <v>22362.4504715806</v>
      </c>
      <c r="BK100" s="56" t="n">
        <f aca="false">SUM(BK96:BK99)</f>
        <v>19687.1603829072</v>
      </c>
      <c r="BL100" s="56" t="n">
        <f aca="false">SUM(BL96:BL99)</f>
        <v>16978.4291681254</v>
      </c>
      <c r="BM100" s="56" t="n">
        <f aca="false">SUM(BM96:BM99)</f>
        <v>14235.8388131588</v>
      </c>
      <c r="BN100" s="56" t="n">
        <f aca="false">SUM(BN96:BN99)</f>
        <v>11458.9660787551</v>
      </c>
      <c r="BO100" s="56" t="n">
        <f aca="false">SUM(BO96:BO99)</f>
        <v>8647.38243517144</v>
      </c>
      <c r="BP100" s="56" t="n">
        <f aca="false">SUM(BP96:BP99)</f>
        <v>5800.65399604294</v>
      </c>
      <c r="BQ100" s="56" t="n">
        <f aca="false">SUM(BQ96:BQ99)</f>
        <v>2918.34145142533</v>
      </c>
      <c r="BR100" s="56" t="n">
        <f aca="false">SUM(BR96:BR99)</f>
        <v>0</v>
      </c>
      <c r="BS100" s="56" t="n">
        <f aca="false">SUM(BS96:BS99)</f>
        <v>0</v>
      </c>
      <c r="BT100" s="56" t="n">
        <f aca="false">SUM(BT96:BT99)</f>
        <v>0</v>
      </c>
      <c r="BU100" s="56" t="n">
        <f aca="false">SUM(BU96:BU99)</f>
        <v>0</v>
      </c>
      <c r="BV100" s="56" t="n">
        <f aca="false">SUM(BV96:BV99)</f>
        <v>0</v>
      </c>
      <c r="BW100" s="56" t="n">
        <f aca="false">SUM(BW96:BW99)</f>
        <v>0</v>
      </c>
      <c r="BX100" s="56" t="n">
        <f aca="false">SUM(BX96:BX99)</f>
        <v>0</v>
      </c>
      <c r="BY100" s="56" t="n">
        <f aca="false">SUM(BY96:BY99)</f>
        <v>0</v>
      </c>
      <c r="BZ100" s="56" t="n">
        <f aca="false">SUM(BZ96:BZ99)</f>
        <v>0</v>
      </c>
      <c r="CA100" s="56" t="n">
        <f aca="false">SUM(CA96:CA99)</f>
        <v>0</v>
      </c>
      <c r="CB100" s="56" t="n">
        <f aca="false">SUM(CB96:CB99)</f>
        <v>0</v>
      </c>
      <c r="CC100" s="56" t="n">
        <f aca="false">SUM(CC96:CC99)</f>
        <v>0</v>
      </c>
      <c r="CD100" s="56" t="n">
        <f aca="false">SUM(CD96:CD99)</f>
        <v>0</v>
      </c>
      <c r="CE100" s="56" t="n">
        <f aca="false">SUM(CE96:CE99)</f>
        <v>0</v>
      </c>
      <c r="CF100" s="56" t="n">
        <f aca="false">SUM(CF96:CF99)</f>
        <v>0</v>
      </c>
      <c r="CG100" s="56" t="n">
        <f aca="false">SUM(CG96:CG99)</f>
        <v>0</v>
      </c>
      <c r="CH100" s="56" t="n">
        <f aca="false">SUM(CH96:CH99)</f>
        <v>0</v>
      </c>
      <c r="CI100" s="56" t="n">
        <f aca="false">SUM(CI96:CI99)</f>
        <v>0</v>
      </c>
      <c r="CJ100" s="56" t="n">
        <f aca="false">SUM(CJ96:CJ99)</f>
        <v>0</v>
      </c>
      <c r="CK100" s="56" t="n">
        <f aca="false">SUM(CK96:CK99)</f>
        <v>0</v>
      </c>
      <c r="CL100" s="56" t="n">
        <f aca="false">SUM(CL96:CL99)</f>
        <v>0</v>
      </c>
      <c r="CM100" s="56" t="n">
        <f aca="false">SUM(CM96:CM99)</f>
        <v>0</v>
      </c>
      <c r="CN100" s="56" t="n">
        <f aca="false">SUM(CN96:CN99)</f>
        <v>0</v>
      </c>
      <c r="CO100" s="56" t="n">
        <f aca="false">SUM(CO96:CO99)</f>
        <v>0</v>
      </c>
      <c r="CP100" s="56" t="n">
        <f aca="false">SUM(CP96:CP99)</f>
        <v>0</v>
      </c>
      <c r="CQ100" s="56" t="n">
        <f aca="false">SUM(CQ96:CQ99)</f>
        <v>0</v>
      </c>
      <c r="CR100" s="56" t="n">
        <f aca="false">SUM(CR96:CR99)</f>
        <v>0</v>
      </c>
      <c r="CS100" s="56" t="n">
        <f aca="false">SUM(CS96:CS99)</f>
        <v>0</v>
      </c>
      <c r="CT100" s="56" t="n">
        <f aca="false">SUM(CT96:CT99)</f>
        <v>0</v>
      </c>
      <c r="CU100" s="56" t="n">
        <f aca="false">SUM(CU96:CU99)</f>
        <v>0</v>
      </c>
      <c r="CV100" s="56" t="n">
        <f aca="false">SUM(CV96:CV99)</f>
        <v>0</v>
      </c>
      <c r="CW100" s="56" t="n">
        <f aca="false">SUM(CW96:CW99)</f>
        <v>0</v>
      </c>
      <c r="CX100" s="56" t="n">
        <f aca="false">SUM(CX96:CX99)</f>
        <v>0</v>
      </c>
      <c r="CY100" s="56" t="n">
        <f aca="false">SUM(CY96:CY99)</f>
        <v>0</v>
      </c>
      <c r="CZ100" s="56" t="n">
        <f aca="false">SUM(CZ96:CZ99)</f>
        <v>0</v>
      </c>
      <c r="DA100" s="56" t="n">
        <f aca="false">SUM(DA96:DA99)</f>
        <v>0</v>
      </c>
      <c r="DB100" s="56" t="n">
        <f aca="false">SUM(DB96:DB99)</f>
        <v>0</v>
      </c>
      <c r="DC100" s="56" t="n">
        <f aca="false">SUM(DC96:DC99)</f>
        <v>0</v>
      </c>
      <c r="DD100" s="56" t="n">
        <f aca="false">SUM(DD96:DD99)</f>
        <v>0</v>
      </c>
      <c r="DE100" s="56" t="n">
        <f aca="false">SUM(DE96:DE99)</f>
        <v>0</v>
      </c>
      <c r="DF100" s="56" t="n">
        <f aca="false">SUM(DF96:DF99)</f>
        <v>0</v>
      </c>
      <c r="DG100" s="56" t="n">
        <f aca="false">SUM(DG96:DG99)</f>
        <v>0</v>
      </c>
      <c r="DH100" s="56" t="n">
        <f aca="false">SUM(DH96:DH99)</f>
        <v>0</v>
      </c>
      <c r="DI100" s="56" t="n">
        <f aca="false">SUM(DI96:DI99)</f>
        <v>0</v>
      </c>
      <c r="DJ100" s="56" t="n">
        <f aca="false">SUM(DJ96:DJ99)</f>
        <v>0</v>
      </c>
      <c r="DK100" s="56" t="n">
        <f aca="false">SUM(DK96:DK99)</f>
        <v>0</v>
      </c>
      <c r="DL100" s="56" t="n">
        <f aca="false">SUM(DL96:DL99)</f>
        <v>0</v>
      </c>
      <c r="DM100" s="56" t="n">
        <f aca="false">SUM(DM96:DM99)</f>
        <v>0</v>
      </c>
      <c r="DN100" s="56" t="n">
        <f aca="false">SUM(DN96:DN99)</f>
        <v>0</v>
      </c>
      <c r="DO100" s="56" t="n">
        <f aca="false">SUM(DO96:DO99)</f>
        <v>0</v>
      </c>
      <c r="DP100" s="56" t="n">
        <f aca="false">SUM(DP96:DP99)</f>
        <v>0</v>
      </c>
      <c r="DQ100" s="56" t="n">
        <f aca="false">SUM(DQ96:DQ99)</f>
        <v>0</v>
      </c>
      <c r="DR100" s="56" t="n">
        <f aca="false">SUM(DR96:DR99)</f>
        <v>0</v>
      </c>
      <c r="DS100" s="56" t="n">
        <f aca="false">SUM(DS96:DS99)</f>
        <v>0</v>
      </c>
      <c r="DT100" s="56" t="n">
        <f aca="false">SUM(DT96:DT99)</f>
        <v>0</v>
      </c>
      <c r="DU100" s="56" t="n">
        <f aca="false">SUM(DU96:DU99)</f>
        <v>0</v>
      </c>
      <c r="DV100" s="56" t="n">
        <f aca="false">SUM(DV96:DV99)</f>
        <v>0</v>
      </c>
      <c r="DW100" s="56" t="n">
        <f aca="false">SUM(DW96:DW99)</f>
        <v>0</v>
      </c>
      <c r="DX100" s="56" t="n">
        <f aca="false">SUM(DX96:DX99)</f>
        <v>0</v>
      </c>
      <c r="DY100" s="56" t="n">
        <f aca="false">SUM(DY96:DY99)</f>
        <v>0</v>
      </c>
      <c r="DZ100" s="56" t="n">
        <f aca="false">SUM(DZ96:DZ99)</f>
        <v>0</v>
      </c>
      <c r="EA100" s="56" t="n">
        <f aca="false">SUM(EA96:EA99)</f>
        <v>0</v>
      </c>
      <c r="EB100" s="56" t="n">
        <f aca="false">SUM(EB96:EB99)</f>
        <v>0</v>
      </c>
      <c r="EC100" s="56" t="n">
        <f aca="false">SUM(EC96:EC99)</f>
        <v>0</v>
      </c>
      <c r="ED100" s="56" t="n">
        <f aca="false">SUM(ED96:ED99)</f>
        <v>0</v>
      </c>
      <c r="EE100" s="56" t="n">
        <f aca="false">SUM(EE96:EE99)</f>
        <v>0</v>
      </c>
      <c r="EF100" s="56" t="n">
        <f aca="false">SUM(EF96:EF99)</f>
        <v>0</v>
      </c>
      <c r="EG100" s="56" t="n">
        <f aca="false">SUM(EG96:EG99)</f>
        <v>0</v>
      </c>
      <c r="EH100" s="56" t="n">
        <f aca="false">SUM(EH96:EH99)</f>
        <v>0</v>
      </c>
      <c r="EI100" s="56" t="n">
        <f aca="false">SUM(EI96:EI99)</f>
        <v>0</v>
      </c>
      <c r="EJ100" s="56" t="n">
        <f aca="false">SUM(EJ96:EJ99)</f>
        <v>0</v>
      </c>
      <c r="EK100" s="56" t="n">
        <f aca="false">SUM(EK96:EK99)</f>
        <v>0</v>
      </c>
      <c r="EL100" s="56" t="n">
        <f aca="false">SUM(EL96:EL99)</f>
        <v>0</v>
      </c>
      <c r="EM100" s="56" t="n">
        <f aca="false">SUM(EM96:EM99)</f>
        <v>0</v>
      </c>
      <c r="EN100" s="56" t="n">
        <f aca="false">SUM(EN96:EN99)</f>
        <v>0</v>
      </c>
      <c r="EO100" s="56" t="n">
        <f aca="false">SUM(EO96:EO99)</f>
        <v>0</v>
      </c>
      <c r="EP100" s="56" t="n">
        <f aca="false">SUM(EP96:EP99)</f>
        <v>0</v>
      </c>
      <c r="EQ100" s="56" t="n">
        <f aca="false">SUM(EQ96:EQ99)</f>
        <v>0</v>
      </c>
      <c r="ER100" s="56" t="n">
        <f aca="false">SUM(ER96:ER99)</f>
        <v>0</v>
      </c>
      <c r="ES100" s="56" t="n">
        <f aca="false">SUM(ES96:ES99)</f>
        <v>0</v>
      </c>
      <c r="ET100" s="56" t="n">
        <f aca="false">SUM(ET96:ET99)</f>
        <v>0</v>
      </c>
    </row>
    <row r="101" customFormat="false" ht="15" hidden="false" customHeight="false" outlineLevel="0" collapsed="false">
      <c r="C101" s="1" t="s">
        <v>518</v>
      </c>
      <c r="D101" s="12" t="s">
        <v>222</v>
      </c>
      <c r="I101" s="47" t="n">
        <f aca="false">SUM(J101:ET101)</f>
        <v>-25627.3575905535</v>
      </c>
      <c r="J101" s="47" t="n">
        <f aca="false">-J96*$F98*(J$4&gt;In_COD)</f>
        <v>-0</v>
      </c>
      <c r="K101" s="47" t="n">
        <f aca="false">-K96*$F98*(K$4&gt;In_COD)</f>
        <v>-0</v>
      </c>
      <c r="L101" s="47" t="n">
        <f aca="false">-L96*$F98*(L$4&gt;In_COD)</f>
        <v>-0</v>
      </c>
      <c r="M101" s="47" t="n">
        <f aca="false">-M96*$F98*(M$4&gt;In_COD)</f>
        <v>-0</v>
      </c>
      <c r="N101" s="47" t="n">
        <f aca="false">-N96*$F98*(N$4&gt;In_COD)</f>
        <v>-0</v>
      </c>
      <c r="O101" s="47" t="n">
        <f aca="false">-O96*$F98*(O$4&gt;In_COD)</f>
        <v>-0</v>
      </c>
      <c r="P101" s="47" t="n">
        <f aca="false">-P96*$F98*(P$4&gt;In_COD)</f>
        <v>-0</v>
      </c>
      <c r="Q101" s="47" t="n">
        <f aca="false">-Q96*$F98*(Q$4&gt;In_COD)</f>
        <v>-0</v>
      </c>
      <c r="R101" s="47" t="n">
        <f aca="false">-R96*$F98*(R$4&gt;In_COD)</f>
        <v>-0</v>
      </c>
      <c r="S101" s="47" t="n">
        <f aca="false">-S96*$F98*(S$4&gt;In_COD)</f>
        <v>-0</v>
      </c>
      <c r="T101" s="47" t="n">
        <f aca="false">-T96*$F98*(T$4&gt;In_COD)</f>
        <v>-0</v>
      </c>
      <c r="U101" s="47" t="n">
        <f aca="false">-U96*$F98*(U$4&gt;In_COD)</f>
        <v>-0</v>
      </c>
      <c r="V101" s="47" t="n">
        <f aca="false">-V96*$F98*(V$4&gt;In_COD)</f>
        <v>-0</v>
      </c>
      <c r="W101" s="47" t="n">
        <f aca="false">-W96*$F98*(W$4&gt;In_COD)</f>
        <v>-0</v>
      </c>
      <c r="X101" s="47" t="n">
        <f aca="false">-X96*$F98*(X$4&gt;In_COD)</f>
        <v>-0</v>
      </c>
      <c r="Y101" s="47" t="n">
        <f aca="false">-Y96*$F98*(Y$4&gt;In_COD)</f>
        <v>-0</v>
      </c>
      <c r="Z101" s="47" t="n">
        <f aca="false">-Z96*$F98*(Z$4&gt;In_COD)</f>
        <v>-0</v>
      </c>
      <c r="AA101" s="47" t="n">
        <f aca="false">-AA96*$F98*(AA$4&gt;In_COD)</f>
        <v>-0</v>
      </c>
      <c r="AB101" s="47" t="n">
        <f aca="false">-AB96*$F98*(AB$4&gt;In_COD)</f>
        <v>-0</v>
      </c>
      <c r="AC101" s="47" t="n">
        <f aca="false">-AC96*$F98*(AC$4&gt;In_COD)</f>
        <v>-0</v>
      </c>
      <c r="AD101" s="47" t="n">
        <f aca="false">-AD96*$F98*(AD$4&gt;In_COD)</f>
        <v>-0</v>
      </c>
      <c r="AE101" s="47" t="n">
        <f aca="false">-AE96*$F98*(AE$4&gt;In_COD)</f>
        <v>-1157.06838990215</v>
      </c>
      <c r="AF101" s="47" t="n">
        <f aca="false">-AF96*$F98*(AF$4&gt;In_COD)</f>
        <v>-1134.59648578133</v>
      </c>
      <c r="AG101" s="47" t="n">
        <f aca="false">-AG96*$F98*(AG$4&gt;In_COD)</f>
        <v>-1111.84368285899</v>
      </c>
      <c r="AH101" s="47" t="n">
        <f aca="false">-AH96*$F98*(AH$4&gt;In_COD)</f>
        <v>-1088.80646990013</v>
      </c>
      <c r="AI101" s="47" t="n">
        <f aca="false">-AI96*$F98*(AI$4&gt;In_COD)</f>
        <v>-1065.48129177928</v>
      </c>
      <c r="AJ101" s="47" t="n">
        <f aca="false">-AJ96*$F98*(AJ$4&gt;In_COD)</f>
        <v>-1041.86454893192</v>
      </c>
      <c r="AK101" s="47" t="n">
        <f aca="false">-AK96*$F98*(AK$4&gt;In_COD)</f>
        <v>-1017.95259679897</v>
      </c>
      <c r="AL101" s="47" t="n">
        <f aca="false">-AL96*$F98*(AL$4&gt;In_COD)</f>
        <v>-993.741745264351</v>
      </c>
      <c r="AM101" s="47" t="n">
        <f aca="false">-AM96*$F98*(AM$4&gt;In_COD)</f>
        <v>-969.228258085553</v>
      </c>
      <c r="AN101" s="47" t="n">
        <f aca="false">-AN96*$F98*(AN$4&gt;In_COD)</f>
        <v>-944.408352317021</v>
      </c>
      <c r="AO101" s="47" t="n">
        <f aca="false">-AO96*$F98*(AO$4&gt;In_COD)</f>
        <v>-919.278197726382</v>
      </c>
      <c r="AP101" s="47" t="n">
        <f aca="false">-AP96*$F98*(AP$4&gt;In_COD)</f>
        <v>-893.83391620336</v>
      </c>
      <c r="AQ101" s="47" t="n">
        <f aca="false">-AQ96*$F98*(AQ$4&gt;In_COD)</f>
        <v>-868.0715811613</v>
      </c>
      <c r="AR101" s="47" t="n">
        <f aca="false">-AR96*$F98*(AR$4&gt;In_COD)</f>
        <v>-841.987216931215</v>
      </c>
      <c r="AS101" s="47" t="n">
        <f aca="false">-AS96*$F98*(AS$4&gt;In_COD)</f>
        <v>-815.576798148253</v>
      </c>
      <c r="AT101" s="47" t="n">
        <f aca="false">-AT96*$F98*(AT$4&gt;In_COD)</f>
        <v>-788.836249130504</v>
      </c>
      <c r="AU101" s="47" t="n">
        <f aca="false">-AU96*$F98*(AU$4&gt;In_COD)</f>
        <v>-761.761443250034</v>
      </c>
      <c r="AV101" s="47" t="n">
        <f aca="false">-AV96*$F98*(AV$4&gt;In_COD)</f>
        <v>-734.348202296057</v>
      </c>
      <c r="AW101" s="47" t="n">
        <f aca="false">-AW96*$F98*(AW$4&gt;In_COD)</f>
        <v>-706.592295830156</v>
      </c>
      <c r="AX101" s="47" t="n">
        <f aca="false">-AX96*$F98*(AX$4&gt;In_COD)</f>
        <v>-678.489440533431</v>
      </c>
      <c r="AY101" s="47" t="n">
        <f aca="false">-AY96*$F98*(AY$4&gt;In_COD)</f>
        <v>-650.035299545497</v>
      </c>
      <c r="AZ101" s="47" t="n">
        <f aca="false">-AZ96*$F98*(AZ$4&gt;In_COD)</f>
        <v>-621.225481795214</v>
      </c>
      <c r="BA101" s="47" t="n">
        <f aca="false">-BA96*$F98*(BA$4&gt;In_COD)</f>
        <v>-592.055541323053</v>
      </c>
      <c r="BB101" s="47" t="n">
        <f aca="false">-BB96*$F98*(BB$4&gt;In_COD)</f>
        <v>-562.520976594989</v>
      </c>
      <c r="BC101" s="47" t="n">
        <f aca="false">-BC96*$F98*(BC$4&gt;In_COD)</f>
        <v>-532.617229807824</v>
      </c>
      <c r="BD101" s="47" t="n">
        <f aca="false">-BD96*$F98*(BD$4&gt;In_COD)</f>
        <v>-502.33968618582</v>
      </c>
      <c r="BE101" s="47" t="n">
        <f aca="false">-BE96*$F98*(BE$4&gt;In_COD)</f>
        <v>-471.683673268541</v>
      </c>
      <c r="BF101" s="47" t="n">
        <f aca="false">-BF96*$F98*(BF$4&gt;In_COD)</f>
        <v>-440.644460189796</v>
      </c>
      <c r="BG101" s="47" t="n">
        <f aca="false">-BG96*$F98*(BG$4&gt;In_COD)</f>
        <v>-409.217256947567</v>
      </c>
      <c r="BH101" s="47" t="n">
        <f aca="false">-BH96*$F98*(BH$4&gt;In_COD)</f>
        <v>-377.39721366481</v>
      </c>
      <c r="BI101" s="47" t="n">
        <f aca="false">-BI96*$F98*(BI$4&gt;In_COD)</f>
        <v>-345.179419841018</v>
      </c>
      <c r="BJ101" s="47" t="n">
        <f aca="false">-BJ96*$F98*(BJ$4&gt;In_COD)</f>
        <v>-312.558903594429</v>
      </c>
      <c r="BK101" s="47" t="n">
        <f aca="false">-BK96*$F98*(BK$4&gt;In_COD)</f>
        <v>-279.530630894757</v>
      </c>
      <c r="BL101" s="47" t="n">
        <f aca="false">-BL96*$F98*(BL$4&gt;In_COD)</f>
        <v>-246.08950478634</v>
      </c>
      <c r="BM101" s="47" t="n">
        <f aca="false">-BM96*$F98*(BM$4&gt;In_COD)</f>
        <v>-212.230364601567</v>
      </c>
      <c r="BN101" s="47" t="n">
        <f aca="false">-BN96*$F98*(BN$4&gt;In_COD)</f>
        <v>-177.947985164485</v>
      </c>
      <c r="BO101" s="47" t="n">
        <f aca="false">-BO96*$F98*(BO$4&gt;In_COD)</f>
        <v>-143.237075984439</v>
      </c>
      <c r="BP101" s="47" t="n">
        <f aca="false">-BP96*$F98*(BP$4&gt;In_COD)</f>
        <v>-108.092280439643</v>
      </c>
      <c r="BQ101" s="47" t="n">
        <f aca="false">-BQ96*$F98*(BQ$4&gt;In_COD)</f>
        <v>-72.5081749505367</v>
      </c>
      <c r="BR101" s="47" t="n">
        <f aca="false">-BR96*$F98*(BR$4&gt;In_COD)</f>
        <v>-36.4792681428166</v>
      </c>
      <c r="BS101" s="47" t="n">
        <f aca="false">-BS96*$F98*(BS$4&gt;In_COD)</f>
        <v>-0</v>
      </c>
      <c r="BT101" s="47" t="n">
        <f aca="false">-BT96*$F98*(BT$4&gt;In_COD)</f>
        <v>-0</v>
      </c>
      <c r="BU101" s="47" t="n">
        <f aca="false">-BU96*$F98*(BU$4&gt;In_COD)</f>
        <v>-0</v>
      </c>
      <c r="BV101" s="47" t="n">
        <f aca="false">-BV96*$F98*(BV$4&gt;In_COD)</f>
        <v>-0</v>
      </c>
      <c r="BW101" s="47" t="n">
        <f aca="false">-BW96*$F98*(BW$4&gt;In_COD)</f>
        <v>-0</v>
      </c>
      <c r="BX101" s="47" t="n">
        <f aca="false">-BX96*$F98*(BX$4&gt;In_COD)</f>
        <v>-0</v>
      </c>
      <c r="BY101" s="47" t="n">
        <f aca="false">-BY96*$F98*(BY$4&gt;In_COD)</f>
        <v>-0</v>
      </c>
      <c r="BZ101" s="47" t="n">
        <f aca="false">-BZ96*$F98*(BZ$4&gt;In_COD)</f>
        <v>-0</v>
      </c>
      <c r="CA101" s="47" t="n">
        <f aca="false">-CA96*$F98*(CA$4&gt;In_COD)</f>
        <v>-0</v>
      </c>
      <c r="CB101" s="47" t="n">
        <f aca="false">-CB96*$F98*(CB$4&gt;In_COD)</f>
        <v>-0</v>
      </c>
      <c r="CC101" s="47" t="n">
        <f aca="false">-CC96*$F98*(CC$4&gt;In_COD)</f>
        <v>-0</v>
      </c>
      <c r="CD101" s="47" t="n">
        <f aca="false">-CD96*$F98*(CD$4&gt;In_COD)</f>
        <v>-0</v>
      </c>
      <c r="CE101" s="47" t="n">
        <f aca="false">-CE96*$F98*(CE$4&gt;In_COD)</f>
        <v>-0</v>
      </c>
      <c r="CF101" s="47" t="n">
        <f aca="false">-CF96*$F98*(CF$4&gt;In_COD)</f>
        <v>-0</v>
      </c>
      <c r="CG101" s="47" t="n">
        <f aca="false">-CG96*$F98*(CG$4&gt;In_COD)</f>
        <v>-0</v>
      </c>
      <c r="CH101" s="47" t="n">
        <f aca="false">-CH96*$F98*(CH$4&gt;In_COD)</f>
        <v>-0</v>
      </c>
      <c r="CI101" s="47" t="n">
        <f aca="false">-CI96*$F98*(CI$4&gt;In_COD)</f>
        <v>-0</v>
      </c>
      <c r="CJ101" s="47" t="n">
        <f aca="false">-CJ96*$F98*(CJ$4&gt;In_COD)</f>
        <v>-0</v>
      </c>
      <c r="CK101" s="47" t="n">
        <f aca="false">-CK96*$F98*(CK$4&gt;In_COD)</f>
        <v>-0</v>
      </c>
      <c r="CL101" s="47" t="n">
        <f aca="false">-CL96*$F98*(CL$4&gt;In_COD)</f>
        <v>-0</v>
      </c>
      <c r="CM101" s="47" t="n">
        <f aca="false">-CM96*$F98*(CM$4&gt;In_COD)</f>
        <v>-0</v>
      </c>
      <c r="CN101" s="47" t="n">
        <f aca="false">-CN96*$F98*(CN$4&gt;In_COD)</f>
        <v>-0</v>
      </c>
      <c r="CO101" s="47" t="n">
        <f aca="false">-CO96*$F98*(CO$4&gt;In_COD)</f>
        <v>-0</v>
      </c>
      <c r="CP101" s="47" t="n">
        <f aca="false">-CP96*$F98*(CP$4&gt;In_COD)</f>
        <v>-0</v>
      </c>
      <c r="CQ101" s="47" t="n">
        <f aca="false">-CQ96*$F98*(CQ$4&gt;In_COD)</f>
        <v>-0</v>
      </c>
      <c r="CR101" s="47" t="n">
        <f aca="false">-CR96*$F98*(CR$4&gt;In_COD)</f>
        <v>-0</v>
      </c>
      <c r="CS101" s="47" t="n">
        <f aca="false">-CS96*$F98*(CS$4&gt;In_COD)</f>
        <v>-0</v>
      </c>
      <c r="CT101" s="47" t="n">
        <f aca="false">-CT96*$F98*(CT$4&gt;In_COD)</f>
        <v>-0</v>
      </c>
      <c r="CU101" s="47" t="n">
        <f aca="false">-CU96*$F98*(CU$4&gt;In_COD)</f>
        <v>-0</v>
      </c>
      <c r="CV101" s="47" t="n">
        <f aca="false">-CV96*$F98*(CV$4&gt;In_COD)</f>
        <v>-0</v>
      </c>
      <c r="CW101" s="47" t="n">
        <f aca="false">-CW96*$F98*(CW$4&gt;In_COD)</f>
        <v>-0</v>
      </c>
      <c r="CX101" s="47" t="n">
        <f aca="false">-CX96*$F98*(CX$4&gt;In_COD)</f>
        <v>-0</v>
      </c>
      <c r="CY101" s="47" t="n">
        <f aca="false">-CY96*$F98*(CY$4&gt;In_COD)</f>
        <v>-0</v>
      </c>
      <c r="CZ101" s="47" t="n">
        <f aca="false">-CZ96*$F98*(CZ$4&gt;In_COD)</f>
        <v>-0</v>
      </c>
      <c r="DA101" s="47" t="n">
        <f aca="false">-DA96*$F98*(DA$4&gt;In_COD)</f>
        <v>-0</v>
      </c>
      <c r="DB101" s="47" t="n">
        <f aca="false">-DB96*$F98*(DB$4&gt;In_COD)</f>
        <v>-0</v>
      </c>
      <c r="DC101" s="47" t="n">
        <f aca="false">-DC96*$F98*(DC$4&gt;In_COD)</f>
        <v>-0</v>
      </c>
      <c r="DD101" s="47" t="n">
        <f aca="false">-DD96*$F98*(DD$4&gt;In_COD)</f>
        <v>-0</v>
      </c>
      <c r="DE101" s="47" t="n">
        <f aca="false">-DE96*$F98*(DE$4&gt;In_COD)</f>
        <v>-0</v>
      </c>
      <c r="DF101" s="47" t="n">
        <f aca="false">-DF96*$F98*(DF$4&gt;In_COD)</f>
        <v>-0</v>
      </c>
      <c r="DG101" s="47" t="n">
        <f aca="false">-DG96*$F98*(DG$4&gt;In_COD)</f>
        <v>-0</v>
      </c>
      <c r="DH101" s="47" t="n">
        <f aca="false">-DH96*$F98*(DH$4&gt;In_COD)</f>
        <v>-0</v>
      </c>
      <c r="DI101" s="47" t="n">
        <f aca="false">-DI96*$F98*(DI$4&gt;In_COD)</f>
        <v>-0</v>
      </c>
      <c r="DJ101" s="47" t="n">
        <f aca="false">-DJ96*$F98*(DJ$4&gt;In_COD)</f>
        <v>-0</v>
      </c>
      <c r="DK101" s="47" t="n">
        <f aca="false">-DK96*$F98*(DK$4&gt;In_COD)</f>
        <v>-0</v>
      </c>
      <c r="DL101" s="47" t="n">
        <f aca="false">-DL96*$F98*(DL$4&gt;In_COD)</f>
        <v>-0</v>
      </c>
      <c r="DM101" s="47" t="n">
        <f aca="false">-DM96*$F98*(DM$4&gt;In_COD)</f>
        <v>-0</v>
      </c>
      <c r="DN101" s="47" t="n">
        <f aca="false">-DN96*$F98*(DN$4&gt;In_COD)</f>
        <v>-0</v>
      </c>
      <c r="DO101" s="47" t="n">
        <f aca="false">-DO96*$F98*(DO$4&gt;In_COD)</f>
        <v>-0</v>
      </c>
      <c r="DP101" s="47" t="n">
        <f aca="false">-DP96*$F98*(DP$4&gt;In_COD)</f>
        <v>-0</v>
      </c>
      <c r="DQ101" s="47" t="n">
        <f aca="false">-DQ96*$F98*(DQ$4&gt;In_COD)</f>
        <v>-0</v>
      </c>
      <c r="DR101" s="47" t="n">
        <f aca="false">-DR96*$F98*(DR$4&gt;In_COD)</f>
        <v>-0</v>
      </c>
      <c r="DS101" s="47" t="n">
        <f aca="false">-DS96*$F98*(DS$4&gt;In_COD)</f>
        <v>-0</v>
      </c>
      <c r="DT101" s="47" t="n">
        <f aca="false">-DT96*$F98*(DT$4&gt;In_COD)</f>
        <v>-0</v>
      </c>
      <c r="DU101" s="47" t="n">
        <f aca="false">-DU96*$F98*(DU$4&gt;In_COD)</f>
        <v>-0</v>
      </c>
      <c r="DV101" s="47" t="n">
        <f aca="false">-DV96*$F98*(DV$4&gt;In_COD)</f>
        <v>-0</v>
      </c>
      <c r="DW101" s="47" t="n">
        <f aca="false">-DW96*$F98*(DW$4&gt;In_COD)</f>
        <v>-0</v>
      </c>
      <c r="DX101" s="47" t="n">
        <f aca="false">-DX96*$F98*(DX$4&gt;In_COD)</f>
        <v>-0</v>
      </c>
      <c r="DY101" s="47" t="n">
        <f aca="false">-DY96*$F98*(DY$4&gt;In_COD)</f>
        <v>-0</v>
      </c>
      <c r="DZ101" s="47" t="n">
        <f aca="false">-DZ96*$F98*(DZ$4&gt;In_COD)</f>
        <v>-0</v>
      </c>
      <c r="EA101" s="47" t="n">
        <f aca="false">-EA96*$F98*(EA$4&gt;In_COD)</f>
        <v>-0</v>
      </c>
      <c r="EB101" s="47" t="n">
        <f aca="false">-EB96*$F98*(EB$4&gt;In_COD)</f>
        <v>-0</v>
      </c>
      <c r="EC101" s="47" t="n">
        <f aca="false">-EC96*$F98*(EC$4&gt;In_COD)</f>
        <v>-0</v>
      </c>
      <c r="ED101" s="47" t="n">
        <f aca="false">-ED96*$F98*(ED$4&gt;In_COD)</f>
        <v>-0</v>
      </c>
      <c r="EE101" s="47" t="n">
        <f aca="false">-EE96*$F98*(EE$4&gt;In_COD)</f>
        <v>-0</v>
      </c>
      <c r="EF101" s="47" t="n">
        <f aca="false">-EF96*$F98*(EF$4&gt;In_COD)</f>
        <v>-0</v>
      </c>
      <c r="EG101" s="47" t="n">
        <f aca="false">-EG96*$F98*(EG$4&gt;In_COD)</f>
        <v>-0</v>
      </c>
      <c r="EH101" s="47" t="n">
        <f aca="false">-EH96*$F98*(EH$4&gt;In_COD)</f>
        <v>-0</v>
      </c>
      <c r="EI101" s="47" t="n">
        <f aca="false">-EI96*$F98*(EI$4&gt;In_COD)</f>
        <v>-0</v>
      </c>
      <c r="EJ101" s="47" t="n">
        <f aca="false">-EJ96*$F98*(EJ$4&gt;In_COD)</f>
        <v>-0</v>
      </c>
      <c r="EK101" s="47" t="n">
        <f aca="false">-EK96*$F98*(EK$4&gt;In_COD)</f>
        <v>-0</v>
      </c>
      <c r="EL101" s="47" t="n">
        <f aca="false">-EL96*$F98*(EL$4&gt;In_COD)</f>
        <v>-0</v>
      </c>
      <c r="EM101" s="47" t="n">
        <f aca="false">-EM96*$F98*(EM$4&gt;In_COD)</f>
        <v>-0</v>
      </c>
      <c r="EN101" s="47" t="n">
        <f aca="false">-EN96*$F98*(EN$4&gt;In_COD)</f>
        <v>-0</v>
      </c>
      <c r="EO101" s="47" t="n">
        <f aca="false">-EO96*$F98*(EO$4&gt;In_COD)</f>
        <v>-0</v>
      </c>
      <c r="EP101" s="47" t="n">
        <f aca="false">-EP96*$F98*(EP$4&gt;In_COD)</f>
        <v>-0</v>
      </c>
      <c r="EQ101" s="47" t="n">
        <f aca="false">-EQ96*$F98*(EQ$4&gt;In_COD)</f>
        <v>-0</v>
      </c>
      <c r="ER101" s="47" t="n">
        <f aca="false">-ER96*$F98*(ER$4&gt;In_COD)</f>
        <v>-0</v>
      </c>
      <c r="ES101" s="47" t="n">
        <f aca="false">-ES96*$F98*(ES$4&gt;In_COD)</f>
        <v>-0</v>
      </c>
      <c r="ET101" s="47" t="n">
        <f aca="false">-ET96*$F98*(ET$4&gt;In_COD)</f>
        <v>-0</v>
      </c>
    </row>
    <row r="102" customFormat="false" ht="15" hidden="false" customHeight="false" outlineLevel="0" collapsed="false">
      <c r="C102" s="1" t="s">
        <v>365</v>
      </c>
      <c r="D102" s="12" t="s">
        <v>222</v>
      </c>
      <c r="I102" s="47" t="n">
        <f aca="false">SUM(J102:ET102)</f>
        <v>-1550.3710677863</v>
      </c>
      <c r="J102" s="47" t="n">
        <f aca="false">-In_Upfront_Fee*$E97*(J96=0)*(J97&gt;0)</f>
        <v>-0</v>
      </c>
      <c r="K102" s="47" t="n">
        <f aca="false">-In_Upfront_Fee*$E97*(K96=0)*(K97&gt;0)</f>
        <v>-0</v>
      </c>
      <c r="L102" s="47" t="n">
        <f aca="false">-In_Upfront_Fee*$E97*(L96=0)*(L97&gt;0)</f>
        <v>-0</v>
      </c>
      <c r="M102" s="47" t="n">
        <f aca="false">-In_Upfront_Fee*$E97*(M96=0)*(M97&gt;0)</f>
        <v>-0</v>
      </c>
      <c r="N102" s="47" t="n">
        <f aca="false">-In_Upfront_Fee*$E97*(N96=0)*(N97&gt;0)</f>
        <v>-0</v>
      </c>
      <c r="O102" s="47" t="n">
        <f aca="false">-In_Upfront_Fee*$E97*(O96=0)*(O97&gt;0)</f>
        <v>-0</v>
      </c>
      <c r="P102" s="47" t="n">
        <f aca="false">-In_Upfront_Fee*$E97*(P96=0)*(P97&gt;0)</f>
        <v>-0</v>
      </c>
      <c r="Q102" s="47" t="n">
        <f aca="false">-In_Upfront_Fee*$E97*(Q96=0)*(Q97&gt;0)</f>
        <v>-0</v>
      </c>
      <c r="R102" s="47" t="n">
        <f aca="false">-In_Upfront_Fee*$E97*(R96=0)*(R97&gt;0)</f>
        <v>-0</v>
      </c>
      <c r="S102" s="47" t="n">
        <f aca="false">-In_Upfront_Fee*$E97*(S96=0)*(S97&gt;0)</f>
        <v>-0</v>
      </c>
      <c r="T102" s="47" t="n">
        <f aca="false">-In_Upfront_Fee*$E97*(T96=0)*(T97&gt;0)</f>
        <v>-0</v>
      </c>
      <c r="U102" s="47" t="n">
        <f aca="false">-In_Upfront_Fee*$E97*(U96=0)*(U97&gt;0)</f>
        <v>-0</v>
      </c>
      <c r="V102" s="47" t="n">
        <f aca="false">-In_Upfront_Fee*$E97*(V96=0)*(V97&gt;0)</f>
        <v>-0</v>
      </c>
      <c r="W102" s="47" t="n">
        <f aca="false">-In_Upfront_Fee*$E97*(W96=0)*(W97&gt;0)</f>
        <v>-1550.3710677863</v>
      </c>
      <c r="X102" s="47" t="n">
        <f aca="false">-In_Upfront_Fee*$E97*(X96=0)*(X97&gt;0)</f>
        <v>-0</v>
      </c>
      <c r="Y102" s="47" t="n">
        <f aca="false">-In_Upfront_Fee*$E97*(Y96=0)*(Y97&gt;0)</f>
        <v>-0</v>
      </c>
      <c r="Z102" s="47" t="n">
        <f aca="false">-In_Upfront_Fee*$E97*(Z96=0)*(Z97&gt;0)</f>
        <v>-0</v>
      </c>
      <c r="AA102" s="47" t="n">
        <f aca="false">-In_Upfront_Fee*$E97*(AA96=0)*(AA97&gt;0)</f>
        <v>-0</v>
      </c>
      <c r="AB102" s="47" t="n">
        <f aca="false">-In_Upfront_Fee*$E97*(AB96=0)*(AB97&gt;0)</f>
        <v>-0</v>
      </c>
      <c r="AC102" s="47" t="n">
        <f aca="false">-In_Upfront_Fee*$E97*(AC96=0)*(AC97&gt;0)</f>
        <v>-0</v>
      </c>
      <c r="AD102" s="47" t="n">
        <f aca="false">-In_Upfront_Fee*$E97*(AD96=0)*(AD97&gt;0)</f>
        <v>-0</v>
      </c>
      <c r="AE102" s="47" t="n">
        <f aca="false">-In_Upfront_Fee*$E97*(AE96=0)*(AE97&gt;0)</f>
        <v>-0</v>
      </c>
      <c r="AF102" s="47" t="n">
        <f aca="false">-In_Upfront_Fee*$E97*(AF96=0)*(AF97&gt;0)</f>
        <v>-0</v>
      </c>
      <c r="AG102" s="47" t="n">
        <f aca="false">-In_Upfront_Fee*$E97*(AG96=0)*(AG97&gt;0)</f>
        <v>-0</v>
      </c>
      <c r="AH102" s="47" t="n">
        <f aca="false">-In_Upfront_Fee*$E97*(AH96=0)*(AH97&gt;0)</f>
        <v>-0</v>
      </c>
      <c r="AI102" s="47" t="n">
        <f aca="false">-In_Upfront_Fee*$E97*(AI96=0)*(AI97&gt;0)</f>
        <v>-0</v>
      </c>
      <c r="AJ102" s="47" t="n">
        <f aca="false">-In_Upfront_Fee*$E97*(AJ96=0)*(AJ97&gt;0)</f>
        <v>-0</v>
      </c>
      <c r="AK102" s="47" t="n">
        <f aca="false">-In_Upfront_Fee*$E97*(AK96=0)*(AK97&gt;0)</f>
        <v>-0</v>
      </c>
      <c r="AL102" s="47" t="n">
        <f aca="false">-In_Upfront_Fee*$E97*(AL96=0)*(AL97&gt;0)</f>
        <v>-0</v>
      </c>
      <c r="AM102" s="47" t="n">
        <f aca="false">-In_Upfront_Fee*$E97*(AM96=0)*(AM97&gt;0)</f>
        <v>-0</v>
      </c>
      <c r="AN102" s="47" t="n">
        <f aca="false">-In_Upfront_Fee*$E97*(AN96=0)*(AN97&gt;0)</f>
        <v>-0</v>
      </c>
      <c r="AO102" s="47" t="n">
        <f aca="false">-In_Upfront_Fee*$E97*(AO96=0)*(AO97&gt;0)</f>
        <v>-0</v>
      </c>
      <c r="AP102" s="47" t="n">
        <f aca="false">-In_Upfront_Fee*$E97*(AP96=0)*(AP97&gt;0)</f>
        <v>-0</v>
      </c>
      <c r="AQ102" s="47" t="n">
        <f aca="false">-In_Upfront_Fee*$E97*(AQ96=0)*(AQ97&gt;0)</f>
        <v>-0</v>
      </c>
      <c r="AR102" s="47" t="n">
        <f aca="false">-In_Upfront_Fee*$E97*(AR96=0)*(AR97&gt;0)</f>
        <v>-0</v>
      </c>
      <c r="AS102" s="47" t="n">
        <f aca="false">-In_Upfront_Fee*$E97*(AS96=0)*(AS97&gt;0)</f>
        <v>-0</v>
      </c>
      <c r="AT102" s="47" t="n">
        <f aca="false">-In_Upfront_Fee*$E97*(AT96=0)*(AT97&gt;0)</f>
        <v>-0</v>
      </c>
      <c r="AU102" s="47" t="n">
        <f aca="false">-In_Upfront_Fee*$E97*(AU96=0)*(AU97&gt;0)</f>
        <v>-0</v>
      </c>
      <c r="AV102" s="47" t="n">
        <f aca="false">-In_Upfront_Fee*$E97*(AV96=0)*(AV97&gt;0)</f>
        <v>-0</v>
      </c>
      <c r="AW102" s="47" t="n">
        <f aca="false">-In_Upfront_Fee*$E97*(AW96=0)*(AW97&gt;0)</f>
        <v>-0</v>
      </c>
      <c r="AX102" s="47" t="n">
        <f aca="false">-In_Upfront_Fee*$E97*(AX96=0)*(AX97&gt;0)</f>
        <v>-0</v>
      </c>
      <c r="AY102" s="47" t="n">
        <f aca="false">-In_Upfront_Fee*$E97*(AY96=0)*(AY97&gt;0)</f>
        <v>-0</v>
      </c>
      <c r="AZ102" s="47" t="n">
        <f aca="false">-In_Upfront_Fee*$E97*(AZ96=0)*(AZ97&gt;0)</f>
        <v>-0</v>
      </c>
      <c r="BA102" s="47" t="n">
        <f aca="false">-In_Upfront_Fee*$E97*(BA96=0)*(BA97&gt;0)</f>
        <v>-0</v>
      </c>
      <c r="BB102" s="47" t="n">
        <f aca="false">-In_Upfront_Fee*$E97*(BB96=0)*(BB97&gt;0)</f>
        <v>-0</v>
      </c>
      <c r="BC102" s="47" t="n">
        <f aca="false">-In_Upfront_Fee*$E97*(BC96=0)*(BC97&gt;0)</f>
        <v>-0</v>
      </c>
      <c r="BD102" s="47" t="n">
        <f aca="false">-In_Upfront_Fee*$E97*(BD96=0)*(BD97&gt;0)</f>
        <v>-0</v>
      </c>
      <c r="BE102" s="47" t="n">
        <f aca="false">-In_Upfront_Fee*$E97*(BE96=0)*(BE97&gt;0)</f>
        <v>-0</v>
      </c>
      <c r="BF102" s="47" t="n">
        <f aca="false">-In_Upfront_Fee*$E97*(BF96=0)*(BF97&gt;0)</f>
        <v>-0</v>
      </c>
      <c r="BG102" s="47" t="n">
        <f aca="false">-In_Upfront_Fee*$E97*(BG96=0)*(BG97&gt;0)</f>
        <v>-0</v>
      </c>
      <c r="BH102" s="47" t="n">
        <f aca="false">-In_Upfront_Fee*$E97*(BH96=0)*(BH97&gt;0)</f>
        <v>-0</v>
      </c>
      <c r="BI102" s="47" t="n">
        <f aca="false">-In_Upfront_Fee*$E97*(BI96=0)*(BI97&gt;0)</f>
        <v>-0</v>
      </c>
      <c r="BJ102" s="47" t="n">
        <f aca="false">-In_Upfront_Fee*$E97*(BJ96=0)*(BJ97&gt;0)</f>
        <v>-0</v>
      </c>
      <c r="BK102" s="47" t="n">
        <f aca="false">-In_Upfront_Fee*$E97*(BK96=0)*(BK97&gt;0)</f>
        <v>-0</v>
      </c>
      <c r="BL102" s="47" t="n">
        <f aca="false">-In_Upfront_Fee*$E97*(BL96=0)*(BL97&gt;0)</f>
        <v>-0</v>
      </c>
      <c r="BM102" s="47" t="n">
        <f aca="false">-In_Upfront_Fee*$E97*(BM96=0)*(BM97&gt;0)</f>
        <v>-0</v>
      </c>
      <c r="BN102" s="47" t="n">
        <f aca="false">-In_Upfront_Fee*$E97*(BN96=0)*(BN97&gt;0)</f>
        <v>-0</v>
      </c>
      <c r="BO102" s="47" t="n">
        <f aca="false">-In_Upfront_Fee*$E97*(BO96=0)*(BO97&gt;0)</f>
        <v>-0</v>
      </c>
      <c r="BP102" s="47" t="n">
        <f aca="false">-In_Upfront_Fee*$E97*(BP96=0)*(BP97&gt;0)</f>
        <v>-0</v>
      </c>
      <c r="BQ102" s="47" t="n">
        <f aca="false">-In_Upfront_Fee*$E97*(BQ96=0)*(BQ97&gt;0)</f>
        <v>-0</v>
      </c>
      <c r="BR102" s="47" t="n">
        <f aca="false">-In_Upfront_Fee*$E97*(BR96=0)*(BR97&gt;0)</f>
        <v>-0</v>
      </c>
      <c r="BS102" s="47" t="n">
        <f aca="false">-In_Upfront_Fee*$E97*(BS96=0)*(BS97&gt;0)</f>
        <v>-0</v>
      </c>
      <c r="BT102" s="47" t="n">
        <f aca="false">-In_Upfront_Fee*$E97*(BT96=0)*(BT97&gt;0)</f>
        <v>-0</v>
      </c>
      <c r="BU102" s="47" t="n">
        <f aca="false">-In_Upfront_Fee*$E97*(BU96=0)*(BU97&gt;0)</f>
        <v>-0</v>
      </c>
      <c r="BV102" s="47" t="n">
        <f aca="false">-In_Upfront_Fee*$E97*(BV96=0)*(BV97&gt;0)</f>
        <v>-0</v>
      </c>
      <c r="BW102" s="47" t="n">
        <f aca="false">-In_Upfront_Fee*$E97*(BW96=0)*(BW97&gt;0)</f>
        <v>-0</v>
      </c>
      <c r="BX102" s="47" t="n">
        <f aca="false">-In_Upfront_Fee*$E97*(BX96=0)*(BX97&gt;0)</f>
        <v>-0</v>
      </c>
      <c r="BY102" s="47" t="n">
        <f aca="false">-In_Upfront_Fee*$E97*(BY96=0)*(BY97&gt;0)</f>
        <v>-0</v>
      </c>
      <c r="BZ102" s="47" t="n">
        <f aca="false">-In_Upfront_Fee*$E97*(BZ96=0)*(BZ97&gt;0)</f>
        <v>-0</v>
      </c>
      <c r="CA102" s="47" t="n">
        <f aca="false">-In_Upfront_Fee*$E97*(CA96=0)*(CA97&gt;0)</f>
        <v>-0</v>
      </c>
      <c r="CB102" s="47" t="n">
        <f aca="false">-In_Upfront_Fee*$E97*(CB96=0)*(CB97&gt;0)</f>
        <v>-0</v>
      </c>
      <c r="CC102" s="47" t="n">
        <f aca="false">-In_Upfront_Fee*$E97*(CC96=0)*(CC97&gt;0)</f>
        <v>-0</v>
      </c>
      <c r="CD102" s="47" t="n">
        <f aca="false">-In_Upfront_Fee*$E97*(CD96=0)*(CD97&gt;0)</f>
        <v>-0</v>
      </c>
      <c r="CE102" s="47" t="n">
        <f aca="false">-In_Upfront_Fee*$E97*(CE96=0)*(CE97&gt;0)</f>
        <v>-0</v>
      </c>
      <c r="CF102" s="47" t="n">
        <f aca="false">-In_Upfront_Fee*$E97*(CF96=0)*(CF97&gt;0)</f>
        <v>-0</v>
      </c>
      <c r="CG102" s="47" t="n">
        <f aca="false">-In_Upfront_Fee*$E97*(CG96=0)*(CG97&gt;0)</f>
        <v>-0</v>
      </c>
      <c r="CH102" s="47" t="n">
        <f aca="false">-In_Upfront_Fee*$E97*(CH96=0)*(CH97&gt;0)</f>
        <v>-0</v>
      </c>
      <c r="CI102" s="47" t="n">
        <f aca="false">-In_Upfront_Fee*$E97*(CI96=0)*(CI97&gt;0)</f>
        <v>-0</v>
      </c>
      <c r="CJ102" s="47" t="n">
        <f aca="false">-In_Upfront_Fee*$E97*(CJ96=0)*(CJ97&gt;0)</f>
        <v>-0</v>
      </c>
      <c r="CK102" s="47" t="n">
        <f aca="false">-In_Upfront_Fee*$E97*(CK96=0)*(CK97&gt;0)</f>
        <v>-0</v>
      </c>
      <c r="CL102" s="47" t="n">
        <f aca="false">-In_Upfront_Fee*$E97*(CL96=0)*(CL97&gt;0)</f>
        <v>-0</v>
      </c>
      <c r="CM102" s="47" t="n">
        <f aca="false">-In_Upfront_Fee*$E97*(CM96=0)*(CM97&gt;0)</f>
        <v>-0</v>
      </c>
      <c r="CN102" s="47" t="n">
        <f aca="false">-In_Upfront_Fee*$E97*(CN96=0)*(CN97&gt;0)</f>
        <v>-0</v>
      </c>
      <c r="CO102" s="47" t="n">
        <f aca="false">-In_Upfront_Fee*$E97*(CO96=0)*(CO97&gt;0)</f>
        <v>-0</v>
      </c>
      <c r="CP102" s="47" t="n">
        <f aca="false">-In_Upfront_Fee*$E97*(CP96=0)*(CP97&gt;0)</f>
        <v>-0</v>
      </c>
      <c r="CQ102" s="47" t="n">
        <f aca="false">-In_Upfront_Fee*$E97*(CQ96=0)*(CQ97&gt;0)</f>
        <v>-0</v>
      </c>
      <c r="CR102" s="47" t="n">
        <f aca="false">-In_Upfront_Fee*$E97*(CR96=0)*(CR97&gt;0)</f>
        <v>-0</v>
      </c>
      <c r="CS102" s="47" t="n">
        <f aca="false">-In_Upfront_Fee*$E97*(CS96=0)*(CS97&gt;0)</f>
        <v>-0</v>
      </c>
      <c r="CT102" s="47" t="n">
        <f aca="false">-In_Upfront_Fee*$E97*(CT96=0)*(CT97&gt;0)</f>
        <v>-0</v>
      </c>
      <c r="CU102" s="47" t="n">
        <f aca="false">-In_Upfront_Fee*$E97*(CU96=0)*(CU97&gt;0)</f>
        <v>-0</v>
      </c>
      <c r="CV102" s="47" t="n">
        <f aca="false">-In_Upfront_Fee*$E97*(CV96=0)*(CV97&gt;0)</f>
        <v>-0</v>
      </c>
      <c r="CW102" s="47" t="n">
        <f aca="false">-In_Upfront_Fee*$E97*(CW96=0)*(CW97&gt;0)</f>
        <v>-0</v>
      </c>
      <c r="CX102" s="47" t="n">
        <f aca="false">-In_Upfront_Fee*$E97*(CX96=0)*(CX97&gt;0)</f>
        <v>-0</v>
      </c>
      <c r="CY102" s="47" t="n">
        <f aca="false">-In_Upfront_Fee*$E97*(CY96=0)*(CY97&gt;0)</f>
        <v>-0</v>
      </c>
      <c r="CZ102" s="47" t="n">
        <f aca="false">-In_Upfront_Fee*$E97*(CZ96=0)*(CZ97&gt;0)</f>
        <v>-0</v>
      </c>
      <c r="DA102" s="47" t="n">
        <f aca="false">-In_Upfront_Fee*$E97*(DA96=0)*(DA97&gt;0)</f>
        <v>-0</v>
      </c>
      <c r="DB102" s="47" t="n">
        <f aca="false">-In_Upfront_Fee*$E97*(DB96=0)*(DB97&gt;0)</f>
        <v>-0</v>
      </c>
      <c r="DC102" s="47" t="n">
        <f aca="false">-In_Upfront_Fee*$E97*(DC96=0)*(DC97&gt;0)</f>
        <v>-0</v>
      </c>
      <c r="DD102" s="47" t="n">
        <f aca="false">-In_Upfront_Fee*$E97*(DD96=0)*(DD97&gt;0)</f>
        <v>-0</v>
      </c>
      <c r="DE102" s="47" t="n">
        <f aca="false">-In_Upfront_Fee*$E97*(DE96=0)*(DE97&gt;0)</f>
        <v>-0</v>
      </c>
      <c r="DF102" s="47" t="n">
        <f aca="false">-In_Upfront_Fee*$E97*(DF96=0)*(DF97&gt;0)</f>
        <v>-0</v>
      </c>
      <c r="DG102" s="47" t="n">
        <f aca="false">-In_Upfront_Fee*$E97*(DG96=0)*(DG97&gt;0)</f>
        <v>-0</v>
      </c>
      <c r="DH102" s="47" t="n">
        <f aca="false">-In_Upfront_Fee*$E97*(DH96=0)*(DH97&gt;0)</f>
        <v>-0</v>
      </c>
      <c r="DI102" s="47" t="n">
        <f aca="false">-In_Upfront_Fee*$E97*(DI96=0)*(DI97&gt;0)</f>
        <v>-0</v>
      </c>
      <c r="DJ102" s="47" t="n">
        <f aca="false">-In_Upfront_Fee*$E97*(DJ96=0)*(DJ97&gt;0)</f>
        <v>-0</v>
      </c>
      <c r="DK102" s="47" t="n">
        <f aca="false">-In_Upfront_Fee*$E97*(DK96=0)*(DK97&gt;0)</f>
        <v>-0</v>
      </c>
      <c r="DL102" s="47" t="n">
        <f aca="false">-In_Upfront_Fee*$E97*(DL96=0)*(DL97&gt;0)</f>
        <v>-0</v>
      </c>
      <c r="DM102" s="47" t="n">
        <f aca="false">-In_Upfront_Fee*$E97*(DM96=0)*(DM97&gt;0)</f>
        <v>-0</v>
      </c>
      <c r="DN102" s="47" t="n">
        <f aca="false">-In_Upfront_Fee*$E97*(DN96=0)*(DN97&gt;0)</f>
        <v>-0</v>
      </c>
      <c r="DO102" s="47" t="n">
        <f aca="false">-In_Upfront_Fee*$E97*(DO96=0)*(DO97&gt;0)</f>
        <v>-0</v>
      </c>
      <c r="DP102" s="47" t="n">
        <f aca="false">-In_Upfront_Fee*$E97*(DP96=0)*(DP97&gt;0)</f>
        <v>-0</v>
      </c>
      <c r="DQ102" s="47" t="n">
        <f aca="false">-In_Upfront_Fee*$E97*(DQ96=0)*(DQ97&gt;0)</f>
        <v>-0</v>
      </c>
      <c r="DR102" s="47" t="n">
        <f aca="false">-In_Upfront_Fee*$E97*(DR96=0)*(DR97&gt;0)</f>
        <v>-0</v>
      </c>
      <c r="DS102" s="47" t="n">
        <f aca="false">-In_Upfront_Fee*$E97*(DS96=0)*(DS97&gt;0)</f>
        <v>-0</v>
      </c>
      <c r="DT102" s="47" t="n">
        <f aca="false">-In_Upfront_Fee*$E97*(DT96=0)*(DT97&gt;0)</f>
        <v>-0</v>
      </c>
      <c r="DU102" s="47" t="n">
        <f aca="false">-In_Upfront_Fee*$E97*(DU96=0)*(DU97&gt;0)</f>
        <v>-0</v>
      </c>
      <c r="DV102" s="47" t="n">
        <f aca="false">-In_Upfront_Fee*$E97*(DV96=0)*(DV97&gt;0)</f>
        <v>-0</v>
      </c>
      <c r="DW102" s="47" t="n">
        <f aca="false">-In_Upfront_Fee*$E97*(DW96=0)*(DW97&gt;0)</f>
        <v>-0</v>
      </c>
      <c r="DX102" s="47" t="n">
        <f aca="false">-In_Upfront_Fee*$E97*(DX96=0)*(DX97&gt;0)</f>
        <v>-0</v>
      </c>
      <c r="DY102" s="47" t="n">
        <f aca="false">-In_Upfront_Fee*$E97*(DY96=0)*(DY97&gt;0)</f>
        <v>-0</v>
      </c>
      <c r="DZ102" s="47" t="n">
        <f aca="false">-In_Upfront_Fee*$E97*(DZ96=0)*(DZ97&gt;0)</f>
        <v>-0</v>
      </c>
      <c r="EA102" s="47" t="n">
        <f aca="false">-In_Upfront_Fee*$E97*(EA96=0)*(EA97&gt;0)</f>
        <v>-0</v>
      </c>
      <c r="EB102" s="47" t="n">
        <f aca="false">-In_Upfront_Fee*$E97*(EB96=0)*(EB97&gt;0)</f>
        <v>-0</v>
      </c>
      <c r="EC102" s="47" t="n">
        <f aca="false">-In_Upfront_Fee*$E97*(EC96=0)*(EC97&gt;0)</f>
        <v>-0</v>
      </c>
      <c r="ED102" s="47" t="n">
        <f aca="false">-In_Upfront_Fee*$E97*(ED96=0)*(ED97&gt;0)</f>
        <v>-0</v>
      </c>
      <c r="EE102" s="47" t="n">
        <f aca="false">-In_Upfront_Fee*$E97*(EE96=0)*(EE97&gt;0)</f>
        <v>-0</v>
      </c>
      <c r="EF102" s="47" t="n">
        <f aca="false">-In_Upfront_Fee*$E97*(EF96=0)*(EF97&gt;0)</f>
        <v>-0</v>
      </c>
      <c r="EG102" s="47" t="n">
        <f aca="false">-In_Upfront_Fee*$E97*(EG96=0)*(EG97&gt;0)</f>
        <v>-0</v>
      </c>
      <c r="EH102" s="47" t="n">
        <f aca="false">-In_Upfront_Fee*$E97*(EH96=0)*(EH97&gt;0)</f>
        <v>-0</v>
      </c>
      <c r="EI102" s="47" t="n">
        <f aca="false">-In_Upfront_Fee*$E97*(EI96=0)*(EI97&gt;0)</f>
        <v>-0</v>
      </c>
      <c r="EJ102" s="47" t="n">
        <f aca="false">-In_Upfront_Fee*$E97*(EJ96=0)*(EJ97&gt;0)</f>
        <v>-0</v>
      </c>
      <c r="EK102" s="47" t="n">
        <f aca="false">-In_Upfront_Fee*$E97*(EK96=0)*(EK97&gt;0)</f>
        <v>-0</v>
      </c>
      <c r="EL102" s="47" t="n">
        <f aca="false">-In_Upfront_Fee*$E97*(EL96=0)*(EL97&gt;0)</f>
        <v>-0</v>
      </c>
      <c r="EM102" s="47" t="n">
        <f aca="false">-In_Upfront_Fee*$E97*(EM96=0)*(EM97&gt;0)</f>
        <v>-0</v>
      </c>
      <c r="EN102" s="47" t="n">
        <f aca="false">-In_Upfront_Fee*$E97*(EN96=0)*(EN97&gt;0)</f>
        <v>-0</v>
      </c>
      <c r="EO102" s="47" t="n">
        <f aca="false">-In_Upfront_Fee*$E97*(EO96=0)*(EO97&gt;0)</f>
        <v>-0</v>
      </c>
      <c r="EP102" s="47" t="n">
        <f aca="false">-In_Upfront_Fee*$E97*(EP96=0)*(EP97&gt;0)</f>
        <v>-0</v>
      </c>
      <c r="EQ102" s="47" t="n">
        <f aca="false">-In_Upfront_Fee*$E97*(EQ96=0)*(EQ97&gt;0)</f>
        <v>-0</v>
      </c>
      <c r="ER102" s="47" t="n">
        <f aca="false">-In_Upfront_Fee*$E97*(ER96=0)*(ER97&gt;0)</f>
        <v>-0</v>
      </c>
      <c r="ES102" s="47" t="n">
        <f aca="false">-In_Upfront_Fee*$E97*(ES96=0)*(ES97&gt;0)</f>
        <v>-0</v>
      </c>
      <c r="ET102" s="47" t="n">
        <f aca="false">-In_Upfront_Fee*$E97*(ET96=0)*(ET97&gt;0)</f>
        <v>-0</v>
      </c>
    </row>
    <row r="103" customFormat="false" ht="15" hidden="false" customHeight="false" outlineLevel="0" collapsed="false">
      <c r="C103" s="1" t="s">
        <v>519</v>
      </c>
      <c r="D103" s="12" t="s">
        <v>222</v>
      </c>
      <c r="I103" s="47" t="n">
        <f aca="false">SUM(J103:ET103)</f>
        <v>-897.008632694847</v>
      </c>
      <c r="J103" s="47" t="n">
        <f aca="false">-In_Commitment_Fee*($E97-SUM($J97:J97)+J97)*J$6*(J13&gt;0)</f>
        <v>-0</v>
      </c>
      <c r="K103" s="47" t="n">
        <f aca="false">-In_Commitment_Fee*($E97-SUM($J97:K97)+K97)*K$6*(K13&gt;0)</f>
        <v>-0</v>
      </c>
      <c r="L103" s="47" t="n">
        <f aca="false">-In_Commitment_Fee*($E97-SUM($J97:L97)+L97)*L$6*(L13&gt;0)</f>
        <v>-0</v>
      </c>
      <c r="M103" s="47" t="n">
        <f aca="false">-In_Commitment_Fee*($E97-SUM($J97:M97)+M97)*M$6*(M13&gt;0)</f>
        <v>-0</v>
      </c>
      <c r="N103" s="47" t="n">
        <f aca="false">-In_Commitment_Fee*($E97-SUM($J97:N97)+N97)*N$6*(N13&gt;0)</f>
        <v>-0</v>
      </c>
      <c r="O103" s="47" t="n">
        <f aca="false">-In_Commitment_Fee*($E97-SUM($J97:O97)+O97)*O$6*(O13&gt;0)</f>
        <v>-0</v>
      </c>
      <c r="P103" s="47" t="n">
        <f aca="false">-In_Commitment_Fee*($E97-SUM($J97:P97)+P97)*P$6*(P13&gt;0)</f>
        <v>-0</v>
      </c>
      <c r="Q103" s="47" t="n">
        <f aca="false">-In_Commitment_Fee*($E97-SUM($J97:Q97)+Q97)*Q$6*(Q13&gt;0)</f>
        <v>-0</v>
      </c>
      <c r="R103" s="47" t="n">
        <f aca="false">-In_Commitment_Fee*($E97-SUM($J97:R97)+R97)*R$6*(R13&gt;0)</f>
        <v>-0</v>
      </c>
      <c r="S103" s="47" t="n">
        <f aca="false">-In_Commitment_Fee*($E97-SUM($J97:S97)+S97)*S$6*(S13&gt;0)</f>
        <v>-0</v>
      </c>
      <c r="T103" s="47" t="n">
        <f aca="false">-In_Commitment_Fee*($E97-SUM($J97:T97)+T97)*T$6*(T13&gt;0)</f>
        <v>-0</v>
      </c>
      <c r="U103" s="47" t="n">
        <f aca="false">-In_Commitment_Fee*($E97-SUM($J97:U97)+U97)*U$6*(U13&gt;0)</f>
        <v>-0</v>
      </c>
      <c r="V103" s="47" t="n">
        <f aca="false">-In_Commitment_Fee*($E97-SUM($J97:V97)+V97)*V$6*(V13&gt;0)</f>
        <v>-0</v>
      </c>
      <c r="W103" s="47" t="n">
        <f aca="false">-In_Commitment_Fee*($E97-SUM($J97:W97)+W97)*W$6*(W13&gt;0)</f>
        <v>-200.971779902475</v>
      </c>
      <c r="X103" s="47" t="n">
        <f aca="false">-In_Commitment_Fee*($E97-SUM($J97:X97)+X97)*X$6*(X13&gt;0)</f>
        <v>-171.825485437762</v>
      </c>
      <c r="Y103" s="47" t="n">
        <f aca="false">-In_Commitment_Fee*($E97-SUM($J97:Y97)+Y97)*Y$6*(Y13&gt;0)</f>
        <v>-149.226633713172</v>
      </c>
      <c r="Z103" s="47" t="n">
        <f aca="false">-In_Commitment_Fee*($E97-SUM($J97:Z97)+Z97)*Z$6*(Z13&gt;0)</f>
        <v>-125.813840295111</v>
      </c>
      <c r="AA103" s="47" t="n">
        <f aca="false">-In_Commitment_Fee*($E97-SUM($J97:AA97)+AA97)*AA$6*(AA13&gt;0)</f>
        <v>-100.485889951237</v>
      </c>
      <c r="AB103" s="47" t="n">
        <f aca="false">-In_Commitment_Fee*($E97-SUM($J97:AB97)+AB97)*AB$6*(AB13&gt;0)</f>
        <v>-73.5240713550298</v>
      </c>
      <c r="AC103" s="47" t="n">
        <f aca="false">-In_Commitment_Fee*($E97-SUM($J97:AC97)+AC97)*AC$6*(AC13&gt;0)</f>
        <v>-49.8329816961869</v>
      </c>
      <c r="AD103" s="47" t="n">
        <f aca="false">-In_Commitment_Fee*($E97-SUM($J97:AD97)+AD97)*AD$6*(AD13&gt;0)</f>
        <v>-25.3279503438735</v>
      </c>
      <c r="AE103" s="47" t="n">
        <f aca="false">-In_Commitment_Fee*($E97-SUM($J97:AE97)+AE97)*AE$6*(AE13&gt;0)</f>
        <v>-0</v>
      </c>
      <c r="AF103" s="47" t="n">
        <f aca="false">-In_Commitment_Fee*($E97-SUM($J97:AF97)+AF97)*AF$6*(AF13&gt;0)</f>
        <v>-0</v>
      </c>
      <c r="AG103" s="47" t="n">
        <f aca="false">-In_Commitment_Fee*($E97-SUM($J97:AG97)+AG97)*AG$6*(AG13&gt;0)</f>
        <v>-0</v>
      </c>
      <c r="AH103" s="47" t="n">
        <f aca="false">-In_Commitment_Fee*($E97-SUM($J97:AH97)+AH97)*AH$6*(AH13&gt;0)</f>
        <v>-0</v>
      </c>
      <c r="AI103" s="47" t="n">
        <f aca="false">-In_Commitment_Fee*($E97-SUM($J97:AI97)+AI97)*AI$6*(AI13&gt;0)</f>
        <v>-0</v>
      </c>
      <c r="AJ103" s="47" t="n">
        <f aca="false">-In_Commitment_Fee*($E97-SUM($J97:AJ97)+AJ97)*AJ$6*(AJ13&gt;0)</f>
        <v>-0</v>
      </c>
      <c r="AK103" s="47" t="n">
        <f aca="false">-In_Commitment_Fee*($E97-SUM($J97:AK97)+AK97)*AK$6*(AK13&gt;0)</f>
        <v>-0</v>
      </c>
      <c r="AL103" s="47" t="n">
        <f aca="false">-In_Commitment_Fee*($E97-SUM($J97:AL97)+AL97)*AL$6*(AL13&gt;0)</f>
        <v>-0</v>
      </c>
      <c r="AM103" s="47" t="n">
        <f aca="false">-In_Commitment_Fee*($E97-SUM($J97:AM97)+AM97)*AM$6*(AM13&gt;0)</f>
        <v>-0</v>
      </c>
      <c r="AN103" s="47" t="n">
        <f aca="false">-In_Commitment_Fee*($E97-SUM($J97:AN97)+AN97)*AN$6*(AN13&gt;0)</f>
        <v>-0</v>
      </c>
      <c r="AO103" s="47" t="n">
        <f aca="false">-In_Commitment_Fee*($E97-SUM($J97:AO97)+AO97)*AO$6*(AO13&gt;0)</f>
        <v>-0</v>
      </c>
      <c r="AP103" s="47" t="n">
        <f aca="false">-In_Commitment_Fee*($E97-SUM($J97:AP97)+AP97)*AP$6*(AP13&gt;0)</f>
        <v>-0</v>
      </c>
      <c r="AQ103" s="47" t="n">
        <f aca="false">-In_Commitment_Fee*($E97-SUM($J97:AQ97)+AQ97)*AQ$6*(AQ13&gt;0)</f>
        <v>-0</v>
      </c>
      <c r="AR103" s="47" t="n">
        <f aca="false">-In_Commitment_Fee*($E97-SUM($J97:AR97)+AR97)*AR$6*(AR13&gt;0)</f>
        <v>-0</v>
      </c>
      <c r="AS103" s="47" t="n">
        <f aca="false">-In_Commitment_Fee*($E97-SUM($J97:AS97)+AS97)*AS$6*(AS13&gt;0)</f>
        <v>-0</v>
      </c>
      <c r="AT103" s="47" t="n">
        <f aca="false">-In_Commitment_Fee*($E97-SUM($J97:AT97)+AT97)*AT$6*(AT13&gt;0)</f>
        <v>-0</v>
      </c>
      <c r="AU103" s="47" t="n">
        <f aca="false">-In_Commitment_Fee*($E97-SUM($J97:AU97)+AU97)*AU$6*(AU13&gt;0)</f>
        <v>-0</v>
      </c>
      <c r="AV103" s="47" t="n">
        <f aca="false">-In_Commitment_Fee*($E97-SUM($J97:AV97)+AV97)*AV$6*(AV13&gt;0)</f>
        <v>-0</v>
      </c>
      <c r="AW103" s="47" t="n">
        <f aca="false">-In_Commitment_Fee*($E97-SUM($J97:AW97)+AW97)*AW$6*(AW13&gt;0)</f>
        <v>-0</v>
      </c>
      <c r="AX103" s="47" t="n">
        <f aca="false">-In_Commitment_Fee*($E97-SUM($J97:AX97)+AX97)*AX$6*(AX13&gt;0)</f>
        <v>-0</v>
      </c>
      <c r="AY103" s="47" t="n">
        <f aca="false">-In_Commitment_Fee*($E97-SUM($J97:AY97)+AY97)*AY$6*(AY13&gt;0)</f>
        <v>-0</v>
      </c>
      <c r="AZ103" s="47" t="n">
        <f aca="false">-In_Commitment_Fee*($E97-SUM($J97:AZ97)+AZ97)*AZ$6*(AZ13&gt;0)</f>
        <v>-0</v>
      </c>
      <c r="BA103" s="47" t="n">
        <f aca="false">-In_Commitment_Fee*($E97-SUM($J97:BA97)+BA97)*BA$6*(BA13&gt;0)</f>
        <v>-0</v>
      </c>
      <c r="BB103" s="47" t="n">
        <f aca="false">-In_Commitment_Fee*($E97-SUM($J97:BB97)+BB97)*BB$6*(BB13&gt;0)</f>
        <v>-0</v>
      </c>
      <c r="BC103" s="47" t="n">
        <f aca="false">-In_Commitment_Fee*($E97-SUM($J97:BC97)+BC97)*BC$6*(BC13&gt;0)</f>
        <v>-0</v>
      </c>
      <c r="BD103" s="47" t="n">
        <f aca="false">-In_Commitment_Fee*($E97-SUM($J97:BD97)+BD97)*BD$6*(BD13&gt;0)</f>
        <v>-0</v>
      </c>
      <c r="BE103" s="47" t="n">
        <f aca="false">-In_Commitment_Fee*($E97-SUM($J97:BE97)+BE97)*BE$6*(BE13&gt;0)</f>
        <v>-0</v>
      </c>
      <c r="BF103" s="47" t="n">
        <f aca="false">-In_Commitment_Fee*($E97-SUM($J97:BF97)+BF97)*BF$6*(BF13&gt;0)</f>
        <v>-0</v>
      </c>
      <c r="BG103" s="47" t="n">
        <f aca="false">-In_Commitment_Fee*($E97-SUM($J97:BG97)+BG97)*BG$6*(BG13&gt;0)</f>
        <v>-0</v>
      </c>
      <c r="BH103" s="47" t="n">
        <f aca="false">-In_Commitment_Fee*($E97-SUM($J97:BH97)+BH97)*BH$6*(BH13&gt;0)</f>
        <v>-0</v>
      </c>
      <c r="BI103" s="47" t="n">
        <f aca="false">-In_Commitment_Fee*($E97-SUM($J97:BI97)+BI97)*BI$6*(BI13&gt;0)</f>
        <v>-0</v>
      </c>
      <c r="BJ103" s="47" t="n">
        <f aca="false">-In_Commitment_Fee*($E97-SUM($J97:BJ97)+BJ97)*BJ$6*(BJ13&gt;0)</f>
        <v>-0</v>
      </c>
      <c r="BK103" s="47" t="n">
        <f aca="false">-In_Commitment_Fee*($E97-SUM($J97:BK97)+BK97)*BK$6*(BK13&gt;0)</f>
        <v>-0</v>
      </c>
      <c r="BL103" s="47" t="n">
        <f aca="false">-In_Commitment_Fee*($E97-SUM($J97:BL97)+BL97)*BL$6*(BL13&gt;0)</f>
        <v>-0</v>
      </c>
      <c r="BM103" s="47" t="n">
        <f aca="false">-In_Commitment_Fee*($E97-SUM($J97:BM97)+BM97)*BM$6*(BM13&gt;0)</f>
        <v>-0</v>
      </c>
      <c r="BN103" s="47" t="n">
        <f aca="false">-In_Commitment_Fee*($E97-SUM($J97:BN97)+BN97)*BN$6*(BN13&gt;0)</f>
        <v>-0</v>
      </c>
      <c r="BO103" s="47" t="n">
        <f aca="false">-In_Commitment_Fee*($E97-SUM($J97:BO97)+BO97)*BO$6*(BO13&gt;0)</f>
        <v>-0</v>
      </c>
      <c r="BP103" s="47" t="n">
        <f aca="false">-In_Commitment_Fee*($E97-SUM($J97:BP97)+BP97)*BP$6*(BP13&gt;0)</f>
        <v>-0</v>
      </c>
      <c r="BQ103" s="47" t="n">
        <f aca="false">-In_Commitment_Fee*($E97-SUM($J97:BQ97)+BQ97)*BQ$6*(BQ13&gt;0)</f>
        <v>-0</v>
      </c>
      <c r="BR103" s="47" t="n">
        <f aca="false">-In_Commitment_Fee*($E97-SUM($J97:BR97)+BR97)*BR$6*(BR13&gt;0)</f>
        <v>-0</v>
      </c>
      <c r="BS103" s="47" t="n">
        <f aca="false">-In_Commitment_Fee*($E97-SUM($J97:BS97)+BS97)*BS$6*(BS13&gt;0)</f>
        <v>-0</v>
      </c>
      <c r="BT103" s="47" t="n">
        <f aca="false">-In_Commitment_Fee*($E97-SUM($J97:BT97)+BT97)*BT$6*(BT13&gt;0)</f>
        <v>-0</v>
      </c>
      <c r="BU103" s="47" t="n">
        <f aca="false">-In_Commitment_Fee*($E97-SUM($J97:BU97)+BU97)*BU$6*(BU13&gt;0)</f>
        <v>-0</v>
      </c>
      <c r="BV103" s="47" t="n">
        <f aca="false">-In_Commitment_Fee*($E97-SUM($J97:BV97)+BV97)*BV$6*(BV13&gt;0)</f>
        <v>-0</v>
      </c>
      <c r="BW103" s="47" t="n">
        <f aca="false">-In_Commitment_Fee*($E97-SUM($J97:BW97)+BW97)*BW$6*(BW13&gt;0)</f>
        <v>-0</v>
      </c>
      <c r="BX103" s="47" t="n">
        <f aca="false">-In_Commitment_Fee*($E97-SUM($J97:BX97)+BX97)*BX$6*(BX13&gt;0)</f>
        <v>-0</v>
      </c>
      <c r="BY103" s="47" t="n">
        <f aca="false">-In_Commitment_Fee*($E97-SUM($J97:BY97)+BY97)*BY$6*(BY13&gt;0)</f>
        <v>-0</v>
      </c>
      <c r="BZ103" s="47" t="n">
        <f aca="false">-In_Commitment_Fee*($E97-SUM($J97:BZ97)+BZ97)*BZ$6*(BZ13&gt;0)</f>
        <v>-0</v>
      </c>
      <c r="CA103" s="47" t="n">
        <f aca="false">-In_Commitment_Fee*($E97-SUM($J97:CA97)+CA97)*CA$6*(CA13&gt;0)</f>
        <v>-0</v>
      </c>
      <c r="CB103" s="47" t="n">
        <f aca="false">-In_Commitment_Fee*($E97-SUM($J97:CB97)+CB97)*CB$6*(CB13&gt;0)</f>
        <v>-0</v>
      </c>
      <c r="CC103" s="47" t="n">
        <f aca="false">-In_Commitment_Fee*($E97-SUM($J97:CC97)+CC97)*CC$6*(CC13&gt;0)</f>
        <v>-0</v>
      </c>
      <c r="CD103" s="47" t="n">
        <f aca="false">-In_Commitment_Fee*($E97-SUM($J97:CD97)+CD97)*CD$6*(CD13&gt;0)</f>
        <v>-0</v>
      </c>
      <c r="CE103" s="47" t="n">
        <f aca="false">-In_Commitment_Fee*($E97-SUM($J97:CE97)+CE97)*CE$6*(CE13&gt;0)</f>
        <v>-0</v>
      </c>
      <c r="CF103" s="47" t="n">
        <f aca="false">-In_Commitment_Fee*($E97-SUM($J97:CF97)+CF97)*CF$6*(CF13&gt;0)</f>
        <v>-0</v>
      </c>
      <c r="CG103" s="47" t="n">
        <f aca="false">-In_Commitment_Fee*($E97-SUM($J97:CG97)+CG97)*CG$6*(CG13&gt;0)</f>
        <v>-0</v>
      </c>
      <c r="CH103" s="47" t="n">
        <f aca="false">-In_Commitment_Fee*($E97-SUM($J97:CH97)+CH97)*CH$6*(CH13&gt;0)</f>
        <v>-0</v>
      </c>
      <c r="CI103" s="47" t="n">
        <f aca="false">-In_Commitment_Fee*($E97-SUM($J97:CI97)+CI97)*CI$6*(CI13&gt;0)</f>
        <v>-0</v>
      </c>
      <c r="CJ103" s="47" t="n">
        <f aca="false">-In_Commitment_Fee*($E97-SUM($J97:CJ97)+CJ97)*CJ$6*(CJ13&gt;0)</f>
        <v>-0</v>
      </c>
      <c r="CK103" s="47" t="n">
        <f aca="false">-In_Commitment_Fee*($E97-SUM($J97:CK97)+CK97)*CK$6*(CK13&gt;0)</f>
        <v>-0</v>
      </c>
      <c r="CL103" s="47" t="n">
        <f aca="false">-In_Commitment_Fee*($E97-SUM($J97:CL97)+CL97)*CL$6*(CL13&gt;0)</f>
        <v>-0</v>
      </c>
      <c r="CM103" s="47" t="n">
        <f aca="false">-In_Commitment_Fee*($E97-SUM($J97:CM97)+CM97)*CM$6*(CM13&gt;0)</f>
        <v>-0</v>
      </c>
      <c r="CN103" s="47" t="n">
        <f aca="false">-In_Commitment_Fee*($E97-SUM($J97:CN97)+CN97)*CN$6*(CN13&gt;0)</f>
        <v>-0</v>
      </c>
      <c r="CO103" s="47" t="n">
        <f aca="false">-In_Commitment_Fee*($E97-SUM($J97:CO97)+CO97)*CO$6*(CO13&gt;0)</f>
        <v>-0</v>
      </c>
      <c r="CP103" s="47" t="n">
        <f aca="false">-In_Commitment_Fee*($E97-SUM($J97:CP97)+CP97)*CP$6*(CP13&gt;0)</f>
        <v>-0</v>
      </c>
      <c r="CQ103" s="47" t="n">
        <f aca="false">-In_Commitment_Fee*($E97-SUM($J97:CQ97)+CQ97)*CQ$6*(CQ13&gt;0)</f>
        <v>-0</v>
      </c>
      <c r="CR103" s="47" t="n">
        <f aca="false">-In_Commitment_Fee*($E97-SUM($J97:CR97)+CR97)*CR$6*(CR13&gt;0)</f>
        <v>-0</v>
      </c>
      <c r="CS103" s="47" t="n">
        <f aca="false">-In_Commitment_Fee*($E97-SUM($J97:CS97)+CS97)*CS$6*(CS13&gt;0)</f>
        <v>-0</v>
      </c>
      <c r="CT103" s="47" t="n">
        <f aca="false">-In_Commitment_Fee*($E97-SUM($J97:CT97)+CT97)*CT$6*(CT13&gt;0)</f>
        <v>-0</v>
      </c>
      <c r="CU103" s="47" t="n">
        <f aca="false">-In_Commitment_Fee*($E97-SUM($J97:CU97)+CU97)*CU$6*(CU13&gt;0)</f>
        <v>-0</v>
      </c>
      <c r="CV103" s="47" t="n">
        <f aca="false">-In_Commitment_Fee*($E97-SUM($J97:CV97)+CV97)*CV$6*(CV13&gt;0)</f>
        <v>-0</v>
      </c>
      <c r="CW103" s="47" t="n">
        <f aca="false">-In_Commitment_Fee*($E97-SUM($J97:CW97)+CW97)*CW$6*(CW13&gt;0)</f>
        <v>-0</v>
      </c>
      <c r="CX103" s="47" t="n">
        <f aca="false">-In_Commitment_Fee*($E97-SUM($J97:CX97)+CX97)*CX$6*(CX13&gt;0)</f>
        <v>-0</v>
      </c>
      <c r="CY103" s="47" t="n">
        <f aca="false">-In_Commitment_Fee*($E97-SUM($J97:CY97)+CY97)*CY$6*(CY13&gt;0)</f>
        <v>-0</v>
      </c>
      <c r="CZ103" s="47" t="n">
        <f aca="false">-In_Commitment_Fee*($E97-SUM($J97:CZ97)+CZ97)*CZ$6*(CZ13&gt;0)</f>
        <v>-0</v>
      </c>
      <c r="DA103" s="47" t="n">
        <f aca="false">-In_Commitment_Fee*($E97-SUM($J97:DA97)+DA97)*DA$6*(DA13&gt;0)</f>
        <v>-0</v>
      </c>
      <c r="DB103" s="47" t="n">
        <f aca="false">-In_Commitment_Fee*($E97-SUM($J97:DB97)+DB97)*DB$6*(DB13&gt;0)</f>
        <v>-0</v>
      </c>
      <c r="DC103" s="47" t="n">
        <f aca="false">-In_Commitment_Fee*($E97-SUM($J97:DC97)+DC97)*DC$6*(DC13&gt;0)</f>
        <v>-0</v>
      </c>
      <c r="DD103" s="47" t="n">
        <f aca="false">-In_Commitment_Fee*($E97-SUM($J97:DD97)+DD97)*DD$6*(DD13&gt;0)</f>
        <v>-0</v>
      </c>
      <c r="DE103" s="47" t="n">
        <f aca="false">-In_Commitment_Fee*($E97-SUM($J97:DE97)+DE97)*DE$6*(DE13&gt;0)</f>
        <v>-0</v>
      </c>
      <c r="DF103" s="47" t="n">
        <f aca="false">-In_Commitment_Fee*($E97-SUM($J97:DF97)+DF97)*DF$6*(DF13&gt;0)</f>
        <v>-0</v>
      </c>
      <c r="DG103" s="47" t="n">
        <f aca="false">-In_Commitment_Fee*($E97-SUM($J97:DG97)+DG97)*DG$6*(DG13&gt;0)</f>
        <v>-0</v>
      </c>
      <c r="DH103" s="47" t="n">
        <f aca="false">-In_Commitment_Fee*($E97-SUM($J97:DH97)+DH97)*DH$6*(DH13&gt;0)</f>
        <v>-0</v>
      </c>
      <c r="DI103" s="47" t="n">
        <f aca="false">-In_Commitment_Fee*($E97-SUM($J97:DI97)+DI97)*DI$6*(DI13&gt;0)</f>
        <v>-0</v>
      </c>
      <c r="DJ103" s="47" t="n">
        <f aca="false">-In_Commitment_Fee*($E97-SUM($J97:DJ97)+DJ97)*DJ$6*(DJ13&gt;0)</f>
        <v>-0</v>
      </c>
      <c r="DK103" s="47" t="n">
        <f aca="false">-In_Commitment_Fee*($E97-SUM($J97:DK97)+DK97)*DK$6*(DK13&gt;0)</f>
        <v>-0</v>
      </c>
      <c r="DL103" s="47" t="n">
        <f aca="false">-In_Commitment_Fee*($E97-SUM($J97:DL97)+DL97)*DL$6*(DL13&gt;0)</f>
        <v>-0</v>
      </c>
      <c r="DM103" s="47" t="n">
        <f aca="false">-In_Commitment_Fee*($E97-SUM($J97:DM97)+DM97)*DM$6*(DM13&gt;0)</f>
        <v>-0</v>
      </c>
      <c r="DN103" s="47" t="n">
        <f aca="false">-In_Commitment_Fee*($E97-SUM($J97:DN97)+DN97)*DN$6*(DN13&gt;0)</f>
        <v>-0</v>
      </c>
      <c r="DO103" s="47" t="n">
        <f aca="false">-In_Commitment_Fee*($E97-SUM($J97:DO97)+DO97)*DO$6*(DO13&gt;0)</f>
        <v>-0</v>
      </c>
      <c r="DP103" s="47" t="n">
        <f aca="false">-In_Commitment_Fee*($E97-SUM($J97:DP97)+DP97)*DP$6*(DP13&gt;0)</f>
        <v>-0</v>
      </c>
      <c r="DQ103" s="47" t="n">
        <f aca="false">-In_Commitment_Fee*($E97-SUM($J97:DQ97)+DQ97)*DQ$6*(DQ13&gt;0)</f>
        <v>-0</v>
      </c>
      <c r="DR103" s="47" t="n">
        <f aca="false">-In_Commitment_Fee*($E97-SUM($J97:DR97)+DR97)*DR$6*(DR13&gt;0)</f>
        <v>-0</v>
      </c>
      <c r="DS103" s="47" t="n">
        <f aca="false">-In_Commitment_Fee*($E97-SUM($J97:DS97)+DS97)*DS$6*(DS13&gt;0)</f>
        <v>-0</v>
      </c>
      <c r="DT103" s="47" t="n">
        <f aca="false">-In_Commitment_Fee*($E97-SUM($J97:DT97)+DT97)*DT$6*(DT13&gt;0)</f>
        <v>-0</v>
      </c>
      <c r="DU103" s="47" t="n">
        <f aca="false">-In_Commitment_Fee*($E97-SUM($J97:DU97)+DU97)*DU$6*(DU13&gt;0)</f>
        <v>-0</v>
      </c>
      <c r="DV103" s="47" t="n">
        <f aca="false">-In_Commitment_Fee*($E97-SUM($J97:DV97)+DV97)*DV$6*(DV13&gt;0)</f>
        <v>-0</v>
      </c>
      <c r="DW103" s="47" t="n">
        <f aca="false">-In_Commitment_Fee*($E97-SUM($J97:DW97)+DW97)*DW$6*(DW13&gt;0)</f>
        <v>-0</v>
      </c>
      <c r="DX103" s="47" t="n">
        <f aca="false">-In_Commitment_Fee*($E97-SUM($J97:DX97)+DX97)*DX$6*(DX13&gt;0)</f>
        <v>-0</v>
      </c>
      <c r="DY103" s="47" t="n">
        <f aca="false">-In_Commitment_Fee*($E97-SUM($J97:DY97)+DY97)*DY$6*(DY13&gt;0)</f>
        <v>-0</v>
      </c>
      <c r="DZ103" s="47" t="n">
        <f aca="false">-In_Commitment_Fee*($E97-SUM($J97:DZ97)+DZ97)*DZ$6*(DZ13&gt;0)</f>
        <v>-0</v>
      </c>
      <c r="EA103" s="47" t="n">
        <f aca="false">-In_Commitment_Fee*($E97-SUM($J97:EA97)+EA97)*EA$6*(EA13&gt;0)</f>
        <v>-0</v>
      </c>
      <c r="EB103" s="47" t="n">
        <f aca="false">-In_Commitment_Fee*($E97-SUM($J97:EB97)+EB97)*EB$6*(EB13&gt;0)</f>
        <v>-0</v>
      </c>
      <c r="EC103" s="47" t="n">
        <f aca="false">-In_Commitment_Fee*($E97-SUM($J97:EC97)+EC97)*EC$6*(EC13&gt;0)</f>
        <v>-0</v>
      </c>
      <c r="ED103" s="47" t="n">
        <f aca="false">-In_Commitment_Fee*($E97-SUM($J97:ED97)+ED97)*ED$6*(ED13&gt;0)</f>
        <v>-0</v>
      </c>
      <c r="EE103" s="47" t="n">
        <f aca="false">-In_Commitment_Fee*($E97-SUM($J97:EE97)+EE97)*EE$6*(EE13&gt;0)</f>
        <v>-0</v>
      </c>
      <c r="EF103" s="47" t="n">
        <f aca="false">-In_Commitment_Fee*($E97-SUM($J97:EF97)+EF97)*EF$6*(EF13&gt;0)</f>
        <v>-0</v>
      </c>
      <c r="EG103" s="47" t="n">
        <f aca="false">-In_Commitment_Fee*($E97-SUM($J97:EG97)+EG97)*EG$6*(EG13&gt;0)</f>
        <v>-0</v>
      </c>
      <c r="EH103" s="47" t="n">
        <f aca="false">-In_Commitment_Fee*($E97-SUM($J97:EH97)+EH97)*EH$6*(EH13&gt;0)</f>
        <v>-0</v>
      </c>
      <c r="EI103" s="47" t="n">
        <f aca="false">-In_Commitment_Fee*($E97-SUM($J97:EI97)+EI97)*EI$6*(EI13&gt;0)</f>
        <v>-0</v>
      </c>
      <c r="EJ103" s="47" t="n">
        <f aca="false">-In_Commitment_Fee*($E97-SUM($J97:EJ97)+EJ97)*EJ$6*(EJ13&gt;0)</f>
        <v>-0</v>
      </c>
      <c r="EK103" s="47" t="n">
        <f aca="false">-In_Commitment_Fee*($E97-SUM($J97:EK97)+EK97)*EK$6*(EK13&gt;0)</f>
        <v>-0</v>
      </c>
      <c r="EL103" s="47" t="n">
        <f aca="false">-In_Commitment_Fee*($E97-SUM($J97:EL97)+EL97)*EL$6*(EL13&gt;0)</f>
        <v>-0</v>
      </c>
      <c r="EM103" s="47" t="n">
        <f aca="false">-In_Commitment_Fee*($E97-SUM($J97:EM97)+EM97)*EM$6*(EM13&gt;0)</f>
        <v>-0</v>
      </c>
      <c r="EN103" s="47" t="n">
        <f aca="false">-In_Commitment_Fee*($E97-SUM($J97:EN97)+EN97)*EN$6*(EN13&gt;0)</f>
        <v>-0</v>
      </c>
      <c r="EO103" s="47" t="n">
        <f aca="false">-In_Commitment_Fee*($E97-SUM($J97:EO97)+EO97)*EO$6*(EO13&gt;0)</f>
        <v>-0</v>
      </c>
      <c r="EP103" s="47" t="n">
        <f aca="false">-In_Commitment_Fee*($E97-SUM($J97:EP97)+EP97)*EP$6*(EP13&gt;0)</f>
        <v>-0</v>
      </c>
      <c r="EQ103" s="47" t="n">
        <f aca="false">-In_Commitment_Fee*($E97-SUM($J97:EQ97)+EQ97)*EQ$6*(EQ13&gt;0)</f>
        <v>-0</v>
      </c>
      <c r="ER103" s="47" t="n">
        <f aca="false">-In_Commitment_Fee*($E97-SUM($J97:ER97)+ER97)*ER$6*(ER13&gt;0)</f>
        <v>-0</v>
      </c>
      <c r="ES103" s="47" t="n">
        <f aca="false">-In_Commitment_Fee*($E97-SUM($J97:ES97)+ES97)*ES$6*(ES13&gt;0)</f>
        <v>-0</v>
      </c>
      <c r="ET103" s="47" t="n">
        <f aca="false">-In_Commitment_Fee*($E97-SUM($J97:ET97)+ET97)*ET$6*(ET13&gt;0)</f>
        <v>-0</v>
      </c>
    </row>
    <row r="104" customFormat="false" ht="15" hidden="false" customHeight="false" outlineLevel="0" collapsed="false">
      <c r="C104" s="31" t="s">
        <v>520</v>
      </c>
      <c r="D104" s="12" t="s">
        <v>222</v>
      </c>
      <c r="I104" s="56" t="n">
        <f aca="false">SUM(J104:ET104)</f>
        <v>-150101.7671087</v>
      </c>
      <c r="J104" s="56" t="n">
        <f aca="false">J93+J53+J94+J102+J103</f>
        <v>-0</v>
      </c>
      <c r="K104" s="56" t="n">
        <f aca="false">K93+K53+K94+K102+K103</f>
        <v>-0</v>
      </c>
      <c r="L104" s="56" t="n">
        <f aca="false">L93+L53+L94+L102+L103</f>
        <v>-0</v>
      </c>
      <c r="M104" s="56" t="n">
        <f aca="false">M93+M53+M94+M102+M103</f>
        <v>-0</v>
      </c>
      <c r="N104" s="56" t="n">
        <f aca="false">N93+N53+N94+N102+N103</f>
        <v>-0</v>
      </c>
      <c r="O104" s="56" t="n">
        <f aca="false">O93+O53+O94+O102+O103</f>
        <v>-0</v>
      </c>
      <c r="P104" s="56" t="n">
        <f aca="false">P93+P53+P94+P102+P103</f>
        <v>-0</v>
      </c>
      <c r="Q104" s="56" t="n">
        <f aca="false">Q93+Q53+Q94+Q102+Q103</f>
        <v>-0</v>
      </c>
      <c r="R104" s="56" t="n">
        <f aca="false">R93+R53+R94+R102+R103</f>
        <v>-0</v>
      </c>
      <c r="S104" s="56" t="n">
        <f aca="false">S93+S53+S94+S102+S103</f>
        <v>-0</v>
      </c>
      <c r="T104" s="56" t="n">
        <f aca="false">T93+T53+T94+T102+T103</f>
        <v>-20179.3874082192</v>
      </c>
      <c r="U104" s="56" t="n">
        <f aca="false">U93+U53+U94+U102+U103</f>
        <v>-0</v>
      </c>
      <c r="V104" s="56" t="n">
        <f aca="false">V93+V53+V94+V102+V103</f>
        <v>-0</v>
      </c>
      <c r="W104" s="56" t="n">
        <f aca="false">W93+W53+W94+W102+W103</f>
        <v>-17186.5483271408</v>
      </c>
      <c r="X104" s="56" t="n">
        <f aca="false">X93+X53+X94+X102+X103</f>
        <v>-15271.4830196843</v>
      </c>
      <c r="Y104" s="56" t="n">
        <f aca="false">Y93+Y53+Y94+Y102+Y103</f>
        <v>-15416.6581405625</v>
      </c>
      <c r="Z104" s="56" t="n">
        <f aca="false">Z93+Z53+Z94+Z102+Z103</f>
        <v>-15561.0193197472</v>
      </c>
      <c r="AA104" s="56" t="n">
        <f aca="false">AA93+AA53+AA94+AA102+AA103</f>
        <v>-15535.6913694033</v>
      </c>
      <c r="AB104" s="56" t="n">
        <f aca="false">AB93+AB53+AB94+AB102+AB103</f>
        <v>-15173.1816056016</v>
      </c>
      <c r="AC104" s="56" t="n">
        <f aca="false">AC93+AC53+AC94+AC102+AC103</f>
        <v>-15317.2644885455</v>
      </c>
      <c r="AD104" s="56" t="n">
        <f aca="false">AD93+AD53+AD94+AD102+AD103</f>
        <v>-20460.5334297959</v>
      </c>
      <c r="AE104" s="56" t="n">
        <f aca="false">AE93+AE53+AE94+AE102+AE103</f>
        <v>-0</v>
      </c>
      <c r="AF104" s="56" t="n">
        <f aca="false">AF93+AF53+AF94+AF102+AF103</f>
        <v>-0</v>
      </c>
      <c r="AG104" s="56" t="n">
        <f aca="false">AG93+AG53+AG94+AG102+AG103</f>
        <v>-0</v>
      </c>
      <c r="AH104" s="56" t="n">
        <f aca="false">AH93+AH53+AH94+AH102+AH103</f>
        <v>-0</v>
      </c>
      <c r="AI104" s="56" t="n">
        <f aca="false">AI93+AI53+AI94+AI102+AI103</f>
        <v>-0</v>
      </c>
      <c r="AJ104" s="56" t="n">
        <f aca="false">AJ93+AJ53+AJ94+AJ102+AJ103</f>
        <v>-0</v>
      </c>
      <c r="AK104" s="56" t="n">
        <f aca="false">AK93+AK53+AK94+AK102+AK103</f>
        <v>-0</v>
      </c>
      <c r="AL104" s="56" t="n">
        <f aca="false">AL93+AL53+AL94+AL102+AL103</f>
        <v>-0</v>
      </c>
      <c r="AM104" s="56" t="n">
        <f aca="false">AM93+AM53+AM94+AM102+AM103</f>
        <v>-0</v>
      </c>
      <c r="AN104" s="56" t="n">
        <f aca="false">AN93+AN53+AN94+AN102+AN103</f>
        <v>-0</v>
      </c>
      <c r="AO104" s="56" t="n">
        <f aca="false">AO93+AO53+AO94+AO102+AO103</f>
        <v>-0</v>
      </c>
      <c r="AP104" s="56" t="n">
        <f aca="false">AP93+AP53+AP94+AP102+AP103</f>
        <v>-0</v>
      </c>
      <c r="AQ104" s="56" t="n">
        <f aca="false">AQ93+AQ53+AQ94+AQ102+AQ103</f>
        <v>-0</v>
      </c>
      <c r="AR104" s="56" t="n">
        <f aca="false">AR93+AR53+AR94+AR102+AR103</f>
        <v>-0</v>
      </c>
      <c r="AS104" s="56" t="n">
        <f aca="false">AS93+AS53+AS94+AS102+AS103</f>
        <v>-0</v>
      </c>
      <c r="AT104" s="56" t="n">
        <f aca="false">AT93+AT53+AT94+AT102+AT103</f>
        <v>-0</v>
      </c>
      <c r="AU104" s="56" t="n">
        <f aca="false">AU93+AU53+AU94+AU102+AU103</f>
        <v>-0</v>
      </c>
      <c r="AV104" s="56" t="n">
        <f aca="false">AV93+AV53+AV94+AV102+AV103</f>
        <v>-0</v>
      </c>
      <c r="AW104" s="56" t="n">
        <f aca="false">AW93+AW53+AW94+AW102+AW103</f>
        <v>-0</v>
      </c>
      <c r="AX104" s="56" t="n">
        <f aca="false">AX93+AX53+AX94+AX102+AX103</f>
        <v>-0</v>
      </c>
      <c r="AY104" s="56" t="n">
        <f aca="false">AY93+AY53+AY94+AY102+AY103</f>
        <v>-0</v>
      </c>
      <c r="AZ104" s="56" t="n">
        <f aca="false">AZ93+AZ53+AZ94+AZ102+AZ103</f>
        <v>-0</v>
      </c>
      <c r="BA104" s="56" t="n">
        <f aca="false">BA93+BA53+BA94+BA102+BA103</f>
        <v>-0</v>
      </c>
      <c r="BB104" s="56" t="n">
        <f aca="false">BB93+BB53+BB94+BB102+BB103</f>
        <v>-0</v>
      </c>
      <c r="BC104" s="56" t="n">
        <f aca="false">BC93+BC53+BC94+BC102+BC103</f>
        <v>-0</v>
      </c>
      <c r="BD104" s="56" t="n">
        <f aca="false">BD93+BD53+BD94+BD102+BD103</f>
        <v>-0</v>
      </c>
      <c r="BE104" s="56" t="n">
        <f aca="false">BE93+BE53+BE94+BE102+BE103</f>
        <v>-0</v>
      </c>
      <c r="BF104" s="56" t="n">
        <f aca="false">BF93+BF53+BF94+BF102+BF103</f>
        <v>-0</v>
      </c>
      <c r="BG104" s="56" t="n">
        <f aca="false">BG93+BG53+BG94+BG102+BG103</f>
        <v>-0</v>
      </c>
      <c r="BH104" s="56" t="n">
        <f aca="false">BH93+BH53+BH94+BH102+BH103</f>
        <v>-0</v>
      </c>
      <c r="BI104" s="56" t="n">
        <f aca="false">BI93+BI53+BI94+BI102+BI103</f>
        <v>-0</v>
      </c>
      <c r="BJ104" s="56" t="n">
        <f aca="false">BJ93+BJ53+BJ94+BJ102+BJ103</f>
        <v>-0</v>
      </c>
      <c r="BK104" s="56" t="n">
        <f aca="false">BK93+BK53+BK94+BK102+BK103</f>
        <v>-0</v>
      </c>
      <c r="BL104" s="56" t="n">
        <f aca="false">BL93+BL53+BL94+BL102+BL103</f>
        <v>-0</v>
      </c>
      <c r="BM104" s="56" t="n">
        <f aca="false">BM93+BM53+BM94+BM102+BM103</f>
        <v>-0</v>
      </c>
      <c r="BN104" s="56" t="n">
        <f aca="false">BN93+BN53+BN94+BN102+BN103</f>
        <v>-0</v>
      </c>
      <c r="BO104" s="56" t="n">
        <f aca="false">BO93+BO53+BO94+BO102+BO103</f>
        <v>-0</v>
      </c>
      <c r="BP104" s="56" t="n">
        <f aca="false">BP93+BP53+BP94+BP102+BP103</f>
        <v>-0</v>
      </c>
      <c r="BQ104" s="56" t="n">
        <f aca="false">BQ93+BQ53+BQ94+BQ102+BQ103</f>
        <v>-0</v>
      </c>
      <c r="BR104" s="56" t="n">
        <f aca="false">BR93+BR53+BR94+BR102+BR103</f>
        <v>-0</v>
      </c>
      <c r="BS104" s="56" t="n">
        <f aca="false">BS93+BS53+BS94+BS102+BS103</f>
        <v>-0</v>
      </c>
      <c r="BT104" s="56" t="n">
        <f aca="false">BT93+BT53+BT94+BT102+BT103</f>
        <v>-0</v>
      </c>
      <c r="BU104" s="56" t="n">
        <f aca="false">BU93+BU53+BU94+BU102+BU103</f>
        <v>-0</v>
      </c>
      <c r="BV104" s="56" t="n">
        <f aca="false">BV93+BV53+BV94+BV102+BV103</f>
        <v>-0</v>
      </c>
      <c r="BW104" s="56" t="n">
        <f aca="false">BW93+BW53+BW94+BW102+BW103</f>
        <v>-0</v>
      </c>
      <c r="BX104" s="56" t="n">
        <f aca="false">BX93+BX53+BX94+BX102+BX103</f>
        <v>-0</v>
      </c>
      <c r="BY104" s="56" t="n">
        <f aca="false">BY93+BY53+BY94+BY102+BY103</f>
        <v>-0</v>
      </c>
      <c r="BZ104" s="56" t="n">
        <f aca="false">BZ93+BZ53+BZ94+BZ102+BZ103</f>
        <v>-0</v>
      </c>
      <c r="CA104" s="56" t="n">
        <f aca="false">CA93+CA53+CA94+CA102+CA103</f>
        <v>-0</v>
      </c>
      <c r="CB104" s="56" t="n">
        <f aca="false">CB93+CB53+CB94+CB102+CB103</f>
        <v>-0</v>
      </c>
      <c r="CC104" s="56" t="n">
        <f aca="false">CC93+CC53+CC94+CC102+CC103</f>
        <v>-0</v>
      </c>
      <c r="CD104" s="56" t="n">
        <f aca="false">CD93+CD53+CD94+CD102+CD103</f>
        <v>-0</v>
      </c>
      <c r="CE104" s="56" t="n">
        <f aca="false">CE93+CE53+CE94+CE102+CE103</f>
        <v>-0</v>
      </c>
      <c r="CF104" s="56" t="n">
        <f aca="false">CF93+CF53+CF94+CF102+CF103</f>
        <v>-0</v>
      </c>
      <c r="CG104" s="56" t="n">
        <f aca="false">CG93+CG53+CG94+CG102+CG103</f>
        <v>-0</v>
      </c>
      <c r="CH104" s="56" t="n">
        <f aca="false">CH93+CH53+CH94+CH102+CH103</f>
        <v>-0</v>
      </c>
      <c r="CI104" s="56" t="n">
        <f aca="false">CI93+CI53+CI94+CI102+CI103</f>
        <v>-0</v>
      </c>
      <c r="CJ104" s="56" t="n">
        <f aca="false">CJ93+CJ53+CJ94+CJ102+CJ103</f>
        <v>-0</v>
      </c>
      <c r="CK104" s="56" t="n">
        <f aca="false">CK93+CK53+CK94+CK102+CK103</f>
        <v>-0</v>
      </c>
      <c r="CL104" s="56" t="n">
        <f aca="false">CL93+CL53+CL94+CL102+CL103</f>
        <v>-0</v>
      </c>
      <c r="CM104" s="56" t="n">
        <f aca="false">CM93+CM53+CM94+CM102+CM103</f>
        <v>-0</v>
      </c>
      <c r="CN104" s="56" t="n">
        <f aca="false">CN93+CN53+CN94+CN102+CN103</f>
        <v>-0</v>
      </c>
      <c r="CO104" s="56" t="n">
        <f aca="false">CO93+CO53+CO94+CO102+CO103</f>
        <v>-0</v>
      </c>
      <c r="CP104" s="56" t="n">
        <f aca="false">CP93+CP53+CP94+CP102+CP103</f>
        <v>-0</v>
      </c>
      <c r="CQ104" s="56" t="n">
        <f aca="false">CQ93+CQ53+CQ94+CQ102+CQ103</f>
        <v>-0</v>
      </c>
      <c r="CR104" s="56" t="n">
        <f aca="false">CR93+CR53+CR94+CR102+CR103</f>
        <v>-0</v>
      </c>
      <c r="CS104" s="56" t="n">
        <f aca="false">CS93+CS53+CS94+CS102+CS103</f>
        <v>-0</v>
      </c>
      <c r="CT104" s="56" t="n">
        <f aca="false">CT93+CT53+CT94+CT102+CT103</f>
        <v>-0</v>
      </c>
      <c r="CU104" s="56" t="n">
        <f aca="false">CU93+CU53+CU94+CU102+CU103</f>
        <v>-0</v>
      </c>
      <c r="CV104" s="56" t="n">
        <f aca="false">CV93+CV53+CV94+CV102+CV103</f>
        <v>-0</v>
      </c>
      <c r="CW104" s="56" t="n">
        <f aca="false">CW93+CW53+CW94+CW102+CW103</f>
        <v>-0</v>
      </c>
      <c r="CX104" s="56" t="n">
        <f aca="false">CX93+CX53+CX94+CX102+CX103</f>
        <v>-0</v>
      </c>
      <c r="CY104" s="56" t="n">
        <f aca="false">CY93+CY53+CY94+CY102+CY103</f>
        <v>-0</v>
      </c>
      <c r="CZ104" s="56" t="n">
        <f aca="false">CZ93+CZ53+CZ94+CZ102+CZ103</f>
        <v>-0</v>
      </c>
      <c r="DA104" s="56" t="n">
        <f aca="false">DA93+DA53+DA94+DA102+DA103</f>
        <v>-0</v>
      </c>
      <c r="DB104" s="56" t="n">
        <f aca="false">DB93+DB53+DB94+DB102+DB103</f>
        <v>-0</v>
      </c>
      <c r="DC104" s="56" t="n">
        <f aca="false">DC93+DC53+DC94+DC102+DC103</f>
        <v>-0</v>
      </c>
      <c r="DD104" s="56" t="n">
        <f aca="false">DD93+DD53+DD94+DD102+DD103</f>
        <v>-0</v>
      </c>
      <c r="DE104" s="56" t="n">
        <f aca="false">DE93+DE53+DE94+DE102+DE103</f>
        <v>-0</v>
      </c>
      <c r="DF104" s="56" t="n">
        <f aca="false">DF93+DF53+DF94+DF102+DF103</f>
        <v>-0</v>
      </c>
      <c r="DG104" s="56" t="n">
        <f aca="false">DG93+DG53+DG94+DG102+DG103</f>
        <v>-0</v>
      </c>
      <c r="DH104" s="56" t="n">
        <f aca="false">DH93+DH53+DH94+DH102+DH103</f>
        <v>-0</v>
      </c>
      <c r="DI104" s="56" t="n">
        <f aca="false">DI93+DI53+DI94+DI102+DI103</f>
        <v>-0</v>
      </c>
      <c r="DJ104" s="56" t="n">
        <f aca="false">DJ93+DJ53+DJ94+DJ102+DJ103</f>
        <v>-0</v>
      </c>
      <c r="DK104" s="56" t="n">
        <f aca="false">DK93+DK53+DK94+DK102+DK103</f>
        <v>-0</v>
      </c>
      <c r="DL104" s="56" t="n">
        <f aca="false">DL93+DL53+DL94+DL102+DL103</f>
        <v>-0</v>
      </c>
      <c r="DM104" s="56" t="n">
        <f aca="false">DM93+DM53+DM94+DM102+DM103</f>
        <v>-0</v>
      </c>
      <c r="DN104" s="56" t="n">
        <f aca="false">DN93+DN53+DN94+DN102+DN103</f>
        <v>-0</v>
      </c>
      <c r="DO104" s="56" t="n">
        <f aca="false">DO93+DO53+DO94+DO102+DO103</f>
        <v>-0</v>
      </c>
      <c r="DP104" s="56" t="n">
        <f aca="false">DP93+DP53+DP94+DP102+DP103</f>
        <v>-0</v>
      </c>
      <c r="DQ104" s="56" t="n">
        <f aca="false">DQ93+DQ53+DQ94+DQ102+DQ103</f>
        <v>-0</v>
      </c>
      <c r="DR104" s="56" t="n">
        <f aca="false">DR93+DR53+DR94+DR102+DR103</f>
        <v>-0</v>
      </c>
      <c r="DS104" s="56" t="n">
        <f aca="false">DS93+DS53+DS94+DS102+DS103</f>
        <v>-0</v>
      </c>
      <c r="DT104" s="56" t="n">
        <f aca="false">DT93+DT53+DT94+DT102+DT103</f>
        <v>-0</v>
      </c>
      <c r="DU104" s="56" t="n">
        <f aca="false">DU93+DU53+DU94+DU102+DU103</f>
        <v>-0</v>
      </c>
      <c r="DV104" s="56" t="n">
        <f aca="false">DV93+DV53+DV94+DV102+DV103</f>
        <v>-0</v>
      </c>
      <c r="DW104" s="56" t="n">
        <f aca="false">DW93+DW53+DW94+DW102+DW103</f>
        <v>-0</v>
      </c>
      <c r="DX104" s="56" t="n">
        <f aca="false">DX93+DX53+DX94+DX102+DX103</f>
        <v>-0</v>
      </c>
      <c r="DY104" s="56" t="n">
        <f aca="false">DY93+DY53+DY94+DY102+DY103</f>
        <v>-0</v>
      </c>
      <c r="DZ104" s="56" t="n">
        <f aca="false">DZ93+DZ53+DZ94+DZ102+DZ103</f>
        <v>-0</v>
      </c>
      <c r="EA104" s="56" t="n">
        <f aca="false">EA93+EA53+EA94+EA102+EA103</f>
        <v>-0</v>
      </c>
      <c r="EB104" s="56" t="n">
        <f aca="false">EB93+EB53+EB94+EB102+EB103</f>
        <v>-0</v>
      </c>
      <c r="EC104" s="56" t="n">
        <f aca="false">EC93+EC53+EC94+EC102+EC103</f>
        <v>-0</v>
      </c>
      <c r="ED104" s="56" t="n">
        <f aca="false">ED93+ED53+ED94+ED102+ED103</f>
        <v>-0</v>
      </c>
      <c r="EE104" s="56" t="n">
        <f aca="false">EE93+EE53+EE94+EE102+EE103</f>
        <v>-0</v>
      </c>
      <c r="EF104" s="56" t="n">
        <f aca="false">EF93+EF53+EF94+EF102+EF103</f>
        <v>-0</v>
      </c>
      <c r="EG104" s="56" t="n">
        <f aca="false">EG93+EG53+EG94+EG102+EG103</f>
        <v>-0</v>
      </c>
      <c r="EH104" s="56" t="n">
        <f aca="false">EH93+EH53+EH94+EH102+EH103</f>
        <v>-0</v>
      </c>
      <c r="EI104" s="56" t="n">
        <f aca="false">EI93+EI53+EI94+EI102+EI103</f>
        <v>-0</v>
      </c>
      <c r="EJ104" s="56" t="n">
        <f aca="false">EJ93+EJ53+EJ94+EJ102+EJ103</f>
        <v>-0</v>
      </c>
      <c r="EK104" s="56" t="n">
        <f aca="false">EK93+EK53+EK94+EK102+EK103</f>
        <v>-0</v>
      </c>
      <c r="EL104" s="56" t="n">
        <f aca="false">EL93+EL53+EL94+EL102+EL103</f>
        <v>-0</v>
      </c>
      <c r="EM104" s="56" t="n">
        <f aca="false">EM93+EM53+EM94+EM102+EM103</f>
        <v>-0</v>
      </c>
      <c r="EN104" s="56" t="n">
        <f aca="false">EN93+EN53+EN94+EN102+EN103</f>
        <v>-0</v>
      </c>
      <c r="EO104" s="56" t="n">
        <f aca="false">EO93+EO53+EO94+EO102+EO103</f>
        <v>-0</v>
      </c>
      <c r="EP104" s="56" t="n">
        <f aca="false">EP93+EP53+EP94+EP102+EP103</f>
        <v>-0</v>
      </c>
      <c r="EQ104" s="56" t="n">
        <f aca="false">EQ93+EQ53+EQ94+EQ102+EQ103</f>
        <v>-0</v>
      </c>
      <c r="ER104" s="56" t="n">
        <f aca="false">ER93+ER53+ER94+ER102+ER103</f>
        <v>-0</v>
      </c>
      <c r="ES104" s="56" t="n">
        <f aca="false">ES93+ES53+ES94+ES102+ES103</f>
        <v>-0</v>
      </c>
      <c r="ET104" s="56" t="n">
        <f aca="false">ET93+ET53+ET94+ET102+ET103</f>
        <v>-0</v>
      </c>
    </row>
    <row r="106" customFormat="false" ht="15" hidden="false" customHeight="false" outlineLevel="0" collapsed="false">
      <c r="A106" s="10" t="s">
        <v>13</v>
      </c>
      <c r="B106" s="10"/>
      <c r="C106" s="10" t="s">
        <v>331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</row>
    <row r="107" customFormat="false" ht="15" hidden="false" customHeight="false" outlineLevel="0" collapsed="false">
      <c r="C107" s="1" t="s">
        <v>521</v>
      </c>
      <c r="D107" s="12" t="s">
        <v>180</v>
      </c>
      <c r="J107" s="42" t="n">
        <f aca="false">ROUNDUP(YEARFRAC(In_COD,J$4),0)*(J$4&gt;In_COD)</f>
        <v>0</v>
      </c>
      <c r="K107" s="42" t="n">
        <f aca="false">ROUNDUP(YEARFRAC(In_COD,K$4),0)*(K$4&gt;In_COD)</f>
        <v>0</v>
      </c>
      <c r="L107" s="42" t="n">
        <f aca="false">ROUNDUP(YEARFRAC(In_COD,L$4),0)*(L$4&gt;In_COD)</f>
        <v>0</v>
      </c>
      <c r="M107" s="42" t="n">
        <f aca="false">ROUNDUP(YEARFRAC(In_COD,M$4),0)*(M$4&gt;In_COD)</f>
        <v>0</v>
      </c>
      <c r="N107" s="42" t="n">
        <f aca="false">ROUNDUP(YEARFRAC(In_COD,N$4),0)*(N$4&gt;In_COD)</f>
        <v>0</v>
      </c>
      <c r="O107" s="42" t="n">
        <f aca="false">ROUNDUP(YEARFRAC(In_COD,O$4),0)*(O$4&gt;In_COD)</f>
        <v>0</v>
      </c>
      <c r="P107" s="42" t="n">
        <f aca="false">ROUNDUP(YEARFRAC(In_COD,P$4),0)*(P$4&gt;In_COD)</f>
        <v>0</v>
      </c>
      <c r="Q107" s="42" t="n">
        <f aca="false">ROUNDUP(YEARFRAC(In_COD,Q$4),0)*(Q$4&gt;In_COD)</f>
        <v>0</v>
      </c>
      <c r="R107" s="42" t="n">
        <f aca="false">ROUNDUP(YEARFRAC(In_COD,R$4),0)*(R$4&gt;In_COD)</f>
        <v>0</v>
      </c>
      <c r="S107" s="42" t="n">
        <f aca="false">ROUNDUP(YEARFRAC(In_COD,S$4),0)*(S$4&gt;In_COD)</f>
        <v>0</v>
      </c>
      <c r="T107" s="42" t="n">
        <f aca="false">ROUNDUP(YEARFRAC(In_COD,T$4),0)*(T$4&gt;In_COD)</f>
        <v>0</v>
      </c>
      <c r="U107" s="42" t="n">
        <f aca="false">ROUNDUP(YEARFRAC(In_COD,U$4),0)*(U$4&gt;In_COD)</f>
        <v>0</v>
      </c>
      <c r="V107" s="42" t="n">
        <f aca="false">ROUNDUP(YEARFRAC(In_COD,V$4),0)*(V$4&gt;In_COD)</f>
        <v>0</v>
      </c>
      <c r="W107" s="42" t="n">
        <f aca="false">ROUNDUP(YEARFRAC(In_COD,W$4),0)*(W$4&gt;In_COD)</f>
        <v>0</v>
      </c>
      <c r="X107" s="42" t="n">
        <f aca="false">ROUNDUP(YEARFRAC(In_COD,X$4),0)*(X$4&gt;In_COD)</f>
        <v>0</v>
      </c>
      <c r="Y107" s="42" t="n">
        <f aca="false">ROUNDUP(YEARFRAC(In_COD,Y$4),0)*(Y$4&gt;In_COD)</f>
        <v>0</v>
      </c>
      <c r="Z107" s="42" t="n">
        <f aca="false">ROUNDUP(YEARFRAC(In_COD,Z$4),0)*(Z$4&gt;In_COD)</f>
        <v>0</v>
      </c>
      <c r="AA107" s="42" t="n">
        <f aca="false">ROUNDUP(YEARFRAC(In_COD,AA$4),0)*(AA$4&gt;In_COD)</f>
        <v>0</v>
      </c>
      <c r="AB107" s="42" t="n">
        <f aca="false">ROUNDUP(YEARFRAC(In_COD,AB$4),0)*(AB$4&gt;In_COD)</f>
        <v>0</v>
      </c>
      <c r="AC107" s="42" t="n">
        <f aca="false">ROUNDUP(YEARFRAC(In_COD,AC$4),0)*(AC$4&gt;In_COD)</f>
        <v>0</v>
      </c>
      <c r="AD107" s="42" t="n">
        <f aca="false">ROUNDUP(YEARFRAC(In_COD,AD$4),0)*(AD$4&gt;In_COD)</f>
        <v>0</v>
      </c>
      <c r="AE107" s="42" t="n">
        <f aca="false">ROUNDUP(YEARFRAC(In_COD,AE$4),0)*(AE$4&gt;In_COD)</f>
        <v>1</v>
      </c>
      <c r="AF107" s="42" t="n">
        <f aca="false">ROUNDUP(YEARFRAC(In_COD,AF$4),0)*(AF$4&gt;In_COD)</f>
        <v>1</v>
      </c>
      <c r="AG107" s="42" t="n">
        <f aca="false">ROUNDUP(YEARFRAC(In_COD,AG$4),0)*(AG$4&gt;In_COD)</f>
        <v>1</v>
      </c>
      <c r="AH107" s="42" t="n">
        <f aca="false">ROUNDUP(YEARFRAC(In_COD,AH$4),0)*(AH$4&gt;In_COD)</f>
        <v>1</v>
      </c>
      <c r="AI107" s="42" t="n">
        <f aca="false">ROUNDUP(YEARFRAC(In_COD,AI$4),0)*(AI$4&gt;In_COD)</f>
        <v>2</v>
      </c>
      <c r="AJ107" s="42" t="n">
        <f aca="false">ROUNDUP(YEARFRAC(In_COD,AJ$4),0)*(AJ$4&gt;In_COD)</f>
        <v>2</v>
      </c>
      <c r="AK107" s="42" t="n">
        <f aca="false">ROUNDUP(YEARFRAC(In_COD,AK$4),0)*(AK$4&gt;In_COD)</f>
        <v>2</v>
      </c>
      <c r="AL107" s="42" t="n">
        <f aca="false">ROUNDUP(YEARFRAC(In_COD,AL$4),0)*(AL$4&gt;In_COD)</f>
        <v>2</v>
      </c>
      <c r="AM107" s="42" t="n">
        <f aca="false">ROUNDUP(YEARFRAC(In_COD,AM$4),0)*(AM$4&gt;In_COD)</f>
        <v>3</v>
      </c>
      <c r="AN107" s="42" t="n">
        <f aca="false">ROUNDUP(YEARFRAC(In_COD,AN$4),0)*(AN$4&gt;In_COD)</f>
        <v>3</v>
      </c>
      <c r="AO107" s="42" t="n">
        <f aca="false">ROUNDUP(YEARFRAC(In_COD,AO$4),0)*(AO$4&gt;In_COD)</f>
        <v>3</v>
      </c>
      <c r="AP107" s="42" t="n">
        <f aca="false">ROUNDUP(YEARFRAC(In_COD,AP$4),0)*(AP$4&gt;In_COD)</f>
        <v>3</v>
      </c>
      <c r="AQ107" s="42" t="n">
        <f aca="false">ROUNDUP(YEARFRAC(In_COD,AQ$4),0)*(AQ$4&gt;In_COD)</f>
        <v>4</v>
      </c>
      <c r="AR107" s="42" t="n">
        <f aca="false">ROUNDUP(YEARFRAC(In_COD,AR$4),0)*(AR$4&gt;In_COD)</f>
        <v>4</v>
      </c>
      <c r="AS107" s="42" t="n">
        <f aca="false">ROUNDUP(YEARFRAC(In_COD,AS$4),0)*(AS$4&gt;In_COD)</f>
        <v>4</v>
      </c>
      <c r="AT107" s="42" t="n">
        <f aca="false">ROUNDUP(YEARFRAC(In_COD,AT$4),0)*(AT$4&gt;In_COD)</f>
        <v>4</v>
      </c>
      <c r="AU107" s="42" t="n">
        <f aca="false">ROUNDUP(YEARFRAC(In_COD,AU$4),0)*(AU$4&gt;In_COD)</f>
        <v>5</v>
      </c>
      <c r="AV107" s="42" t="n">
        <f aca="false">ROUNDUP(YEARFRAC(In_COD,AV$4),0)*(AV$4&gt;In_COD)</f>
        <v>5</v>
      </c>
      <c r="AW107" s="42" t="n">
        <f aca="false">ROUNDUP(YEARFRAC(In_COD,AW$4),0)*(AW$4&gt;In_COD)</f>
        <v>5</v>
      </c>
      <c r="AX107" s="42" t="n">
        <f aca="false">ROUNDUP(YEARFRAC(In_COD,AX$4),0)*(AX$4&gt;In_COD)</f>
        <v>5</v>
      </c>
      <c r="AY107" s="42" t="n">
        <f aca="false">ROUNDUP(YEARFRAC(In_COD,AY$4),0)*(AY$4&gt;In_COD)</f>
        <v>6</v>
      </c>
      <c r="AZ107" s="42" t="n">
        <f aca="false">ROUNDUP(YEARFRAC(In_COD,AZ$4),0)*(AZ$4&gt;In_COD)</f>
        <v>6</v>
      </c>
      <c r="BA107" s="42" t="n">
        <f aca="false">ROUNDUP(YEARFRAC(In_COD,BA$4),0)*(BA$4&gt;In_COD)</f>
        <v>6</v>
      </c>
      <c r="BB107" s="42" t="n">
        <f aca="false">ROUNDUP(YEARFRAC(In_COD,BB$4),0)*(BB$4&gt;In_COD)</f>
        <v>6</v>
      </c>
      <c r="BC107" s="42" t="n">
        <f aca="false">ROUNDUP(YEARFRAC(In_COD,BC$4),0)*(BC$4&gt;In_COD)</f>
        <v>7</v>
      </c>
      <c r="BD107" s="42" t="n">
        <f aca="false">ROUNDUP(YEARFRAC(In_COD,BD$4),0)*(BD$4&gt;In_COD)</f>
        <v>7</v>
      </c>
      <c r="BE107" s="42" t="n">
        <f aca="false">ROUNDUP(YEARFRAC(In_COD,BE$4),0)*(BE$4&gt;In_COD)</f>
        <v>7</v>
      </c>
      <c r="BF107" s="42" t="n">
        <f aca="false">ROUNDUP(YEARFRAC(In_COD,BF$4),0)*(BF$4&gt;In_COD)</f>
        <v>7</v>
      </c>
      <c r="BG107" s="42" t="n">
        <f aca="false">ROUNDUP(YEARFRAC(In_COD,BG$4),0)*(BG$4&gt;In_COD)</f>
        <v>8</v>
      </c>
      <c r="BH107" s="42" t="n">
        <f aca="false">ROUNDUP(YEARFRAC(In_COD,BH$4),0)*(BH$4&gt;In_COD)</f>
        <v>8</v>
      </c>
      <c r="BI107" s="42" t="n">
        <f aca="false">ROUNDUP(YEARFRAC(In_COD,BI$4),0)*(BI$4&gt;In_COD)</f>
        <v>8</v>
      </c>
      <c r="BJ107" s="42" t="n">
        <f aca="false">ROUNDUP(YEARFRAC(In_COD,BJ$4),0)*(BJ$4&gt;In_COD)</f>
        <v>8</v>
      </c>
      <c r="BK107" s="42" t="n">
        <f aca="false">ROUNDUP(YEARFRAC(In_COD,BK$4),0)*(BK$4&gt;In_COD)</f>
        <v>9</v>
      </c>
      <c r="BL107" s="42" t="n">
        <f aca="false">ROUNDUP(YEARFRAC(In_COD,BL$4),0)*(BL$4&gt;In_COD)</f>
        <v>9</v>
      </c>
      <c r="BM107" s="42" t="n">
        <f aca="false">ROUNDUP(YEARFRAC(In_COD,BM$4),0)*(BM$4&gt;In_COD)</f>
        <v>9</v>
      </c>
      <c r="BN107" s="42" t="n">
        <f aca="false">ROUNDUP(YEARFRAC(In_COD,BN$4),0)*(BN$4&gt;In_COD)</f>
        <v>9</v>
      </c>
      <c r="BO107" s="42" t="n">
        <f aca="false">ROUNDUP(YEARFRAC(In_COD,BO$4),0)*(BO$4&gt;In_COD)</f>
        <v>10</v>
      </c>
      <c r="BP107" s="42" t="n">
        <f aca="false">ROUNDUP(YEARFRAC(In_COD,BP$4),0)*(BP$4&gt;In_COD)</f>
        <v>10</v>
      </c>
      <c r="BQ107" s="42" t="n">
        <f aca="false">ROUNDUP(YEARFRAC(In_COD,BQ$4),0)*(BQ$4&gt;In_COD)</f>
        <v>10</v>
      </c>
      <c r="BR107" s="42" t="n">
        <f aca="false">ROUNDUP(YEARFRAC(In_COD,BR$4),0)*(BR$4&gt;In_COD)</f>
        <v>10</v>
      </c>
      <c r="BS107" s="42" t="n">
        <f aca="false">ROUNDUP(YEARFRAC(In_COD,BS$4),0)*(BS$4&gt;In_COD)</f>
        <v>11</v>
      </c>
      <c r="BT107" s="42" t="n">
        <f aca="false">ROUNDUP(YEARFRAC(In_COD,BT$4),0)*(BT$4&gt;In_COD)</f>
        <v>11</v>
      </c>
      <c r="BU107" s="42" t="n">
        <f aca="false">ROUNDUP(YEARFRAC(In_COD,BU$4),0)*(BU$4&gt;In_COD)</f>
        <v>11</v>
      </c>
      <c r="BV107" s="42" t="n">
        <f aca="false">ROUNDUP(YEARFRAC(In_COD,BV$4),0)*(BV$4&gt;In_COD)</f>
        <v>11</v>
      </c>
      <c r="BW107" s="42" t="n">
        <f aca="false">ROUNDUP(YEARFRAC(In_COD,BW$4),0)*(BW$4&gt;In_COD)</f>
        <v>12</v>
      </c>
      <c r="BX107" s="42" t="n">
        <f aca="false">ROUNDUP(YEARFRAC(In_COD,BX$4),0)*(BX$4&gt;In_COD)</f>
        <v>12</v>
      </c>
      <c r="BY107" s="42" t="n">
        <f aca="false">ROUNDUP(YEARFRAC(In_COD,BY$4),0)*(BY$4&gt;In_COD)</f>
        <v>12</v>
      </c>
      <c r="BZ107" s="42" t="n">
        <f aca="false">ROUNDUP(YEARFRAC(In_COD,BZ$4),0)*(BZ$4&gt;In_COD)</f>
        <v>12</v>
      </c>
      <c r="CA107" s="42" t="n">
        <f aca="false">ROUNDUP(YEARFRAC(In_COD,CA$4),0)*(CA$4&gt;In_COD)</f>
        <v>13</v>
      </c>
      <c r="CB107" s="42" t="n">
        <f aca="false">ROUNDUP(YEARFRAC(In_COD,CB$4),0)*(CB$4&gt;In_COD)</f>
        <v>13</v>
      </c>
      <c r="CC107" s="42" t="n">
        <f aca="false">ROUNDUP(YEARFRAC(In_COD,CC$4),0)*(CC$4&gt;In_COD)</f>
        <v>13</v>
      </c>
      <c r="CD107" s="42" t="n">
        <f aca="false">ROUNDUP(YEARFRAC(In_COD,CD$4),0)*(CD$4&gt;In_COD)</f>
        <v>13</v>
      </c>
      <c r="CE107" s="42" t="n">
        <f aca="false">ROUNDUP(YEARFRAC(In_COD,CE$4),0)*(CE$4&gt;In_COD)</f>
        <v>14</v>
      </c>
      <c r="CF107" s="42" t="n">
        <f aca="false">ROUNDUP(YEARFRAC(In_COD,CF$4),0)*(CF$4&gt;In_COD)</f>
        <v>14</v>
      </c>
      <c r="CG107" s="42" t="n">
        <f aca="false">ROUNDUP(YEARFRAC(In_COD,CG$4),0)*(CG$4&gt;In_COD)</f>
        <v>14</v>
      </c>
      <c r="CH107" s="42" t="n">
        <f aca="false">ROUNDUP(YEARFRAC(In_COD,CH$4),0)*(CH$4&gt;In_COD)</f>
        <v>14</v>
      </c>
      <c r="CI107" s="42" t="n">
        <f aca="false">ROUNDUP(YEARFRAC(In_COD,CI$4),0)*(CI$4&gt;In_COD)</f>
        <v>15</v>
      </c>
      <c r="CJ107" s="42" t="n">
        <f aca="false">ROUNDUP(YEARFRAC(In_COD,CJ$4),0)*(CJ$4&gt;In_COD)</f>
        <v>15</v>
      </c>
      <c r="CK107" s="42" t="n">
        <f aca="false">ROUNDUP(YEARFRAC(In_COD,CK$4),0)*(CK$4&gt;In_COD)</f>
        <v>15</v>
      </c>
      <c r="CL107" s="42" t="n">
        <f aca="false">ROUNDUP(YEARFRAC(In_COD,CL$4),0)*(CL$4&gt;In_COD)</f>
        <v>15</v>
      </c>
      <c r="CM107" s="42" t="n">
        <f aca="false">ROUNDUP(YEARFRAC(In_COD,CM$4),0)*(CM$4&gt;In_COD)</f>
        <v>16</v>
      </c>
      <c r="CN107" s="42" t="n">
        <f aca="false">ROUNDUP(YEARFRAC(In_COD,CN$4),0)*(CN$4&gt;In_COD)</f>
        <v>16</v>
      </c>
      <c r="CO107" s="42" t="n">
        <f aca="false">ROUNDUP(YEARFRAC(In_COD,CO$4),0)*(CO$4&gt;In_COD)</f>
        <v>16</v>
      </c>
      <c r="CP107" s="42" t="n">
        <f aca="false">ROUNDUP(YEARFRAC(In_COD,CP$4),0)*(CP$4&gt;In_COD)</f>
        <v>16</v>
      </c>
      <c r="CQ107" s="42" t="n">
        <f aca="false">ROUNDUP(YEARFRAC(In_COD,CQ$4),0)*(CQ$4&gt;In_COD)</f>
        <v>17</v>
      </c>
      <c r="CR107" s="42" t="n">
        <f aca="false">ROUNDUP(YEARFRAC(In_COD,CR$4),0)*(CR$4&gt;In_COD)</f>
        <v>17</v>
      </c>
      <c r="CS107" s="42" t="n">
        <f aca="false">ROUNDUP(YEARFRAC(In_COD,CS$4),0)*(CS$4&gt;In_COD)</f>
        <v>17</v>
      </c>
      <c r="CT107" s="42" t="n">
        <f aca="false">ROUNDUP(YEARFRAC(In_COD,CT$4),0)*(CT$4&gt;In_COD)</f>
        <v>17</v>
      </c>
      <c r="CU107" s="42" t="n">
        <f aca="false">ROUNDUP(YEARFRAC(In_COD,CU$4),0)*(CU$4&gt;In_COD)</f>
        <v>18</v>
      </c>
      <c r="CV107" s="42" t="n">
        <f aca="false">ROUNDUP(YEARFRAC(In_COD,CV$4),0)*(CV$4&gt;In_COD)</f>
        <v>18</v>
      </c>
      <c r="CW107" s="42" t="n">
        <f aca="false">ROUNDUP(YEARFRAC(In_COD,CW$4),0)*(CW$4&gt;In_COD)</f>
        <v>18</v>
      </c>
      <c r="CX107" s="42" t="n">
        <f aca="false">ROUNDUP(YEARFRAC(In_COD,CX$4),0)*(CX$4&gt;In_COD)</f>
        <v>18</v>
      </c>
      <c r="CY107" s="42" t="n">
        <f aca="false">ROUNDUP(YEARFRAC(In_COD,CY$4),0)*(CY$4&gt;In_COD)</f>
        <v>19</v>
      </c>
      <c r="CZ107" s="42" t="n">
        <f aca="false">ROUNDUP(YEARFRAC(In_COD,CZ$4),0)*(CZ$4&gt;In_COD)</f>
        <v>19</v>
      </c>
      <c r="DA107" s="42" t="n">
        <f aca="false">ROUNDUP(YEARFRAC(In_COD,DA$4),0)*(DA$4&gt;In_COD)</f>
        <v>19</v>
      </c>
      <c r="DB107" s="42" t="n">
        <f aca="false">ROUNDUP(YEARFRAC(In_COD,DB$4),0)*(DB$4&gt;In_COD)</f>
        <v>19</v>
      </c>
      <c r="DC107" s="42" t="n">
        <f aca="false">ROUNDUP(YEARFRAC(In_COD,DC$4),0)*(DC$4&gt;In_COD)</f>
        <v>20</v>
      </c>
      <c r="DD107" s="42" t="n">
        <f aca="false">ROUNDUP(YEARFRAC(In_COD,DD$4),0)*(DD$4&gt;In_COD)</f>
        <v>20</v>
      </c>
      <c r="DE107" s="42" t="n">
        <f aca="false">ROUNDUP(YEARFRAC(In_COD,DE$4),0)*(DE$4&gt;In_COD)</f>
        <v>20</v>
      </c>
      <c r="DF107" s="42" t="n">
        <f aca="false">ROUNDUP(YEARFRAC(In_COD,DF$4),0)*(DF$4&gt;In_COD)</f>
        <v>20</v>
      </c>
      <c r="DG107" s="42" t="n">
        <f aca="false">ROUNDUP(YEARFRAC(In_COD,DG$4),0)*(DG$4&gt;In_COD)</f>
        <v>21</v>
      </c>
      <c r="DH107" s="42" t="n">
        <f aca="false">ROUNDUP(YEARFRAC(In_COD,DH$4),0)*(DH$4&gt;In_COD)</f>
        <v>21</v>
      </c>
      <c r="DI107" s="42" t="n">
        <f aca="false">ROUNDUP(YEARFRAC(In_COD,DI$4),0)*(DI$4&gt;In_COD)</f>
        <v>21</v>
      </c>
      <c r="DJ107" s="42" t="n">
        <f aca="false">ROUNDUP(YEARFRAC(In_COD,DJ$4),0)*(DJ$4&gt;In_COD)</f>
        <v>21</v>
      </c>
      <c r="DK107" s="42" t="n">
        <f aca="false">ROUNDUP(YEARFRAC(In_COD,DK$4),0)*(DK$4&gt;In_COD)</f>
        <v>22</v>
      </c>
      <c r="DL107" s="42" t="n">
        <f aca="false">ROUNDUP(YEARFRAC(In_COD,DL$4),0)*(DL$4&gt;In_COD)</f>
        <v>22</v>
      </c>
      <c r="DM107" s="42" t="n">
        <f aca="false">ROUNDUP(YEARFRAC(In_COD,DM$4),0)*(DM$4&gt;In_COD)</f>
        <v>22</v>
      </c>
      <c r="DN107" s="42" t="n">
        <f aca="false">ROUNDUP(YEARFRAC(In_COD,DN$4),0)*(DN$4&gt;In_COD)</f>
        <v>22</v>
      </c>
      <c r="DO107" s="42" t="n">
        <f aca="false">ROUNDUP(YEARFRAC(In_COD,DO$4),0)*(DO$4&gt;In_COD)</f>
        <v>23</v>
      </c>
      <c r="DP107" s="42" t="n">
        <f aca="false">ROUNDUP(YEARFRAC(In_COD,DP$4),0)*(DP$4&gt;In_COD)</f>
        <v>23</v>
      </c>
      <c r="DQ107" s="42" t="n">
        <f aca="false">ROUNDUP(YEARFRAC(In_COD,DQ$4),0)*(DQ$4&gt;In_COD)</f>
        <v>23</v>
      </c>
      <c r="DR107" s="42" t="n">
        <f aca="false">ROUNDUP(YEARFRAC(In_COD,DR$4),0)*(DR$4&gt;In_COD)</f>
        <v>23</v>
      </c>
      <c r="DS107" s="42" t="n">
        <f aca="false">ROUNDUP(YEARFRAC(In_COD,DS$4),0)*(DS$4&gt;In_COD)</f>
        <v>24</v>
      </c>
      <c r="DT107" s="42" t="n">
        <f aca="false">ROUNDUP(YEARFRAC(In_COD,DT$4),0)*(DT$4&gt;In_COD)</f>
        <v>24</v>
      </c>
      <c r="DU107" s="42" t="n">
        <f aca="false">ROUNDUP(YEARFRAC(In_COD,DU$4),0)*(DU$4&gt;In_COD)</f>
        <v>24</v>
      </c>
      <c r="DV107" s="42" t="n">
        <f aca="false">ROUNDUP(YEARFRAC(In_COD,DV$4),0)*(DV$4&gt;In_COD)</f>
        <v>24</v>
      </c>
      <c r="DW107" s="42" t="n">
        <f aca="false">ROUNDUP(YEARFRAC(In_COD,DW$4),0)*(DW$4&gt;In_COD)</f>
        <v>25</v>
      </c>
      <c r="DX107" s="42" t="n">
        <f aca="false">ROUNDUP(YEARFRAC(In_COD,DX$4),0)*(DX$4&gt;In_COD)</f>
        <v>25</v>
      </c>
      <c r="DY107" s="42" t="n">
        <f aca="false">ROUNDUP(YEARFRAC(In_COD,DY$4),0)*(DY$4&gt;In_COD)</f>
        <v>25</v>
      </c>
      <c r="DZ107" s="42" t="n">
        <f aca="false">ROUNDUP(YEARFRAC(In_COD,DZ$4),0)*(DZ$4&gt;In_COD)</f>
        <v>25</v>
      </c>
      <c r="EA107" s="42" t="n">
        <f aca="false">ROUNDUP(YEARFRAC(In_COD,EA$4),0)*(EA$4&gt;In_COD)</f>
        <v>26</v>
      </c>
      <c r="EB107" s="42" t="n">
        <f aca="false">ROUNDUP(YEARFRAC(In_COD,EB$4),0)*(EB$4&gt;In_COD)</f>
        <v>26</v>
      </c>
      <c r="EC107" s="42" t="n">
        <f aca="false">ROUNDUP(YEARFRAC(In_COD,EC$4),0)*(EC$4&gt;In_COD)</f>
        <v>26</v>
      </c>
      <c r="ED107" s="42" t="n">
        <f aca="false">ROUNDUP(YEARFRAC(In_COD,ED$4),0)*(ED$4&gt;In_COD)</f>
        <v>26</v>
      </c>
      <c r="EE107" s="42" t="n">
        <f aca="false">ROUNDUP(YEARFRAC(In_COD,EE$4),0)*(EE$4&gt;In_COD)</f>
        <v>27</v>
      </c>
      <c r="EF107" s="42" t="n">
        <f aca="false">ROUNDUP(YEARFRAC(In_COD,EF$4),0)*(EF$4&gt;In_COD)</f>
        <v>27</v>
      </c>
      <c r="EG107" s="42" t="n">
        <f aca="false">ROUNDUP(YEARFRAC(In_COD,EG$4),0)*(EG$4&gt;In_COD)</f>
        <v>27</v>
      </c>
      <c r="EH107" s="42" t="n">
        <f aca="false">ROUNDUP(YEARFRAC(In_COD,EH$4),0)*(EH$4&gt;In_COD)</f>
        <v>27</v>
      </c>
      <c r="EI107" s="42" t="n">
        <f aca="false">ROUNDUP(YEARFRAC(In_COD,EI$4),0)*(EI$4&gt;In_COD)</f>
        <v>28</v>
      </c>
      <c r="EJ107" s="42" t="n">
        <f aca="false">ROUNDUP(YEARFRAC(In_COD,EJ$4),0)*(EJ$4&gt;In_COD)</f>
        <v>28</v>
      </c>
      <c r="EK107" s="42" t="n">
        <f aca="false">ROUNDUP(YEARFRAC(In_COD,EK$4),0)*(EK$4&gt;In_COD)</f>
        <v>28</v>
      </c>
      <c r="EL107" s="42" t="n">
        <f aca="false">ROUNDUP(YEARFRAC(In_COD,EL$4),0)*(EL$4&gt;In_COD)</f>
        <v>28</v>
      </c>
      <c r="EM107" s="42" t="n">
        <f aca="false">ROUNDUP(YEARFRAC(In_COD,EM$4),0)*(EM$4&gt;In_COD)</f>
        <v>29</v>
      </c>
      <c r="EN107" s="42" t="n">
        <f aca="false">ROUNDUP(YEARFRAC(In_COD,EN$4),0)*(EN$4&gt;In_COD)</f>
        <v>29</v>
      </c>
      <c r="EO107" s="42" t="n">
        <f aca="false">ROUNDUP(YEARFRAC(In_COD,EO$4),0)*(EO$4&gt;In_COD)</f>
        <v>29</v>
      </c>
      <c r="EP107" s="42" t="n">
        <f aca="false">ROUNDUP(YEARFRAC(In_COD,EP$4),0)*(EP$4&gt;In_COD)</f>
        <v>29</v>
      </c>
      <c r="EQ107" s="42" t="n">
        <f aca="false">ROUNDUP(YEARFRAC(In_COD,EQ$4),0)*(EQ$4&gt;In_COD)</f>
        <v>30</v>
      </c>
      <c r="ER107" s="42" t="n">
        <f aca="false">ROUNDUP(YEARFRAC(In_COD,ER$4),0)*(ER$4&gt;In_COD)</f>
        <v>30</v>
      </c>
      <c r="ES107" s="42" t="n">
        <f aca="false">ROUNDUP(YEARFRAC(In_COD,ES$4),0)*(ES$4&gt;In_COD)</f>
        <v>30</v>
      </c>
      <c r="ET107" s="42" t="n">
        <f aca="false">ROUNDUP(YEARFRAC(In_COD,ET$4),0)*(ET$4&gt;In_COD)</f>
        <v>30</v>
      </c>
    </row>
    <row r="108" customFormat="false" ht="15" hidden="false" customHeight="false" outlineLevel="0" collapsed="false">
      <c r="C108" s="1" t="s">
        <v>522</v>
      </c>
      <c r="D108" s="12" t="s">
        <v>442</v>
      </c>
      <c r="J108" s="54" t="n">
        <f aca="false">(1+In_Opex_Esc)^(J$7-YEAR(In_COD))</f>
        <v>0.883854287609517</v>
      </c>
      <c r="K108" s="54" t="n">
        <f aca="false">(1+In_Opex_Esc)^(K$7-YEAR(In_COD))</f>
        <v>0.883854287609517</v>
      </c>
      <c r="L108" s="54" t="n">
        <f aca="false">(1+In_Opex_Esc)^(L$7-YEAR(In_COD))</f>
        <v>0.905950644799755</v>
      </c>
      <c r="M108" s="54" t="n">
        <f aca="false">(1+In_Opex_Esc)^(M$7-YEAR(In_COD))</f>
        <v>0.905950644799755</v>
      </c>
      <c r="N108" s="54" t="n">
        <f aca="false">(1+In_Opex_Esc)^(N$7-YEAR(In_COD))</f>
        <v>0.905950644799755</v>
      </c>
      <c r="O108" s="54" t="n">
        <f aca="false">(1+In_Opex_Esc)^(O$7-YEAR(In_COD))</f>
        <v>0.905950644799755</v>
      </c>
      <c r="P108" s="54" t="n">
        <f aca="false">(1+In_Opex_Esc)^(P$7-YEAR(In_COD))</f>
        <v>0.928599410919749</v>
      </c>
      <c r="Q108" s="54" t="n">
        <f aca="false">(1+In_Opex_Esc)^(Q$7-YEAR(In_COD))</f>
        <v>0.928599410919749</v>
      </c>
      <c r="R108" s="54" t="n">
        <f aca="false">(1+In_Opex_Esc)^(R$7-YEAR(In_COD))</f>
        <v>0.928599410919749</v>
      </c>
      <c r="S108" s="54" t="n">
        <f aca="false">(1+In_Opex_Esc)^(S$7-YEAR(In_COD))</f>
        <v>0.928599410919749</v>
      </c>
      <c r="T108" s="54" t="n">
        <f aca="false">(1+In_Opex_Esc)^(T$7-YEAR(In_COD))</f>
        <v>0.951814396192743</v>
      </c>
      <c r="U108" s="54" t="n">
        <f aca="false">(1+In_Opex_Esc)^(U$7-YEAR(In_COD))</f>
        <v>0.951814396192743</v>
      </c>
      <c r="V108" s="54" t="n">
        <f aca="false">(1+In_Opex_Esc)^(V$7-YEAR(In_COD))</f>
        <v>0.951814396192743</v>
      </c>
      <c r="W108" s="54" t="n">
        <f aca="false">(1+In_Opex_Esc)^(W$7-YEAR(In_COD))</f>
        <v>0.951814396192743</v>
      </c>
      <c r="X108" s="54" t="n">
        <f aca="false">(1+In_Opex_Esc)^(X$7-YEAR(In_COD))</f>
        <v>0.975609756097561</v>
      </c>
      <c r="Y108" s="54" t="n">
        <f aca="false">(1+In_Opex_Esc)^(Y$7-YEAR(In_COD))</f>
        <v>0.975609756097561</v>
      </c>
      <c r="Z108" s="54" t="n">
        <f aca="false">(1+In_Opex_Esc)^(Z$7-YEAR(In_COD))</f>
        <v>0.975609756097561</v>
      </c>
      <c r="AA108" s="54" t="n">
        <f aca="false">(1+In_Opex_Esc)^(AA$7-YEAR(In_COD))</f>
        <v>0.975609756097561</v>
      </c>
      <c r="AB108" s="54" t="n">
        <f aca="false">(1+In_Opex_Esc)^(AB$7-YEAR(In_COD))</f>
        <v>1</v>
      </c>
      <c r="AC108" s="54" t="n">
        <f aca="false">(1+In_Opex_Esc)^(AC$7-YEAR(In_COD))</f>
        <v>1</v>
      </c>
      <c r="AD108" s="54" t="n">
        <f aca="false">(1+In_Opex_Esc)^(AD$7-YEAR(In_COD))</f>
        <v>1</v>
      </c>
      <c r="AE108" s="54" t="n">
        <f aca="false">(1+In_Opex_Esc)^(AE$7-YEAR(In_COD))</f>
        <v>1</v>
      </c>
      <c r="AF108" s="54" t="n">
        <f aca="false">(1+In_Opex_Esc)^(AF$7-YEAR(In_COD))</f>
        <v>1.025</v>
      </c>
      <c r="AG108" s="54" t="n">
        <f aca="false">(1+In_Opex_Esc)^(AG$7-YEAR(In_COD))</f>
        <v>1.025</v>
      </c>
      <c r="AH108" s="54" t="n">
        <f aca="false">(1+In_Opex_Esc)^(AH$7-YEAR(In_COD))</f>
        <v>1.025</v>
      </c>
      <c r="AI108" s="54" t="n">
        <f aca="false">(1+In_Opex_Esc)^(AI$7-YEAR(In_COD))</f>
        <v>1.025</v>
      </c>
      <c r="AJ108" s="54" t="n">
        <f aca="false">(1+In_Opex_Esc)^(AJ$7-YEAR(In_COD))</f>
        <v>1.050625</v>
      </c>
      <c r="AK108" s="54" t="n">
        <f aca="false">(1+In_Opex_Esc)^(AK$7-YEAR(In_COD))</f>
        <v>1.050625</v>
      </c>
      <c r="AL108" s="54" t="n">
        <f aca="false">(1+In_Opex_Esc)^(AL$7-YEAR(In_COD))</f>
        <v>1.050625</v>
      </c>
      <c r="AM108" s="54" t="n">
        <f aca="false">(1+In_Opex_Esc)^(AM$7-YEAR(In_COD))</f>
        <v>1.050625</v>
      </c>
      <c r="AN108" s="54" t="n">
        <f aca="false">(1+In_Opex_Esc)^(AN$7-YEAR(In_COD))</f>
        <v>1.076890625</v>
      </c>
      <c r="AO108" s="54" t="n">
        <f aca="false">(1+In_Opex_Esc)^(AO$7-YEAR(In_COD))</f>
        <v>1.076890625</v>
      </c>
      <c r="AP108" s="54" t="n">
        <f aca="false">(1+In_Opex_Esc)^(AP$7-YEAR(In_COD))</f>
        <v>1.076890625</v>
      </c>
      <c r="AQ108" s="54" t="n">
        <f aca="false">(1+In_Opex_Esc)^(AQ$7-YEAR(In_COD))</f>
        <v>1.076890625</v>
      </c>
      <c r="AR108" s="54" t="n">
        <f aca="false">(1+In_Opex_Esc)^(AR$7-YEAR(In_COD))</f>
        <v>1.103812890625</v>
      </c>
      <c r="AS108" s="54" t="n">
        <f aca="false">(1+In_Opex_Esc)^(AS$7-YEAR(In_COD))</f>
        <v>1.103812890625</v>
      </c>
      <c r="AT108" s="54" t="n">
        <f aca="false">(1+In_Opex_Esc)^(AT$7-YEAR(In_COD))</f>
        <v>1.103812890625</v>
      </c>
      <c r="AU108" s="54" t="n">
        <f aca="false">(1+In_Opex_Esc)^(AU$7-YEAR(In_COD))</f>
        <v>1.103812890625</v>
      </c>
      <c r="AV108" s="54" t="n">
        <f aca="false">(1+In_Opex_Esc)^(AV$7-YEAR(In_COD))</f>
        <v>1.13140821289062</v>
      </c>
      <c r="AW108" s="54" t="n">
        <f aca="false">(1+In_Opex_Esc)^(AW$7-YEAR(In_COD))</f>
        <v>1.13140821289062</v>
      </c>
      <c r="AX108" s="54" t="n">
        <f aca="false">(1+In_Opex_Esc)^(AX$7-YEAR(In_COD))</f>
        <v>1.13140821289062</v>
      </c>
      <c r="AY108" s="54" t="n">
        <f aca="false">(1+In_Opex_Esc)^(AY$7-YEAR(In_COD))</f>
        <v>1.13140821289062</v>
      </c>
      <c r="AZ108" s="54" t="n">
        <f aca="false">(1+In_Opex_Esc)^(AZ$7-YEAR(In_COD))</f>
        <v>1.15969341821289</v>
      </c>
      <c r="BA108" s="54" t="n">
        <f aca="false">(1+In_Opex_Esc)^(BA$7-YEAR(In_COD))</f>
        <v>1.15969341821289</v>
      </c>
      <c r="BB108" s="54" t="n">
        <f aca="false">(1+In_Opex_Esc)^(BB$7-YEAR(In_COD))</f>
        <v>1.15969341821289</v>
      </c>
      <c r="BC108" s="54" t="n">
        <f aca="false">(1+In_Opex_Esc)^(BC$7-YEAR(In_COD))</f>
        <v>1.15969341821289</v>
      </c>
      <c r="BD108" s="54" t="n">
        <f aca="false">(1+In_Opex_Esc)^(BD$7-YEAR(In_COD))</f>
        <v>1.18868575366821</v>
      </c>
      <c r="BE108" s="54" t="n">
        <f aca="false">(1+In_Opex_Esc)^(BE$7-YEAR(In_COD))</f>
        <v>1.18868575366821</v>
      </c>
      <c r="BF108" s="54" t="n">
        <f aca="false">(1+In_Opex_Esc)^(BF$7-YEAR(In_COD))</f>
        <v>1.18868575366821</v>
      </c>
      <c r="BG108" s="54" t="n">
        <f aca="false">(1+In_Opex_Esc)^(BG$7-YEAR(In_COD))</f>
        <v>1.18868575366821</v>
      </c>
      <c r="BH108" s="54" t="n">
        <f aca="false">(1+In_Opex_Esc)^(BH$7-YEAR(In_COD))</f>
        <v>1.21840289750992</v>
      </c>
      <c r="BI108" s="54" t="n">
        <f aca="false">(1+In_Opex_Esc)^(BI$7-YEAR(In_COD))</f>
        <v>1.21840289750992</v>
      </c>
      <c r="BJ108" s="54" t="n">
        <f aca="false">(1+In_Opex_Esc)^(BJ$7-YEAR(In_COD))</f>
        <v>1.21840289750992</v>
      </c>
      <c r="BK108" s="54" t="n">
        <f aca="false">(1+In_Opex_Esc)^(BK$7-YEAR(In_COD))</f>
        <v>1.21840289750992</v>
      </c>
      <c r="BL108" s="54" t="n">
        <f aca="false">(1+In_Opex_Esc)^(BL$7-YEAR(In_COD))</f>
        <v>1.24886296994767</v>
      </c>
      <c r="BM108" s="54" t="n">
        <f aca="false">(1+In_Opex_Esc)^(BM$7-YEAR(In_COD))</f>
        <v>1.24886296994767</v>
      </c>
      <c r="BN108" s="54" t="n">
        <f aca="false">(1+In_Opex_Esc)^(BN$7-YEAR(In_COD))</f>
        <v>1.24886296994767</v>
      </c>
      <c r="BO108" s="54" t="n">
        <f aca="false">(1+In_Opex_Esc)^(BO$7-YEAR(In_COD))</f>
        <v>1.24886296994767</v>
      </c>
      <c r="BP108" s="54" t="n">
        <f aca="false">(1+In_Opex_Esc)^(BP$7-YEAR(In_COD))</f>
        <v>1.28008454419636</v>
      </c>
      <c r="BQ108" s="54" t="n">
        <f aca="false">(1+In_Opex_Esc)^(BQ$7-YEAR(In_COD))</f>
        <v>1.28008454419636</v>
      </c>
      <c r="BR108" s="54" t="n">
        <f aca="false">(1+In_Opex_Esc)^(BR$7-YEAR(In_COD))</f>
        <v>1.28008454419636</v>
      </c>
      <c r="BS108" s="54" t="n">
        <f aca="false">(1+In_Opex_Esc)^(BS$7-YEAR(In_COD))</f>
        <v>1.28008454419636</v>
      </c>
      <c r="BT108" s="54" t="n">
        <f aca="false">(1+In_Opex_Esc)^(BT$7-YEAR(In_COD))</f>
        <v>1.31208665780127</v>
      </c>
      <c r="BU108" s="54" t="n">
        <f aca="false">(1+In_Opex_Esc)^(BU$7-YEAR(In_COD))</f>
        <v>1.31208665780127</v>
      </c>
      <c r="BV108" s="54" t="n">
        <f aca="false">(1+In_Opex_Esc)^(BV$7-YEAR(In_COD))</f>
        <v>1.31208665780127</v>
      </c>
      <c r="BW108" s="54" t="n">
        <f aca="false">(1+In_Opex_Esc)^(BW$7-YEAR(In_COD))</f>
        <v>1.31208665780127</v>
      </c>
      <c r="BX108" s="54" t="n">
        <f aca="false">(1+In_Opex_Esc)^(BX$7-YEAR(In_COD))</f>
        <v>1.3448888242463</v>
      </c>
      <c r="BY108" s="54" t="n">
        <f aca="false">(1+In_Opex_Esc)^(BY$7-YEAR(In_COD))</f>
        <v>1.3448888242463</v>
      </c>
      <c r="BZ108" s="54" t="n">
        <f aca="false">(1+In_Opex_Esc)^(BZ$7-YEAR(In_COD))</f>
        <v>1.3448888242463</v>
      </c>
      <c r="CA108" s="54" t="n">
        <f aca="false">(1+In_Opex_Esc)^(CA$7-YEAR(In_COD))</f>
        <v>1.3448888242463</v>
      </c>
      <c r="CB108" s="54" t="n">
        <f aca="false">(1+In_Opex_Esc)^(CB$7-YEAR(In_COD))</f>
        <v>1.37851104485245</v>
      </c>
      <c r="CC108" s="54" t="n">
        <f aca="false">(1+In_Opex_Esc)^(CC$7-YEAR(In_COD))</f>
        <v>1.37851104485245</v>
      </c>
      <c r="CD108" s="54" t="n">
        <f aca="false">(1+In_Opex_Esc)^(CD$7-YEAR(In_COD))</f>
        <v>1.37851104485245</v>
      </c>
      <c r="CE108" s="54" t="n">
        <f aca="false">(1+In_Opex_Esc)^(CE$7-YEAR(In_COD))</f>
        <v>1.37851104485245</v>
      </c>
      <c r="CF108" s="54" t="n">
        <f aca="false">(1+In_Opex_Esc)^(CF$7-YEAR(In_COD))</f>
        <v>1.41297382097377</v>
      </c>
      <c r="CG108" s="54" t="n">
        <f aca="false">(1+In_Opex_Esc)^(CG$7-YEAR(In_COD))</f>
        <v>1.41297382097377</v>
      </c>
      <c r="CH108" s="54" t="n">
        <f aca="false">(1+In_Opex_Esc)^(CH$7-YEAR(In_COD))</f>
        <v>1.41297382097377</v>
      </c>
      <c r="CI108" s="54" t="n">
        <f aca="false">(1+In_Opex_Esc)^(CI$7-YEAR(In_COD))</f>
        <v>1.41297382097377</v>
      </c>
      <c r="CJ108" s="54" t="n">
        <f aca="false">(1+In_Opex_Esc)^(CJ$7-YEAR(In_COD))</f>
        <v>1.44829816649811</v>
      </c>
      <c r="CK108" s="54" t="n">
        <f aca="false">(1+In_Opex_Esc)^(CK$7-YEAR(In_COD))</f>
        <v>1.44829816649811</v>
      </c>
      <c r="CL108" s="54" t="n">
        <f aca="false">(1+In_Opex_Esc)^(CL$7-YEAR(In_COD))</f>
        <v>1.44829816649811</v>
      </c>
      <c r="CM108" s="54" t="n">
        <f aca="false">(1+In_Opex_Esc)^(CM$7-YEAR(In_COD))</f>
        <v>1.44829816649811</v>
      </c>
      <c r="CN108" s="54" t="n">
        <f aca="false">(1+In_Opex_Esc)^(CN$7-YEAR(In_COD))</f>
        <v>1.48450562066056</v>
      </c>
      <c r="CO108" s="54" t="n">
        <f aca="false">(1+In_Opex_Esc)^(CO$7-YEAR(In_COD))</f>
        <v>1.48450562066056</v>
      </c>
      <c r="CP108" s="54" t="n">
        <f aca="false">(1+In_Opex_Esc)^(CP$7-YEAR(In_COD))</f>
        <v>1.48450562066056</v>
      </c>
      <c r="CQ108" s="54" t="n">
        <f aca="false">(1+In_Opex_Esc)^(CQ$7-YEAR(In_COD))</f>
        <v>1.48450562066056</v>
      </c>
      <c r="CR108" s="54" t="n">
        <f aca="false">(1+In_Opex_Esc)^(CR$7-YEAR(In_COD))</f>
        <v>1.52161826117708</v>
      </c>
      <c r="CS108" s="54" t="n">
        <f aca="false">(1+In_Opex_Esc)^(CS$7-YEAR(In_COD))</f>
        <v>1.52161826117708</v>
      </c>
      <c r="CT108" s="54" t="n">
        <f aca="false">(1+In_Opex_Esc)^(CT$7-YEAR(In_COD))</f>
        <v>1.52161826117708</v>
      </c>
      <c r="CU108" s="54" t="n">
        <f aca="false">(1+In_Opex_Esc)^(CU$7-YEAR(In_COD))</f>
        <v>1.52161826117708</v>
      </c>
      <c r="CV108" s="54" t="n">
        <f aca="false">(1+In_Opex_Esc)^(CV$7-YEAR(In_COD))</f>
        <v>1.5596587177065</v>
      </c>
      <c r="CW108" s="54" t="n">
        <f aca="false">(1+In_Opex_Esc)^(CW$7-YEAR(In_COD))</f>
        <v>1.5596587177065</v>
      </c>
      <c r="CX108" s="54" t="n">
        <f aca="false">(1+In_Opex_Esc)^(CX$7-YEAR(In_COD))</f>
        <v>1.5596587177065</v>
      </c>
      <c r="CY108" s="54" t="n">
        <f aca="false">(1+In_Opex_Esc)^(CY$7-YEAR(In_COD))</f>
        <v>1.5596587177065</v>
      </c>
      <c r="CZ108" s="54" t="n">
        <f aca="false">(1+In_Opex_Esc)^(CZ$7-YEAR(In_COD))</f>
        <v>1.59865018564917</v>
      </c>
      <c r="DA108" s="54" t="n">
        <f aca="false">(1+In_Opex_Esc)^(DA$7-YEAR(In_COD))</f>
        <v>1.59865018564917</v>
      </c>
      <c r="DB108" s="54" t="n">
        <f aca="false">(1+In_Opex_Esc)^(DB$7-YEAR(In_COD))</f>
        <v>1.59865018564917</v>
      </c>
      <c r="DC108" s="54" t="n">
        <f aca="false">(1+In_Opex_Esc)^(DC$7-YEAR(In_COD))</f>
        <v>1.59865018564917</v>
      </c>
      <c r="DD108" s="54" t="n">
        <f aca="false">(1+In_Opex_Esc)^(DD$7-YEAR(In_COD))</f>
        <v>1.63861644029039</v>
      </c>
      <c r="DE108" s="54" t="n">
        <f aca="false">(1+In_Opex_Esc)^(DE$7-YEAR(In_COD))</f>
        <v>1.63861644029039</v>
      </c>
      <c r="DF108" s="54" t="n">
        <f aca="false">(1+In_Opex_Esc)^(DF$7-YEAR(In_COD))</f>
        <v>1.63861644029039</v>
      </c>
      <c r="DG108" s="54" t="n">
        <f aca="false">(1+In_Opex_Esc)^(DG$7-YEAR(In_COD))</f>
        <v>1.63861644029039</v>
      </c>
      <c r="DH108" s="54" t="n">
        <f aca="false">(1+In_Opex_Esc)^(DH$7-YEAR(In_COD))</f>
        <v>1.67958185129765</v>
      </c>
      <c r="DI108" s="54" t="n">
        <f aca="false">(1+In_Opex_Esc)^(DI$7-YEAR(In_COD))</f>
        <v>1.67958185129765</v>
      </c>
      <c r="DJ108" s="54" t="n">
        <f aca="false">(1+In_Opex_Esc)^(DJ$7-YEAR(In_COD))</f>
        <v>1.67958185129765</v>
      </c>
      <c r="DK108" s="54" t="n">
        <f aca="false">(1+In_Opex_Esc)^(DK$7-YEAR(In_COD))</f>
        <v>1.67958185129765</v>
      </c>
      <c r="DL108" s="54" t="n">
        <f aca="false">(1+In_Opex_Esc)^(DL$7-YEAR(In_COD))</f>
        <v>1.7215713975801</v>
      </c>
      <c r="DM108" s="54" t="n">
        <f aca="false">(1+In_Opex_Esc)^(DM$7-YEAR(In_COD))</f>
        <v>1.7215713975801</v>
      </c>
      <c r="DN108" s="54" t="n">
        <f aca="false">(1+In_Opex_Esc)^(DN$7-YEAR(In_COD))</f>
        <v>1.7215713975801</v>
      </c>
      <c r="DO108" s="54" t="n">
        <f aca="false">(1+In_Opex_Esc)^(DO$7-YEAR(In_COD))</f>
        <v>1.7215713975801</v>
      </c>
      <c r="DP108" s="54" t="n">
        <f aca="false">(1+In_Opex_Esc)^(DP$7-YEAR(In_COD))</f>
        <v>1.7646106825196</v>
      </c>
      <c r="DQ108" s="54" t="n">
        <f aca="false">(1+In_Opex_Esc)^(DQ$7-YEAR(In_COD))</f>
        <v>1.7646106825196</v>
      </c>
      <c r="DR108" s="54" t="n">
        <f aca="false">(1+In_Opex_Esc)^(DR$7-YEAR(In_COD))</f>
        <v>1.7646106825196</v>
      </c>
      <c r="DS108" s="54" t="n">
        <f aca="false">(1+In_Opex_Esc)^(DS$7-YEAR(In_COD))</f>
        <v>1.7646106825196</v>
      </c>
      <c r="DT108" s="54" t="n">
        <f aca="false">(1+In_Opex_Esc)^(DT$7-YEAR(In_COD))</f>
        <v>1.80872594958259</v>
      </c>
      <c r="DU108" s="54" t="n">
        <f aca="false">(1+In_Opex_Esc)^(DU$7-YEAR(In_COD))</f>
        <v>1.80872594958259</v>
      </c>
      <c r="DV108" s="54" t="n">
        <f aca="false">(1+In_Opex_Esc)^(DV$7-YEAR(In_COD))</f>
        <v>1.80872594958259</v>
      </c>
      <c r="DW108" s="54" t="n">
        <f aca="false">(1+In_Opex_Esc)^(DW$7-YEAR(In_COD))</f>
        <v>1.80872594958259</v>
      </c>
      <c r="DX108" s="54" t="n">
        <f aca="false">(1+In_Opex_Esc)^(DX$7-YEAR(In_COD))</f>
        <v>1.85394409832215</v>
      </c>
      <c r="DY108" s="54" t="n">
        <f aca="false">(1+In_Opex_Esc)^(DY$7-YEAR(In_COD))</f>
        <v>1.85394409832215</v>
      </c>
      <c r="DZ108" s="54" t="n">
        <f aca="false">(1+In_Opex_Esc)^(DZ$7-YEAR(In_COD))</f>
        <v>1.85394409832215</v>
      </c>
      <c r="EA108" s="54" t="n">
        <f aca="false">(1+In_Opex_Esc)^(EA$7-YEAR(In_COD))</f>
        <v>1.85394409832215</v>
      </c>
      <c r="EB108" s="54" t="n">
        <f aca="false">(1+In_Opex_Esc)^(EB$7-YEAR(In_COD))</f>
        <v>1.90029270078021</v>
      </c>
      <c r="EC108" s="54" t="n">
        <f aca="false">(1+In_Opex_Esc)^(EC$7-YEAR(In_COD))</f>
        <v>1.90029270078021</v>
      </c>
      <c r="ED108" s="54" t="n">
        <f aca="false">(1+In_Opex_Esc)^(ED$7-YEAR(In_COD))</f>
        <v>1.90029270078021</v>
      </c>
      <c r="EE108" s="54" t="n">
        <f aca="false">(1+In_Opex_Esc)^(EE$7-YEAR(In_COD))</f>
        <v>1.90029270078021</v>
      </c>
      <c r="EF108" s="54" t="n">
        <f aca="false">(1+In_Opex_Esc)^(EF$7-YEAR(In_COD))</f>
        <v>1.94780001829971</v>
      </c>
      <c r="EG108" s="54" t="n">
        <f aca="false">(1+In_Opex_Esc)^(EG$7-YEAR(In_COD))</f>
        <v>1.94780001829971</v>
      </c>
      <c r="EH108" s="54" t="n">
        <f aca="false">(1+In_Opex_Esc)^(EH$7-YEAR(In_COD))</f>
        <v>1.94780001829971</v>
      </c>
      <c r="EI108" s="54" t="n">
        <f aca="false">(1+In_Opex_Esc)^(EI$7-YEAR(In_COD))</f>
        <v>1.94780001829971</v>
      </c>
      <c r="EJ108" s="54" t="n">
        <f aca="false">(1+In_Opex_Esc)^(EJ$7-YEAR(In_COD))</f>
        <v>1.9964950187572</v>
      </c>
      <c r="EK108" s="54" t="n">
        <f aca="false">(1+In_Opex_Esc)^(EK$7-YEAR(In_COD))</f>
        <v>1.9964950187572</v>
      </c>
      <c r="EL108" s="54" t="n">
        <f aca="false">(1+In_Opex_Esc)^(EL$7-YEAR(In_COD))</f>
        <v>1.9964950187572</v>
      </c>
      <c r="EM108" s="54" t="n">
        <f aca="false">(1+In_Opex_Esc)^(EM$7-YEAR(In_COD))</f>
        <v>1.9964950187572</v>
      </c>
      <c r="EN108" s="54" t="n">
        <f aca="false">(1+In_Opex_Esc)^(EN$7-YEAR(In_COD))</f>
        <v>2.04640739422613</v>
      </c>
      <c r="EO108" s="54" t="n">
        <f aca="false">(1+In_Opex_Esc)^(EO$7-YEAR(In_COD))</f>
        <v>2.04640739422613</v>
      </c>
      <c r="EP108" s="54" t="n">
        <f aca="false">(1+In_Opex_Esc)^(EP$7-YEAR(In_COD))</f>
        <v>2.04640739422613</v>
      </c>
      <c r="EQ108" s="54" t="n">
        <f aca="false">(1+In_Opex_Esc)^(EQ$7-YEAR(In_COD))</f>
        <v>2.04640739422613</v>
      </c>
      <c r="ER108" s="54" t="n">
        <f aca="false">(1+In_Opex_Esc)^(ER$7-YEAR(In_COD))</f>
        <v>2.09756757908179</v>
      </c>
      <c r="ES108" s="54" t="n">
        <f aca="false">(1+In_Opex_Esc)^(ES$7-YEAR(In_COD))</f>
        <v>2.09756757908179</v>
      </c>
      <c r="ET108" s="54" t="n">
        <f aca="false">(1+In_Opex_Esc)^(ET$7-YEAR(In_COD))</f>
        <v>2.09756757908179</v>
      </c>
    </row>
    <row r="109" customFormat="false" ht="15" hidden="false" customHeight="false" outlineLevel="0" collapsed="false">
      <c r="C109" s="1" t="s">
        <v>523</v>
      </c>
      <c r="D109" s="12" t="s">
        <v>32</v>
      </c>
      <c r="J109" s="29" t="n">
        <f aca="false">In_PPA_Price*(1+In_PPA_Esc)^(J$7-YEAR(In_COD))</f>
        <v>85.6319118846074</v>
      </c>
      <c r="K109" s="29" t="n">
        <f aca="false">In_PPA_Price*(1+In_PPA_Esc)^(K$7-YEAR(In_COD))</f>
        <v>85.6319118846074</v>
      </c>
      <c r="L109" s="29" t="n">
        <f aca="false">In_PPA_Price*(1+In_PPA_Esc)^(L$7-YEAR(In_COD))</f>
        <v>86.4882310034535</v>
      </c>
      <c r="M109" s="29" t="n">
        <f aca="false">In_PPA_Price*(1+In_PPA_Esc)^(M$7-YEAR(In_COD))</f>
        <v>86.4882310034535</v>
      </c>
      <c r="N109" s="29" t="n">
        <f aca="false">In_PPA_Price*(1+In_PPA_Esc)^(N$7-YEAR(In_COD))</f>
        <v>86.4882310034535</v>
      </c>
      <c r="O109" s="29" t="n">
        <f aca="false">In_PPA_Price*(1+In_PPA_Esc)^(O$7-YEAR(In_COD))</f>
        <v>86.4882310034535</v>
      </c>
      <c r="P109" s="29" t="n">
        <f aca="false">In_PPA_Price*(1+In_PPA_Esc)^(P$7-YEAR(In_COD))</f>
        <v>87.353113313488</v>
      </c>
      <c r="Q109" s="29" t="n">
        <f aca="false">In_PPA_Price*(1+In_PPA_Esc)^(Q$7-YEAR(In_COD))</f>
        <v>87.353113313488</v>
      </c>
      <c r="R109" s="29" t="n">
        <f aca="false">In_PPA_Price*(1+In_PPA_Esc)^(R$7-YEAR(In_COD))</f>
        <v>87.353113313488</v>
      </c>
      <c r="S109" s="29" t="n">
        <f aca="false">In_PPA_Price*(1+In_PPA_Esc)^(S$7-YEAR(In_COD))</f>
        <v>87.353113313488</v>
      </c>
      <c r="T109" s="29" t="n">
        <f aca="false">In_PPA_Price*(1+In_PPA_Esc)^(T$7-YEAR(In_COD))</f>
        <v>88.2266444466229</v>
      </c>
      <c r="U109" s="29" t="n">
        <f aca="false">In_PPA_Price*(1+In_PPA_Esc)^(U$7-YEAR(In_COD))</f>
        <v>88.2266444466229</v>
      </c>
      <c r="V109" s="29" t="n">
        <f aca="false">In_PPA_Price*(1+In_PPA_Esc)^(V$7-YEAR(In_COD))</f>
        <v>88.2266444466229</v>
      </c>
      <c r="W109" s="29" t="n">
        <f aca="false">In_PPA_Price*(1+In_PPA_Esc)^(W$7-YEAR(In_COD))</f>
        <v>88.2266444466229</v>
      </c>
      <c r="X109" s="29" t="n">
        <f aca="false">In_PPA_Price*(1+In_PPA_Esc)^(X$7-YEAR(In_COD))</f>
        <v>89.1089108910891</v>
      </c>
      <c r="Y109" s="29" t="n">
        <f aca="false">In_PPA_Price*(1+In_PPA_Esc)^(Y$7-YEAR(In_COD))</f>
        <v>89.1089108910891</v>
      </c>
      <c r="Z109" s="29" t="n">
        <f aca="false">In_PPA_Price*(1+In_PPA_Esc)^(Z$7-YEAR(In_COD))</f>
        <v>89.1089108910891</v>
      </c>
      <c r="AA109" s="29" t="n">
        <f aca="false">In_PPA_Price*(1+In_PPA_Esc)^(AA$7-YEAR(In_COD))</f>
        <v>89.1089108910891</v>
      </c>
      <c r="AB109" s="29" t="n">
        <f aca="false">In_PPA_Price*(1+In_PPA_Esc)^(AB$7-YEAR(In_COD))</f>
        <v>90</v>
      </c>
      <c r="AC109" s="29" t="n">
        <f aca="false">In_PPA_Price*(1+In_PPA_Esc)^(AC$7-YEAR(In_COD))</f>
        <v>90</v>
      </c>
      <c r="AD109" s="29" t="n">
        <f aca="false">In_PPA_Price*(1+In_PPA_Esc)^(AD$7-YEAR(In_COD))</f>
        <v>90</v>
      </c>
      <c r="AE109" s="29" t="n">
        <f aca="false">In_PPA_Price*(1+In_PPA_Esc)^(AE$7-YEAR(In_COD))</f>
        <v>90</v>
      </c>
      <c r="AF109" s="29" t="n">
        <f aca="false">In_PPA_Price*(1+In_PPA_Esc)^(AF$7-YEAR(In_COD))</f>
        <v>90.9</v>
      </c>
      <c r="AG109" s="29" t="n">
        <f aca="false">In_PPA_Price*(1+In_PPA_Esc)^(AG$7-YEAR(In_COD))</f>
        <v>90.9</v>
      </c>
      <c r="AH109" s="29" t="n">
        <f aca="false">In_PPA_Price*(1+In_PPA_Esc)^(AH$7-YEAR(In_COD))</f>
        <v>90.9</v>
      </c>
      <c r="AI109" s="29" t="n">
        <f aca="false">In_PPA_Price*(1+In_PPA_Esc)^(AI$7-YEAR(In_COD))</f>
        <v>90.9</v>
      </c>
      <c r="AJ109" s="29" t="n">
        <f aca="false">In_PPA_Price*(1+In_PPA_Esc)^(AJ$7-YEAR(In_COD))</f>
        <v>91.809</v>
      </c>
      <c r="AK109" s="29" t="n">
        <f aca="false">In_PPA_Price*(1+In_PPA_Esc)^(AK$7-YEAR(In_COD))</f>
        <v>91.809</v>
      </c>
      <c r="AL109" s="29" t="n">
        <f aca="false">In_PPA_Price*(1+In_PPA_Esc)^(AL$7-YEAR(In_COD))</f>
        <v>91.809</v>
      </c>
      <c r="AM109" s="29" t="n">
        <f aca="false">In_PPA_Price*(1+In_PPA_Esc)^(AM$7-YEAR(In_COD))</f>
        <v>91.809</v>
      </c>
      <c r="AN109" s="29" t="n">
        <f aca="false">In_PPA_Price*(1+In_PPA_Esc)^(AN$7-YEAR(In_COD))</f>
        <v>92.72709</v>
      </c>
      <c r="AO109" s="29" t="n">
        <f aca="false">In_PPA_Price*(1+In_PPA_Esc)^(AO$7-YEAR(In_COD))</f>
        <v>92.72709</v>
      </c>
      <c r="AP109" s="29" t="n">
        <f aca="false">In_PPA_Price*(1+In_PPA_Esc)^(AP$7-YEAR(In_COD))</f>
        <v>92.72709</v>
      </c>
      <c r="AQ109" s="29" t="n">
        <f aca="false">In_PPA_Price*(1+In_PPA_Esc)^(AQ$7-YEAR(In_COD))</f>
        <v>92.72709</v>
      </c>
      <c r="AR109" s="29" t="n">
        <f aca="false">In_PPA_Price*(1+In_PPA_Esc)^(AR$7-YEAR(In_COD))</f>
        <v>93.6543609</v>
      </c>
      <c r="AS109" s="29" t="n">
        <f aca="false">In_PPA_Price*(1+In_PPA_Esc)^(AS$7-YEAR(In_COD))</f>
        <v>93.6543609</v>
      </c>
      <c r="AT109" s="29" t="n">
        <f aca="false">In_PPA_Price*(1+In_PPA_Esc)^(AT$7-YEAR(In_COD))</f>
        <v>93.6543609</v>
      </c>
      <c r="AU109" s="29" t="n">
        <f aca="false">In_PPA_Price*(1+In_PPA_Esc)^(AU$7-YEAR(In_COD))</f>
        <v>93.6543609</v>
      </c>
      <c r="AV109" s="29" t="n">
        <f aca="false">In_PPA_Price*(1+In_PPA_Esc)^(AV$7-YEAR(In_COD))</f>
        <v>94.590904509</v>
      </c>
      <c r="AW109" s="29" t="n">
        <f aca="false">In_PPA_Price*(1+In_PPA_Esc)^(AW$7-YEAR(In_COD))</f>
        <v>94.590904509</v>
      </c>
      <c r="AX109" s="29" t="n">
        <f aca="false">In_PPA_Price*(1+In_PPA_Esc)^(AX$7-YEAR(In_COD))</f>
        <v>94.590904509</v>
      </c>
      <c r="AY109" s="29" t="n">
        <f aca="false">In_PPA_Price*(1+In_PPA_Esc)^(AY$7-YEAR(In_COD))</f>
        <v>94.590904509</v>
      </c>
      <c r="AZ109" s="29" t="n">
        <f aca="false">In_PPA_Price*(1+In_PPA_Esc)^(AZ$7-YEAR(In_COD))</f>
        <v>95.53681355409</v>
      </c>
      <c r="BA109" s="29" t="n">
        <f aca="false">In_PPA_Price*(1+In_PPA_Esc)^(BA$7-YEAR(In_COD))</f>
        <v>95.53681355409</v>
      </c>
      <c r="BB109" s="29" t="n">
        <f aca="false">In_PPA_Price*(1+In_PPA_Esc)^(BB$7-YEAR(In_COD))</f>
        <v>95.53681355409</v>
      </c>
      <c r="BC109" s="29" t="n">
        <f aca="false">In_PPA_Price*(1+In_PPA_Esc)^(BC$7-YEAR(In_COD))</f>
        <v>95.53681355409</v>
      </c>
      <c r="BD109" s="29" t="n">
        <f aca="false">In_PPA_Price*(1+In_PPA_Esc)^(BD$7-YEAR(In_COD))</f>
        <v>96.4921816896309</v>
      </c>
      <c r="BE109" s="29" t="n">
        <f aca="false">In_PPA_Price*(1+In_PPA_Esc)^(BE$7-YEAR(In_COD))</f>
        <v>96.4921816896309</v>
      </c>
      <c r="BF109" s="29" t="n">
        <f aca="false">In_PPA_Price*(1+In_PPA_Esc)^(BF$7-YEAR(In_COD))</f>
        <v>96.4921816896309</v>
      </c>
      <c r="BG109" s="29" t="n">
        <f aca="false">In_PPA_Price*(1+In_PPA_Esc)^(BG$7-YEAR(In_COD))</f>
        <v>96.4921816896309</v>
      </c>
      <c r="BH109" s="29" t="n">
        <f aca="false">In_PPA_Price*(1+In_PPA_Esc)^(BH$7-YEAR(In_COD))</f>
        <v>97.4571035065272</v>
      </c>
      <c r="BI109" s="29" t="n">
        <f aca="false">In_PPA_Price*(1+In_PPA_Esc)^(BI$7-YEAR(In_COD))</f>
        <v>97.4571035065272</v>
      </c>
      <c r="BJ109" s="29" t="n">
        <f aca="false">In_PPA_Price*(1+In_PPA_Esc)^(BJ$7-YEAR(In_COD))</f>
        <v>97.4571035065272</v>
      </c>
      <c r="BK109" s="29" t="n">
        <f aca="false">In_PPA_Price*(1+In_PPA_Esc)^(BK$7-YEAR(In_COD))</f>
        <v>97.4571035065272</v>
      </c>
      <c r="BL109" s="29" t="n">
        <f aca="false">In_PPA_Price*(1+In_PPA_Esc)^(BL$7-YEAR(In_COD))</f>
        <v>98.4316745415925</v>
      </c>
      <c r="BM109" s="29" t="n">
        <f aca="false">In_PPA_Price*(1+In_PPA_Esc)^(BM$7-YEAR(In_COD))</f>
        <v>98.4316745415925</v>
      </c>
      <c r="BN109" s="29" t="n">
        <f aca="false">In_PPA_Price*(1+In_PPA_Esc)^(BN$7-YEAR(In_COD))</f>
        <v>98.4316745415925</v>
      </c>
      <c r="BO109" s="29" t="n">
        <f aca="false">In_PPA_Price*(1+In_PPA_Esc)^(BO$7-YEAR(In_COD))</f>
        <v>98.4316745415925</v>
      </c>
      <c r="BP109" s="29" t="n">
        <f aca="false">In_PPA_Price*(1+In_PPA_Esc)^(BP$7-YEAR(In_COD))</f>
        <v>99.4159912870084</v>
      </c>
      <c r="BQ109" s="29" t="n">
        <f aca="false">In_PPA_Price*(1+In_PPA_Esc)^(BQ$7-YEAR(In_COD))</f>
        <v>99.4159912870084</v>
      </c>
      <c r="BR109" s="29" t="n">
        <f aca="false">In_PPA_Price*(1+In_PPA_Esc)^(BR$7-YEAR(In_COD))</f>
        <v>99.4159912870084</v>
      </c>
      <c r="BS109" s="29" t="n">
        <f aca="false">In_PPA_Price*(1+In_PPA_Esc)^(BS$7-YEAR(In_COD))</f>
        <v>99.4159912870084</v>
      </c>
      <c r="BT109" s="29" t="n">
        <f aca="false">In_PPA_Price*(1+In_PPA_Esc)^(BT$7-YEAR(In_COD))</f>
        <v>100.410151199878</v>
      </c>
      <c r="BU109" s="29" t="n">
        <f aca="false">In_PPA_Price*(1+In_PPA_Esc)^(BU$7-YEAR(In_COD))</f>
        <v>100.410151199878</v>
      </c>
      <c r="BV109" s="29" t="n">
        <f aca="false">In_PPA_Price*(1+In_PPA_Esc)^(BV$7-YEAR(In_COD))</f>
        <v>100.410151199878</v>
      </c>
      <c r="BW109" s="29" t="n">
        <f aca="false">In_PPA_Price*(1+In_PPA_Esc)^(BW$7-YEAR(In_COD))</f>
        <v>100.410151199878</v>
      </c>
      <c r="BX109" s="29" t="n">
        <f aca="false">In_PPA_Price*(1+In_PPA_Esc)^(BX$7-YEAR(In_COD))</f>
        <v>101.414252711877</v>
      </c>
      <c r="BY109" s="29" t="n">
        <f aca="false">In_PPA_Price*(1+In_PPA_Esc)^(BY$7-YEAR(In_COD))</f>
        <v>101.414252711877</v>
      </c>
      <c r="BZ109" s="29" t="n">
        <f aca="false">In_PPA_Price*(1+In_PPA_Esc)^(BZ$7-YEAR(In_COD))</f>
        <v>101.414252711877</v>
      </c>
      <c r="CA109" s="29" t="n">
        <f aca="false">In_PPA_Price*(1+In_PPA_Esc)^(CA$7-YEAR(In_COD))</f>
        <v>101.414252711877</v>
      </c>
      <c r="CB109" s="29" t="n">
        <f aca="false">In_PPA_Price*(1+In_PPA_Esc)^(CB$7-YEAR(In_COD))</f>
        <v>102.428395238996</v>
      </c>
      <c r="CC109" s="29" t="n">
        <f aca="false">In_PPA_Price*(1+In_PPA_Esc)^(CC$7-YEAR(In_COD))</f>
        <v>102.428395238996</v>
      </c>
      <c r="CD109" s="29" t="n">
        <f aca="false">In_PPA_Price*(1+In_PPA_Esc)^(CD$7-YEAR(In_COD))</f>
        <v>102.428395238996</v>
      </c>
      <c r="CE109" s="29" t="n">
        <f aca="false">In_PPA_Price*(1+In_PPA_Esc)^(CE$7-YEAR(In_COD))</f>
        <v>102.428395238996</v>
      </c>
      <c r="CF109" s="29" t="n">
        <f aca="false">In_PPA_Price*(1+In_PPA_Esc)^(CF$7-YEAR(In_COD))</f>
        <v>103.452679191386</v>
      </c>
      <c r="CG109" s="29" t="n">
        <f aca="false">In_PPA_Price*(1+In_PPA_Esc)^(CG$7-YEAR(In_COD))</f>
        <v>103.452679191386</v>
      </c>
      <c r="CH109" s="29" t="n">
        <f aca="false">In_PPA_Price*(1+In_PPA_Esc)^(CH$7-YEAR(In_COD))</f>
        <v>103.452679191386</v>
      </c>
      <c r="CI109" s="29" t="n">
        <f aca="false">In_PPA_Price*(1+In_PPA_Esc)^(CI$7-YEAR(In_COD))</f>
        <v>103.452679191386</v>
      </c>
      <c r="CJ109" s="29" t="n">
        <f aca="false">In_PPA_Price*(1+In_PPA_Esc)^(CJ$7-YEAR(In_COD))</f>
        <v>104.4872059833</v>
      </c>
      <c r="CK109" s="29" t="n">
        <f aca="false">In_PPA_Price*(1+In_PPA_Esc)^(CK$7-YEAR(In_COD))</f>
        <v>104.4872059833</v>
      </c>
      <c r="CL109" s="29" t="n">
        <f aca="false">In_PPA_Price*(1+In_PPA_Esc)^(CL$7-YEAR(In_COD))</f>
        <v>104.4872059833</v>
      </c>
      <c r="CM109" s="29" t="n">
        <f aca="false">In_PPA_Price*(1+In_PPA_Esc)^(CM$7-YEAR(In_COD))</f>
        <v>104.4872059833</v>
      </c>
      <c r="CN109" s="29" t="n">
        <f aca="false">In_PPA_Price*(1+In_PPA_Esc)^(CN$7-YEAR(In_COD))</f>
        <v>105.532078043133</v>
      </c>
      <c r="CO109" s="29" t="n">
        <f aca="false">In_PPA_Price*(1+In_PPA_Esc)^(CO$7-YEAR(In_COD))</f>
        <v>105.532078043133</v>
      </c>
      <c r="CP109" s="29" t="n">
        <f aca="false">In_PPA_Price*(1+In_PPA_Esc)^(CP$7-YEAR(In_COD))</f>
        <v>105.532078043133</v>
      </c>
      <c r="CQ109" s="29" t="n">
        <f aca="false">In_PPA_Price*(1+In_PPA_Esc)^(CQ$7-YEAR(In_COD))</f>
        <v>105.532078043133</v>
      </c>
      <c r="CR109" s="29" t="n">
        <f aca="false">In_PPA_Price*(1+In_PPA_Esc)^(CR$7-YEAR(In_COD))</f>
        <v>106.587398823564</v>
      </c>
      <c r="CS109" s="29" t="n">
        <f aca="false">In_PPA_Price*(1+In_PPA_Esc)^(CS$7-YEAR(In_COD))</f>
        <v>106.587398823564</v>
      </c>
      <c r="CT109" s="29" t="n">
        <f aca="false">In_PPA_Price*(1+In_PPA_Esc)^(CT$7-YEAR(In_COD))</f>
        <v>106.587398823564</v>
      </c>
      <c r="CU109" s="29" t="n">
        <f aca="false">In_PPA_Price*(1+In_PPA_Esc)^(CU$7-YEAR(In_COD))</f>
        <v>106.587398823564</v>
      </c>
      <c r="CV109" s="29" t="n">
        <f aca="false">In_PPA_Price*(1+In_PPA_Esc)^(CV$7-YEAR(In_COD))</f>
        <v>107.6532728118</v>
      </c>
      <c r="CW109" s="29" t="n">
        <f aca="false">In_PPA_Price*(1+In_PPA_Esc)^(CW$7-YEAR(In_COD))</f>
        <v>107.6532728118</v>
      </c>
      <c r="CX109" s="29" t="n">
        <f aca="false">In_PPA_Price*(1+In_PPA_Esc)^(CX$7-YEAR(In_COD))</f>
        <v>107.6532728118</v>
      </c>
      <c r="CY109" s="29" t="n">
        <f aca="false">In_PPA_Price*(1+In_PPA_Esc)^(CY$7-YEAR(In_COD))</f>
        <v>107.6532728118</v>
      </c>
      <c r="CZ109" s="29" t="n">
        <f aca="false">In_PPA_Price*(1+In_PPA_Esc)^(CZ$7-YEAR(In_COD))</f>
        <v>108.729805539918</v>
      </c>
      <c r="DA109" s="29" t="n">
        <f aca="false">In_PPA_Price*(1+In_PPA_Esc)^(DA$7-YEAR(In_COD))</f>
        <v>108.729805539918</v>
      </c>
      <c r="DB109" s="29" t="n">
        <f aca="false">In_PPA_Price*(1+In_PPA_Esc)^(DB$7-YEAR(In_COD))</f>
        <v>108.729805539918</v>
      </c>
      <c r="DC109" s="29" t="n">
        <f aca="false">In_PPA_Price*(1+In_PPA_Esc)^(DC$7-YEAR(In_COD))</f>
        <v>108.729805539918</v>
      </c>
      <c r="DD109" s="29" t="n">
        <f aca="false">In_PPA_Price*(1+In_PPA_Esc)^(DD$7-YEAR(In_COD))</f>
        <v>109.817103595317</v>
      </c>
      <c r="DE109" s="29" t="n">
        <f aca="false">In_PPA_Price*(1+In_PPA_Esc)^(DE$7-YEAR(In_COD))</f>
        <v>109.817103595317</v>
      </c>
      <c r="DF109" s="29" t="n">
        <f aca="false">In_PPA_Price*(1+In_PPA_Esc)^(DF$7-YEAR(In_COD))</f>
        <v>109.817103595317</v>
      </c>
      <c r="DG109" s="29" t="n">
        <f aca="false">In_PPA_Price*(1+In_PPA_Esc)^(DG$7-YEAR(In_COD))</f>
        <v>109.817103595317</v>
      </c>
      <c r="DH109" s="29" t="n">
        <f aca="false">In_PPA_Price*(1+In_PPA_Esc)^(DH$7-YEAR(In_COD))</f>
        <v>110.91527463127</v>
      </c>
      <c r="DI109" s="29" t="n">
        <f aca="false">In_PPA_Price*(1+In_PPA_Esc)^(DI$7-YEAR(In_COD))</f>
        <v>110.91527463127</v>
      </c>
      <c r="DJ109" s="29" t="n">
        <f aca="false">In_PPA_Price*(1+In_PPA_Esc)^(DJ$7-YEAR(In_COD))</f>
        <v>110.91527463127</v>
      </c>
      <c r="DK109" s="29" t="n">
        <f aca="false">In_PPA_Price*(1+In_PPA_Esc)^(DK$7-YEAR(In_COD))</f>
        <v>110.91527463127</v>
      </c>
      <c r="DL109" s="29" t="n">
        <f aca="false">In_PPA_Price*(1+In_PPA_Esc)^(DL$7-YEAR(In_COD))</f>
        <v>112.024427377583</v>
      </c>
      <c r="DM109" s="29" t="n">
        <f aca="false">In_PPA_Price*(1+In_PPA_Esc)^(DM$7-YEAR(In_COD))</f>
        <v>112.024427377583</v>
      </c>
      <c r="DN109" s="29" t="n">
        <f aca="false">In_PPA_Price*(1+In_PPA_Esc)^(DN$7-YEAR(In_COD))</f>
        <v>112.024427377583</v>
      </c>
      <c r="DO109" s="29" t="n">
        <f aca="false">In_PPA_Price*(1+In_PPA_Esc)^(DO$7-YEAR(In_COD))</f>
        <v>112.024427377583</v>
      </c>
      <c r="DP109" s="29" t="n">
        <f aca="false">In_PPA_Price*(1+In_PPA_Esc)^(DP$7-YEAR(In_COD))</f>
        <v>113.144671651359</v>
      </c>
      <c r="DQ109" s="29" t="n">
        <f aca="false">In_PPA_Price*(1+In_PPA_Esc)^(DQ$7-YEAR(In_COD))</f>
        <v>113.144671651359</v>
      </c>
      <c r="DR109" s="29" t="n">
        <f aca="false">In_PPA_Price*(1+In_PPA_Esc)^(DR$7-YEAR(In_COD))</f>
        <v>113.144671651359</v>
      </c>
      <c r="DS109" s="29" t="n">
        <f aca="false">In_PPA_Price*(1+In_PPA_Esc)^(DS$7-YEAR(In_COD))</f>
        <v>113.144671651359</v>
      </c>
      <c r="DT109" s="29" t="n">
        <f aca="false">In_PPA_Price*(1+In_PPA_Esc)^(DT$7-YEAR(In_COD))</f>
        <v>114.276118367872</v>
      </c>
      <c r="DU109" s="29" t="n">
        <f aca="false">In_PPA_Price*(1+In_PPA_Esc)^(DU$7-YEAR(In_COD))</f>
        <v>114.276118367872</v>
      </c>
      <c r="DV109" s="29" t="n">
        <f aca="false">In_PPA_Price*(1+In_PPA_Esc)^(DV$7-YEAR(In_COD))</f>
        <v>114.276118367872</v>
      </c>
      <c r="DW109" s="29" t="n">
        <f aca="false">In_PPA_Price*(1+In_PPA_Esc)^(DW$7-YEAR(In_COD))</f>
        <v>114.276118367872</v>
      </c>
      <c r="DX109" s="29" t="n">
        <f aca="false">In_PPA_Price*(1+In_PPA_Esc)^(DX$7-YEAR(In_COD))</f>
        <v>115.418879551551</v>
      </c>
      <c r="DY109" s="29" t="n">
        <f aca="false">In_PPA_Price*(1+In_PPA_Esc)^(DY$7-YEAR(In_COD))</f>
        <v>115.418879551551</v>
      </c>
      <c r="DZ109" s="29" t="n">
        <f aca="false">In_PPA_Price*(1+In_PPA_Esc)^(DZ$7-YEAR(In_COD))</f>
        <v>115.418879551551</v>
      </c>
      <c r="EA109" s="29" t="n">
        <f aca="false">In_PPA_Price*(1+In_PPA_Esc)^(EA$7-YEAR(In_COD))</f>
        <v>115.418879551551</v>
      </c>
      <c r="EB109" s="29" t="n">
        <f aca="false">In_PPA_Price*(1+In_PPA_Esc)^(EB$7-YEAR(In_COD))</f>
        <v>116.573068347067</v>
      </c>
      <c r="EC109" s="29" t="n">
        <f aca="false">In_PPA_Price*(1+In_PPA_Esc)^(EC$7-YEAR(In_COD))</f>
        <v>116.573068347067</v>
      </c>
      <c r="ED109" s="29" t="n">
        <f aca="false">In_PPA_Price*(1+In_PPA_Esc)^(ED$7-YEAR(In_COD))</f>
        <v>116.573068347067</v>
      </c>
      <c r="EE109" s="29" t="n">
        <f aca="false">In_PPA_Price*(1+In_PPA_Esc)^(EE$7-YEAR(In_COD))</f>
        <v>116.573068347067</v>
      </c>
      <c r="EF109" s="29" t="n">
        <f aca="false">In_PPA_Price*(1+In_PPA_Esc)^(EF$7-YEAR(In_COD))</f>
        <v>117.738799030537</v>
      </c>
      <c r="EG109" s="29" t="n">
        <f aca="false">In_PPA_Price*(1+In_PPA_Esc)^(EG$7-YEAR(In_COD))</f>
        <v>117.738799030537</v>
      </c>
      <c r="EH109" s="29" t="n">
        <f aca="false">In_PPA_Price*(1+In_PPA_Esc)^(EH$7-YEAR(In_COD))</f>
        <v>117.738799030537</v>
      </c>
      <c r="EI109" s="29" t="n">
        <f aca="false">In_PPA_Price*(1+In_PPA_Esc)^(EI$7-YEAR(In_COD))</f>
        <v>117.738799030537</v>
      </c>
      <c r="EJ109" s="29" t="n">
        <f aca="false">In_PPA_Price*(1+In_PPA_Esc)^(EJ$7-YEAR(In_COD))</f>
        <v>118.916187020843</v>
      </c>
      <c r="EK109" s="29" t="n">
        <f aca="false">In_PPA_Price*(1+In_PPA_Esc)^(EK$7-YEAR(In_COD))</f>
        <v>118.916187020843</v>
      </c>
      <c r="EL109" s="29" t="n">
        <f aca="false">In_PPA_Price*(1+In_PPA_Esc)^(EL$7-YEAR(In_COD))</f>
        <v>118.916187020843</v>
      </c>
      <c r="EM109" s="29" t="n">
        <f aca="false">In_PPA_Price*(1+In_PPA_Esc)^(EM$7-YEAR(In_COD))</f>
        <v>118.916187020843</v>
      </c>
      <c r="EN109" s="29" t="n">
        <f aca="false">In_PPA_Price*(1+In_PPA_Esc)^(EN$7-YEAR(In_COD))</f>
        <v>120.105348891051</v>
      </c>
      <c r="EO109" s="29" t="n">
        <f aca="false">In_PPA_Price*(1+In_PPA_Esc)^(EO$7-YEAR(In_COD))</f>
        <v>120.105348891051</v>
      </c>
      <c r="EP109" s="29" t="n">
        <f aca="false">In_PPA_Price*(1+In_PPA_Esc)^(EP$7-YEAR(In_COD))</f>
        <v>120.105348891051</v>
      </c>
      <c r="EQ109" s="29" t="n">
        <f aca="false">In_PPA_Price*(1+In_PPA_Esc)^(EQ$7-YEAR(In_COD))</f>
        <v>120.105348891051</v>
      </c>
      <c r="ER109" s="29" t="n">
        <f aca="false">In_PPA_Price*(1+In_PPA_Esc)^(ER$7-YEAR(In_COD))</f>
        <v>121.306402379962</v>
      </c>
      <c r="ES109" s="29" t="n">
        <f aca="false">In_PPA_Price*(1+In_PPA_Esc)^(ES$7-YEAR(In_COD))</f>
        <v>121.306402379962</v>
      </c>
      <c r="ET109" s="29" t="n">
        <f aca="false">In_PPA_Price*(1+In_PPA_Esc)^(ET$7-YEAR(In_COD))</f>
        <v>121.306402379962</v>
      </c>
    </row>
    <row r="110" customFormat="false" ht="15" hidden="false" customHeight="false" outlineLevel="0" collapsed="false">
      <c r="C110" s="1" t="s">
        <v>524</v>
      </c>
      <c r="D110" s="12" t="s">
        <v>458</v>
      </c>
      <c r="I110" s="47" t="n">
        <f aca="false">SUM(J110:ET110)</f>
        <v>6931492.24461103</v>
      </c>
      <c r="J110" s="47" t="n">
        <f aca="false">$F24*In_P50_Hours*(1-In_Curtailment)*(1-$E27)*(1-In_Degradation)^(J107-1)*J15*J$6</f>
        <v>0</v>
      </c>
      <c r="K110" s="47" t="n">
        <f aca="false">$F24*In_P50_Hours*(1-In_Curtailment)*(1-$E27)*(1-In_Degradation)^(K107-1)*K15*K$6</f>
        <v>0</v>
      </c>
      <c r="L110" s="47" t="n">
        <f aca="false">$F24*In_P50_Hours*(1-In_Curtailment)*(1-$E27)*(1-In_Degradation)^(L107-1)*L15*L$6</f>
        <v>0</v>
      </c>
      <c r="M110" s="47" t="n">
        <f aca="false">$F24*In_P50_Hours*(1-In_Curtailment)*(1-$E27)*(1-In_Degradation)^(M107-1)*M15*M$6</f>
        <v>0</v>
      </c>
      <c r="N110" s="47" t="n">
        <f aca="false">$F24*In_P50_Hours*(1-In_Curtailment)*(1-$E27)*(1-In_Degradation)^(N107-1)*N15*N$6</f>
        <v>0</v>
      </c>
      <c r="O110" s="47" t="n">
        <f aca="false">$F24*In_P50_Hours*(1-In_Curtailment)*(1-$E27)*(1-In_Degradation)^(O107-1)*O15*O$6</f>
        <v>0</v>
      </c>
      <c r="P110" s="47" t="n">
        <f aca="false">$F24*In_P50_Hours*(1-In_Curtailment)*(1-$E27)*(1-In_Degradation)^(P107-1)*P15*P$6</f>
        <v>0</v>
      </c>
      <c r="Q110" s="47" t="n">
        <f aca="false">$F24*In_P50_Hours*(1-In_Curtailment)*(1-$E27)*(1-In_Degradation)^(Q107-1)*Q15*Q$6</f>
        <v>0</v>
      </c>
      <c r="R110" s="47" t="n">
        <f aca="false">$F24*In_P50_Hours*(1-In_Curtailment)*(1-$E27)*(1-In_Degradation)^(R107-1)*R15*R$6</f>
        <v>0</v>
      </c>
      <c r="S110" s="47" t="n">
        <f aca="false">$F24*In_P50_Hours*(1-In_Curtailment)*(1-$E27)*(1-In_Degradation)^(S107-1)*S15*S$6</f>
        <v>0</v>
      </c>
      <c r="T110" s="47" t="n">
        <f aca="false">$F24*In_P50_Hours*(1-In_Curtailment)*(1-$E27)*(1-In_Degradation)^(T107-1)*T15*T$6</f>
        <v>0</v>
      </c>
      <c r="U110" s="47" t="n">
        <f aca="false">$F24*In_P50_Hours*(1-In_Curtailment)*(1-$E27)*(1-In_Degradation)^(U107-1)*U15*U$6</f>
        <v>0</v>
      </c>
      <c r="V110" s="47" t="n">
        <f aca="false">$F24*In_P50_Hours*(1-In_Curtailment)*(1-$E27)*(1-In_Degradation)^(V107-1)*V15*V$6</f>
        <v>0</v>
      </c>
      <c r="W110" s="47" t="n">
        <f aca="false">$F24*In_P50_Hours*(1-In_Curtailment)*(1-$E27)*(1-In_Degradation)^(W107-1)*W15*W$6</f>
        <v>0</v>
      </c>
      <c r="X110" s="47" t="n">
        <f aca="false">$F24*In_P50_Hours*(1-In_Curtailment)*(1-$E27)*(1-In_Degradation)^(X107-1)*X15*X$6</f>
        <v>0</v>
      </c>
      <c r="Y110" s="47" t="n">
        <f aca="false">$F24*In_P50_Hours*(1-In_Curtailment)*(1-$E27)*(1-In_Degradation)^(Y107-1)*Y15*Y$6</f>
        <v>0</v>
      </c>
      <c r="Z110" s="47" t="n">
        <f aca="false">$F24*In_P50_Hours*(1-In_Curtailment)*(1-$E27)*(1-In_Degradation)^(Z107-1)*Z15*Z$6</f>
        <v>0</v>
      </c>
      <c r="AA110" s="47" t="n">
        <f aca="false">$F24*In_P50_Hours*(1-In_Curtailment)*(1-$E27)*(1-In_Degradation)^(AA107-1)*AA15*AA$6</f>
        <v>0</v>
      </c>
      <c r="AB110" s="47" t="n">
        <f aca="false">$F24*In_P50_Hours*(1-In_Curtailment)*(1-$E27)*(1-In_Degradation)^(AB107-1)*AB15*AB$6</f>
        <v>0</v>
      </c>
      <c r="AC110" s="47" t="n">
        <f aca="false">$F24*In_P50_Hours*(1-In_Curtailment)*(1-$E27)*(1-In_Degradation)^(AC107-1)*AC15*AC$6</f>
        <v>0</v>
      </c>
      <c r="AD110" s="47" t="n">
        <f aca="false">$F24*In_P50_Hours*(1-In_Curtailment)*(1-$E27)*(1-In_Degradation)^(AD107-1)*AD15*AD$6</f>
        <v>0</v>
      </c>
      <c r="AE110" s="47" t="n">
        <f aca="false">$F24*In_P50_Hours*(1-In_Curtailment)*(1-$E27)*(1-In_Degradation)^(AE107-1)*AE15*AE$6</f>
        <v>60765.3698630137</v>
      </c>
      <c r="AF110" s="47" t="n">
        <f aca="false">$F24*In_P50_Hours*(1-In_Curtailment)*(1-$E27)*(1-In_Degradation)^(AF107-1)*AF15*AF$6</f>
        <v>60104.8767123288</v>
      </c>
      <c r="AG110" s="47" t="n">
        <f aca="false">$F24*In_P50_Hours*(1-In_Curtailment)*(1-$E27)*(1-In_Degradation)^(AG107-1)*AG15*AG$6</f>
        <v>60104.8767123288</v>
      </c>
      <c r="AH110" s="47" t="n">
        <f aca="false">$F24*In_P50_Hours*(1-In_Curtailment)*(1-$E27)*(1-In_Degradation)^(AH107-1)*AH15*AH$6</f>
        <v>60765.3698630137</v>
      </c>
      <c r="AI110" s="47" t="n">
        <f aca="false">$F24*In_P50_Hours*(1-In_Curtailment)*(1-$E27)*(1-In_Degradation)^(AI107-1)*AI15*AI$6</f>
        <v>60583.0737534247</v>
      </c>
      <c r="AJ110" s="47" t="n">
        <f aca="false">$F24*In_P50_Hours*(1-In_Curtailment)*(1-$E27)*(1-In_Degradation)^(AJ107-1)*AJ15*AJ$6</f>
        <v>59266.0504109589</v>
      </c>
      <c r="AK110" s="47" t="n">
        <f aca="false">$F24*In_P50_Hours*(1-In_Curtailment)*(1-$E27)*(1-In_Degradation)^(AK107-1)*AK15*AK$6</f>
        <v>59924.5620821918</v>
      </c>
      <c r="AL110" s="47" t="n">
        <f aca="false">$F24*In_P50_Hours*(1-In_Curtailment)*(1-$E27)*(1-In_Degradation)^(AL107-1)*AL15*AL$6</f>
        <v>60583.0737534247</v>
      </c>
      <c r="AM110" s="47" t="n">
        <f aca="false">$F24*In_P50_Hours*(1-In_Curtailment)*(1-$E27)*(1-In_Degradation)^(AM107-1)*AM15*AM$6</f>
        <v>60401.3245321644</v>
      </c>
      <c r="AN110" s="47" t="n">
        <f aca="false">$F24*In_P50_Hours*(1-In_Curtailment)*(1-$E27)*(1-In_Degradation)^(AN107-1)*AN15*AN$6</f>
        <v>59088.252259726</v>
      </c>
      <c r="AO110" s="47" t="n">
        <f aca="false">$F24*In_P50_Hours*(1-In_Curtailment)*(1-$E27)*(1-In_Degradation)^(AO107-1)*AO15*AO$6</f>
        <v>59744.7883959452</v>
      </c>
      <c r="AP110" s="47" t="n">
        <f aca="false">$F24*In_P50_Hours*(1-In_Curtailment)*(1-$E27)*(1-In_Degradation)^(AP107-1)*AP15*AP$6</f>
        <v>60401.3245321644</v>
      </c>
      <c r="AQ110" s="47" t="n">
        <f aca="false">$F24*In_P50_Hours*(1-In_Curtailment)*(1-$E27)*(1-In_Degradation)^(AQ107-1)*AQ15*AQ$6</f>
        <v>60220.1205585679</v>
      </c>
      <c r="AR110" s="47" t="n">
        <f aca="false">$F24*In_P50_Hours*(1-In_Curtailment)*(1-$E27)*(1-In_Degradation)^(AR107-1)*AR15*AR$6</f>
        <v>58910.9875029468</v>
      </c>
      <c r="AS110" s="47" t="n">
        <f aca="false">$F24*In_P50_Hours*(1-In_Curtailment)*(1-$E27)*(1-In_Degradation)^(AS107-1)*AS15*AS$6</f>
        <v>59565.5540307574</v>
      </c>
      <c r="AT110" s="47" t="n">
        <f aca="false">$F24*In_P50_Hours*(1-In_Curtailment)*(1-$E27)*(1-In_Degradation)^(AT107-1)*AT15*AT$6</f>
        <v>60220.1205585679</v>
      </c>
      <c r="AU110" s="47" t="n">
        <f aca="false">$F24*In_P50_Hours*(1-In_Curtailment)*(1-$E27)*(1-In_Degradation)^(AU107-1)*AU15*AU$6</f>
        <v>60039.4601968922</v>
      </c>
      <c r="AV110" s="47" t="n">
        <f aca="false">$F24*In_P50_Hours*(1-In_Curtailment)*(1-$E27)*(1-In_Degradation)^(AV107-1)*AV15*AV$6</f>
        <v>59386.8573686651</v>
      </c>
      <c r="AW110" s="47" t="n">
        <f aca="false">$F24*In_P50_Hours*(1-In_Curtailment)*(1-$E27)*(1-In_Degradation)^(AW107-1)*AW15*AW$6</f>
        <v>59386.8573686651</v>
      </c>
      <c r="AX110" s="47" t="n">
        <f aca="false">$F24*In_P50_Hours*(1-In_Curtailment)*(1-$E27)*(1-In_Degradation)^(AX107-1)*AX15*AX$6</f>
        <v>60039.4601968922</v>
      </c>
      <c r="AY110" s="47" t="n">
        <f aca="false">$F24*In_P50_Hours*(1-In_Curtailment)*(1-$E27)*(1-In_Degradation)^(AY107-1)*AY15*AY$6</f>
        <v>59859.3418163015</v>
      </c>
      <c r="AZ110" s="47" t="n">
        <f aca="false">$F24*In_P50_Hours*(1-In_Curtailment)*(1-$E27)*(1-In_Degradation)^(AZ107-1)*AZ15*AZ$6</f>
        <v>58558.0517768167</v>
      </c>
      <c r="BA110" s="47" t="n">
        <f aca="false">$F24*In_P50_Hours*(1-In_Curtailment)*(1-$E27)*(1-In_Degradation)^(BA107-1)*BA15*BA$6</f>
        <v>59208.6967965591</v>
      </c>
      <c r="BB110" s="47" t="n">
        <f aca="false">$F24*In_P50_Hours*(1-In_Curtailment)*(1-$E27)*(1-In_Degradation)^(BB107-1)*BB15*BB$6</f>
        <v>59859.3418163015</v>
      </c>
      <c r="BC110" s="47" t="n">
        <f aca="false">$F24*In_P50_Hours*(1-In_Curtailment)*(1-$E27)*(1-In_Degradation)^(BC107-1)*BC15*BC$6</f>
        <v>59679.7637908526</v>
      </c>
      <c r="BD110" s="47" t="n">
        <f aca="false">$F24*In_P50_Hours*(1-In_Curtailment)*(1-$E27)*(1-In_Degradation)^(BD107-1)*BD15*BD$6</f>
        <v>58382.3776214862</v>
      </c>
      <c r="BE110" s="47" t="n">
        <f aca="false">$F24*In_P50_Hours*(1-In_Curtailment)*(1-$E27)*(1-In_Degradation)^(BE107-1)*BE15*BE$6</f>
        <v>59031.0707061694</v>
      </c>
      <c r="BF110" s="47" t="n">
        <f aca="false">$F24*In_P50_Hours*(1-In_Curtailment)*(1-$E27)*(1-In_Degradation)^(BF107-1)*BF15*BF$6</f>
        <v>59679.7637908526</v>
      </c>
      <c r="BG110" s="47" t="n">
        <f aca="false">$F24*In_P50_Hours*(1-In_Curtailment)*(1-$E27)*(1-In_Degradation)^(BG107-1)*BG15*BG$6</f>
        <v>59500.7244994801</v>
      </c>
      <c r="BH110" s="47" t="n">
        <f aca="false">$F24*In_P50_Hours*(1-In_Curtailment)*(1-$E27)*(1-In_Degradation)^(BH107-1)*BH15*BH$6</f>
        <v>58207.2304886218</v>
      </c>
      <c r="BI110" s="47" t="n">
        <f aca="false">$F24*In_P50_Hours*(1-In_Curtailment)*(1-$E27)*(1-In_Degradation)^(BI107-1)*BI15*BI$6</f>
        <v>58853.9774940509</v>
      </c>
      <c r="BJ110" s="47" t="n">
        <f aca="false">$F24*In_P50_Hours*(1-In_Curtailment)*(1-$E27)*(1-In_Degradation)^(BJ107-1)*BJ15*BJ$6</f>
        <v>59500.7244994801</v>
      </c>
      <c r="BK110" s="47" t="n">
        <f aca="false">$F24*In_P50_Hours*(1-In_Curtailment)*(1-$E27)*(1-In_Degradation)^(BK107-1)*BK15*BK$6</f>
        <v>59322.2223259816</v>
      </c>
      <c r="BL110" s="47" t="n">
        <f aca="false">$F24*In_P50_Hours*(1-In_Curtailment)*(1-$E27)*(1-In_Degradation)^(BL107-1)*BL15*BL$6</f>
        <v>58677.4155615688</v>
      </c>
      <c r="BM110" s="47" t="n">
        <f aca="false">$F24*In_P50_Hours*(1-In_Curtailment)*(1-$E27)*(1-In_Degradation)^(BM107-1)*BM15*BM$6</f>
        <v>58677.4155615688</v>
      </c>
      <c r="BN110" s="47" t="n">
        <f aca="false">$F24*In_P50_Hours*(1-In_Curtailment)*(1-$E27)*(1-In_Degradation)^(BN107-1)*BN15*BN$6</f>
        <v>59322.2223259816</v>
      </c>
      <c r="BO110" s="47" t="n">
        <f aca="false">$F24*In_P50_Hours*(1-In_Curtailment)*(1-$E27)*(1-In_Degradation)^(BO107-1)*BO15*BO$6</f>
        <v>59144.2556590037</v>
      </c>
      <c r="BP110" s="47" t="n">
        <f aca="false">$F24*In_P50_Hours*(1-In_Curtailment)*(1-$E27)*(1-In_Degradation)^(BP107-1)*BP15*BP$6</f>
        <v>57858.5109707644</v>
      </c>
      <c r="BQ110" s="47" t="n">
        <f aca="false">$F24*In_P50_Hours*(1-In_Curtailment)*(1-$E27)*(1-In_Degradation)^(BQ107-1)*BQ15*BQ$6</f>
        <v>58501.3833148841</v>
      </c>
      <c r="BR110" s="47" t="n">
        <f aca="false">$F24*In_P50_Hours*(1-In_Curtailment)*(1-$E27)*(1-In_Degradation)^(BR107-1)*BR15*BR$6</f>
        <v>59144.2556590037</v>
      </c>
      <c r="BS110" s="47" t="n">
        <f aca="false">$F24*In_P50_Hours*(1-In_Curtailment)*(1-$E27)*(1-In_Degradation)^(BS107-1)*BS15*BS$6</f>
        <v>58966.8228920267</v>
      </c>
      <c r="BT110" s="47" t="n">
        <f aca="false">$F24*In_P50_Hours*(1-In_Curtailment)*(1-$E27)*(1-In_Degradation)^(BT107-1)*BT15*BT$6</f>
        <v>57684.9354378522</v>
      </c>
      <c r="BU110" s="47" t="n">
        <f aca="false">$F24*In_P50_Hours*(1-In_Curtailment)*(1-$E27)*(1-In_Degradation)^(BU107-1)*BU15*BU$6</f>
        <v>58325.8791649394</v>
      </c>
      <c r="BV110" s="47" t="n">
        <f aca="false">$F24*In_P50_Hours*(1-In_Curtailment)*(1-$E27)*(1-In_Degradation)^(BV107-1)*BV15*BV$6</f>
        <v>58966.8228920267</v>
      </c>
      <c r="BW110" s="47" t="n">
        <f aca="false">$F24*In_P50_Hours*(1-In_Curtailment)*(1-$E27)*(1-In_Degradation)^(BW107-1)*BW15*BW$6</f>
        <v>58789.9224233506</v>
      </c>
      <c r="BX110" s="47" t="n">
        <f aca="false">$F24*In_P50_Hours*(1-In_Curtailment)*(1-$E27)*(1-In_Degradation)^(BX107-1)*BX15*BX$6</f>
        <v>57511.8806315386</v>
      </c>
      <c r="BY110" s="47" t="n">
        <f aca="false">$F24*In_P50_Hours*(1-In_Curtailment)*(1-$E27)*(1-In_Degradation)^(BY107-1)*BY15*BY$6</f>
        <v>58150.9015274446</v>
      </c>
      <c r="BZ110" s="47" t="n">
        <f aca="false">$F24*In_P50_Hours*(1-In_Curtailment)*(1-$E27)*(1-In_Degradation)^(BZ107-1)*BZ15*BZ$6</f>
        <v>58789.9224233506</v>
      </c>
      <c r="CA110" s="47" t="n">
        <f aca="false">$F24*In_P50_Hours*(1-In_Curtailment)*(1-$E27)*(1-In_Degradation)^(CA107-1)*CA15*CA$6</f>
        <v>58613.5526560805</v>
      </c>
      <c r="CB110" s="47" t="n">
        <f aca="false">$F24*In_P50_Hours*(1-In_Curtailment)*(1-$E27)*(1-In_Degradation)^(CB107-1)*CB15*CB$6</f>
        <v>57976.4488228623</v>
      </c>
      <c r="CC110" s="47" t="n">
        <f aca="false">$F24*In_P50_Hours*(1-In_Curtailment)*(1-$E27)*(1-In_Degradation)^(CC107-1)*CC15*CC$6</f>
        <v>57976.4488228623</v>
      </c>
      <c r="CD110" s="47" t="n">
        <f aca="false">$F24*In_P50_Hours*(1-In_Curtailment)*(1-$E27)*(1-In_Degradation)^(CD107-1)*CD15*CD$6</f>
        <v>58613.5526560805</v>
      </c>
      <c r="CE110" s="47" t="n">
        <f aca="false">$F24*In_P50_Hours*(1-In_Curtailment)*(1-$E27)*(1-In_Degradation)^(CE107-1)*CE15*CE$6</f>
        <v>58437.7119981123</v>
      </c>
      <c r="CF110" s="47" t="n">
        <f aca="false">$F24*In_P50_Hours*(1-In_Curtailment)*(1-$E27)*(1-In_Degradation)^(CF107-1)*CF15*CF$6</f>
        <v>57167.326954675</v>
      </c>
      <c r="CG110" s="47" t="n">
        <f aca="false">$F24*In_P50_Hours*(1-In_Curtailment)*(1-$E27)*(1-In_Degradation)^(CG107-1)*CG15*CG$6</f>
        <v>57802.5194763937</v>
      </c>
      <c r="CH110" s="47" t="n">
        <f aca="false">$F24*In_P50_Hours*(1-In_Curtailment)*(1-$E27)*(1-In_Degradation)^(CH107-1)*CH15*CH$6</f>
        <v>58437.7119981123</v>
      </c>
      <c r="CI110" s="47" t="n">
        <f aca="false">$F24*In_P50_Hours*(1-In_Curtailment)*(1-$E27)*(1-In_Degradation)^(CI107-1)*CI15*CI$6</f>
        <v>58262.398862118</v>
      </c>
      <c r="CJ110" s="47" t="n">
        <f aca="false">$F24*In_P50_Hours*(1-In_Curtailment)*(1-$E27)*(1-In_Degradation)^(CJ107-1)*CJ15*CJ$6</f>
        <v>56995.824973811</v>
      </c>
      <c r="CK110" s="47" t="n">
        <f aca="false">$F24*In_P50_Hours*(1-In_Curtailment)*(1-$E27)*(1-In_Degradation)^(CK107-1)*CK15*CK$6</f>
        <v>57629.1119179645</v>
      </c>
      <c r="CL110" s="47" t="n">
        <f aca="false">$F24*In_P50_Hours*(1-In_Curtailment)*(1-$E27)*(1-In_Degradation)^(CL107-1)*CL15*CL$6</f>
        <v>58262.398862118</v>
      </c>
      <c r="CM110" s="47" t="n">
        <f aca="false">$F24*In_P50_Hours*(1-In_Curtailment)*(1-$E27)*(1-In_Degradation)^(CM107-1)*CM15*CM$6</f>
        <v>58087.6116655316</v>
      </c>
      <c r="CN110" s="47" t="n">
        <f aca="false">$F24*In_P50_Hours*(1-In_Curtailment)*(1-$E27)*(1-In_Degradation)^(CN107-1)*CN15*CN$6</f>
        <v>56824.8374988896</v>
      </c>
      <c r="CO110" s="47" t="n">
        <f aca="false">$F24*In_P50_Hours*(1-In_Curtailment)*(1-$E27)*(1-In_Degradation)^(CO107-1)*CO15*CO$6</f>
        <v>57456.2245822106</v>
      </c>
      <c r="CP110" s="47" t="n">
        <f aca="false">$F24*In_P50_Hours*(1-In_Curtailment)*(1-$E27)*(1-In_Degradation)^(CP107-1)*CP15*CP$6</f>
        <v>58087.6116655316</v>
      </c>
      <c r="CQ110" s="47" t="n">
        <f aca="false">$F24*In_P50_Hours*(1-In_Curtailment)*(1-$E27)*(1-In_Degradation)^(CQ107-1)*CQ15*CQ$6</f>
        <v>57913.348830535</v>
      </c>
      <c r="CR110" s="47" t="n">
        <f aca="false">$F24*In_P50_Hours*(1-In_Curtailment)*(1-$E27)*(1-In_Degradation)^(CR107-1)*CR15*CR$6</f>
        <v>57283.855908464</v>
      </c>
      <c r="CS110" s="47" t="n">
        <f aca="false">$F24*In_P50_Hours*(1-In_Curtailment)*(1-$E27)*(1-In_Degradation)^(CS107-1)*CS15*CS$6</f>
        <v>57283.855908464</v>
      </c>
      <c r="CT110" s="47" t="n">
        <f aca="false">$F24*In_P50_Hours*(1-In_Curtailment)*(1-$E27)*(1-In_Degradation)^(CT107-1)*CT15*CT$6</f>
        <v>57913.348830535</v>
      </c>
      <c r="CU110" s="47" t="n">
        <f aca="false">$F24*In_P50_Hours*(1-In_Curtailment)*(1-$E27)*(1-In_Degradation)^(CU107-1)*CU15*CU$6</f>
        <v>57739.6087840434</v>
      </c>
      <c r="CV110" s="47" t="n">
        <f aca="false">$F24*In_P50_Hours*(1-In_Curtailment)*(1-$E27)*(1-In_Degradation)^(CV107-1)*CV15*CV$6</f>
        <v>56484.3998974337</v>
      </c>
      <c r="CW110" s="47" t="n">
        <f aca="false">$F24*In_P50_Hours*(1-In_Curtailment)*(1-$E27)*(1-In_Degradation)^(CW107-1)*CW15*CW$6</f>
        <v>57112.0043407386</v>
      </c>
      <c r="CX110" s="47" t="n">
        <f aca="false">$F24*In_P50_Hours*(1-In_Curtailment)*(1-$E27)*(1-In_Degradation)^(CX107-1)*CX15*CX$6</f>
        <v>57739.6087840434</v>
      </c>
      <c r="CY110" s="47" t="n">
        <f aca="false">$F24*In_P50_Hours*(1-In_Curtailment)*(1-$E27)*(1-In_Degradation)^(CY107-1)*CY15*CY$6</f>
        <v>57566.3899576913</v>
      </c>
      <c r="CZ110" s="47" t="n">
        <f aca="false">$F24*In_P50_Hours*(1-In_Curtailment)*(1-$E27)*(1-In_Degradation)^(CZ107-1)*CZ15*CZ$6</f>
        <v>56314.9466977414</v>
      </c>
      <c r="DA110" s="47" t="n">
        <f aca="false">$F24*In_P50_Hours*(1-In_Curtailment)*(1-$E27)*(1-In_Degradation)^(DA107-1)*DA15*DA$6</f>
        <v>56940.6683277164</v>
      </c>
      <c r="DB110" s="47" t="n">
        <f aca="false">$F24*In_P50_Hours*(1-In_Curtailment)*(1-$E27)*(1-In_Degradation)^(DB107-1)*DB15*DB$6</f>
        <v>57566.3899576913</v>
      </c>
      <c r="DC110" s="47" t="n">
        <f aca="false">$F24*In_P50_Hours*(1-In_Curtailment)*(1-$E27)*(1-In_Degradation)^(DC107-1)*DC15*DC$6</f>
        <v>57393.6907878182</v>
      </c>
      <c r="DD110" s="47" t="n">
        <f aca="false">$F24*In_P50_Hours*(1-In_Curtailment)*(1-$E27)*(1-In_Degradation)^(DD107-1)*DD15*DD$6</f>
        <v>56146.0018576482</v>
      </c>
      <c r="DE110" s="47" t="n">
        <f aca="false">$F24*In_P50_Hours*(1-In_Curtailment)*(1-$E27)*(1-In_Degradation)^(DE107-1)*DE15*DE$6</f>
        <v>56769.8463227332</v>
      </c>
      <c r="DF110" s="47" t="n">
        <f aca="false">$F24*In_P50_Hours*(1-In_Curtailment)*(1-$E27)*(1-In_Degradation)^(DF107-1)*DF15*DF$6</f>
        <v>57393.6907878182</v>
      </c>
      <c r="DG110" s="47" t="n">
        <f aca="false">$F24*In_P50_Hours*(1-In_Curtailment)*(1-$E27)*(1-In_Degradation)^(DG107-1)*DG15*DG$6</f>
        <v>57221.5097154547</v>
      </c>
      <c r="DH110" s="47" t="n">
        <f aca="false">$F24*In_P50_Hours*(1-In_Curtailment)*(1-$E27)*(1-In_Degradation)^(DH107-1)*DH15*DH$6</f>
        <v>56599.536783765</v>
      </c>
      <c r="DI110" s="47" t="n">
        <f aca="false">$F24*In_P50_Hours*(1-In_Curtailment)*(1-$E27)*(1-In_Degradation)^(DI107-1)*DI15*DI$6</f>
        <v>56599.536783765</v>
      </c>
      <c r="DJ110" s="47" t="n">
        <f aca="false">$F24*In_P50_Hours*(1-In_Curtailment)*(1-$E27)*(1-In_Degradation)^(DJ107-1)*DJ15*DJ$6</f>
        <v>57221.5097154547</v>
      </c>
      <c r="DK110" s="47" t="n">
        <f aca="false">$F24*In_P50_Hours*(1-In_Curtailment)*(1-$E27)*(1-In_Degradation)^(DK107-1)*DK15*DK$6</f>
        <v>57049.8451863084</v>
      </c>
      <c r="DL110" s="47" t="n">
        <f aca="false">$F24*In_P50_Hours*(1-In_Curtailment)*(1-$E27)*(1-In_Degradation)^(DL107-1)*DL15*DL$6</f>
        <v>55809.6311605191</v>
      </c>
      <c r="DM110" s="47" t="n">
        <f aca="false">$F24*In_P50_Hours*(1-In_Curtailment)*(1-$E27)*(1-In_Degradation)^(DM107-1)*DM15*DM$6</f>
        <v>56429.7381734137</v>
      </c>
      <c r="DN110" s="47" t="n">
        <f aca="false">$F24*In_P50_Hours*(1-In_Curtailment)*(1-$E27)*(1-In_Degradation)^(DN107-1)*DN15*DN$6</f>
        <v>57049.8451863084</v>
      </c>
      <c r="DO110" s="47" t="n">
        <f aca="false">$F24*In_P50_Hours*(1-In_Curtailment)*(1-$E27)*(1-In_Degradation)^(DO107-1)*DO15*DO$6</f>
        <v>56878.6956507494</v>
      </c>
      <c r="DP110" s="47" t="n">
        <f aca="false">$F24*In_P50_Hours*(1-In_Curtailment)*(1-$E27)*(1-In_Degradation)^(DP107-1)*DP15*DP$6</f>
        <v>55642.2022670375</v>
      </c>
      <c r="DQ110" s="47" t="n">
        <f aca="false">$F24*In_P50_Hours*(1-In_Curtailment)*(1-$E27)*(1-In_Degradation)^(DQ107-1)*DQ15*DQ$6</f>
        <v>56260.4489588935</v>
      </c>
      <c r="DR110" s="47" t="n">
        <f aca="false">$F24*In_P50_Hours*(1-In_Curtailment)*(1-$E27)*(1-In_Degradation)^(DR107-1)*DR15*DR$6</f>
        <v>56878.6956507494</v>
      </c>
      <c r="DS110" s="47" t="n">
        <f aca="false">$F24*In_P50_Hours*(1-In_Curtailment)*(1-$E27)*(1-In_Degradation)^(DS107-1)*DS15*DS$6</f>
        <v>56708.0595637972</v>
      </c>
      <c r="DT110" s="47" t="n">
        <f aca="false">$F24*In_P50_Hours*(1-In_Curtailment)*(1-$E27)*(1-In_Degradation)^(DT107-1)*DT15*DT$6</f>
        <v>55475.2756602364</v>
      </c>
      <c r="DU110" s="47" t="n">
        <f aca="false">$F24*In_P50_Hours*(1-In_Curtailment)*(1-$E27)*(1-In_Degradation)^(DU107-1)*DU15*DU$6</f>
        <v>56091.6676120168</v>
      </c>
      <c r="DV110" s="47" t="n">
        <f aca="false">$F24*In_P50_Hours*(1-In_Curtailment)*(1-$E27)*(1-In_Degradation)^(DV107-1)*DV15*DV$6</f>
        <v>56708.0595637972</v>
      </c>
      <c r="DW110" s="47" t="n">
        <f aca="false">$F24*In_P50_Hours*(1-In_Curtailment)*(1-$E27)*(1-In_Degradation)^(DW107-1)*DW15*DW$6</f>
        <v>56537.9353851058</v>
      </c>
      <c r="DX110" s="47" t="n">
        <f aca="false">$F24*In_P50_Hours*(1-In_Curtailment)*(1-$E27)*(1-In_Degradation)^(DX107-1)*DX15*DX$6</f>
        <v>55923.3926091807</v>
      </c>
      <c r="DY110" s="47" t="n">
        <f aca="false">$F24*In_P50_Hours*(1-In_Curtailment)*(1-$E27)*(1-In_Degradation)^(DY107-1)*DY15*DY$6</f>
        <v>55923.3926091807</v>
      </c>
      <c r="DZ110" s="47" t="n">
        <f aca="false">$F24*In_P50_Hours*(1-In_Curtailment)*(1-$E27)*(1-In_Degradation)^(DZ107-1)*DZ15*DZ$6</f>
        <v>56537.9353851058</v>
      </c>
      <c r="EA110" s="47" t="n">
        <f aca="false">$F24*In_P50_Hours*(1-In_Curtailment)*(1-$E27)*(1-In_Degradation)^(EA107-1)*EA15*EA$6</f>
        <v>56368.3215789505</v>
      </c>
      <c r="EB110" s="47" t="n">
        <f aca="false">$F24*In_P50_Hours*(1-In_Curtailment)*(1-$E27)*(1-In_Degradation)^(EB107-1)*EB15*EB$6</f>
        <v>55142.9232837559</v>
      </c>
      <c r="EC110" s="47" t="n">
        <f aca="false">$F24*In_P50_Hours*(1-In_Curtailment)*(1-$E27)*(1-In_Degradation)^(EC107-1)*EC15*EC$6</f>
        <v>55755.6224313532</v>
      </c>
      <c r="ED110" s="47" t="n">
        <f aca="false">$F24*In_P50_Hours*(1-In_Curtailment)*(1-$E27)*(1-In_Degradation)^(ED107-1)*ED15*ED$6</f>
        <v>56368.3215789505</v>
      </c>
      <c r="EE110" s="47" t="n">
        <f aca="false">$F24*In_P50_Hours*(1-In_Curtailment)*(1-$E27)*(1-In_Degradation)^(EE107-1)*EE15*EE$6</f>
        <v>56199.2166142136</v>
      </c>
      <c r="EF110" s="47" t="n">
        <f aca="false">$F24*In_P50_Hours*(1-In_Curtailment)*(1-$E27)*(1-In_Degradation)^(EF107-1)*EF15*EF$6</f>
        <v>54977.4945139046</v>
      </c>
      <c r="EG110" s="47" t="n">
        <f aca="false">$F24*In_P50_Hours*(1-In_Curtailment)*(1-$E27)*(1-In_Degradation)^(EG107-1)*EG15*EG$6</f>
        <v>55588.3555640591</v>
      </c>
      <c r="EH110" s="47" t="n">
        <f aca="false">$F24*In_P50_Hours*(1-In_Curtailment)*(1-$E27)*(1-In_Degradation)^(EH107-1)*EH15*EH$6</f>
        <v>56199.2166142136</v>
      </c>
      <c r="EI110" s="47" t="n">
        <f aca="false">$F24*In_P50_Hours*(1-In_Curtailment)*(1-$E27)*(1-In_Degradation)^(EI107-1)*EI15*EI$6</f>
        <v>56030.618964371</v>
      </c>
      <c r="EJ110" s="47" t="n">
        <f aca="false">$F24*In_P50_Hours*(1-In_Curtailment)*(1-$E27)*(1-In_Degradation)^(EJ107-1)*EJ15*EJ$6</f>
        <v>54812.5620303629</v>
      </c>
      <c r="EK110" s="47" t="n">
        <f aca="false">$F24*In_P50_Hours*(1-In_Curtailment)*(1-$E27)*(1-In_Degradation)^(EK107-1)*EK15*EK$6</f>
        <v>55421.590497367</v>
      </c>
      <c r="EL110" s="47" t="n">
        <f aca="false">$F24*In_P50_Hours*(1-In_Curtailment)*(1-$E27)*(1-In_Degradation)^(EL107-1)*EL15*EL$6</f>
        <v>56030.618964371</v>
      </c>
      <c r="EM110" s="47" t="n">
        <f aca="false">$F24*In_P50_Hours*(1-In_Curtailment)*(1-$E27)*(1-In_Degradation)^(EM107-1)*EM15*EM$6</f>
        <v>55862.5271074779</v>
      </c>
      <c r="EN110" s="47" t="n">
        <f aca="false">$F24*In_P50_Hours*(1-In_Curtailment)*(1-$E27)*(1-In_Degradation)^(EN107-1)*EN15*EN$6</f>
        <v>55255.3257258749</v>
      </c>
      <c r="EO110" s="47" t="n">
        <f aca="false">$F24*In_P50_Hours*(1-In_Curtailment)*(1-$E27)*(1-In_Degradation)^(EO107-1)*EO15*EO$6</f>
        <v>55255.3257258749</v>
      </c>
      <c r="EP110" s="47" t="n">
        <f aca="false">$F24*In_P50_Hours*(1-In_Curtailment)*(1-$E27)*(1-In_Degradation)^(EP107-1)*EP15*EP$6</f>
        <v>55862.5271074779</v>
      </c>
      <c r="EQ110" s="47" t="n">
        <f aca="false">$F24*In_P50_Hours*(1-In_Curtailment)*(1-$E27)*(1-In_Degradation)^(EQ107-1)*EQ15*EQ$6</f>
        <v>55694.9395261554</v>
      </c>
      <c r="ER110" s="47" t="n">
        <f aca="false">$F24*In_P50_Hours*(1-In_Curtailment)*(1-$E27)*(1-In_Degradation)^(ER107-1)*ER15*ER$6</f>
        <v>54484.179971239</v>
      </c>
      <c r="ES110" s="47" t="n">
        <f aca="false">$F24*In_P50_Hours*(1-In_Curtailment)*(1-$E27)*(1-In_Degradation)^(ES107-1)*ES15*ES$6</f>
        <v>55089.5597486972</v>
      </c>
      <c r="ET110" s="47" t="n">
        <f aca="false">$F24*In_P50_Hours*(1-In_Curtailment)*(1-$E27)*(1-In_Degradation)^(ET107-1)*ET15*ET$6</f>
        <v>55694.9395261554</v>
      </c>
    </row>
    <row r="111" customFormat="false" ht="15" hidden="false" customHeight="false" outlineLevel="0" collapsed="false">
      <c r="C111" s="1" t="s">
        <v>525</v>
      </c>
      <c r="D111" s="12" t="s">
        <v>222</v>
      </c>
      <c r="I111" s="47" t="n">
        <f aca="false">SUM(J111:ET111)</f>
        <v>727113.739439716</v>
      </c>
      <c r="J111" s="47" t="n">
        <f aca="false">J110*J109/Thousand</f>
        <v>0</v>
      </c>
      <c r="K111" s="47" t="n">
        <f aca="false">K110*K109/Thousand</f>
        <v>0</v>
      </c>
      <c r="L111" s="47" t="n">
        <f aca="false">L110*L109/Thousand</f>
        <v>0</v>
      </c>
      <c r="M111" s="47" t="n">
        <f aca="false">M110*M109/Thousand</f>
        <v>0</v>
      </c>
      <c r="N111" s="47" t="n">
        <f aca="false">N110*N109/Thousand</f>
        <v>0</v>
      </c>
      <c r="O111" s="47" t="n">
        <f aca="false">O110*O109/Thousand</f>
        <v>0</v>
      </c>
      <c r="P111" s="47" t="n">
        <f aca="false">P110*P109/Thousand</f>
        <v>0</v>
      </c>
      <c r="Q111" s="47" t="n">
        <f aca="false">Q110*Q109/Thousand</f>
        <v>0</v>
      </c>
      <c r="R111" s="47" t="n">
        <f aca="false">R110*R109/Thousand</f>
        <v>0</v>
      </c>
      <c r="S111" s="47" t="n">
        <f aca="false">S110*S109/Thousand</f>
        <v>0</v>
      </c>
      <c r="T111" s="47" t="n">
        <f aca="false">T110*T109/Thousand</f>
        <v>0</v>
      </c>
      <c r="U111" s="47" t="n">
        <f aca="false">U110*U109/Thousand</f>
        <v>0</v>
      </c>
      <c r="V111" s="47" t="n">
        <f aca="false">V110*V109/Thousand</f>
        <v>0</v>
      </c>
      <c r="W111" s="47" t="n">
        <f aca="false">W110*W109/Thousand</f>
        <v>0</v>
      </c>
      <c r="X111" s="47" t="n">
        <f aca="false">X110*X109/Thousand</f>
        <v>0</v>
      </c>
      <c r="Y111" s="47" t="n">
        <f aca="false">Y110*Y109/Thousand</f>
        <v>0</v>
      </c>
      <c r="Z111" s="47" t="n">
        <f aca="false">Z110*Z109/Thousand</f>
        <v>0</v>
      </c>
      <c r="AA111" s="47" t="n">
        <f aca="false">AA110*AA109/Thousand</f>
        <v>0</v>
      </c>
      <c r="AB111" s="47" t="n">
        <f aca="false">AB110*AB109/Thousand</f>
        <v>0</v>
      </c>
      <c r="AC111" s="47" t="n">
        <f aca="false">AC110*AC109/Thousand</f>
        <v>0</v>
      </c>
      <c r="AD111" s="47" t="n">
        <f aca="false">AD110*AD109/Thousand</f>
        <v>0</v>
      </c>
      <c r="AE111" s="47" t="n">
        <f aca="false">AE110*AE109/Thousand</f>
        <v>5468.88328767123</v>
      </c>
      <c r="AF111" s="47" t="n">
        <f aca="false">AF110*AF109/Thousand</f>
        <v>5463.53329315069</v>
      </c>
      <c r="AG111" s="47" t="n">
        <f aca="false">AG110*AG109/Thousand</f>
        <v>5463.53329315069</v>
      </c>
      <c r="AH111" s="47" t="n">
        <f aca="false">AH110*AH109/Thousand</f>
        <v>5523.57212054795</v>
      </c>
      <c r="AI111" s="47" t="n">
        <f aca="false">AI110*AI109/Thousand</f>
        <v>5507.0014041863</v>
      </c>
      <c r="AJ111" s="47" t="n">
        <f aca="false">AJ110*AJ109/Thousand</f>
        <v>5441.15682217973</v>
      </c>
      <c r="AK111" s="47" t="n">
        <f aca="false">AK110*AK109/Thousand</f>
        <v>5501.61412020395</v>
      </c>
      <c r="AL111" s="47" t="n">
        <f aca="false">AL110*AL109/Thousand</f>
        <v>5562.07141822817</v>
      </c>
      <c r="AM111" s="47" t="n">
        <f aca="false">AM110*AM109/Thousand</f>
        <v>5545.38520397348</v>
      </c>
      <c r="AN111" s="47" t="n">
        <f aca="false">AN110*AN109/Thousand</f>
        <v>5479.08168523032</v>
      </c>
      <c r="AO111" s="47" t="n">
        <f aca="false">AO110*AO109/Thousand</f>
        <v>5539.96037062177</v>
      </c>
      <c r="AP111" s="47" t="n">
        <f aca="false">AP110*AP109/Thousand</f>
        <v>5600.83905601322</v>
      </c>
      <c r="AQ111" s="47" t="n">
        <f aca="false">AQ110*AQ109/Thousand</f>
        <v>5584.03653884518</v>
      </c>
      <c r="AR111" s="47" t="n">
        <f aca="false">AR110*AR109/Thousand</f>
        <v>5517.27088457637</v>
      </c>
      <c r="AS111" s="47" t="n">
        <f aca="false">AS110*AS109/Thousand</f>
        <v>5578.573894405</v>
      </c>
      <c r="AT111" s="47" t="n">
        <f aca="false">AT110*AT109/Thousand</f>
        <v>5639.87690423363</v>
      </c>
      <c r="AU111" s="47" t="n">
        <f aca="false">AU110*AU109/Thousand</f>
        <v>5622.95727352093</v>
      </c>
      <c r="AV111" s="47" t="n">
        <f aca="false">AV110*AV109/Thousand</f>
        <v>5617.456554449</v>
      </c>
      <c r="AW111" s="47" t="n">
        <f aca="false">AW110*AW109/Thousand</f>
        <v>5617.456554449</v>
      </c>
      <c r="AX111" s="47" t="n">
        <f aca="false">AX110*AX109/Thousand</f>
        <v>5679.18684625614</v>
      </c>
      <c r="AY111" s="47" t="n">
        <f aca="false">AY110*AY109/Thousand</f>
        <v>5662.14928571737</v>
      </c>
      <c r="AZ111" s="47" t="n">
        <f aca="false">AZ110*AZ109/Thousand</f>
        <v>5594.44967469249</v>
      </c>
      <c r="BA111" s="47" t="n">
        <f aca="false">BA110*BA109/Thousand</f>
        <v>5656.61022663352</v>
      </c>
      <c r="BB111" s="47" t="n">
        <f aca="false">BB110*BB109/Thousand</f>
        <v>5718.77077857454</v>
      </c>
      <c r="BC111" s="47" t="n">
        <f aca="false">BC110*BC109/Thousand</f>
        <v>5701.61446623882</v>
      </c>
      <c r="BD111" s="47" t="n">
        <f aca="false">BD110*BD109/Thousand</f>
        <v>5633.44298892509</v>
      </c>
      <c r="BE111" s="47" t="n">
        <f aca="false">BE110*BE109/Thousand</f>
        <v>5696.03679991315</v>
      </c>
      <c r="BF111" s="47" t="n">
        <f aca="false">BF110*BF109/Thousand</f>
        <v>5758.63061090121</v>
      </c>
      <c r="BG111" s="47" t="n">
        <f aca="false">BG110*BG109/Thousand</f>
        <v>5741.3547190685</v>
      </c>
      <c r="BH111" s="47" t="n">
        <f aca="false">BH110*BH109/Thousand</f>
        <v>5672.7080865579</v>
      </c>
      <c r="BI111" s="47" t="n">
        <f aca="false">BI110*BI109/Thousand</f>
        <v>5735.73817640854</v>
      </c>
      <c r="BJ111" s="47" t="n">
        <f aca="false">BJ110*BJ109/Thousand</f>
        <v>5798.76826625919</v>
      </c>
      <c r="BK111" s="47" t="n">
        <f aca="false">BK110*BK109/Thousand</f>
        <v>5781.37196146041</v>
      </c>
      <c r="BL111" s="47" t="n">
        <f aca="false">BL110*BL109/Thousand</f>
        <v>5775.71627149811</v>
      </c>
      <c r="BM111" s="47" t="n">
        <f aca="false">BM110*BM109/Thousand</f>
        <v>5775.71627149811</v>
      </c>
      <c r="BN111" s="47" t="n">
        <f aca="false">BN110*BN109/Thousand</f>
        <v>5839.18568107501</v>
      </c>
      <c r="BO111" s="47" t="n">
        <f aca="false">BO110*BO109/Thousand</f>
        <v>5821.66812403179</v>
      </c>
      <c r="BP111" s="47" t="n">
        <f aca="false">BP110*BP109/Thousand</f>
        <v>5752.0612225488</v>
      </c>
      <c r="BQ111" s="47" t="n">
        <f aca="false">BQ110*BQ109/Thousand</f>
        <v>5815.97301391045</v>
      </c>
      <c r="BR111" s="47" t="n">
        <f aca="false">BR110*BR109/Thousand</f>
        <v>5879.88480527211</v>
      </c>
      <c r="BS111" s="47" t="n">
        <f aca="false">BS110*BS109/Thousand</f>
        <v>5862.24515085629</v>
      </c>
      <c r="BT111" s="47" t="n">
        <f aca="false">BT110*BT109/Thousand</f>
        <v>5792.15308926996</v>
      </c>
      <c r="BU111" s="47" t="n">
        <f aca="false">BU110*BU109/Thousand</f>
        <v>5856.51034581741</v>
      </c>
      <c r="BV111" s="47" t="n">
        <f aca="false">BV110*BV109/Thousand</f>
        <v>5920.86760236485</v>
      </c>
      <c r="BW111" s="47" t="n">
        <f aca="false">BW110*BW109/Thousand</f>
        <v>5903.10499955776</v>
      </c>
      <c r="BX111" s="47" t="n">
        <f aca="false">BX110*BX109/Thousand</f>
        <v>5832.52439630218</v>
      </c>
      <c r="BY111" s="47" t="n">
        <f aca="false">BY110*BY109/Thousand</f>
        <v>5897.33022292776</v>
      </c>
      <c r="BZ111" s="47" t="n">
        <f aca="false">BZ110*BZ109/Thousand</f>
        <v>5962.13604955334</v>
      </c>
      <c r="CA111" s="47" t="n">
        <f aca="false">CA110*CA109/Thousand</f>
        <v>5944.24964140468</v>
      </c>
      <c r="CB111" s="47" t="n">
        <f aca="false">CB110*CB109/Thousand</f>
        <v>5938.43461458156</v>
      </c>
      <c r="CC111" s="47" t="n">
        <f aca="false">CC110*CC109/Thousand</f>
        <v>5938.43461458156</v>
      </c>
      <c r="CD111" s="47" t="n">
        <f aca="false">CD110*CD109/Thousand</f>
        <v>6003.69213781872</v>
      </c>
      <c r="CE111" s="47" t="n">
        <f aca="false">CE110*CE109/Thousand</f>
        <v>5985.68106140527</v>
      </c>
      <c r="CF111" s="47" t="n">
        <f aca="false">CF110*CF109/Thousand</f>
        <v>5914.11313567107</v>
      </c>
      <c r="CG111" s="47" t="n">
        <f aca="false">CG110*CG109/Thousand</f>
        <v>5979.8255038452</v>
      </c>
      <c r="CH111" s="47" t="n">
        <f aca="false">CH110*CH109/Thousand</f>
        <v>6045.53787201932</v>
      </c>
      <c r="CI111" s="47" t="n">
        <f aca="false">CI110*CI109/Thousand</f>
        <v>6027.40125840326</v>
      </c>
      <c r="CJ111" s="47" t="n">
        <f aca="false">CJ110*CJ109/Thousand</f>
        <v>5955.3345042267</v>
      </c>
      <c r="CK111" s="47" t="n">
        <f aca="false">CK110*CK109/Thousand</f>
        <v>6021.504887607</v>
      </c>
      <c r="CL111" s="47" t="n">
        <f aca="false">CL110*CL109/Thousand</f>
        <v>6087.67527098729</v>
      </c>
      <c r="CM111" s="47" t="n">
        <f aca="false">CM110*CM109/Thousand</f>
        <v>6069.41224517433</v>
      </c>
      <c r="CN111" s="47" t="n">
        <f aca="false">CN110*CN109/Thousand</f>
        <v>5996.84318572116</v>
      </c>
      <c r="CO111" s="47" t="n">
        <f aca="false">CO110*CO109/Thousand</f>
        <v>6063.47477667362</v>
      </c>
      <c r="CP111" s="47" t="n">
        <f aca="false">CP110*CP109/Thousand</f>
        <v>6130.10636762608</v>
      </c>
      <c r="CQ111" s="47" t="n">
        <f aca="false">CQ110*CQ109/Thousand</f>
        <v>6111.7160485232</v>
      </c>
      <c r="CR111" s="47" t="n">
        <f aca="false">CR110*CR109/Thousand</f>
        <v>6105.73719586703</v>
      </c>
      <c r="CS111" s="47" t="n">
        <f aca="false">CS110*CS109/Thousand</f>
        <v>6105.73719586703</v>
      </c>
      <c r="CT111" s="47" t="n">
        <f aca="false">CT110*CT109/Thousand</f>
        <v>6172.83320900843</v>
      </c>
      <c r="CU111" s="47" t="n">
        <f aca="false">CU110*CU109/Thousand</f>
        <v>6154.3147093814</v>
      </c>
      <c r="CV111" s="47" t="n">
        <f aca="false">CV110*CV109/Thousand</f>
        <v>6080.73051176923</v>
      </c>
      <c r="CW111" s="47" t="n">
        <f aca="false">CW110*CW109/Thousand</f>
        <v>6148.29418412223</v>
      </c>
      <c r="CX111" s="47" t="n">
        <f aca="false">CX110*CX109/Thousand</f>
        <v>6215.85785647522</v>
      </c>
      <c r="CY111" s="47" t="n">
        <f aca="false">CY110*CY109/Thousand</f>
        <v>6197.21028290579</v>
      </c>
      <c r="CZ111" s="47" t="n">
        <f aca="false">CZ110*CZ109/Thousand</f>
        <v>6123.11320343627</v>
      </c>
      <c r="DA111" s="47" t="n">
        <f aca="false">DA110*DA109/Thousand</f>
        <v>6191.14779458556</v>
      </c>
      <c r="DB111" s="47" t="n">
        <f aca="false">DB110*DB109/Thousand</f>
        <v>6259.18238573485</v>
      </c>
      <c r="DC111" s="47" t="n">
        <f aca="false">DC110*DC109/Thousand</f>
        <v>6240.40483857765</v>
      </c>
      <c r="DD111" s="47" t="n">
        <f aca="false">DD110*DD109/Thousand</f>
        <v>6165.79130246422</v>
      </c>
      <c r="DE111" s="47" t="n">
        <f aca="false">DE110*DE109/Thousand</f>
        <v>6234.30009471382</v>
      </c>
      <c r="DF111" s="47" t="n">
        <f aca="false">DF110*DF109/Thousand</f>
        <v>6302.80888696342</v>
      </c>
      <c r="DG111" s="47" t="n">
        <f aca="false">DG110*DG109/Thousand</f>
        <v>6283.90046030253</v>
      </c>
      <c r="DH111" s="47" t="n">
        <f aca="false">DH110*DH109/Thousand</f>
        <v>6277.75316637398</v>
      </c>
      <c r="DI111" s="47" t="n">
        <f aca="false">DI110*DI109/Thousand</f>
        <v>6277.75316637398</v>
      </c>
      <c r="DJ111" s="47" t="n">
        <f aca="false">DJ110*DJ109/Thousand</f>
        <v>6346.73946490556</v>
      </c>
      <c r="DK111" s="47" t="n">
        <f aca="false">DK110*DK109/Thousand</f>
        <v>6327.69924651084</v>
      </c>
      <c r="DL111" s="47" t="n">
        <f aca="false">DL110*DL109/Thousand</f>
        <v>6252.04197291125</v>
      </c>
      <c r="DM111" s="47" t="n">
        <f aca="false">DM110*DM109/Thousand</f>
        <v>6321.5091059436</v>
      </c>
      <c r="DN111" s="47" t="n">
        <f aca="false">DN110*DN109/Thousand</f>
        <v>6390.97623897595</v>
      </c>
      <c r="DO111" s="47" t="n">
        <f aca="false">DO110*DO109/Thousand</f>
        <v>6371.80331025902</v>
      </c>
      <c r="DP111" s="47" t="n">
        <f aca="false">DP110*DP109/Thousand</f>
        <v>6295.61870546244</v>
      </c>
      <c r="DQ111" s="47" t="n">
        <f aca="false">DQ110*DQ109/Thousand</f>
        <v>6365.57002441203</v>
      </c>
      <c r="DR111" s="47" t="n">
        <f aca="false">DR110*DR109/Thousand</f>
        <v>6435.52134336161</v>
      </c>
      <c r="DS111" s="47" t="n">
        <f aca="false">DS110*DS109/Thousand</f>
        <v>6416.21477933153</v>
      </c>
      <c r="DT111" s="47" t="n">
        <f aca="false">DT110*DT109/Thousand</f>
        <v>6339.49916783952</v>
      </c>
      <c r="DU111" s="47" t="n">
        <f aca="false">DU110*DU109/Thousand</f>
        <v>6409.93804748218</v>
      </c>
      <c r="DV111" s="47" t="n">
        <f aca="false">DV110*DV109/Thousand</f>
        <v>6480.37692712484</v>
      </c>
      <c r="DW111" s="47" t="n">
        <f aca="false">DW110*DW109/Thousand</f>
        <v>6460.93579634347</v>
      </c>
      <c r="DX111" s="47" t="n">
        <f aca="false">DX110*DX109/Thousand</f>
        <v>6454.61531567313</v>
      </c>
      <c r="DY111" s="47" t="n">
        <f aca="false">DY110*DY109/Thousand</f>
        <v>6454.61531567313</v>
      </c>
      <c r="DZ111" s="47" t="n">
        <f aca="false">DZ110*DZ109/Thousand</f>
        <v>6525.5451543069</v>
      </c>
      <c r="EA111" s="47" t="n">
        <f aca="false">EA110*EA109/Thousand</f>
        <v>6505.96851884398</v>
      </c>
      <c r="EB111" s="47" t="n">
        <f aca="false">EB110*EB109/Thousand</f>
        <v>6428.17976481433</v>
      </c>
      <c r="EC111" s="47" t="n">
        <f aca="false">EC110*EC109/Thousand</f>
        <v>6499.60398442337</v>
      </c>
      <c r="ED111" s="47" t="n">
        <f aca="false">ED110*ED109/Thousand</f>
        <v>6571.02820403242</v>
      </c>
      <c r="EE111" s="47" t="n">
        <f aca="false">EE110*EE109/Thousand</f>
        <v>6551.31511942033</v>
      </c>
      <c r="EF111" s="47" t="n">
        <f aca="false">EF110*EF109/Thousand</f>
        <v>6472.98417777508</v>
      </c>
      <c r="EG111" s="47" t="n">
        <f aca="false">EG110*EG109/Thousand</f>
        <v>6544.90622419481</v>
      </c>
      <c r="EH111" s="47" t="n">
        <f aca="false">EH110*EH109/Thousand</f>
        <v>6616.82827061453</v>
      </c>
      <c r="EI111" s="47" t="n">
        <f aca="false">EI110*EI109/Thousand</f>
        <v>6596.97778580269</v>
      </c>
      <c r="EJ111" s="47" t="n">
        <f aca="false">EJ110*EJ109/Thousand</f>
        <v>6518.10087749417</v>
      </c>
      <c r="EK111" s="47" t="n">
        <f aca="false">EK110*EK109/Thousand</f>
        <v>6590.52422057744</v>
      </c>
      <c r="EL111" s="47" t="n">
        <f aca="false">EL110*EL109/Thousand</f>
        <v>6662.94756366071</v>
      </c>
      <c r="EM111" s="47" t="n">
        <f aca="false">EM110*EM109/Thousand</f>
        <v>6642.95872096973</v>
      </c>
      <c r="EN111" s="47" t="n">
        <f aca="false">EN110*EN109/Thousand</f>
        <v>6636.46017439487</v>
      </c>
      <c r="EO111" s="47" t="n">
        <f aca="false">EO110*EO109/Thousand</f>
        <v>6636.46017439487</v>
      </c>
      <c r="EP111" s="47" t="n">
        <f aca="false">EP110*EP109/Thousand</f>
        <v>6709.38830817943</v>
      </c>
      <c r="EQ111" s="47" t="n">
        <f aca="false">EQ110*EQ109/Thousand</f>
        <v>6689.26014325489</v>
      </c>
      <c r="ER111" s="47" t="n">
        <f aca="false">ER110*ER109/Thousand</f>
        <v>6609.27985893336</v>
      </c>
      <c r="ES111" s="47" t="n">
        <f aca="false">ES110*ES109/Thousand</f>
        <v>6682.7163018104</v>
      </c>
      <c r="ET111" s="47" t="n">
        <f aca="false">ET110*ET109/Thousand</f>
        <v>6756.15274468744</v>
      </c>
    </row>
    <row r="112" customFormat="false" ht="15" hidden="false" customHeight="false" outlineLevel="0" collapsed="false">
      <c r="C112" s="1" t="s">
        <v>526</v>
      </c>
      <c r="D112" s="12" t="s">
        <v>222</v>
      </c>
      <c r="I112" s="47" t="n">
        <f aca="false">SUM(J112:ET112)</f>
        <v>-51382.5373327149</v>
      </c>
      <c r="J112" s="47" t="n">
        <f aca="false">-In_Var_Opex*J110*J108/Thousand</f>
        <v>-0</v>
      </c>
      <c r="K112" s="47" t="n">
        <f aca="false">-In_Var_Opex*K110*K108/Thousand</f>
        <v>-0</v>
      </c>
      <c r="L112" s="47" t="n">
        <f aca="false">-In_Var_Opex*L110*L108/Thousand</f>
        <v>-0</v>
      </c>
      <c r="M112" s="47" t="n">
        <f aca="false">-In_Var_Opex*M110*M108/Thousand</f>
        <v>-0</v>
      </c>
      <c r="N112" s="47" t="n">
        <f aca="false">-In_Var_Opex*N110*N108/Thousand</f>
        <v>-0</v>
      </c>
      <c r="O112" s="47" t="n">
        <f aca="false">-In_Var_Opex*O110*O108/Thousand</f>
        <v>-0</v>
      </c>
      <c r="P112" s="47" t="n">
        <f aca="false">-In_Var_Opex*P110*P108/Thousand</f>
        <v>-0</v>
      </c>
      <c r="Q112" s="47" t="n">
        <f aca="false">-In_Var_Opex*Q110*Q108/Thousand</f>
        <v>-0</v>
      </c>
      <c r="R112" s="47" t="n">
        <f aca="false">-In_Var_Opex*R110*R108/Thousand</f>
        <v>-0</v>
      </c>
      <c r="S112" s="47" t="n">
        <f aca="false">-In_Var_Opex*S110*S108/Thousand</f>
        <v>-0</v>
      </c>
      <c r="T112" s="47" t="n">
        <f aca="false">-In_Var_Opex*T110*T108/Thousand</f>
        <v>-0</v>
      </c>
      <c r="U112" s="47" t="n">
        <f aca="false">-In_Var_Opex*U110*U108/Thousand</f>
        <v>-0</v>
      </c>
      <c r="V112" s="47" t="n">
        <f aca="false">-In_Var_Opex*V110*V108/Thousand</f>
        <v>-0</v>
      </c>
      <c r="W112" s="47" t="n">
        <f aca="false">-In_Var_Opex*W110*W108/Thousand</f>
        <v>-0</v>
      </c>
      <c r="X112" s="47" t="n">
        <f aca="false">-In_Var_Opex*X110*X108/Thousand</f>
        <v>-0</v>
      </c>
      <c r="Y112" s="47" t="n">
        <f aca="false">-In_Var_Opex*Y110*Y108/Thousand</f>
        <v>-0</v>
      </c>
      <c r="Z112" s="47" t="n">
        <f aca="false">-In_Var_Opex*Z110*Z108/Thousand</f>
        <v>-0</v>
      </c>
      <c r="AA112" s="47" t="n">
        <f aca="false">-In_Var_Opex*AA110*AA108/Thousand</f>
        <v>-0</v>
      </c>
      <c r="AB112" s="47" t="n">
        <f aca="false">-In_Var_Opex*AB110*AB108/Thousand</f>
        <v>-0</v>
      </c>
      <c r="AC112" s="47" t="n">
        <f aca="false">-In_Var_Opex*AC110*AC108/Thousand</f>
        <v>-0</v>
      </c>
      <c r="AD112" s="47" t="n">
        <f aca="false">-In_Var_Opex*AD110*AD108/Thousand</f>
        <v>-0</v>
      </c>
      <c r="AE112" s="47" t="n">
        <f aca="false">-In_Var_Opex*AE110*AE108/Thousand</f>
        <v>-303.826849315069</v>
      </c>
      <c r="AF112" s="47" t="n">
        <f aca="false">-In_Var_Opex*AF110*AF108/Thousand</f>
        <v>-308.037493150685</v>
      </c>
      <c r="AG112" s="47" t="n">
        <f aca="false">-In_Var_Opex*AG110*AG108/Thousand</f>
        <v>-308.037493150685</v>
      </c>
      <c r="AH112" s="47" t="n">
        <f aca="false">-In_Var_Opex*AH110*AH108/Thousand</f>
        <v>-311.422520547945</v>
      </c>
      <c r="AI112" s="47" t="n">
        <f aca="false">-In_Var_Opex*AI110*AI108/Thousand</f>
        <v>-310.488252986301</v>
      </c>
      <c r="AJ112" s="47" t="n">
        <f aca="false">-In_Var_Opex*AJ110*AJ108/Thousand</f>
        <v>-311.331971065068</v>
      </c>
      <c r="AK112" s="47" t="n">
        <f aca="false">-In_Var_Opex*AK110*AK108/Thousand</f>
        <v>-314.791215188014</v>
      </c>
      <c r="AL112" s="47" t="n">
        <f aca="false">-In_Var_Opex*AL110*AL108/Thousand</f>
        <v>-318.250459310959</v>
      </c>
      <c r="AM112" s="47" t="n">
        <f aca="false">-In_Var_Opex*AM110*AM108/Thousand</f>
        <v>-317.295707933026</v>
      </c>
      <c r="AN112" s="47" t="n">
        <f aca="false">-In_Var_Opex*AN110*AN108/Thousand</f>
        <v>-318.15792453067</v>
      </c>
      <c r="AO112" s="47" t="n">
        <f aca="false">-In_Var_Opex*AO110*AO108/Thousand</f>
        <v>-321.693012581011</v>
      </c>
      <c r="AP112" s="47" t="n">
        <f aca="false">-In_Var_Opex*AP110*AP108/Thousand</f>
        <v>-325.228100631352</v>
      </c>
      <c r="AQ112" s="47" t="n">
        <f aca="false">-In_Var_Opex*AQ110*AQ108/Thousand</f>
        <v>-324.252416329458</v>
      </c>
      <c r="AR112" s="47" t="n">
        <f aca="false">-In_Var_Opex*AR110*AR108/Thousand</f>
        <v>-325.133537026005</v>
      </c>
      <c r="AS112" s="47" t="n">
        <f aca="false">-In_Var_Opex*AS110*AS108/Thousand</f>
        <v>-328.746131881849</v>
      </c>
      <c r="AT112" s="47" t="n">
        <f aca="false">-In_Var_Opex*AT110*AT108/Thousand</f>
        <v>-332.358726737694</v>
      </c>
      <c r="AU112" s="47" t="n">
        <f aca="false">-In_Var_Opex*AU110*AU108/Thousand</f>
        <v>-331.361650557481</v>
      </c>
      <c r="AV112" s="47" t="n">
        <f aca="false">-In_Var_Opex*AV110*AV108/Thousand</f>
        <v>-335.953890823359</v>
      </c>
      <c r="AW112" s="47" t="n">
        <f aca="false">-In_Var_Opex*AW110*AW108/Thousand</f>
        <v>-335.953890823359</v>
      </c>
      <c r="AX112" s="47" t="n">
        <f aca="false">-In_Var_Opex*AX110*AX108/Thousand</f>
        <v>-339.645691821418</v>
      </c>
      <c r="AY112" s="47" t="n">
        <f aca="false">-In_Var_Opex*AY110*AY108/Thousand</f>
        <v>-338.626754745954</v>
      </c>
      <c r="AZ112" s="47" t="n">
        <f aca="false">-In_Var_Opex*AZ110*AZ108/Thousand</f>
        <v>-339.54693614472</v>
      </c>
      <c r="BA112" s="47" t="n">
        <f aca="false">-In_Var_Opex*BA110*BA108/Thousand</f>
        <v>-343.319679879661</v>
      </c>
      <c r="BB112" s="47" t="n">
        <f aca="false">-In_Var_Opex*BB110*BB108/Thousand</f>
        <v>-347.092423614602</v>
      </c>
      <c r="BC112" s="47" t="n">
        <f aca="false">-In_Var_Opex*BC110*BC108/Thousand</f>
        <v>-346.051146343759</v>
      </c>
      <c r="BD112" s="47" t="n">
        <f aca="false">-In_Var_Opex*BD110*BD108/Thousand</f>
        <v>-346.991502719693</v>
      </c>
      <c r="BE112" s="47" t="n">
        <f aca="false">-In_Var_Opex*BE110*BE108/Thousand</f>
        <v>-350.846963861023</v>
      </c>
      <c r="BF112" s="47" t="n">
        <f aca="false">-In_Var_Opex*BF110*BF108/Thousand</f>
        <v>-354.702425002353</v>
      </c>
      <c r="BG112" s="47" t="n">
        <f aca="false">-In_Var_Opex*BG110*BG108/Thousand</f>
        <v>-353.638317727346</v>
      </c>
      <c r="BH112" s="47" t="n">
        <f aca="false">-In_Var_Opex*BH110*BH108/Thousand</f>
        <v>-354.599291416822</v>
      </c>
      <c r="BI112" s="47" t="n">
        <f aca="false">-In_Var_Opex*BI110*BI108/Thousand</f>
        <v>-358.539283543675</v>
      </c>
      <c r="BJ112" s="47" t="n">
        <f aca="false">-In_Var_Opex*BJ110*BJ108/Thousand</f>
        <v>-362.479275670529</v>
      </c>
      <c r="BK112" s="47" t="n">
        <f aca="false">-In_Var_Opex*BK110*BK108/Thousand</f>
        <v>-361.391837843517</v>
      </c>
      <c r="BL112" s="47" t="n">
        <f aca="false">-In_Var_Opex*BL110*BL108/Thousand</f>
        <v>-366.400257335371</v>
      </c>
      <c r="BM112" s="47" t="n">
        <f aca="false">-In_Var_Opex*BM110*BM108/Thousand</f>
        <v>-366.400257335371</v>
      </c>
      <c r="BN112" s="47" t="n">
        <f aca="false">-In_Var_Opex*BN110*BN108/Thousand</f>
        <v>-370.426633789605</v>
      </c>
      <c r="BO112" s="47" t="n">
        <f aca="false">-In_Var_Opex*BO110*BO108/Thousand</f>
        <v>-369.315353888237</v>
      </c>
      <c r="BP112" s="47" t="n">
        <f aca="false">-In_Var_Opex*BP110*BP108/Thousand</f>
        <v>-370.318928219455</v>
      </c>
      <c r="BQ112" s="47" t="n">
        <f aca="false">-In_Var_Opex*BQ110*BQ108/Thousand</f>
        <v>-374.433582977449</v>
      </c>
      <c r="BR112" s="47" t="n">
        <f aca="false">-In_Var_Opex*BR110*BR108/Thousand</f>
        <v>-378.548237735442</v>
      </c>
      <c r="BS112" s="47" t="n">
        <f aca="false">-In_Var_Opex*BS110*BS108/Thousand</f>
        <v>-377.412593022236</v>
      </c>
      <c r="BT112" s="47" t="n">
        <f aca="false">-In_Var_Opex*BT110*BT108/Thousand</f>
        <v>-378.438170720666</v>
      </c>
      <c r="BU112" s="47" t="n">
        <f aca="false">-In_Var_Opex*BU110*BU108/Thousand</f>
        <v>-382.643039284229</v>
      </c>
      <c r="BV112" s="47" t="n">
        <f aca="false">-In_Var_Opex*BV110*BV108/Thousand</f>
        <v>-386.847907847792</v>
      </c>
      <c r="BW112" s="47" t="n">
        <f aca="false">-In_Var_Opex*BW110*BW108/Thousand</f>
        <v>-385.687364124249</v>
      </c>
      <c r="BX112" s="47" t="n">
        <f aca="false">-In_Var_Opex*BX110*BX108/Thousand</f>
        <v>-386.735427613717</v>
      </c>
      <c r="BY112" s="47" t="n">
        <f aca="false">-In_Var_Opex*BY110*BY108/Thousand</f>
        <v>-391.032487920536</v>
      </c>
      <c r="BZ112" s="47" t="n">
        <f aca="false">-In_Var_Opex*BZ110*BZ108/Thousand</f>
        <v>-395.329548227355</v>
      </c>
      <c r="CA112" s="47" t="n">
        <f aca="false">-In_Var_Opex*CA110*CA108/Thousand</f>
        <v>-394.143559582673</v>
      </c>
      <c r="CB112" s="47" t="n">
        <f aca="false">-In_Var_Opex*CB110*CB108/Thousand</f>
        <v>-399.605875218193</v>
      </c>
      <c r="CC112" s="47" t="n">
        <f aca="false">-In_Var_Opex*CC110*CC108/Thousand</f>
        <v>-399.605875218193</v>
      </c>
      <c r="CD112" s="47" t="n">
        <f aca="false">-In_Var_Opex*CD110*CD108/Thousand</f>
        <v>-403.99714857224</v>
      </c>
      <c r="CE112" s="47" t="n">
        <f aca="false">-In_Var_Opex*CE110*CE108/Thousand</f>
        <v>-402.785157126523</v>
      </c>
      <c r="CF112" s="47" t="n">
        <f aca="false">-In_Var_Opex*CF110*CF108/Thousand</f>
        <v>-403.879682010019</v>
      </c>
      <c r="CG112" s="47" t="n">
        <f aca="false">-In_Var_Opex*CG110*CG108/Thousand</f>
        <v>-408.367234032352</v>
      </c>
      <c r="CH112" s="47" t="n">
        <f aca="false">-In_Var_Opex*CH110*CH108/Thousand</f>
        <v>-412.854786054686</v>
      </c>
      <c r="CI112" s="47" t="n">
        <f aca="false">-In_Var_Opex*CI110*CI108/Thousand</f>
        <v>-411.616221696522</v>
      </c>
      <c r="CJ112" s="47" t="n">
        <f aca="false">-In_Var_Opex*CJ110*CJ108/Thousand</f>
        <v>-412.734744038088</v>
      </c>
      <c r="CK112" s="47" t="n">
        <f aca="false">-In_Var_Opex*CK110*CK108/Thousand</f>
        <v>-417.320685638512</v>
      </c>
      <c r="CL112" s="47" t="n">
        <f aca="false">-In_Var_Opex*CL110*CL108/Thousand</f>
        <v>-421.906627238935</v>
      </c>
      <c r="CM112" s="47" t="n">
        <f aca="false">-In_Var_Opex*CM110*CM108/Thousand</f>
        <v>-420.640907357218</v>
      </c>
      <c r="CN112" s="47" t="n">
        <f aca="false">-In_Var_Opex*CN110*CN108/Thousand</f>
        <v>-421.783953301123</v>
      </c>
      <c r="CO112" s="47" t="n">
        <f aca="false">-In_Var_Opex*CO110*CO108/Thousand</f>
        <v>-426.470441671136</v>
      </c>
      <c r="CP112" s="47" t="n">
        <f aca="false">-In_Var_Opex*CP110*CP108/Thousand</f>
        <v>-431.156930041149</v>
      </c>
      <c r="CQ112" s="47" t="n">
        <f aca="false">-In_Var_Opex*CQ110*CQ108/Thousand</f>
        <v>-429.863459251025</v>
      </c>
      <c r="CR112" s="47" t="n">
        <f aca="false">-In_Var_Opex*CR110*CR108/Thousand</f>
        <v>-435.820806104776</v>
      </c>
      <c r="CS112" s="47" t="n">
        <f aca="false">-In_Var_Opex*CS110*CS108/Thousand</f>
        <v>-435.820806104776</v>
      </c>
      <c r="CT112" s="47" t="n">
        <f aca="false">-In_Var_Opex*CT110*CT108/Thousand</f>
        <v>-440.610045732301</v>
      </c>
      <c r="CU112" s="47" t="n">
        <f aca="false">-In_Var_Opex*CU110*CU108/Thousand</f>
        <v>-439.288215595104</v>
      </c>
      <c r="CV112" s="47" t="n">
        <f aca="false">-In_Var_Opex*CV110*CV108/Thousand</f>
        <v>-440.481933572264</v>
      </c>
      <c r="CW112" s="47" t="n">
        <f aca="false">-In_Var_Opex*CW110*CW108/Thousand</f>
        <v>-445.376177278623</v>
      </c>
      <c r="CX112" s="47" t="n">
        <f aca="false">-In_Var_Opex*CX110*CX108/Thousand</f>
        <v>-450.270420984981</v>
      </c>
      <c r="CY112" s="47" t="n">
        <f aca="false">-In_Var_Opex*CY110*CY108/Thousand</f>
        <v>-448.919609722026</v>
      </c>
      <c r="CZ112" s="47" t="n">
        <f aca="false">-In_Var_Opex*CZ110*CZ108/Thousand</f>
        <v>-450.139499965836</v>
      </c>
      <c r="DA112" s="47" t="n">
        <f aca="false">-In_Var_Opex*DA110*DA108/Thousand</f>
        <v>-455.141049965457</v>
      </c>
      <c r="DB112" s="47" t="n">
        <f aca="false">-In_Var_Opex*DB110*DB108/Thousand</f>
        <v>-460.142599965077</v>
      </c>
      <c r="DC112" s="47" t="n">
        <f aca="false">-In_Var_Opex*DC110*DC108/Thousand</f>
        <v>-458.762172165182</v>
      </c>
      <c r="DD112" s="47" t="n">
        <f aca="false">-In_Var_Opex*DD110*DD108/Thousand</f>
        <v>-460.008808502587</v>
      </c>
      <c r="DE112" s="47" t="n">
        <f aca="false">-In_Var_Opex*DE110*DE108/Thousand</f>
        <v>-465.120017485949</v>
      </c>
      <c r="DF112" s="47" t="n">
        <f aca="false">-In_Var_Opex*DF110*DF108/Thousand</f>
        <v>-470.231226469311</v>
      </c>
      <c r="DG112" s="47" t="n">
        <f aca="false">-In_Var_Opex*DG110*DG108/Thousand</f>
        <v>-468.820532789903</v>
      </c>
      <c r="DH112" s="47" t="n">
        <f aca="false">-In_Var_Opex*DH110*DH108/Thousand</f>
        <v>-475.317773869328</v>
      </c>
      <c r="DI112" s="47" t="n">
        <f aca="false">-In_Var_Opex*DI110*DI108/Thousand</f>
        <v>-475.317773869328</v>
      </c>
      <c r="DJ112" s="47" t="n">
        <f aca="false">-In_Var_Opex*DJ110*DJ108/Thousand</f>
        <v>-480.541046109651</v>
      </c>
      <c r="DK112" s="47" t="n">
        <f aca="false">-In_Var_Opex*DK110*DK108/Thousand</f>
        <v>-479.099422971322</v>
      </c>
      <c r="DL112" s="47" t="n">
        <f aca="false">-In_Var_Opex*DL110*DL108/Thousand</f>
        <v>-480.401323577222</v>
      </c>
      <c r="DM112" s="47" t="n">
        <f aca="false">-In_Var_Opex*DM110*DM108/Thousand</f>
        <v>-485.739116061413</v>
      </c>
      <c r="DN112" s="47" t="n">
        <f aca="false">-In_Var_Opex*DN110*DN108/Thousand</f>
        <v>-491.076908545605</v>
      </c>
      <c r="DO112" s="47" t="n">
        <f aca="false">-In_Var_Opex*DO110*DO108/Thousand</f>
        <v>-489.603677819968</v>
      </c>
      <c r="DP112" s="47" t="n">
        <f aca="false">-In_Var_Opex*DP110*DP108/Thousand</f>
        <v>-490.934122596653</v>
      </c>
      <c r="DQ112" s="47" t="n">
        <f aca="false">-In_Var_Opex*DQ110*DQ108/Thousand</f>
        <v>-496.38894618106</v>
      </c>
      <c r="DR112" s="47" t="n">
        <f aca="false">-In_Var_Opex*DR110*DR108/Thousand</f>
        <v>-501.843769765467</v>
      </c>
      <c r="DS112" s="47" t="n">
        <f aca="false">-In_Var_Opex*DS110*DS108/Thousand</f>
        <v>-500.338238456171</v>
      </c>
      <c r="DT112" s="47" t="n">
        <f aca="false">-In_Var_Opex*DT110*DT108/Thousand</f>
        <v>-501.697853234584</v>
      </c>
      <c r="DU112" s="47" t="n">
        <f aca="false">-In_Var_Opex*DU110*DU108/Thousand</f>
        <v>-507.27227382608</v>
      </c>
      <c r="DV112" s="47" t="n">
        <f aca="false">-In_Var_Opex*DV110*DV108/Thousand</f>
        <v>-512.846694417575</v>
      </c>
      <c r="DW112" s="47" t="n">
        <f aca="false">-In_Var_Opex*DW110*DW108/Thousand</f>
        <v>-511.308154334322</v>
      </c>
      <c r="DX112" s="47" t="n">
        <f aca="false">-In_Var_Opex*DX110*DX108/Thousand</f>
        <v>-518.394218429716</v>
      </c>
      <c r="DY112" s="47" t="n">
        <f aca="false">-In_Var_Opex*DY110*DY108/Thousand</f>
        <v>-518.394218429716</v>
      </c>
      <c r="DZ112" s="47" t="n">
        <f aca="false">-In_Var_Opex*DZ110*DZ108/Thousand</f>
        <v>-524.09085819268</v>
      </c>
      <c r="EA112" s="47" t="n">
        <f aca="false">-In_Var_Opex*EA110*EA108/Thousand</f>
        <v>-522.518585618102</v>
      </c>
      <c r="EB112" s="47" t="n">
        <f aca="false">-In_Var_Opex*EB110*EB108/Thousand</f>
        <v>-523.938473079021</v>
      </c>
      <c r="EC112" s="47" t="n">
        <f aca="false">-In_Var_Opex*EC110*EC108/Thousand</f>
        <v>-529.760011668788</v>
      </c>
      <c r="ED112" s="47" t="n">
        <f aca="false">-In_Var_Opex*ED110*ED108/Thousand</f>
        <v>-535.581550258555</v>
      </c>
      <c r="EE112" s="47" t="n">
        <f aca="false">-In_Var_Opex*EE110*EE108/Thousand</f>
        <v>-533.974805607779</v>
      </c>
      <c r="EF112" s="47" t="n">
        <f aca="false">-In_Var_Opex*EF110*EF108/Thousand</f>
        <v>-535.425824101278</v>
      </c>
      <c r="EG112" s="47" t="n">
        <f aca="false">-In_Var_Opex*EG110*EG108/Thousand</f>
        <v>-541.374999924626</v>
      </c>
      <c r="EH112" s="47" t="n">
        <f aca="false">-In_Var_Opex*EH110*EH108/Thousand</f>
        <v>-547.324175747974</v>
      </c>
      <c r="EI112" s="47" t="n">
        <f aca="false">-In_Var_Opex*EI110*EI108/Thousand</f>
        <v>-545.68220322073</v>
      </c>
      <c r="EJ112" s="47" t="n">
        <f aca="false">-In_Var_Opex*EJ110*EJ108/Thousand</f>
        <v>-547.165035294699</v>
      </c>
      <c r="EK112" s="47" t="n">
        <f aca="false">-In_Var_Opex*EK110*EK108/Thousand</f>
        <v>-553.244646797973</v>
      </c>
      <c r="EL112" s="47" t="n">
        <f aca="false">-In_Var_Opex*EL110*EL108/Thousand</f>
        <v>-559.324258301248</v>
      </c>
      <c r="EM112" s="47" t="n">
        <f aca="false">-In_Var_Opex*EM110*EM108/Thousand</f>
        <v>-557.646285526344</v>
      </c>
      <c r="EN112" s="47" t="n">
        <f aca="false">-In_Var_Opex*EN110*EN108/Thousand</f>
        <v>-565.374535679019</v>
      </c>
      <c r="EO112" s="47" t="n">
        <f aca="false">-In_Var_Opex*EO110*EO108/Thousand</f>
        <v>-565.374535679019</v>
      </c>
      <c r="EP112" s="47" t="n">
        <f aca="false">-In_Var_Opex*EP110*EP108/Thousand</f>
        <v>-571.587442664503</v>
      </c>
      <c r="EQ112" s="47" t="n">
        <f aca="false">-In_Var_Opex*EQ110*EQ108/Thousand</f>
        <v>-569.872680336509</v>
      </c>
      <c r="ER112" s="47" t="n">
        <f aca="false">-In_Var_Opex*ER110*ER108/Thousand</f>
        <v>-571.421247402641</v>
      </c>
      <c r="ES112" s="47" t="n">
        <f aca="false">-In_Var_Opex*ES110*ES108/Thousand</f>
        <v>-577.770372373781</v>
      </c>
      <c r="ET112" s="47" t="n">
        <f aca="false">-In_Var_Opex*ET110*ET108/Thousand</f>
        <v>-584.119497344922</v>
      </c>
    </row>
    <row r="113" customFormat="false" ht="15" hidden="false" customHeight="false" outlineLevel="0" collapsed="false">
      <c r="C113" s="1" t="s">
        <v>527</v>
      </c>
      <c r="D113" s="12" t="s">
        <v>222</v>
      </c>
      <c r="I113" s="47" t="n">
        <f aca="false">SUM(J113:ET113)</f>
        <v>-105177.037405926</v>
      </c>
      <c r="J113" s="47" t="n">
        <f aca="false">-(In_Fixed_Opex*$F24+In_Admin)*J108*J15*J$6</f>
        <v>-0</v>
      </c>
      <c r="K113" s="47" t="n">
        <f aca="false">-(In_Fixed_Opex*$F24+In_Admin)*K108*K15*K$6</f>
        <v>-0</v>
      </c>
      <c r="L113" s="47" t="n">
        <f aca="false">-(In_Fixed_Opex*$F24+In_Admin)*L108*L15*L$6</f>
        <v>-0</v>
      </c>
      <c r="M113" s="47" t="n">
        <f aca="false">-(In_Fixed_Opex*$F24+In_Admin)*M108*M15*M$6</f>
        <v>-0</v>
      </c>
      <c r="N113" s="47" t="n">
        <f aca="false">-(In_Fixed_Opex*$F24+In_Admin)*N108*N15*N$6</f>
        <v>-0</v>
      </c>
      <c r="O113" s="47" t="n">
        <f aca="false">-(In_Fixed_Opex*$F24+In_Admin)*O108*O15*O$6</f>
        <v>-0</v>
      </c>
      <c r="P113" s="47" t="n">
        <f aca="false">-(In_Fixed_Opex*$F24+In_Admin)*P108*P15*P$6</f>
        <v>-0</v>
      </c>
      <c r="Q113" s="47" t="n">
        <f aca="false">-(In_Fixed_Opex*$F24+In_Admin)*Q108*Q15*Q$6</f>
        <v>-0</v>
      </c>
      <c r="R113" s="47" t="n">
        <f aca="false">-(In_Fixed_Opex*$F24+In_Admin)*R108*R15*R$6</f>
        <v>-0</v>
      </c>
      <c r="S113" s="47" t="n">
        <f aca="false">-(In_Fixed_Opex*$F24+In_Admin)*S108*S15*S$6</f>
        <v>-0</v>
      </c>
      <c r="T113" s="47" t="n">
        <f aca="false">-(In_Fixed_Opex*$F24+In_Admin)*T108*T15*T$6</f>
        <v>-0</v>
      </c>
      <c r="U113" s="47" t="n">
        <f aca="false">-(In_Fixed_Opex*$F24+In_Admin)*U108*U15*U$6</f>
        <v>-0</v>
      </c>
      <c r="V113" s="47" t="n">
        <f aca="false">-(In_Fixed_Opex*$F24+In_Admin)*V108*V15*V$6</f>
        <v>-0</v>
      </c>
      <c r="W113" s="47" t="n">
        <f aca="false">-(In_Fixed_Opex*$F24+In_Admin)*W108*W15*W$6</f>
        <v>-0</v>
      </c>
      <c r="X113" s="47" t="n">
        <f aca="false">-(In_Fixed_Opex*$F24+In_Admin)*X108*X15*X$6</f>
        <v>-0</v>
      </c>
      <c r="Y113" s="47" t="n">
        <f aca="false">-(In_Fixed_Opex*$F24+In_Admin)*Y108*Y15*Y$6</f>
        <v>-0</v>
      </c>
      <c r="Z113" s="47" t="n">
        <f aca="false">-(In_Fixed_Opex*$F24+In_Admin)*Z108*Z15*Z$6</f>
        <v>-0</v>
      </c>
      <c r="AA113" s="47" t="n">
        <f aca="false">-(In_Fixed_Opex*$F24+In_Admin)*AA108*AA15*AA$6</f>
        <v>-0</v>
      </c>
      <c r="AB113" s="47" t="n">
        <f aca="false">-(In_Fixed_Opex*$F24+In_Admin)*AB108*AB15*AB$6</f>
        <v>-0</v>
      </c>
      <c r="AC113" s="47" t="n">
        <f aca="false">-(In_Fixed_Opex*$F24+In_Admin)*AC108*AC15*AC$6</f>
        <v>-0</v>
      </c>
      <c r="AD113" s="47" t="n">
        <f aca="false">-(In_Fixed_Opex*$F24+In_Admin)*AD108*AD15*AD$6</f>
        <v>-0</v>
      </c>
      <c r="AE113" s="47" t="n">
        <f aca="false">-(In_Fixed_Opex*$F24+In_Admin)*AE108*AE15*AE$6</f>
        <v>-592.328767123288</v>
      </c>
      <c r="AF113" s="47" t="n">
        <f aca="false">-(In_Fixed_Opex*$F24+In_Admin)*AF108*AF15*AF$6</f>
        <v>-600.537671232877</v>
      </c>
      <c r="AG113" s="47" t="n">
        <f aca="false">-(In_Fixed_Opex*$F24+In_Admin)*AG108*AG15*AG$6</f>
        <v>-600.537671232877</v>
      </c>
      <c r="AH113" s="47" t="n">
        <f aca="false">-(In_Fixed_Opex*$F24+In_Admin)*AH108*AH15*AH$6</f>
        <v>-607.13698630137</v>
      </c>
      <c r="AI113" s="47" t="n">
        <f aca="false">-(In_Fixed_Opex*$F24+In_Admin)*AI108*AI15*AI$6</f>
        <v>-607.13698630137</v>
      </c>
      <c r="AJ113" s="47" t="n">
        <f aca="false">-(In_Fixed_Opex*$F24+In_Admin)*AJ108*AJ15*AJ$6</f>
        <v>-608.786815068493</v>
      </c>
      <c r="AK113" s="47" t="n">
        <f aca="false">-(In_Fixed_Opex*$F24+In_Admin)*AK108*AK15*AK$6</f>
        <v>-615.551113013699</v>
      </c>
      <c r="AL113" s="47" t="n">
        <f aca="false">-(In_Fixed_Opex*$F24+In_Admin)*AL108*AL15*AL$6</f>
        <v>-622.315410958904</v>
      </c>
      <c r="AM113" s="47" t="n">
        <f aca="false">-(In_Fixed_Opex*$F24+In_Admin)*AM108*AM15*AM$6</f>
        <v>-622.315410958904</v>
      </c>
      <c r="AN113" s="47" t="n">
        <f aca="false">-(In_Fixed_Opex*$F24+In_Admin)*AN108*AN15*AN$6</f>
        <v>-624.006485445205</v>
      </c>
      <c r="AO113" s="47" t="n">
        <f aca="false">-(In_Fixed_Opex*$F24+In_Admin)*AO108*AO15*AO$6</f>
        <v>-630.939890839041</v>
      </c>
      <c r="AP113" s="47" t="n">
        <f aca="false">-(In_Fixed_Opex*$F24+In_Admin)*AP108*AP15*AP$6</f>
        <v>-637.873296232877</v>
      </c>
      <c r="AQ113" s="47" t="n">
        <f aca="false">-(In_Fixed_Opex*$F24+In_Admin)*AQ108*AQ15*AQ$6</f>
        <v>-637.873296232877</v>
      </c>
      <c r="AR113" s="47" t="n">
        <f aca="false">-(In_Fixed_Opex*$F24+In_Admin)*AR108*AR15*AR$6</f>
        <v>-639.606647581335</v>
      </c>
      <c r="AS113" s="47" t="n">
        <f aca="false">-(In_Fixed_Opex*$F24+In_Admin)*AS108*AS15*AS$6</f>
        <v>-646.713388110017</v>
      </c>
      <c r="AT113" s="47" t="n">
        <f aca="false">-(In_Fixed_Opex*$F24+In_Admin)*AT108*AT15*AT$6</f>
        <v>-653.820128638698</v>
      </c>
      <c r="AU113" s="47" t="n">
        <f aca="false">-(In_Fixed_Opex*$F24+In_Admin)*AU108*AU15*AU$6</f>
        <v>-653.820128638698</v>
      </c>
      <c r="AV113" s="47" t="n">
        <f aca="false">-(In_Fixed_Opex*$F24+In_Admin)*AV108*AV15*AV$6</f>
        <v>-662.881222812767</v>
      </c>
      <c r="AW113" s="47" t="n">
        <f aca="false">-(In_Fixed_Opex*$F24+In_Admin)*AW108*AW15*AW$6</f>
        <v>-662.881222812767</v>
      </c>
      <c r="AX113" s="47" t="n">
        <f aca="false">-(In_Fixed_Opex*$F24+In_Admin)*AX108*AX15*AX$6</f>
        <v>-670.165631854666</v>
      </c>
      <c r="AY113" s="47" t="n">
        <f aca="false">-(In_Fixed_Opex*$F24+In_Admin)*AY108*AY15*AY$6</f>
        <v>-670.165631854666</v>
      </c>
      <c r="AZ113" s="47" t="n">
        <f aca="false">-(In_Fixed_Opex*$F24+In_Admin)*AZ108*AZ15*AZ$6</f>
        <v>-671.98673411514</v>
      </c>
      <c r="BA113" s="47" t="n">
        <f aca="false">-(In_Fixed_Opex*$F24+In_Admin)*BA108*BA15*BA$6</f>
        <v>-679.453253383086</v>
      </c>
      <c r="BB113" s="47" t="n">
        <f aca="false">-(In_Fixed_Opex*$F24+In_Admin)*BB108*BB15*BB$6</f>
        <v>-686.919772651032</v>
      </c>
      <c r="BC113" s="47" t="n">
        <f aca="false">-(In_Fixed_Opex*$F24+In_Admin)*BC108*BC15*BC$6</f>
        <v>-686.919772651032</v>
      </c>
      <c r="BD113" s="47" t="n">
        <f aca="false">-(In_Fixed_Opex*$F24+In_Admin)*BD108*BD15*BD$6</f>
        <v>-688.786402468019</v>
      </c>
      <c r="BE113" s="47" t="n">
        <f aca="false">-(In_Fixed_Opex*$F24+In_Admin)*BE108*BE15*BE$6</f>
        <v>-696.439584717664</v>
      </c>
      <c r="BF113" s="47" t="n">
        <f aca="false">-(In_Fixed_Opex*$F24+In_Admin)*BF108*BF15*BF$6</f>
        <v>-704.092766967308</v>
      </c>
      <c r="BG113" s="47" t="n">
        <f aca="false">-(In_Fixed_Opex*$F24+In_Admin)*BG108*BG15*BG$6</f>
        <v>-704.092766967308</v>
      </c>
      <c r="BH113" s="47" t="n">
        <f aca="false">-(In_Fixed_Opex*$F24+In_Admin)*BH108*BH15*BH$6</f>
        <v>-706.006062529719</v>
      </c>
      <c r="BI113" s="47" t="n">
        <f aca="false">-(In_Fixed_Opex*$F24+In_Admin)*BI108*BI15*BI$6</f>
        <v>-713.850574335605</v>
      </c>
      <c r="BJ113" s="47" t="n">
        <f aca="false">-(In_Fixed_Opex*$F24+In_Admin)*BJ108*BJ15*BJ$6</f>
        <v>-721.695086141491</v>
      </c>
      <c r="BK113" s="47" t="n">
        <f aca="false">-(In_Fixed_Opex*$F24+In_Admin)*BK108*BK15*BK$6</f>
        <v>-721.695086141491</v>
      </c>
      <c r="BL113" s="47" t="n">
        <f aca="false">-(In_Fixed_Opex*$F24+In_Admin)*BL108*BL15*BL$6</f>
        <v>-731.696838693995</v>
      </c>
      <c r="BM113" s="47" t="n">
        <f aca="false">-(In_Fixed_Opex*$F24+In_Admin)*BM108*BM15*BM$6</f>
        <v>-731.696838693995</v>
      </c>
      <c r="BN113" s="47" t="n">
        <f aca="false">-(In_Fixed_Opex*$F24+In_Admin)*BN108*BN15*BN$6</f>
        <v>-739.737463295028</v>
      </c>
      <c r="BO113" s="47" t="n">
        <f aca="false">-(In_Fixed_Opex*$F24+In_Admin)*BO108*BO15*BO$6</f>
        <v>-739.737463295028</v>
      </c>
      <c r="BP113" s="47" t="n">
        <f aca="false">-(In_Fixed_Opex*$F24+In_Admin)*BP108*BP15*BP$6</f>
        <v>-741.747619445286</v>
      </c>
      <c r="BQ113" s="47" t="n">
        <f aca="false">-(In_Fixed_Opex*$F24+In_Admin)*BQ108*BQ15*BQ$6</f>
        <v>-749.989259661345</v>
      </c>
      <c r="BR113" s="47" t="n">
        <f aca="false">-(In_Fixed_Opex*$F24+In_Admin)*BR108*BR15*BR$6</f>
        <v>-758.230899877404</v>
      </c>
      <c r="BS113" s="47" t="n">
        <f aca="false">-(In_Fixed_Opex*$F24+In_Admin)*BS108*BS15*BS$6</f>
        <v>-758.230899877404</v>
      </c>
      <c r="BT113" s="47" t="n">
        <f aca="false">-(In_Fixed_Opex*$F24+In_Admin)*BT108*BT15*BT$6</f>
        <v>-760.291309931418</v>
      </c>
      <c r="BU113" s="47" t="n">
        <f aca="false">-(In_Fixed_Opex*$F24+In_Admin)*BU108*BU15*BU$6</f>
        <v>-768.738991152879</v>
      </c>
      <c r="BV113" s="47" t="n">
        <f aca="false">-(In_Fixed_Opex*$F24+In_Admin)*BV108*BV15*BV$6</f>
        <v>-777.186672374339</v>
      </c>
      <c r="BW113" s="47" t="n">
        <f aca="false">-(In_Fixed_Opex*$F24+In_Admin)*BW108*BW15*BW$6</f>
        <v>-777.186672374339</v>
      </c>
      <c r="BX113" s="47" t="n">
        <f aca="false">-(In_Fixed_Opex*$F24+In_Admin)*BX108*BX15*BX$6</f>
        <v>-779.298592679704</v>
      </c>
      <c r="BY113" s="47" t="n">
        <f aca="false">-(In_Fixed_Opex*$F24+In_Admin)*BY108*BY15*BY$6</f>
        <v>-787.9574659317</v>
      </c>
      <c r="BZ113" s="47" t="n">
        <f aca="false">-(In_Fixed_Opex*$F24+In_Admin)*BZ108*BZ15*BZ$6</f>
        <v>-796.616339183697</v>
      </c>
      <c r="CA113" s="47" t="n">
        <f aca="false">-(In_Fixed_Opex*$F24+In_Admin)*CA108*CA15*CA$6</f>
        <v>-796.616339183697</v>
      </c>
      <c r="CB113" s="47" t="n">
        <f aca="false">-(In_Fixed_Opex*$F24+In_Admin)*CB108*CB15*CB$6</f>
        <v>-807.656402579993</v>
      </c>
      <c r="CC113" s="47" t="n">
        <f aca="false">-(In_Fixed_Opex*$F24+In_Admin)*CC108*CC15*CC$6</f>
        <v>-807.656402579993</v>
      </c>
      <c r="CD113" s="47" t="n">
        <f aca="false">-(In_Fixed_Opex*$F24+In_Admin)*CD108*CD15*CD$6</f>
        <v>-816.53174766329</v>
      </c>
      <c r="CE113" s="47" t="n">
        <f aca="false">-(In_Fixed_Opex*$F24+In_Admin)*CE108*CE15*CE$6</f>
        <v>-816.53174766329</v>
      </c>
      <c r="CF113" s="47" t="n">
        <f aca="false">-(In_Fixed_Opex*$F24+In_Admin)*CF108*CF15*CF$6</f>
        <v>-818.750583934114</v>
      </c>
      <c r="CG113" s="47" t="n">
        <f aca="false">-(In_Fixed_Opex*$F24+In_Admin)*CG108*CG15*CG$6</f>
        <v>-827.847812644493</v>
      </c>
      <c r="CH113" s="47" t="n">
        <f aca="false">-(In_Fixed_Opex*$F24+In_Admin)*CH108*CH15*CH$6</f>
        <v>-836.945041354872</v>
      </c>
      <c r="CI113" s="47" t="n">
        <f aca="false">-(In_Fixed_Opex*$F24+In_Admin)*CI108*CI15*CI$6</f>
        <v>-836.945041354872</v>
      </c>
      <c r="CJ113" s="47" t="n">
        <f aca="false">-(In_Fixed_Opex*$F24+In_Admin)*CJ108*CJ15*CJ$6</f>
        <v>-839.219348532466</v>
      </c>
      <c r="CK113" s="47" t="n">
        <f aca="false">-(In_Fixed_Opex*$F24+In_Admin)*CK108*CK15*CK$6</f>
        <v>-848.544007960605</v>
      </c>
      <c r="CL113" s="47" t="n">
        <f aca="false">-(In_Fixed_Opex*$F24+In_Admin)*CL108*CL15*CL$6</f>
        <v>-857.868667388743</v>
      </c>
      <c r="CM113" s="47" t="n">
        <f aca="false">-(In_Fixed_Opex*$F24+In_Admin)*CM108*CM15*CM$6</f>
        <v>-857.868667388743</v>
      </c>
      <c r="CN113" s="47" t="n">
        <f aca="false">-(In_Fixed_Opex*$F24+In_Admin)*CN108*CN15*CN$6</f>
        <v>-860.199832245778</v>
      </c>
      <c r="CO113" s="47" t="n">
        <f aca="false">-(In_Fixed_Opex*$F24+In_Admin)*CO108*CO15*CO$6</f>
        <v>-869.75760815962</v>
      </c>
      <c r="CP113" s="47" t="n">
        <f aca="false">-(In_Fixed_Opex*$F24+In_Admin)*CP108*CP15*CP$6</f>
        <v>-879.315384073462</v>
      </c>
      <c r="CQ113" s="47" t="n">
        <f aca="false">-(In_Fixed_Opex*$F24+In_Admin)*CQ108*CQ15*CQ$6</f>
        <v>-879.315384073462</v>
      </c>
      <c r="CR113" s="47" t="n">
        <f aca="false">-(In_Fixed_Opex*$F24+In_Admin)*CR108*CR15*CR$6</f>
        <v>-891.50154836361</v>
      </c>
      <c r="CS113" s="47" t="n">
        <f aca="false">-(In_Fixed_Opex*$F24+In_Admin)*CS108*CS15*CS$6</f>
        <v>-891.50154836361</v>
      </c>
      <c r="CT113" s="47" t="n">
        <f aca="false">-(In_Fixed_Opex*$F24+In_Admin)*CT108*CT15*CT$6</f>
        <v>-901.298268675298</v>
      </c>
      <c r="CU113" s="47" t="n">
        <f aca="false">-(In_Fixed_Opex*$F24+In_Admin)*CU108*CU15*CU$6</f>
        <v>-901.298268675298</v>
      </c>
      <c r="CV113" s="47" t="n">
        <f aca="false">-(In_Fixed_Opex*$F24+In_Admin)*CV108*CV15*CV$6</f>
        <v>-903.74744875322</v>
      </c>
      <c r="CW113" s="47" t="n">
        <f aca="false">-(In_Fixed_Opex*$F24+In_Admin)*CW108*CW15*CW$6</f>
        <v>-913.789087072701</v>
      </c>
      <c r="CX113" s="47" t="n">
        <f aca="false">-(In_Fixed_Opex*$F24+In_Admin)*CX108*CX15*CX$6</f>
        <v>-923.830725392181</v>
      </c>
      <c r="CY113" s="47" t="n">
        <f aca="false">-(In_Fixed_Opex*$F24+In_Admin)*CY108*CY15*CY$6</f>
        <v>-923.830725392181</v>
      </c>
      <c r="CZ113" s="47" t="n">
        <f aca="false">-(In_Fixed_Opex*$F24+In_Admin)*CZ108*CZ15*CZ$6</f>
        <v>-926.341134972051</v>
      </c>
      <c r="DA113" s="47" t="n">
        <f aca="false">-(In_Fixed_Opex*$F24+In_Admin)*DA108*DA15*DA$6</f>
        <v>-936.633814249518</v>
      </c>
      <c r="DB113" s="47" t="n">
        <f aca="false">-(In_Fixed_Opex*$F24+In_Admin)*DB108*DB15*DB$6</f>
        <v>-946.926493526985</v>
      </c>
      <c r="DC113" s="47" t="n">
        <f aca="false">-(In_Fixed_Opex*$F24+In_Admin)*DC108*DC15*DC$6</f>
        <v>-946.926493526985</v>
      </c>
      <c r="DD113" s="47" t="n">
        <f aca="false">-(In_Fixed_Opex*$F24+In_Admin)*DD108*DD15*DD$6</f>
        <v>-949.499663346352</v>
      </c>
      <c r="DE113" s="47" t="n">
        <f aca="false">-(In_Fixed_Opex*$F24+In_Admin)*DE108*DE15*DE$6</f>
        <v>-960.049659605756</v>
      </c>
      <c r="DF113" s="47" t="n">
        <f aca="false">-(In_Fixed_Opex*$F24+In_Admin)*DF108*DF15*DF$6</f>
        <v>-970.59965586516</v>
      </c>
      <c r="DG113" s="47" t="n">
        <f aca="false">-(In_Fixed_Opex*$F24+In_Admin)*DG108*DG15*DG$6</f>
        <v>-970.59965586516</v>
      </c>
      <c r="DH113" s="47" t="n">
        <f aca="false">-(In_Fixed_Opex*$F24+In_Admin)*DH108*DH15*DH$6</f>
        <v>-984.0509010959</v>
      </c>
      <c r="DI113" s="47" t="n">
        <f aca="false">-(In_Fixed_Opex*$F24+In_Admin)*DI108*DI15*DI$6</f>
        <v>-984.0509010959</v>
      </c>
      <c r="DJ113" s="47" t="n">
        <f aca="false">-(In_Fixed_Opex*$F24+In_Admin)*DJ108*DJ15*DJ$6</f>
        <v>-994.864647261789</v>
      </c>
      <c r="DK113" s="47" t="n">
        <f aca="false">-(In_Fixed_Opex*$F24+In_Admin)*DK108*DK15*DK$6</f>
        <v>-994.864647261789</v>
      </c>
      <c r="DL113" s="47" t="n">
        <f aca="false">-(In_Fixed_Opex*$F24+In_Admin)*DL108*DL15*DL$6</f>
        <v>-997.568083803261</v>
      </c>
      <c r="DM113" s="47" t="n">
        <f aca="false">-(In_Fixed_Opex*$F24+In_Admin)*DM108*DM15*DM$6</f>
        <v>-1008.6521736233</v>
      </c>
      <c r="DN113" s="47" t="n">
        <f aca="false">-(In_Fixed_Opex*$F24+In_Admin)*DN108*DN15*DN$6</f>
        <v>-1019.73626344333</v>
      </c>
      <c r="DO113" s="47" t="n">
        <f aca="false">-(In_Fixed_Opex*$F24+In_Admin)*DO108*DO15*DO$6</f>
        <v>-1019.73626344333</v>
      </c>
      <c r="DP113" s="47" t="n">
        <f aca="false">-(In_Fixed_Opex*$F24+In_Admin)*DP108*DP15*DP$6</f>
        <v>-1022.50728589834</v>
      </c>
      <c r="DQ113" s="47" t="n">
        <f aca="false">-(In_Fixed_Opex*$F24+In_Admin)*DQ108*DQ15*DQ$6</f>
        <v>-1033.86847796388</v>
      </c>
      <c r="DR113" s="47" t="n">
        <f aca="false">-(In_Fixed_Opex*$F24+In_Admin)*DR108*DR15*DR$6</f>
        <v>-1045.22967002942</v>
      </c>
      <c r="DS113" s="47" t="n">
        <f aca="false">-(In_Fixed_Opex*$F24+In_Admin)*DS108*DS15*DS$6</f>
        <v>-1045.22967002942</v>
      </c>
      <c r="DT113" s="47" t="n">
        <f aca="false">-(In_Fixed_Opex*$F24+In_Admin)*DT108*DT15*DT$6</f>
        <v>-1048.0699680458</v>
      </c>
      <c r="DU113" s="47" t="n">
        <f aca="false">-(In_Fixed_Opex*$F24+In_Admin)*DU108*DU15*DU$6</f>
        <v>-1059.71518991298</v>
      </c>
      <c r="DV113" s="47" t="n">
        <f aca="false">-(In_Fixed_Opex*$F24+In_Admin)*DV108*DV15*DV$6</f>
        <v>-1071.36041178015</v>
      </c>
      <c r="DW113" s="47" t="n">
        <f aca="false">-(In_Fixed_Opex*$F24+In_Admin)*DW108*DW15*DW$6</f>
        <v>-1071.36041178015</v>
      </c>
      <c r="DX113" s="47" t="n">
        <f aca="false">-(In_Fixed_Opex*$F24+In_Admin)*DX108*DX15*DX$6</f>
        <v>-1086.2080696608</v>
      </c>
      <c r="DY113" s="47" t="n">
        <f aca="false">-(In_Fixed_Opex*$F24+In_Admin)*DY108*DY15*DY$6</f>
        <v>-1086.2080696608</v>
      </c>
      <c r="DZ113" s="47" t="n">
        <f aca="false">-(In_Fixed_Opex*$F24+In_Admin)*DZ108*DZ15*DZ$6</f>
        <v>-1098.14442207466</v>
      </c>
      <c r="EA113" s="47" t="n">
        <f aca="false">-(In_Fixed_Opex*$F24+In_Admin)*EA108*EA15*EA$6</f>
        <v>-1098.14442207466</v>
      </c>
      <c r="EB113" s="47" t="n">
        <f aca="false">-(In_Fixed_Opex*$F24+In_Admin)*EB108*EB15*EB$6</f>
        <v>-1101.12851017812</v>
      </c>
      <c r="EC113" s="47" t="n">
        <f aca="false">-(In_Fixed_Opex*$F24+In_Admin)*EC108*EC15*EC$6</f>
        <v>-1113.36327140232</v>
      </c>
      <c r="ED113" s="47" t="n">
        <f aca="false">-(In_Fixed_Opex*$F24+In_Admin)*ED108*ED15*ED$6</f>
        <v>-1125.59803262652</v>
      </c>
      <c r="EE113" s="47" t="n">
        <f aca="false">-(In_Fixed_Opex*$F24+In_Admin)*EE108*EE15*EE$6</f>
        <v>-1125.59803262652</v>
      </c>
      <c r="EF113" s="47" t="n">
        <f aca="false">-(In_Fixed_Opex*$F24+In_Admin)*EF108*EF15*EF$6</f>
        <v>-1128.65672293257</v>
      </c>
      <c r="EG113" s="47" t="n">
        <f aca="false">-(In_Fixed_Opex*$F24+In_Admin)*EG108*EG15*EG$6</f>
        <v>-1141.19735318738</v>
      </c>
      <c r="EH113" s="47" t="n">
        <f aca="false">-(In_Fixed_Opex*$F24+In_Admin)*EH108*EH15*EH$6</f>
        <v>-1153.73798344218</v>
      </c>
      <c r="EI113" s="47" t="n">
        <f aca="false">-(In_Fixed_Opex*$F24+In_Admin)*EI108*EI15*EI$6</f>
        <v>-1153.73798344218</v>
      </c>
      <c r="EJ113" s="47" t="n">
        <f aca="false">-(In_Fixed_Opex*$F24+In_Admin)*EJ108*EJ15*EJ$6</f>
        <v>-1156.87314100589</v>
      </c>
      <c r="EK113" s="47" t="n">
        <f aca="false">-(In_Fixed_Opex*$F24+In_Admin)*EK108*EK15*EK$6</f>
        <v>-1169.72728701706</v>
      </c>
      <c r="EL113" s="47" t="n">
        <f aca="false">-(In_Fixed_Opex*$F24+In_Admin)*EL108*EL15*EL$6</f>
        <v>-1182.58143302824</v>
      </c>
      <c r="EM113" s="47" t="n">
        <f aca="false">-(In_Fixed_Opex*$F24+In_Admin)*EM108*EM15*EM$6</f>
        <v>-1182.58143302824</v>
      </c>
      <c r="EN113" s="47" t="n">
        <f aca="false">-(In_Fixed_Opex*$F24+In_Admin)*EN108*EN15*EN$6</f>
        <v>-1198.97046919249</v>
      </c>
      <c r="EO113" s="47" t="n">
        <f aca="false">-(In_Fixed_Opex*$F24+In_Admin)*EO108*EO15*EO$6</f>
        <v>-1198.97046919249</v>
      </c>
      <c r="EP113" s="47" t="n">
        <f aca="false">-(In_Fixed_Opex*$F24+In_Admin)*EP108*EP15*EP$6</f>
        <v>-1212.14596885395</v>
      </c>
      <c r="EQ113" s="47" t="n">
        <f aca="false">-(In_Fixed_Opex*$F24+In_Admin)*EQ108*EQ15*EQ$6</f>
        <v>-1212.14596885395</v>
      </c>
      <c r="ER113" s="47" t="n">
        <f aca="false">-(In_Fixed_Opex*$F24+In_Admin)*ER108*ER15*ER$6</f>
        <v>-1215.43984376931</v>
      </c>
      <c r="ES113" s="47" t="n">
        <f aca="false">-(In_Fixed_Opex*$F24+In_Admin)*ES108*ES15*ES$6</f>
        <v>-1228.9447309223</v>
      </c>
      <c r="ET113" s="47" t="n">
        <f aca="false">-(In_Fixed_Opex*$F24+In_Admin)*ET108*ET15*ET$6</f>
        <v>-1242.44961807529</v>
      </c>
    </row>
    <row r="114" customFormat="false" ht="15" hidden="false" customHeight="false" outlineLevel="0" collapsed="false">
      <c r="C114" s="1" t="s">
        <v>528</v>
      </c>
      <c r="D114" s="12" t="s">
        <v>222</v>
      </c>
      <c r="I114" s="47" t="n">
        <f aca="false">SUM(J114:ET114)</f>
        <v>-14015.8951421437</v>
      </c>
      <c r="J114" s="47" t="n">
        <f aca="false">-In_Lease*$F24*J108*J16*J$6</f>
        <v>-0</v>
      </c>
      <c r="K114" s="47" t="n">
        <f aca="false">-In_Lease*$F24*K108*K16*K$6</f>
        <v>-0</v>
      </c>
      <c r="L114" s="47" t="n">
        <f aca="false">-In_Lease*$F24*L108*L16*L$6</f>
        <v>-0</v>
      </c>
      <c r="M114" s="47" t="n">
        <f aca="false">-In_Lease*$F24*M108*M16*M$6</f>
        <v>-0</v>
      </c>
      <c r="N114" s="47" t="n">
        <f aca="false">-In_Lease*$F24*N108*N16*N$6</f>
        <v>-0</v>
      </c>
      <c r="O114" s="47" t="n">
        <f aca="false">-In_Lease*$F24*O108*O16*O$6</f>
        <v>-0</v>
      </c>
      <c r="P114" s="47" t="n">
        <f aca="false">-In_Lease*$F24*P108*P16*P$6</f>
        <v>-0</v>
      </c>
      <c r="Q114" s="47" t="n">
        <f aca="false">-In_Lease*$F24*Q108*Q16*Q$6</f>
        <v>-0</v>
      </c>
      <c r="R114" s="47" t="n">
        <f aca="false">-In_Lease*$F24*R108*R16*R$6</f>
        <v>-0</v>
      </c>
      <c r="S114" s="47" t="n">
        <f aca="false">-In_Lease*$F24*S108*S16*S$6</f>
        <v>-0</v>
      </c>
      <c r="T114" s="47" t="n">
        <f aca="false">-In_Lease*$F24*T108*T16*T$6</f>
        <v>-0</v>
      </c>
      <c r="U114" s="47" t="n">
        <f aca="false">-In_Lease*$F24*U108*U16*U$6</f>
        <v>-0</v>
      </c>
      <c r="V114" s="47" t="n">
        <f aca="false">-In_Lease*$F24*V108*V16*V$6</f>
        <v>-0</v>
      </c>
      <c r="W114" s="47" t="n">
        <f aca="false">-In_Lease*$F24*W108*W16*W$6</f>
        <v>-71.9728146162183</v>
      </c>
      <c r="X114" s="47" t="n">
        <f aca="false">-In_Lease*$F24*X108*X16*X$6</f>
        <v>-72.1683929168059</v>
      </c>
      <c r="Y114" s="47" t="n">
        <f aca="false">-In_Lease*$F24*Y108*Y16*Y$6</f>
        <v>-72.9702639492148</v>
      </c>
      <c r="Z114" s="47" t="n">
        <f aca="false">-In_Lease*$F24*Z108*Z16*Z$6</f>
        <v>-73.7721349816238</v>
      </c>
      <c r="AA114" s="47" t="n">
        <f aca="false">-In_Lease*$F24*AA108*AA16*AA$6</f>
        <v>-73.7721349816238</v>
      </c>
      <c r="AB114" s="47" t="n">
        <f aca="false">-In_Lease*$F24*AB108*AB16*AB$6</f>
        <v>-73.972602739726</v>
      </c>
      <c r="AC114" s="47" t="n">
        <f aca="false">-In_Lease*$F24*AC108*AC16*AC$6</f>
        <v>-74.7945205479452</v>
      </c>
      <c r="AD114" s="47" t="n">
        <f aca="false">-In_Lease*$F24*AD108*AD16*AD$6</f>
        <v>-75.6164383561644</v>
      </c>
      <c r="AE114" s="47" t="n">
        <f aca="false">-In_Lease*$F24*AE108*AE16*AE$6</f>
        <v>-75.6164383561644</v>
      </c>
      <c r="AF114" s="47" t="n">
        <f aca="false">-In_Lease*$F24*AF108*AF16*AF$6</f>
        <v>-76.6643835616438</v>
      </c>
      <c r="AG114" s="47" t="n">
        <f aca="false">-In_Lease*$F24*AG108*AG16*AG$6</f>
        <v>-76.6643835616438</v>
      </c>
      <c r="AH114" s="47" t="n">
        <f aca="false">-In_Lease*$F24*AH108*AH16*AH$6</f>
        <v>-77.5068493150685</v>
      </c>
      <c r="AI114" s="47" t="n">
        <f aca="false">-In_Lease*$F24*AI108*AI16*AI$6</f>
        <v>-77.5068493150685</v>
      </c>
      <c r="AJ114" s="47" t="n">
        <f aca="false">-In_Lease*$F24*AJ108*AJ16*AJ$6</f>
        <v>-77.7174657534247</v>
      </c>
      <c r="AK114" s="47" t="n">
        <f aca="false">-In_Lease*$F24*AK108*AK16*AK$6</f>
        <v>-78.5809931506849</v>
      </c>
      <c r="AL114" s="47" t="n">
        <f aca="false">-In_Lease*$F24*AL108*AL16*AL$6</f>
        <v>-79.4445205479452</v>
      </c>
      <c r="AM114" s="47" t="n">
        <f aca="false">-In_Lease*$F24*AM108*AM16*AM$6</f>
        <v>-79.4445205479452</v>
      </c>
      <c r="AN114" s="47" t="n">
        <f aca="false">-In_Lease*$F24*AN108*AN16*AN$6</f>
        <v>-79.6604023972602</v>
      </c>
      <c r="AO114" s="47" t="n">
        <f aca="false">-In_Lease*$F24*AO108*AO16*AO$6</f>
        <v>-80.545517979452</v>
      </c>
      <c r="AP114" s="47" t="n">
        <f aca="false">-In_Lease*$F24*AP108*AP16*AP$6</f>
        <v>-81.4306335616438</v>
      </c>
      <c r="AQ114" s="47" t="n">
        <f aca="false">-In_Lease*$F24*AQ108*AQ16*AQ$6</f>
        <v>-81.4306335616438</v>
      </c>
      <c r="AR114" s="47" t="n">
        <f aca="false">-In_Lease*$F24*AR108*AR16*AR$6</f>
        <v>-81.6519124571917</v>
      </c>
      <c r="AS114" s="47" t="n">
        <f aca="false">-In_Lease*$F24*AS108*AS16*AS$6</f>
        <v>-82.5591559289383</v>
      </c>
      <c r="AT114" s="47" t="n">
        <f aca="false">-In_Lease*$F24*AT108*AT16*AT$6</f>
        <v>-83.4663994006849</v>
      </c>
      <c r="AU114" s="47" t="n">
        <f aca="false">-In_Lease*$F24*AU108*AU16*AU$6</f>
        <v>-83.4663994006849</v>
      </c>
      <c r="AV114" s="47" t="n">
        <f aca="false">-In_Lease*$F24*AV108*AV16*AV$6</f>
        <v>-84.6231348271618</v>
      </c>
      <c r="AW114" s="47" t="n">
        <f aca="false">-In_Lease*$F24*AW108*AW16*AW$6</f>
        <v>-84.6231348271618</v>
      </c>
      <c r="AX114" s="47" t="n">
        <f aca="false">-In_Lease*$F24*AX108*AX16*AX$6</f>
        <v>-85.553059385702</v>
      </c>
      <c r="AY114" s="47" t="n">
        <f aca="false">-In_Lease*$F24*AY108*AY16*AY$6</f>
        <v>-85.553059385702</v>
      </c>
      <c r="AZ114" s="47" t="n">
        <f aca="false">-In_Lease*$F24*AZ108*AZ16*AZ$6</f>
        <v>-85.7855405253371</v>
      </c>
      <c r="BA114" s="47" t="n">
        <f aca="false">-In_Lease*$F24*BA108*BA16*BA$6</f>
        <v>-86.7387131978408</v>
      </c>
      <c r="BB114" s="47" t="n">
        <f aca="false">-In_Lease*$F24*BB108*BB16*BB$6</f>
        <v>-87.6918858703446</v>
      </c>
      <c r="BC114" s="47" t="n">
        <f aca="false">-In_Lease*$F24*BC108*BC16*BC$6</f>
        <v>-87.6918858703446</v>
      </c>
      <c r="BD114" s="47" t="n">
        <f aca="false">-In_Lease*$F24*BD108*BD16*BD$6</f>
        <v>-87.9301790384705</v>
      </c>
      <c r="BE114" s="47" t="n">
        <f aca="false">-In_Lease*$F24*BE108*BE16*BE$6</f>
        <v>-88.9071810277869</v>
      </c>
      <c r="BF114" s="47" t="n">
        <f aca="false">-In_Lease*$F24*BF108*BF16*BF$6</f>
        <v>-89.8841830171032</v>
      </c>
      <c r="BG114" s="47" t="n">
        <f aca="false">-In_Lease*$F24*BG108*BG16*BG$6</f>
        <v>-89.8841830171032</v>
      </c>
      <c r="BH114" s="47" t="n">
        <f aca="false">-In_Lease*$F24*BH108*BH16*BH$6</f>
        <v>-90.1284335144322</v>
      </c>
      <c r="BI114" s="47" t="n">
        <f aca="false">-In_Lease*$F24*BI108*BI16*BI$6</f>
        <v>-91.1298605534815</v>
      </c>
      <c r="BJ114" s="47" t="n">
        <f aca="false">-In_Lease*$F24*BJ108*BJ16*BJ$6</f>
        <v>-92.1312875925307</v>
      </c>
      <c r="BK114" s="47" t="n">
        <f aca="false">-In_Lease*$F24*BK108*BK16*BK$6</f>
        <v>-92.1312875925307</v>
      </c>
      <c r="BL114" s="47" t="n">
        <f aca="false">-In_Lease*$F24*BL108*BL16*BL$6</f>
        <v>-93.4081070673185</v>
      </c>
      <c r="BM114" s="47" t="n">
        <f aca="false">-In_Lease*$F24*BM108*BM16*BM$6</f>
        <v>-93.4081070673185</v>
      </c>
      <c r="BN114" s="47" t="n">
        <f aca="false">-In_Lease*$F24*BN108*BN16*BN$6</f>
        <v>-94.434569782344</v>
      </c>
      <c r="BO114" s="47" t="n">
        <f aca="false">-In_Lease*$F24*BO108*BO16*BO$6</f>
        <v>-94.434569782344</v>
      </c>
      <c r="BP114" s="47" t="n">
        <f aca="false">-In_Lease*$F24*BP108*BP16*BP$6</f>
        <v>-94.6911854611004</v>
      </c>
      <c r="BQ114" s="47" t="n">
        <f aca="false">-In_Lease*$F24*BQ108*BQ16*BQ$6</f>
        <v>-95.7433097440015</v>
      </c>
      <c r="BR114" s="47" t="n">
        <f aca="false">-In_Lease*$F24*BR108*BR16*BR$6</f>
        <v>-96.7954340269026</v>
      </c>
      <c r="BS114" s="47" t="n">
        <f aca="false">-In_Lease*$F24*BS108*BS16*BS$6</f>
        <v>-96.7954340269026</v>
      </c>
      <c r="BT114" s="47" t="n">
        <f aca="false">-In_Lease*$F24*BT108*BT16*BT$6</f>
        <v>-97.0584650976279</v>
      </c>
      <c r="BU114" s="47" t="n">
        <f aca="false">-In_Lease*$F24*BU108*BU16*BU$6</f>
        <v>-98.1368924876015</v>
      </c>
      <c r="BV114" s="47" t="n">
        <f aca="false">-In_Lease*$F24*BV108*BV16*BV$6</f>
        <v>-99.2153198775752</v>
      </c>
      <c r="BW114" s="47" t="n">
        <f aca="false">-In_Lease*$F24*BW108*BW16*BW$6</f>
        <v>-99.2153198775752</v>
      </c>
      <c r="BX114" s="47" t="n">
        <f aca="false">-In_Lease*$F24*BX108*BX16*BX$6</f>
        <v>-99.4849267250686</v>
      </c>
      <c r="BY114" s="47" t="n">
        <f aca="false">-In_Lease*$F24*BY108*BY16*BY$6</f>
        <v>-100.590314799792</v>
      </c>
      <c r="BZ114" s="47" t="n">
        <f aca="false">-In_Lease*$F24*BZ108*BZ16*BZ$6</f>
        <v>-101.695702874515</v>
      </c>
      <c r="CA114" s="47" t="n">
        <f aca="false">-In_Lease*$F24*CA108*CA16*CA$6</f>
        <v>-101.695702874515</v>
      </c>
      <c r="CB114" s="47" t="n">
        <f aca="false">-In_Lease*$F24*CB108*CB16*CB$6</f>
        <v>-103.105072669786</v>
      </c>
      <c r="CC114" s="47" t="n">
        <f aca="false">-In_Lease*$F24*CC108*CC16*CC$6</f>
        <v>-103.105072669786</v>
      </c>
      <c r="CD114" s="47" t="n">
        <f aca="false">-In_Lease*$F24*CD108*CD16*CD$6</f>
        <v>-104.238095446377</v>
      </c>
      <c r="CE114" s="47" t="n">
        <f aca="false">-In_Lease*$F24*CE108*CE16*CE$6</f>
        <v>-104.238095446377</v>
      </c>
      <c r="CF114" s="47" t="n">
        <f aca="false">-In_Lease*$F24*CF108*CF16*CF$6</f>
        <v>-104.521351140525</v>
      </c>
      <c r="CG114" s="47" t="n">
        <f aca="false">-In_Lease*$F24*CG108*CG16*CG$6</f>
        <v>-105.682699486531</v>
      </c>
      <c r="CH114" s="47" t="n">
        <f aca="false">-In_Lease*$F24*CH108*CH16*CH$6</f>
        <v>-106.844047832537</v>
      </c>
      <c r="CI114" s="47" t="n">
        <f aca="false">-In_Lease*$F24*CI108*CI16*CI$6</f>
        <v>-106.844047832537</v>
      </c>
      <c r="CJ114" s="47" t="n">
        <f aca="false">-In_Lease*$F24*CJ108*CJ16*CJ$6</f>
        <v>-107.134384919038</v>
      </c>
      <c r="CK114" s="47" t="n">
        <f aca="false">-In_Lease*$F24*CK108*CK16*CK$6</f>
        <v>-108.324766973694</v>
      </c>
      <c r="CL114" s="47" t="n">
        <f aca="false">-In_Lease*$F24*CL108*CL16*CL$6</f>
        <v>-109.51514902835</v>
      </c>
      <c r="CM114" s="47" t="n">
        <f aca="false">-In_Lease*$F24*CM108*CM16*CM$6</f>
        <v>-109.51514902835</v>
      </c>
      <c r="CN114" s="47" t="n">
        <f aca="false">-In_Lease*$F24*CN108*CN16*CN$6</f>
        <v>-109.812744542014</v>
      </c>
      <c r="CO114" s="47" t="n">
        <f aca="false">-In_Lease*$F24*CO108*CO16*CO$6</f>
        <v>-111.032886148037</v>
      </c>
      <c r="CP114" s="47" t="n">
        <f aca="false">-In_Lease*$F24*CP108*CP16*CP$6</f>
        <v>-112.253027754059</v>
      </c>
      <c r="CQ114" s="47" t="n">
        <f aca="false">-In_Lease*$F24*CQ108*CQ16*CQ$6</f>
        <v>-112.253027754059</v>
      </c>
      <c r="CR114" s="47" t="n">
        <f aca="false">-In_Lease*$F24*CR108*CR16*CR$6</f>
        <v>-113.808708301737</v>
      </c>
      <c r="CS114" s="47" t="n">
        <f aca="false">-In_Lease*$F24*CS108*CS16*CS$6</f>
        <v>-113.808708301737</v>
      </c>
      <c r="CT114" s="47" t="n">
        <f aca="false">-In_Lease*$F24*CT108*CT16*CT$6</f>
        <v>-115.05935344791</v>
      </c>
      <c r="CU114" s="47" t="n">
        <f aca="false">-In_Lease*$F24*CU108*CU16*CU$6</f>
        <v>-115.05935344791</v>
      </c>
      <c r="CV114" s="47" t="n">
        <f aca="false">-In_Lease*$F24*CV108*CV16*CV$6</f>
        <v>-115.372014734454</v>
      </c>
      <c r="CW114" s="47" t="n">
        <f aca="false">-In_Lease*$F24*CW108*CW16*CW$6</f>
        <v>-116.653926009281</v>
      </c>
      <c r="CX114" s="47" t="n">
        <f aca="false">-In_Lease*$F24*CX108*CX16*CX$6</f>
        <v>-117.935837284108</v>
      </c>
      <c r="CY114" s="47" t="n">
        <f aca="false">-In_Lease*$F24*CY108*CY16*CY$6</f>
        <v>-117.935837284108</v>
      </c>
      <c r="CZ114" s="47" t="n">
        <f aca="false">-In_Lease*$F24*CZ108*CZ16*CZ$6</f>
        <v>-118.256315102815</v>
      </c>
      <c r="DA114" s="47" t="n">
        <f aca="false">-In_Lease*$F24*DA108*DA16*DA$6</f>
        <v>-119.570274159513</v>
      </c>
      <c r="DB114" s="47" t="n">
        <f aca="false">-In_Lease*$F24*DB108*DB16*DB$6</f>
        <v>-120.884233216211</v>
      </c>
      <c r="DC114" s="47" t="n">
        <f aca="false">-In_Lease*$F24*DC108*DC16*DC$6</f>
        <v>-120.884233216211</v>
      </c>
      <c r="DD114" s="47" t="n">
        <f aca="false">-In_Lease*$F24*DD108*DD16*DD$6</f>
        <v>-121.212722980385</v>
      </c>
      <c r="DE114" s="47" t="n">
        <f aca="false">-In_Lease*$F24*DE108*DE16*DE$6</f>
        <v>-122.559531013501</v>
      </c>
      <c r="DF114" s="47" t="n">
        <f aca="false">-In_Lease*$F24*DF108*DF16*DF$6</f>
        <v>-123.906339046616</v>
      </c>
      <c r="DG114" s="47" t="n">
        <f aca="false">-In_Lease*$F24*DG108*DG16*DG$6</f>
        <v>-123.906339046616</v>
      </c>
      <c r="DH114" s="47" t="n">
        <f aca="false">-In_Lease*$F24*DH108*DH16*DH$6</f>
        <v>-125.623519288838</v>
      </c>
      <c r="DI114" s="47" t="n">
        <f aca="false">-In_Lease*$F24*DI108*DI16*DI$6</f>
        <v>-125.623519288838</v>
      </c>
      <c r="DJ114" s="47" t="n">
        <f aca="false">-In_Lease*$F24*DJ108*DJ16*DJ$6</f>
        <v>-127.003997522782</v>
      </c>
      <c r="DK114" s="47" t="n">
        <f aca="false">-In_Lease*$F24*DK108*DK16*DK$6</f>
        <v>-127.003997522782</v>
      </c>
      <c r="DL114" s="47" t="n">
        <f aca="false">-In_Lease*$F24*DL108*DL16*DL$6</f>
        <v>-127.349117081267</v>
      </c>
      <c r="DM114" s="47" t="n">
        <f aca="false">-In_Lease*$F24*DM108*DM16*DM$6</f>
        <v>-128.764107271059</v>
      </c>
      <c r="DN114" s="47" t="n">
        <f aca="false">-In_Lease*$F24*DN108*DN16*DN$6</f>
        <v>-130.179097460851</v>
      </c>
      <c r="DO114" s="47" t="n">
        <f aca="false">-In_Lease*$F24*DO108*DO16*DO$6</f>
        <v>-130.179097460851</v>
      </c>
      <c r="DP114" s="47" t="n">
        <f aca="false">-In_Lease*$F24*DP108*DP16*DP$6</f>
        <v>-130.532845008299</v>
      </c>
      <c r="DQ114" s="47" t="n">
        <f aca="false">-In_Lease*$F24*DQ108*DQ16*DQ$6</f>
        <v>-131.983209952836</v>
      </c>
      <c r="DR114" s="47" t="n">
        <f aca="false">-In_Lease*$F24*DR108*DR16*DR$6</f>
        <v>-133.433574897372</v>
      </c>
      <c r="DS114" s="47" t="n">
        <f aca="false">-In_Lease*$F24*DS108*DS16*DS$6</f>
        <v>-133.433574897372</v>
      </c>
      <c r="DT114" s="47" t="n">
        <f aca="false">-In_Lease*$F24*DT108*DT16*DT$6</f>
        <v>-133.796166133506</v>
      </c>
      <c r="DU114" s="47" t="n">
        <f aca="false">-In_Lease*$F24*DU108*DU16*DU$6</f>
        <v>-135.282790201657</v>
      </c>
      <c r="DV114" s="47" t="n">
        <f aca="false">-In_Lease*$F24*DV108*DV16*DV$6</f>
        <v>-136.769414269807</v>
      </c>
      <c r="DW114" s="47" t="n">
        <f aca="false">-In_Lease*$F24*DW108*DW16*DW$6</f>
        <v>-136.769414269807</v>
      </c>
      <c r="DX114" s="47" t="n">
        <f aca="false">-In_Lease*$F24*DX108*DX16*DX$6</f>
        <v>-138.664859956698</v>
      </c>
      <c r="DY114" s="47" t="n">
        <f aca="false">-In_Lease*$F24*DY108*DY16*DY$6</f>
        <v>-138.664859956698</v>
      </c>
      <c r="DZ114" s="47" t="n">
        <f aca="false">-In_Lease*$F24*DZ108*DZ16*DZ$6</f>
        <v>-140.188649626552</v>
      </c>
      <c r="EA114" s="47" t="n">
        <f aca="false">-In_Lease*$F24*EA108*EA16*EA$6</f>
        <v>-140.188649626552</v>
      </c>
      <c r="EB114" s="47" t="n">
        <f aca="false">-In_Lease*$F24*EB108*EB16*EB$6</f>
        <v>-140.569597044015</v>
      </c>
      <c r="EC114" s="47" t="n">
        <f aca="false">-In_Lease*$F24*EC108*EC16*EC$6</f>
        <v>-142.131481455615</v>
      </c>
      <c r="ED114" s="47" t="n">
        <f aca="false">-In_Lease*$F24*ED108*ED16*ED$6</f>
        <v>-143.693365867216</v>
      </c>
      <c r="EE114" s="47" t="n">
        <f aca="false">-In_Lease*$F24*EE108*EE16*EE$6</f>
        <v>-143.693365867216</v>
      </c>
      <c r="EF114" s="47" t="n">
        <f aca="false">-In_Lease*$F24*EF108*EF16*EF$6</f>
        <v>-144.083836970116</v>
      </c>
      <c r="EG114" s="47" t="n">
        <f aca="false">-In_Lease*$F24*EG108*EG16*EG$6</f>
        <v>-145.684768492006</v>
      </c>
      <c r="EH114" s="47" t="n">
        <f aca="false">-In_Lease*$F24*EH108*EH16*EH$6</f>
        <v>-147.285700013896</v>
      </c>
      <c r="EI114" s="47" t="n">
        <f aca="false">-In_Lease*$F24*EI108*EI16*EI$6</f>
        <v>-147.285700013896</v>
      </c>
      <c r="EJ114" s="47" t="n">
        <f aca="false">-In_Lease*$F24*EJ108*EJ16*EJ$6</f>
        <v>-147.685932894368</v>
      </c>
      <c r="EK114" s="47" t="n">
        <f aca="false">-In_Lease*$F24*EK108*EK16*EK$6</f>
        <v>-149.326887704306</v>
      </c>
      <c r="EL114" s="47" t="n">
        <f aca="false">-In_Lease*$F24*EL108*EL16*EL$6</f>
        <v>-150.967842514243</v>
      </c>
      <c r="EM114" s="47" t="n">
        <f aca="false">-In_Lease*$F24*EM108*EM16*EM$6</f>
        <v>-150.967842514243</v>
      </c>
      <c r="EN114" s="47" t="n">
        <f aca="false">-In_Lease*$F24*EN108*EN16*EN$6</f>
        <v>-153.060059896914</v>
      </c>
      <c r="EO114" s="47" t="n">
        <f aca="false">-In_Lease*$F24*EO108*EO16*EO$6</f>
        <v>-153.060059896914</v>
      </c>
      <c r="EP114" s="47" t="n">
        <f aca="false">-In_Lease*$F24*EP108*EP16*EP$6</f>
        <v>-154.742038577099</v>
      </c>
      <c r="EQ114" s="47" t="n">
        <f aca="false">-In_Lease*$F24*EQ108*EQ16*EQ$6</f>
        <v>-154.742038577099</v>
      </c>
      <c r="ER114" s="47" t="n">
        <f aca="false">-In_Lease*$F24*ER108*ER16*ER$6</f>
        <v>-155.162533247146</v>
      </c>
      <c r="ES114" s="47" t="n">
        <f aca="false">-In_Lease*$F24*ES108*ES16*ES$6</f>
        <v>-156.886561394336</v>
      </c>
      <c r="ET114" s="47" t="n">
        <f aca="false">-In_Lease*$F24*ET108*ET16*ET$6</f>
        <v>-158.610589541527</v>
      </c>
    </row>
    <row r="115" customFormat="false" ht="15" hidden="false" customHeight="false" outlineLevel="0" collapsed="false">
      <c r="C115" s="1" t="s">
        <v>529</v>
      </c>
      <c r="D115" s="12" t="s">
        <v>222</v>
      </c>
      <c r="I115" s="47" t="n">
        <f aca="false">SUM(J115:ET115)</f>
        <v>-15269.388528234</v>
      </c>
      <c r="J115" s="47" t="n">
        <f aca="false">-J111*(In_MEKH+In_HIPA)</f>
        <v>-0</v>
      </c>
      <c r="K115" s="47" t="n">
        <f aca="false">-K111*(In_MEKH+In_HIPA)</f>
        <v>-0</v>
      </c>
      <c r="L115" s="47" t="n">
        <f aca="false">-L111*(In_MEKH+In_HIPA)</f>
        <v>-0</v>
      </c>
      <c r="M115" s="47" t="n">
        <f aca="false">-M111*(In_MEKH+In_HIPA)</f>
        <v>-0</v>
      </c>
      <c r="N115" s="47" t="n">
        <f aca="false">-N111*(In_MEKH+In_HIPA)</f>
        <v>-0</v>
      </c>
      <c r="O115" s="47" t="n">
        <f aca="false">-O111*(In_MEKH+In_HIPA)</f>
        <v>-0</v>
      </c>
      <c r="P115" s="47" t="n">
        <f aca="false">-P111*(In_MEKH+In_HIPA)</f>
        <v>-0</v>
      </c>
      <c r="Q115" s="47" t="n">
        <f aca="false">-Q111*(In_MEKH+In_HIPA)</f>
        <v>-0</v>
      </c>
      <c r="R115" s="47" t="n">
        <f aca="false">-R111*(In_MEKH+In_HIPA)</f>
        <v>-0</v>
      </c>
      <c r="S115" s="47" t="n">
        <f aca="false">-S111*(In_MEKH+In_HIPA)</f>
        <v>-0</v>
      </c>
      <c r="T115" s="47" t="n">
        <f aca="false">-T111*(In_MEKH+In_HIPA)</f>
        <v>-0</v>
      </c>
      <c r="U115" s="47" t="n">
        <f aca="false">-U111*(In_MEKH+In_HIPA)</f>
        <v>-0</v>
      </c>
      <c r="V115" s="47" t="n">
        <f aca="false">-V111*(In_MEKH+In_HIPA)</f>
        <v>-0</v>
      </c>
      <c r="W115" s="47" t="n">
        <f aca="false">-W111*(In_MEKH+In_HIPA)</f>
        <v>-0</v>
      </c>
      <c r="X115" s="47" t="n">
        <f aca="false">-X111*(In_MEKH+In_HIPA)</f>
        <v>-0</v>
      </c>
      <c r="Y115" s="47" t="n">
        <f aca="false">-Y111*(In_MEKH+In_HIPA)</f>
        <v>-0</v>
      </c>
      <c r="Z115" s="47" t="n">
        <f aca="false">-Z111*(In_MEKH+In_HIPA)</f>
        <v>-0</v>
      </c>
      <c r="AA115" s="47" t="n">
        <f aca="false">-AA111*(In_MEKH+In_HIPA)</f>
        <v>-0</v>
      </c>
      <c r="AB115" s="47" t="n">
        <f aca="false">-AB111*(In_MEKH+In_HIPA)</f>
        <v>-0</v>
      </c>
      <c r="AC115" s="47" t="n">
        <f aca="false">-AC111*(In_MEKH+In_HIPA)</f>
        <v>-0</v>
      </c>
      <c r="AD115" s="47" t="n">
        <f aca="false">-AD111*(In_MEKH+In_HIPA)</f>
        <v>-0</v>
      </c>
      <c r="AE115" s="47" t="n">
        <f aca="false">-AE111*(In_MEKH+In_HIPA)</f>
        <v>-114.846549041096</v>
      </c>
      <c r="AF115" s="47" t="n">
        <f aca="false">-AF111*(In_MEKH+In_HIPA)</f>
        <v>-114.734199156164</v>
      </c>
      <c r="AG115" s="47" t="n">
        <f aca="false">-AG111*(In_MEKH+In_HIPA)</f>
        <v>-114.734199156164</v>
      </c>
      <c r="AH115" s="47" t="n">
        <f aca="false">-AH111*(In_MEKH+In_HIPA)</f>
        <v>-115.995014531507</v>
      </c>
      <c r="AI115" s="47" t="n">
        <f aca="false">-AI111*(In_MEKH+In_HIPA)</f>
        <v>-115.647029487912</v>
      </c>
      <c r="AJ115" s="47" t="n">
        <f aca="false">-AJ111*(In_MEKH+In_HIPA)</f>
        <v>-114.264293265774</v>
      </c>
      <c r="AK115" s="47" t="n">
        <f aca="false">-AK111*(In_MEKH+In_HIPA)</f>
        <v>-115.533896524283</v>
      </c>
      <c r="AL115" s="47" t="n">
        <f aca="false">-AL111*(In_MEKH+In_HIPA)</f>
        <v>-116.803499782791</v>
      </c>
      <c r="AM115" s="47" t="n">
        <f aca="false">-AM111*(In_MEKH+In_HIPA)</f>
        <v>-116.453089283443</v>
      </c>
      <c r="AN115" s="47" t="n">
        <f aca="false">-AN111*(In_MEKH+In_HIPA)</f>
        <v>-115.060715389837</v>
      </c>
      <c r="AO115" s="47" t="n">
        <f aca="false">-AO111*(In_MEKH+In_HIPA)</f>
        <v>-116.339167783057</v>
      </c>
      <c r="AP115" s="47" t="n">
        <f aca="false">-AP111*(In_MEKH+In_HIPA)</f>
        <v>-117.617620176278</v>
      </c>
      <c r="AQ115" s="47" t="n">
        <f aca="false">-AQ111*(In_MEKH+In_HIPA)</f>
        <v>-117.264767315749</v>
      </c>
      <c r="AR115" s="47" t="n">
        <f aca="false">-AR111*(In_MEKH+In_HIPA)</f>
        <v>-115.862688576104</v>
      </c>
      <c r="AS115" s="47" t="n">
        <f aca="false">-AS111*(In_MEKH+In_HIPA)</f>
        <v>-117.150051782505</v>
      </c>
      <c r="AT115" s="47" t="n">
        <f aca="false">-AT111*(In_MEKH+In_HIPA)</f>
        <v>-118.437414988906</v>
      </c>
      <c r="AU115" s="47" t="n">
        <f aca="false">-AU111*(In_MEKH+In_HIPA)</f>
        <v>-118.082102743939</v>
      </c>
      <c r="AV115" s="47" t="n">
        <f aca="false">-AV111*(In_MEKH+In_HIPA)</f>
        <v>-117.966587643429</v>
      </c>
      <c r="AW115" s="47" t="n">
        <f aca="false">-AW111*(In_MEKH+In_HIPA)</f>
        <v>-117.966587643429</v>
      </c>
      <c r="AX115" s="47" t="n">
        <f aca="false">-AX111*(In_MEKH+In_HIPA)</f>
        <v>-119.262923771379</v>
      </c>
      <c r="AY115" s="47" t="n">
        <f aca="false">-AY111*(In_MEKH+In_HIPA)</f>
        <v>-118.905135000065</v>
      </c>
      <c r="AZ115" s="47" t="n">
        <f aca="false">-AZ111*(In_MEKH+In_HIPA)</f>
        <v>-117.483443168542</v>
      </c>
      <c r="BA115" s="47" t="n">
        <f aca="false">-BA111*(In_MEKH+In_HIPA)</f>
        <v>-118.788814759304</v>
      </c>
      <c r="BB115" s="47" t="n">
        <f aca="false">-BB111*(In_MEKH+In_HIPA)</f>
        <v>-120.094186350065</v>
      </c>
      <c r="BC115" s="47" t="n">
        <f aca="false">-BC111*(In_MEKH+In_HIPA)</f>
        <v>-119.733903791015</v>
      </c>
      <c r="BD115" s="47" t="n">
        <f aca="false">-BD111*(In_MEKH+In_HIPA)</f>
        <v>-118.302302767427</v>
      </c>
      <c r="BE115" s="47" t="n">
        <f aca="false">-BE111*(In_MEKH+In_HIPA)</f>
        <v>-119.616772798176</v>
      </c>
      <c r="BF115" s="47" t="n">
        <f aca="false">-BF111*(In_MEKH+In_HIPA)</f>
        <v>-120.931242828925</v>
      </c>
      <c r="BG115" s="47" t="n">
        <f aca="false">-BG111*(In_MEKH+In_HIPA)</f>
        <v>-120.568449100439</v>
      </c>
      <c r="BH115" s="47" t="n">
        <f aca="false">-BH111*(In_MEKH+In_HIPA)</f>
        <v>-119.126869817716</v>
      </c>
      <c r="BI115" s="47" t="n">
        <f aca="false">-BI111*(In_MEKH+In_HIPA)</f>
        <v>-120.450501704579</v>
      </c>
      <c r="BJ115" s="47" t="n">
        <f aca="false">-BJ111*(In_MEKH+In_HIPA)</f>
        <v>-121.774133591443</v>
      </c>
      <c r="BK115" s="47" t="n">
        <f aca="false">-BK111*(In_MEKH+In_HIPA)</f>
        <v>-121.408811190669</v>
      </c>
      <c r="BL115" s="47" t="n">
        <f aca="false">-BL111*(In_MEKH+In_HIPA)</f>
        <v>-121.29004170146</v>
      </c>
      <c r="BM115" s="47" t="n">
        <f aca="false">-BM111*(In_MEKH+In_HIPA)</f>
        <v>-121.29004170146</v>
      </c>
      <c r="BN115" s="47" t="n">
        <f aca="false">-BN111*(In_MEKH+In_HIPA)</f>
        <v>-122.622899302575</v>
      </c>
      <c r="BO115" s="47" t="n">
        <f aca="false">-BO111*(In_MEKH+In_HIPA)</f>
        <v>-122.255030604668</v>
      </c>
      <c r="BP115" s="47" t="n">
        <f aca="false">-BP111*(In_MEKH+In_HIPA)</f>
        <v>-120.793285673525</v>
      </c>
      <c r="BQ115" s="47" t="n">
        <f aca="false">-BQ111*(In_MEKH+In_HIPA)</f>
        <v>-122.13543329212</v>
      </c>
      <c r="BR115" s="47" t="n">
        <f aca="false">-BR111*(In_MEKH+In_HIPA)</f>
        <v>-123.477580910714</v>
      </c>
      <c r="BS115" s="47" t="n">
        <f aca="false">-BS111*(In_MEKH+In_HIPA)</f>
        <v>-123.107148167982</v>
      </c>
      <c r="BT115" s="47" t="n">
        <f aca="false">-BT111*(In_MEKH+In_HIPA)</f>
        <v>-121.635214874669</v>
      </c>
      <c r="BU115" s="47" t="n">
        <f aca="false">-BU111*(In_MEKH+In_HIPA)</f>
        <v>-122.986717262166</v>
      </c>
      <c r="BV115" s="47" t="n">
        <f aca="false">-BV111*(In_MEKH+In_HIPA)</f>
        <v>-124.338219649662</v>
      </c>
      <c r="BW115" s="47" t="n">
        <f aca="false">-BW111*(In_MEKH+In_HIPA)</f>
        <v>-123.965204990713</v>
      </c>
      <c r="BX115" s="47" t="n">
        <f aca="false">-BX111*(In_MEKH+In_HIPA)</f>
        <v>-122.483012322346</v>
      </c>
      <c r="BY115" s="47" t="n">
        <f aca="false">-BY111*(In_MEKH+In_HIPA)</f>
        <v>-123.843934681483</v>
      </c>
      <c r="BZ115" s="47" t="n">
        <f aca="false">-BZ111*(In_MEKH+In_HIPA)</f>
        <v>-125.20485704062</v>
      </c>
      <c r="CA115" s="47" t="n">
        <f aca="false">-CA111*(In_MEKH+In_HIPA)</f>
        <v>-124.829242469498</v>
      </c>
      <c r="CB115" s="47" t="n">
        <f aca="false">-CB111*(In_MEKH+In_HIPA)</f>
        <v>-124.707126906213</v>
      </c>
      <c r="CC115" s="47" t="n">
        <f aca="false">-CC111*(In_MEKH+In_HIPA)</f>
        <v>-124.707126906213</v>
      </c>
      <c r="CD115" s="47" t="n">
        <f aca="false">-CD111*(In_MEKH+In_HIPA)</f>
        <v>-126.077534894193</v>
      </c>
      <c r="CE115" s="47" t="n">
        <f aca="false">-CE111*(In_MEKH+In_HIPA)</f>
        <v>-125.699302289511</v>
      </c>
      <c r="CF115" s="47" t="n">
        <f aca="false">-CF111*(In_MEKH+In_HIPA)</f>
        <v>-124.196375849093</v>
      </c>
      <c r="CG115" s="47" t="n">
        <f aca="false">-CG111*(In_MEKH+In_HIPA)</f>
        <v>-125.576335580749</v>
      </c>
      <c r="CH115" s="47" t="n">
        <f aca="false">-CH111*(In_MEKH+In_HIPA)</f>
        <v>-126.956295312406</v>
      </c>
      <c r="CI115" s="47" t="n">
        <f aca="false">-CI111*(In_MEKH+In_HIPA)</f>
        <v>-126.575426426469</v>
      </c>
      <c r="CJ115" s="47" t="n">
        <f aca="false">-CJ111*(In_MEKH+In_HIPA)</f>
        <v>-125.062024588761</v>
      </c>
      <c r="CK115" s="47" t="n">
        <f aca="false">-CK111*(In_MEKH+In_HIPA)</f>
        <v>-126.451602639747</v>
      </c>
      <c r="CL115" s="47" t="n">
        <f aca="false">-CL111*(In_MEKH+In_HIPA)</f>
        <v>-127.841180690733</v>
      </c>
      <c r="CM115" s="47" t="n">
        <f aca="false">-CM111*(In_MEKH+In_HIPA)</f>
        <v>-127.457657148661</v>
      </c>
      <c r="CN115" s="47" t="n">
        <f aca="false">-CN111*(In_MEKH+In_HIPA)</f>
        <v>-125.933706900144</v>
      </c>
      <c r="CO115" s="47" t="n">
        <f aca="false">-CO111*(In_MEKH+In_HIPA)</f>
        <v>-127.332970310146</v>
      </c>
      <c r="CP115" s="47" t="n">
        <f aca="false">-CP111*(In_MEKH+In_HIPA)</f>
        <v>-128.732233720148</v>
      </c>
      <c r="CQ115" s="47" t="n">
        <f aca="false">-CQ111*(In_MEKH+In_HIPA)</f>
        <v>-128.346037018987</v>
      </c>
      <c r="CR115" s="47" t="n">
        <f aca="false">-CR111*(In_MEKH+In_HIPA)</f>
        <v>-128.220481113208</v>
      </c>
      <c r="CS115" s="47" t="n">
        <f aca="false">-CS111*(In_MEKH+In_HIPA)</f>
        <v>-128.220481113208</v>
      </c>
      <c r="CT115" s="47" t="n">
        <f aca="false">-CT111*(In_MEKH+In_HIPA)</f>
        <v>-129.629497389177</v>
      </c>
      <c r="CU115" s="47" t="n">
        <f aca="false">-CU111*(In_MEKH+In_HIPA)</f>
        <v>-129.240608897009</v>
      </c>
      <c r="CV115" s="47" t="n">
        <f aca="false">-CV111*(In_MEKH+In_HIPA)</f>
        <v>-127.695340747154</v>
      </c>
      <c r="CW115" s="47" t="n">
        <f aca="false">-CW111*(In_MEKH+In_HIPA)</f>
        <v>-129.114177866567</v>
      </c>
      <c r="CX115" s="47" t="n">
        <f aca="false">-CX111*(In_MEKH+In_HIPA)</f>
        <v>-130.53301498598</v>
      </c>
      <c r="CY115" s="47" t="n">
        <f aca="false">-CY111*(In_MEKH+In_HIPA)</f>
        <v>-130.141415941022</v>
      </c>
      <c r="CZ115" s="47" t="n">
        <f aca="false">-CZ111*(In_MEKH+In_HIPA)</f>
        <v>-128.585377272162</v>
      </c>
      <c r="DA115" s="47" t="n">
        <f aca="false">-DA111*(In_MEKH+In_HIPA)</f>
        <v>-130.014103686297</v>
      </c>
      <c r="DB115" s="47" t="n">
        <f aca="false">-DB111*(In_MEKH+In_HIPA)</f>
        <v>-131.442830100432</v>
      </c>
      <c r="DC115" s="47" t="n">
        <f aca="false">-DC111*(In_MEKH+In_HIPA)</f>
        <v>-131.048501610131</v>
      </c>
      <c r="DD115" s="47" t="n">
        <f aca="false">-DD111*(In_MEKH+In_HIPA)</f>
        <v>-129.481617351749</v>
      </c>
      <c r="DE115" s="47" t="n">
        <f aca="false">-DE111*(In_MEKH+In_HIPA)</f>
        <v>-130.92030198899</v>
      </c>
      <c r="DF115" s="47" t="n">
        <f aca="false">-DF111*(In_MEKH+In_HIPA)</f>
        <v>-132.358986626232</v>
      </c>
      <c r="DG115" s="47" t="n">
        <f aca="false">-DG111*(In_MEKH+In_HIPA)</f>
        <v>-131.961909666353</v>
      </c>
      <c r="DH115" s="47" t="n">
        <f aca="false">-DH111*(In_MEKH+In_HIPA)</f>
        <v>-131.832816493854</v>
      </c>
      <c r="DI115" s="47" t="n">
        <f aca="false">-DI111*(In_MEKH+In_HIPA)</f>
        <v>-131.832816493854</v>
      </c>
      <c r="DJ115" s="47" t="n">
        <f aca="false">-DJ111*(In_MEKH+In_HIPA)</f>
        <v>-133.281528763017</v>
      </c>
      <c r="DK115" s="47" t="n">
        <f aca="false">-DK111*(In_MEKH+In_HIPA)</f>
        <v>-132.881684176728</v>
      </c>
      <c r="DL115" s="47" t="n">
        <f aca="false">-DL111*(In_MEKH+In_HIPA)</f>
        <v>-131.292881431136</v>
      </c>
      <c r="DM115" s="47" t="n">
        <f aca="false">-DM111*(In_MEKH+In_HIPA)</f>
        <v>-132.751691224816</v>
      </c>
      <c r="DN115" s="47" t="n">
        <f aca="false">-DN111*(In_MEKH+In_HIPA)</f>
        <v>-134.210501018495</v>
      </c>
      <c r="DO115" s="47" t="n">
        <f aca="false">-DO111*(In_MEKH+In_HIPA)</f>
        <v>-133.807869515439</v>
      </c>
      <c r="DP115" s="47" t="n">
        <f aca="false">-DP111*(In_MEKH+In_HIPA)</f>
        <v>-132.207992814711</v>
      </c>
      <c r="DQ115" s="47" t="n">
        <f aca="false">-DQ111*(In_MEKH+In_HIPA)</f>
        <v>-133.676970512653</v>
      </c>
      <c r="DR115" s="47" t="n">
        <f aca="false">-DR111*(In_MEKH+In_HIPA)</f>
        <v>-135.145948210594</v>
      </c>
      <c r="DS115" s="47" t="n">
        <f aca="false">-DS111*(In_MEKH+In_HIPA)</f>
        <v>-134.740510365962</v>
      </c>
      <c r="DT115" s="47" t="n">
        <f aca="false">-DT111*(In_MEKH+In_HIPA)</f>
        <v>-133.12948252463</v>
      </c>
      <c r="DU115" s="47" t="n">
        <f aca="false">-DU111*(In_MEKH+In_HIPA)</f>
        <v>-134.608698997126</v>
      </c>
      <c r="DV115" s="47" t="n">
        <f aca="false">-DV111*(In_MEKH+In_HIPA)</f>
        <v>-136.087915469622</v>
      </c>
      <c r="DW115" s="47" t="n">
        <f aca="false">-DW111*(In_MEKH+In_HIPA)</f>
        <v>-135.679651723213</v>
      </c>
      <c r="DX115" s="47" t="n">
        <f aca="false">-DX111*(In_MEKH+In_HIPA)</f>
        <v>-135.546921629136</v>
      </c>
      <c r="DY115" s="47" t="n">
        <f aca="false">-DY111*(In_MEKH+In_HIPA)</f>
        <v>-135.546921629136</v>
      </c>
      <c r="DZ115" s="47" t="n">
        <f aca="false">-DZ111*(In_MEKH+In_HIPA)</f>
        <v>-137.036448240445</v>
      </c>
      <c r="EA115" s="47" t="n">
        <f aca="false">-EA111*(In_MEKH+In_HIPA)</f>
        <v>-136.625338895724</v>
      </c>
      <c r="EB115" s="47" t="n">
        <f aca="false">-EB111*(In_MEKH+In_HIPA)</f>
        <v>-134.991775061101</v>
      </c>
      <c r="EC115" s="47" t="n">
        <f aca="false">-EC111*(In_MEKH+In_HIPA)</f>
        <v>-136.491683672891</v>
      </c>
      <c r="ED115" s="47" t="n">
        <f aca="false">-ED111*(In_MEKH+In_HIPA)</f>
        <v>-137.991592284681</v>
      </c>
      <c r="EE115" s="47" t="n">
        <f aca="false">-EE111*(In_MEKH+In_HIPA)</f>
        <v>-137.577617507827</v>
      </c>
      <c r="EF115" s="47" t="n">
        <f aca="false">-EF111*(In_MEKH+In_HIPA)</f>
        <v>-135.932667733277</v>
      </c>
      <c r="EG115" s="47" t="n">
        <f aca="false">-EG111*(In_MEKH+In_HIPA)</f>
        <v>-137.443030708091</v>
      </c>
      <c r="EH115" s="47" t="n">
        <f aca="false">-EH111*(In_MEKH+In_HIPA)</f>
        <v>-138.953393682905</v>
      </c>
      <c r="EI115" s="47" t="n">
        <f aca="false">-EI111*(In_MEKH+In_HIPA)</f>
        <v>-138.536533501856</v>
      </c>
      <c r="EJ115" s="47" t="n">
        <f aca="false">-EJ111*(In_MEKH+In_HIPA)</f>
        <v>-136.880118427378</v>
      </c>
      <c r="EK115" s="47" t="n">
        <f aca="false">-EK111*(In_MEKH+In_HIPA)</f>
        <v>-138.401008632126</v>
      </c>
      <c r="EL115" s="47" t="n">
        <f aca="false">-EL111*(In_MEKH+In_HIPA)</f>
        <v>-139.921898836875</v>
      </c>
      <c r="EM115" s="47" t="n">
        <f aca="false">-EM111*(In_MEKH+In_HIPA)</f>
        <v>-139.502133140364</v>
      </c>
      <c r="EN115" s="47" t="n">
        <f aca="false">-EN111*(In_MEKH+In_HIPA)</f>
        <v>-139.365663662292</v>
      </c>
      <c r="EO115" s="47" t="n">
        <f aca="false">-EO111*(In_MEKH+In_HIPA)</f>
        <v>-139.365663662292</v>
      </c>
      <c r="EP115" s="47" t="n">
        <f aca="false">-EP111*(In_MEKH+In_HIPA)</f>
        <v>-140.897154471768</v>
      </c>
      <c r="EQ115" s="47" t="n">
        <f aca="false">-EQ111*(In_MEKH+In_HIPA)</f>
        <v>-140.474463008353</v>
      </c>
      <c r="ER115" s="47" t="n">
        <f aca="false">-ER111*(In_MEKH+In_HIPA)</f>
        <v>-138.794877037601</v>
      </c>
      <c r="ES115" s="47" t="n">
        <f aca="false">-ES111*(In_MEKH+In_HIPA)</f>
        <v>-140.337042338018</v>
      </c>
      <c r="ET115" s="47" t="n">
        <f aca="false">-ET111*(In_MEKH+In_HIPA)</f>
        <v>-141.879207638436</v>
      </c>
    </row>
    <row r="116" customFormat="false" ht="15" hidden="false" customHeight="false" outlineLevel="0" collapsed="false">
      <c r="C116" s="1" t="s">
        <v>350</v>
      </c>
      <c r="D116" s="12" t="s">
        <v>222</v>
      </c>
      <c r="I116" s="47" t="n">
        <f aca="false">SUM(J116:ET116)</f>
        <v>-8565.12918101122</v>
      </c>
      <c r="J116" s="47" t="n">
        <f aca="false">In_Opex_Contingency*(J112+J113+J114-J111*In_MEKH)</f>
        <v>-0</v>
      </c>
      <c r="K116" s="47" t="n">
        <f aca="false">In_Opex_Contingency*(K112+K113+K114-K111*In_MEKH)</f>
        <v>-0</v>
      </c>
      <c r="L116" s="47" t="n">
        <f aca="false">In_Opex_Contingency*(L112+L113+L114-L111*In_MEKH)</f>
        <v>-0</v>
      </c>
      <c r="M116" s="47" t="n">
        <f aca="false">In_Opex_Contingency*(M112+M113+M114-M111*In_MEKH)</f>
        <v>-0</v>
      </c>
      <c r="N116" s="47" t="n">
        <f aca="false">In_Opex_Contingency*(N112+N113+N114-N111*In_MEKH)</f>
        <v>-0</v>
      </c>
      <c r="O116" s="47" t="n">
        <f aca="false">In_Opex_Contingency*(O112+O113+O114-O111*In_MEKH)</f>
        <v>-0</v>
      </c>
      <c r="P116" s="47" t="n">
        <f aca="false">In_Opex_Contingency*(P112+P113+P114-P111*In_MEKH)</f>
        <v>-0</v>
      </c>
      <c r="Q116" s="47" t="n">
        <f aca="false">In_Opex_Contingency*(Q112+Q113+Q114-Q111*In_MEKH)</f>
        <v>-0</v>
      </c>
      <c r="R116" s="47" t="n">
        <f aca="false">In_Opex_Contingency*(R112+R113+R114-R111*In_MEKH)</f>
        <v>-0</v>
      </c>
      <c r="S116" s="47" t="n">
        <f aca="false">In_Opex_Contingency*(S112+S113+S114-S111*In_MEKH)</f>
        <v>-0</v>
      </c>
      <c r="T116" s="47" t="n">
        <f aca="false">In_Opex_Contingency*(T112+T113+T114-T111*In_MEKH)</f>
        <v>-0</v>
      </c>
      <c r="U116" s="47" t="n">
        <f aca="false">In_Opex_Contingency*(U112+U113+U114-U111*In_MEKH)</f>
        <v>-0</v>
      </c>
      <c r="V116" s="47" t="n">
        <f aca="false">In_Opex_Contingency*(V112+V113+V114-V111*In_MEKH)</f>
        <v>-0</v>
      </c>
      <c r="W116" s="47" t="n">
        <f aca="false">In_Opex_Contingency*(W112+W113+W114-W111*In_MEKH)</f>
        <v>-3.59864073081092</v>
      </c>
      <c r="X116" s="47" t="n">
        <f aca="false">In_Opex_Contingency*(X112+X113+X114-X111*In_MEKH)</f>
        <v>-3.60841964584029</v>
      </c>
      <c r="Y116" s="47" t="n">
        <f aca="false">In_Opex_Contingency*(Y112+Y113+Y114-Y111*In_MEKH)</f>
        <v>-3.64851319746074</v>
      </c>
      <c r="Z116" s="47" t="n">
        <f aca="false">In_Opex_Contingency*(Z112+Z113+Z114-Z111*In_MEKH)</f>
        <v>-3.68860674908119</v>
      </c>
      <c r="AA116" s="47" t="n">
        <f aca="false">In_Opex_Contingency*(AA112+AA113+AA114-AA111*In_MEKH)</f>
        <v>-3.68860674908119</v>
      </c>
      <c r="AB116" s="47" t="n">
        <f aca="false">In_Opex_Contingency*(AB112+AB113+AB114-AB111*In_MEKH)</f>
        <v>-3.6986301369863</v>
      </c>
      <c r="AC116" s="47" t="n">
        <f aca="false">In_Opex_Contingency*(AC112+AC113+AC114-AC111*In_MEKH)</f>
        <v>-3.73972602739726</v>
      </c>
      <c r="AD116" s="47" t="n">
        <f aca="false">In_Opex_Contingency*(AD112+AD113+AD114-AD111*In_MEKH)</f>
        <v>-3.78082191780822</v>
      </c>
      <c r="AE116" s="47" t="n">
        <f aca="false">In_Opex_Contingency*(AE112+AE113+AE114-AE111*In_MEKH)</f>
        <v>-48.8620469041096</v>
      </c>
      <c r="AF116" s="47" t="n">
        <f aca="false">In_Opex_Contingency*(AF112+AF113+AF114-AF111*In_MEKH)</f>
        <v>-49.5351540619178</v>
      </c>
      <c r="AG116" s="47" t="n">
        <f aca="false">In_Opex_Contingency*(AG112+AG113+AG114-AG111*In_MEKH)</f>
        <v>-49.5351540619178</v>
      </c>
      <c r="AH116" s="47" t="n">
        <f aca="false">In_Opex_Contingency*(AH112+AH113+AH114-AH111*In_MEKH)</f>
        <v>-50.0794964142466</v>
      </c>
      <c r="AI116" s="47" t="n">
        <f aca="false">In_Opex_Contingency*(AI112+AI113+AI114-AI111*In_MEKH)</f>
        <v>-50.0319545003463</v>
      </c>
      <c r="AJ116" s="47" t="n">
        <f aca="false">In_Opex_Contingency*(AJ112+AJ113+AJ114-AJ111*In_MEKH)</f>
        <v>-50.1638704354583</v>
      </c>
      <c r="AK116" s="47" t="n">
        <f aca="false">In_Opex_Contingency*(AK112+AK113+AK114-AK111*In_MEKH)</f>
        <v>-50.7212467736301</v>
      </c>
      <c r="AL116" s="47" t="n">
        <f aca="false">In_Opex_Contingency*(AL112+AL113+AL114-AL111*In_MEKH)</f>
        <v>-51.2786231118018</v>
      </c>
      <c r="AM116" s="47" t="n">
        <f aca="false">In_Opex_Contingency*(AM112+AM113+AM114-AM111*In_MEKH)</f>
        <v>-51.2300512321924</v>
      </c>
      <c r="AN116" s="47" t="n">
        <f aca="false">In_Opex_Contingency*(AN112+AN113+AN114-AN111*In_MEKH)</f>
        <v>-51.3651947029183</v>
      </c>
      <c r="AO116" s="47" t="n">
        <f aca="false">In_Opex_Contingency*(AO112+AO113+AO114-AO111*In_MEKH)</f>
        <v>-51.9359190885063</v>
      </c>
      <c r="AP116" s="47" t="n">
        <f aca="false">In_Opex_Contingency*(AP112+AP113+AP114-AP111*In_MEKH)</f>
        <v>-52.5066434740943</v>
      </c>
      <c r="AQ116" s="47" t="n">
        <f aca="false">In_Opex_Contingency*(AQ112+AQ113+AQ114-AQ111*In_MEKH)</f>
        <v>-52.4570191331412</v>
      </c>
      <c r="AR116" s="47" t="n">
        <f aca="false">In_Opex_Contingency*(AR112+AR113+AR114-AR111*In_MEKH)</f>
        <v>-52.5954683974554</v>
      </c>
      <c r="AS116" s="47" t="n">
        <f aca="false">In_Opex_Contingency*(AS112+AS113+AS114-AS111*In_MEKH)</f>
        <v>-53.1798624907605</v>
      </c>
      <c r="AT116" s="47" t="n">
        <f aca="false">In_Opex_Contingency*(AT112+AT113+AT114-AT111*In_MEKH)</f>
        <v>-53.7642565840656</v>
      </c>
      <c r="AU116" s="47" t="n">
        <f aca="false">In_Opex_Contingency*(AU112+AU113+AU114-AU111*In_MEKH)</f>
        <v>-53.7135567935193</v>
      </c>
      <c r="AV116" s="47" t="n">
        <f aca="false">In_Opex_Contingency*(AV112+AV113+AV114-AV111*In_MEKH)</f>
        <v>-54.4537852508869</v>
      </c>
      <c r="AW116" s="47" t="n">
        <f aca="false">In_Opex_Contingency*(AW112+AW113+AW114-AW111*In_MEKH)</f>
        <v>-54.4537852508869</v>
      </c>
      <c r="AX116" s="47" t="n">
        <f aca="false">In_Opex_Contingency*(AX112+AX113+AX114-AX111*In_MEKH)</f>
        <v>-55.0521784954021</v>
      </c>
      <c r="AY116" s="47" t="n">
        <f aca="false">In_Opex_Contingency*(AY112+AY113+AY114-AY111*In_MEKH)</f>
        <v>-55.0003797636019</v>
      </c>
      <c r="AZ116" s="47" t="n">
        <f aca="false">In_Opex_Contingency*(AZ112+AZ113+AZ114-AZ111*In_MEKH)</f>
        <v>-55.1456830229945</v>
      </c>
      <c r="BA116" s="47" t="n">
        <f aca="false">In_Opex_Contingency*(BA112+BA113+BA114-BA111*In_MEKH)</f>
        <v>-55.7584128343611</v>
      </c>
      <c r="BB116" s="47" t="n">
        <f aca="false">In_Opex_Contingency*(BB112+BB113+BB114-BB111*In_MEKH)</f>
        <v>-56.3711426457277</v>
      </c>
      <c r="BC116" s="47" t="n">
        <f aca="false">In_Opex_Contingency*(BC112+BC113+BC114-BC111*In_MEKH)</f>
        <v>-56.3182209665687</v>
      </c>
      <c r="BD116" s="47" t="n">
        <f aca="false">In_Opex_Contingency*(BD112+BD113+BD114-BD111*In_MEKH)</f>
        <v>-56.4670763607554</v>
      </c>
      <c r="BE116" s="47" t="n">
        <f aca="false">In_Opex_Contingency*(BE112+BE113+BE114-BE111*In_MEKH)</f>
        <v>-57.0944883203193</v>
      </c>
      <c r="BF116" s="47" t="n">
        <f aca="false">In_Opex_Contingency*(BF112+BF113+BF114-BF111*In_MEKH)</f>
        <v>-57.7219002798833</v>
      </c>
      <c r="BG116" s="47" t="n">
        <f aca="false">In_Opex_Contingency*(BG112+BG113+BG114-BG111*In_MEKH)</f>
        <v>-57.6678311215413</v>
      </c>
      <c r="BH116" s="47" t="n">
        <f aca="false">In_Opex_Contingency*(BH112+BH113+BH114-BH111*In_MEKH)</f>
        <v>-57.8203247773766</v>
      </c>
      <c r="BI116" s="47" t="n">
        <f aca="false">In_Opex_Contingency*(BI112+BI113+BI114-BI111*In_MEKH)</f>
        <v>-58.4627728304585</v>
      </c>
      <c r="BJ116" s="47" t="n">
        <f aca="false">In_Opex_Contingency*(BJ112+BJ113+BJ114-BJ111*In_MEKH)</f>
        <v>-59.1052208835405</v>
      </c>
      <c r="BK116" s="47" t="n">
        <f aca="false">In_Opex_Contingency*(BK112+BK113+BK114-BK111*In_MEKH)</f>
        <v>-59.04997917695</v>
      </c>
      <c r="BL116" s="47" t="n">
        <f aca="false">In_Opex_Contingency*(BL112+BL113+BL114-BL111*In_MEKH)</f>
        <v>-59.8640459684091</v>
      </c>
      <c r="BM116" s="47" t="n">
        <f aca="false">In_Opex_Contingency*(BM112+BM113+BM114-BM111*In_MEKH)</f>
        <v>-59.8640459684091</v>
      </c>
      <c r="BN116" s="47" t="n">
        <f aca="false">In_Opex_Contingency*(BN112+BN113+BN114-BN111*In_MEKH)</f>
        <v>-60.5218926274026</v>
      </c>
      <c r="BO116" s="47" t="n">
        <f aca="false">In_Opex_Contingency*(BO112+BO113+BO114-BO111*In_MEKH)</f>
        <v>-60.465452754482</v>
      </c>
      <c r="BP116" s="47" t="n">
        <f aca="false">In_Opex_Contingency*(BP112+BP113+BP114-BP111*In_MEKH)</f>
        <v>-60.6254897174195</v>
      </c>
      <c r="BQ116" s="47" t="n">
        <f aca="false">In_Opex_Contingency*(BQ112+BQ113+BQ114-BQ111*In_MEKH)</f>
        <v>-61.2991062698353</v>
      </c>
      <c r="BR116" s="47" t="n">
        <f aca="false">In_Opex_Contingency*(BR112+BR113+BR114-BR111*In_MEKH)</f>
        <v>-61.972722822251</v>
      </c>
      <c r="BS116" s="47" t="n">
        <f aca="false">In_Opex_Contingency*(BS112+BS113+BS114-BS111*In_MEKH)</f>
        <v>-61.9150586038699</v>
      </c>
      <c r="BT116" s="47" t="n">
        <f aca="false">In_Opex_Contingency*(BT112+BT113+BT114-BT111*In_MEKH)</f>
        <v>-62.0790049419491</v>
      </c>
      <c r="BU116" s="47" t="n">
        <f aca="false">In_Opex_Contingency*(BU112+BU113+BU114-BU111*In_MEKH)</f>
        <v>-62.7687716635263</v>
      </c>
      <c r="BV116" s="47" t="n">
        <f aca="false">In_Opex_Contingency*(BV112+BV113+BV114-BV111*In_MEKH)</f>
        <v>-63.4585383851035</v>
      </c>
      <c r="BW116" s="47" t="n">
        <f aca="false">In_Opex_Contingency*(BW112+BW113+BW114-BW111*In_MEKH)</f>
        <v>-63.399623068786</v>
      </c>
      <c r="BX116" s="47" t="n">
        <f aca="false">In_Opex_Contingency*(BX112+BX113+BX114-BX111*In_MEKH)</f>
        <v>-63.5675735707396</v>
      </c>
      <c r="BY116" s="47" t="n">
        <f aca="false">In_Opex_Contingency*(BY112+BY113+BY114-BY111*In_MEKH)</f>
        <v>-64.2738799437478</v>
      </c>
      <c r="BZ116" s="47" t="n">
        <f aca="false">In_Opex_Contingency*(BZ112+BZ113+BZ114-BZ111*In_MEKH)</f>
        <v>-64.980186316756</v>
      </c>
      <c r="CA116" s="47" t="n">
        <f aca="false">In_Opex_Contingency*(CA112+CA113+CA114-CA111*In_MEKH)</f>
        <v>-64.9199925641145</v>
      </c>
      <c r="CB116" s="47" t="n">
        <f aca="false">In_Opex_Contingency*(CB112+CB113+CB114-CB111*In_MEKH)</f>
        <v>-65.8152892541277</v>
      </c>
      <c r="CC116" s="47" t="n">
        <f aca="false">In_Opex_Contingency*(CC112+CC113+CC114-CC111*In_MEKH)</f>
        <v>-65.8152892541277</v>
      </c>
      <c r="CD116" s="47" t="n">
        <f aca="false">In_Opex_Contingency*(CD112+CD113+CD114-CD111*In_MEKH)</f>
        <v>-66.5385341909863</v>
      </c>
      <c r="CE116" s="47" t="n">
        <f aca="false">In_Opex_Contingency*(CE112+CE113+CE114-CE111*In_MEKH)</f>
        <v>-66.4770340648798</v>
      </c>
      <c r="CF116" s="47" t="n">
        <f aca="false">In_Opex_Contingency*(CF112+CF113+CF114-CF111*In_MEKH)</f>
        <v>-66.6532865110164</v>
      </c>
      <c r="CG116" s="47" t="n">
        <f aca="false">In_Opex_Contingency*(CG112+CG113+CG114-CG111*In_MEKH)</f>
        <v>-67.3938785833611</v>
      </c>
      <c r="CH116" s="47" t="n">
        <f aca="false">In_Opex_Contingency*(CH112+CH113+CH114-CH111*In_MEKH)</f>
        <v>-68.1344706557057</v>
      </c>
      <c r="CI116" s="47" t="n">
        <f aca="false">In_Opex_Contingency*(CI112+CI113+CI114-CI111*In_MEKH)</f>
        <v>-68.0716356071167</v>
      </c>
      <c r="CJ116" s="47" t="n">
        <f aca="false">In_Opex_Contingency*(CJ112+CJ113+CJ114-CJ111*In_MEKH)</f>
        <v>-68.252190599691</v>
      </c>
      <c r="CK116" s="47" t="n">
        <f aca="false">In_Opex_Contingency*(CK112+CK113+CK114-CK111*In_MEKH)</f>
        <v>-69.0105482730209</v>
      </c>
      <c r="CL116" s="47" t="n">
        <f aca="false">In_Opex_Contingency*(CL112+CL113+CL114-CL111*In_MEKH)</f>
        <v>-69.7689059463508</v>
      </c>
      <c r="CM116" s="47" t="n">
        <f aca="false">In_Opex_Contingency*(CM112+CM113+CM114-CM111*In_MEKH)</f>
        <v>-69.7047068009743</v>
      </c>
      <c r="CN116" s="47" t="n">
        <f aca="false">In_Opex_Contingency*(CN112+CN113+CN114-CN111*In_MEKH)</f>
        <v>-69.8896686637318</v>
      </c>
      <c r="CO116" s="47" t="n">
        <f aca="false">In_Opex_Contingency*(CO112+CO113+CO114-CO111*In_MEKH)</f>
        <v>-70.6662205377733</v>
      </c>
      <c r="CP116" s="47" t="n">
        <f aca="false">In_Opex_Contingency*(CP112+CP113+CP114-CP111*In_MEKH)</f>
        <v>-71.4427724118148</v>
      </c>
      <c r="CQ116" s="47" t="n">
        <f aca="false">In_Opex_Contingency*(CQ112+CQ113+CQ114-CQ111*In_MEKH)</f>
        <v>-71.3771793563535</v>
      </c>
      <c r="CR116" s="47" t="n">
        <f aca="false">In_Opex_Contingency*(CR112+CR113+CR114-CR111*In_MEKH)</f>
        <v>-72.3618399982995</v>
      </c>
      <c r="CS116" s="47" t="n">
        <f aca="false">In_Opex_Contingency*(CS112+CS113+CS114-CS111*In_MEKH)</f>
        <v>-72.3618399982995</v>
      </c>
      <c r="CT116" s="47" t="n">
        <f aca="false">In_Opex_Contingency*(CT112+CT113+CT114-CT111*In_MEKH)</f>
        <v>-73.1570250532259</v>
      </c>
      <c r="CU116" s="47" t="n">
        <f aca="false">In_Opex_Contingency*(CU112+CU113+CU114-CU111*In_MEKH)</f>
        <v>-73.0900076213847</v>
      </c>
      <c r="CV116" s="47" t="n">
        <f aca="false">In_Opex_Contingency*(CV112+CV113+CV114-CV111*In_MEKH)</f>
        <v>-73.2841063785854</v>
      </c>
      <c r="CW116" s="47" t="n">
        <f aca="false">In_Opex_Contingency*(CW112+CW113+CW114-CW111*In_MEKH)</f>
        <v>-74.0983742272363</v>
      </c>
      <c r="CX116" s="47" t="n">
        <f aca="false">In_Opex_Contingency*(CX112+CX113+CX114-CX111*In_MEKH)</f>
        <v>-74.9126420758873</v>
      </c>
      <c r="CY116" s="47" t="n">
        <f aca="false">In_Opex_Contingency*(CY112+CY113+CY114-CY111*In_MEKH)</f>
        <v>-74.8441691340611</v>
      </c>
      <c r="CZ116" s="47" t="n">
        <f aca="false">In_Opex_Contingency*(CZ112+CZ113+CZ114-CZ111*In_MEKH)</f>
        <v>-75.0430031622069</v>
      </c>
      <c r="DA116" s="47" t="n">
        <f aca="false">In_Opex_Contingency*(DA112+DA113+DA114-DA111*In_MEKH)</f>
        <v>-75.8768143084537</v>
      </c>
      <c r="DB116" s="47" t="n">
        <f aca="false">In_Opex_Contingency*(DB112+DB113+DB114-DB111*In_MEKH)</f>
        <v>-76.7106254547004</v>
      </c>
      <c r="DC116" s="47" t="n">
        <f aca="false">In_Opex_Contingency*(DC112+DC113+DC114-DC111*In_MEKH)</f>
        <v>-76.6406651873478</v>
      </c>
      <c r="DD116" s="47" t="n">
        <f aca="false">In_Opex_Contingency*(DD112+DD113+DD114-DD111*In_MEKH)</f>
        <v>-76.8443493065894</v>
      </c>
      <c r="DE116" s="47" t="n">
        <f aca="false">In_Opex_Contingency*(DE112+DE113+DE114-DE111*In_MEKH)</f>
        <v>-77.698175409996</v>
      </c>
      <c r="DF116" s="47" t="n">
        <f aca="false">In_Opex_Contingency*(DF112+DF113+DF114-DF111*In_MEKH)</f>
        <v>-78.5520015134025</v>
      </c>
      <c r="DG116" s="47" t="n">
        <f aca="false">In_Opex_Contingency*(DG112+DG113+DG114-DG111*In_MEKH)</f>
        <v>-78.4805214080991</v>
      </c>
      <c r="DH116" s="47" t="n">
        <f aca="false">In_Opex_Contingency*(DH112+DH113+DH114-DH111*In_MEKH)</f>
        <v>-79.563497371022</v>
      </c>
      <c r="DI116" s="47" t="n">
        <f aca="false">In_Opex_Contingency*(DI112+DI113+DI114-DI111*In_MEKH)</f>
        <v>-79.563497371022</v>
      </c>
      <c r="DJ116" s="47" t="n">
        <f aca="false">In_Opex_Contingency*(DJ112+DJ113+DJ114-DJ111*In_MEKH)</f>
        <v>-80.4378215179563</v>
      </c>
      <c r="DK116" s="47" t="n">
        <f aca="false">In_Opex_Contingency*(DK112+DK113+DK114-DK111*In_MEKH)</f>
        <v>-80.3647883501201</v>
      </c>
      <c r="DL116" s="47" t="n">
        <f aca="false">In_Opex_Contingency*(DL112+DL113+DL114-DL111*In_MEKH)</f>
        <v>-80.5785283217331</v>
      </c>
      <c r="DM116" s="47" t="n">
        <f aca="false">In_Opex_Contingency*(DM112+DM113+DM114-DM111*In_MEKH)</f>
        <v>-81.4738453030857</v>
      </c>
      <c r="DN116" s="47" t="n">
        <f aca="false">In_Opex_Contingency*(DN112+DN113+DN114-DN111*In_MEKH)</f>
        <v>-82.3691622844383</v>
      </c>
      <c r="DO116" s="47" t="n">
        <f aca="false">In_Opex_Contingency*(DO112+DO113+DO114-DO111*In_MEKH)</f>
        <v>-82.2945421017206</v>
      </c>
      <c r="DP116" s="47" t="n">
        <f aca="false">In_Opex_Contingency*(DP112+DP113+DP114-DP111*In_MEKH)</f>
        <v>-82.5134936104378</v>
      </c>
      <c r="DQ116" s="47" t="n">
        <f aca="false">In_Opex_Contingency*(DQ112+DQ113+DQ114-DQ111*In_MEKH)</f>
        <v>-83.4303102061093</v>
      </c>
      <c r="DR116" s="47" t="n">
        <f aca="false">In_Opex_Contingency*(DR112+DR113+DR114-DR111*In_MEKH)</f>
        <v>-84.3471268017809</v>
      </c>
      <c r="DS116" s="47" t="n">
        <f aca="false">In_Opex_Contingency*(DS112+DS113+DS114-DS111*In_MEKH)</f>
        <v>-84.2708849081146</v>
      </c>
      <c r="DT116" s="47" t="n">
        <f aca="false">In_Opex_Contingency*(DT112+DT113+DT114-DT111*In_MEKH)</f>
        <v>-84.4951743290865</v>
      </c>
      <c r="DU116" s="47" t="n">
        <f aca="false">In_Opex_Contingency*(DU112+DU113+DU114-DU111*In_MEKH)</f>
        <v>-85.4340095994097</v>
      </c>
      <c r="DV116" s="47" t="n">
        <f aca="false">In_Opex_Contingency*(DV112+DV113+DV114-DV111*In_MEKH)</f>
        <v>-86.3728448697329</v>
      </c>
      <c r="DW116" s="47" t="n">
        <f aca="false">In_Opex_Contingency*(DW112+DW113+DW114-DW111*In_MEKH)</f>
        <v>-86.2949458090312</v>
      </c>
      <c r="DX116" s="47" t="n">
        <f aca="false">In_Opex_Contingency*(DX112+DX113+DX114-DX111*In_MEKH)</f>
        <v>-87.4860881681444</v>
      </c>
      <c r="DY116" s="47" t="n">
        <f aca="false">In_Opex_Contingency*(DY112+DY113+DY114-DY111*In_MEKH)</f>
        <v>-87.4860881681444</v>
      </c>
      <c r="DZ116" s="47" t="n">
        <f aca="false">In_Opex_Contingency*(DZ112+DZ113+DZ114-DZ111*In_MEKH)</f>
        <v>-88.4474737524097</v>
      </c>
      <c r="EA116" s="47" t="n">
        <f aca="false">In_Opex_Contingency*(EA112+EA113+EA114-EA111*In_MEKH)</f>
        <v>-88.3678812919077</v>
      </c>
      <c r="EB116" s="47" t="n">
        <f aca="false">In_Opex_Contingency*(EB112+EB113+EB114-EB111*In_MEKH)</f>
        <v>-88.6032380032985</v>
      </c>
      <c r="EC116" s="47" t="n">
        <f aca="false">In_Opex_Contingency*(EC112+EC113+EC114-EC111*In_MEKH)</f>
        <v>-89.5877184255573</v>
      </c>
      <c r="ED116" s="47" t="n">
        <f aca="false">In_Opex_Contingency*(ED112+ED113+ED114-ED111*In_MEKH)</f>
        <v>-90.5721988478162</v>
      </c>
      <c r="EE116" s="47" t="n">
        <f aca="false">In_Opex_Contingency*(EE112+EE113+EE114-EE111*In_MEKH)</f>
        <v>-90.4908759610468</v>
      </c>
      <c r="EF116" s="47" t="n">
        <f aca="false">In_Opex_Contingency*(EF112+EF113+EF114-EF111*In_MEKH)</f>
        <v>-90.731968409087</v>
      </c>
      <c r="EG116" s="47" t="n">
        <f aca="false">In_Opex_Contingency*(EG112+EG113+EG114-EG111*In_MEKH)</f>
        <v>-91.7401013914103</v>
      </c>
      <c r="EH116" s="47" t="n">
        <f aca="false">In_Opex_Contingency*(EH112+EH113+EH114-EH111*In_MEKH)</f>
        <v>-92.7482343737334</v>
      </c>
      <c r="EI116" s="47" t="n">
        <f aca="false">In_Opex_Contingency*(EI112+EI113+EI114-EI111*In_MEKH)</f>
        <v>-92.6651432231306</v>
      </c>
      <c r="EJ116" s="47" t="n">
        <f aca="false">In_Opex_Contingency*(EJ112+EJ113+EJ114-EJ111*In_MEKH)</f>
        <v>-92.9121105036224</v>
      </c>
      <c r="EK116" s="47" t="n">
        <f aca="false">In_Opex_Contingency*(EK112+EK113+EK114-EK111*In_MEKH)</f>
        <v>-93.944467286996</v>
      </c>
      <c r="EL116" s="47" t="n">
        <f aca="false">In_Opex_Contingency*(EL112+EL113+EL114-EL111*In_MEKH)</f>
        <v>-94.9768240703696</v>
      </c>
      <c r="EM116" s="47" t="n">
        <f aca="false">In_Opex_Contingency*(EM112+EM113+EM114-EM111*In_MEKH)</f>
        <v>-94.8919259894898</v>
      </c>
      <c r="EN116" s="47" t="n">
        <f aca="false">In_Opex_Contingency*(EN112+EN113+EN114-EN111*In_MEKH)</f>
        <v>-96.2020762471408</v>
      </c>
      <c r="EO116" s="47" t="n">
        <f aca="false">In_Opex_Contingency*(EO112+EO113+EO114-EO111*In_MEKH)</f>
        <v>-96.2020762471408</v>
      </c>
      <c r="EP116" s="47" t="n">
        <f aca="false">In_Opex_Contingency*(EP112+EP113+EP114-EP111*In_MEKH)</f>
        <v>-97.2592419201863</v>
      </c>
      <c r="EQ116" s="47" t="n">
        <f aca="false">In_Opex_Contingency*(EQ112+EQ113+EQ114-EQ111*In_MEKH)</f>
        <v>-97.1724973955404</v>
      </c>
      <c r="ER116" s="47" t="n">
        <f aca="false">In_Opex_Contingency*(ER112+ER113+ER114-ER111*In_MEKH)</f>
        <v>-97.4316452139015</v>
      </c>
      <c r="ES116" s="47" t="n">
        <f aca="false">In_Opex_Contingency*(ES112+ES113+ES114-ES111*In_MEKH)</f>
        <v>-98.5142190496114</v>
      </c>
      <c r="ET116" s="47" t="n">
        <f aca="false">In_Opex_Contingency*(ET112+ET113+ET114-ET111*In_MEKH)</f>
        <v>-99.5967928853215</v>
      </c>
    </row>
    <row r="117" customFormat="false" ht="15" hidden="false" customHeight="false" outlineLevel="0" collapsed="false">
      <c r="C117" s="1" t="s">
        <v>31</v>
      </c>
      <c r="D117" s="12" t="s">
        <v>222</v>
      </c>
      <c r="I117" s="47" t="n">
        <f aca="false">SUM(J117:ET117)</f>
        <v>-13932.2994116682</v>
      </c>
      <c r="J117" s="47" t="n">
        <f aca="false">-$E31*J110/Thousand</f>
        <v>-0</v>
      </c>
      <c r="K117" s="47" t="n">
        <f aca="false">-$E31*K110/Thousand</f>
        <v>-0</v>
      </c>
      <c r="L117" s="47" t="n">
        <f aca="false">-$E31*L110/Thousand</f>
        <v>-0</v>
      </c>
      <c r="M117" s="47" t="n">
        <f aca="false">-$E31*M110/Thousand</f>
        <v>-0</v>
      </c>
      <c r="N117" s="47" t="n">
        <f aca="false">-$E31*N110/Thousand</f>
        <v>-0</v>
      </c>
      <c r="O117" s="47" t="n">
        <f aca="false">-$E31*O110/Thousand</f>
        <v>-0</v>
      </c>
      <c r="P117" s="47" t="n">
        <f aca="false">-$E31*P110/Thousand</f>
        <v>-0</v>
      </c>
      <c r="Q117" s="47" t="n">
        <f aca="false">-$E31*Q110/Thousand</f>
        <v>-0</v>
      </c>
      <c r="R117" s="47" t="n">
        <f aca="false">-$E31*R110/Thousand</f>
        <v>-0</v>
      </c>
      <c r="S117" s="47" t="n">
        <f aca="false">-$E31*S110/Thousand</f>
        <v>-0</v>
      </c>
      <c r="T117" s="47" t="n">
        <f aca="false">-$E31*T110/Thousand</f>
        <v>-0</v>
      </c>
      <c r="U117" s="47" t="n">
        <f aca="false">-$E31*U110/Thousand</f>
        <v>-0</v>
      </c>
      <c r="V117" s="47" t="n">
        <f aca="false">-$E31*V110/Thousand</f>
        <v>-0</v>
      </c>
      <c r="W117" s="47" t="n">
        <f aca="false">-$E31*W110/Thousand</f>
        <v>-0</v>
      </c>
      <c r="X117" s="47" t="n">
        <f aca="false">-$E31*X110/Thousand</f>
        <v>-0</v>
      </c>
      <c r="Y117" s="47" t="n">
        <f aca="false">-$E31*Y110/Thousand</f>
        <v>-0</v>
      </c>
      <c r="Z117" s="47" t="n">
        <f aca="false">-$E31*Z110/Thousand</f>
        <v>-0</v>
      </c>
      <c r="AA117" s="47" t="n">
        <f aca="false">-$E31*AA110/Thousand</f>
        <v>-0</v>
      </c>
      <c r="AB117" s="47" t="n">
        <f aca="false">-$E31*AB110/Thousand</f>
        <v>-0</v>
      </c>
      <c r="AC117" s="47" t="n">
        <f aca="false">-$E31*AC110/Thousand</f>
        <v>-0</v>
      </c>
      <c r="AD117" s="47" t="n">
        <f aca="false">-$E31*AD110/Thousand</f>
        <v>-0</v>
      </c>
      <c r="AE117" s="47" t="n">
        <f aca="false">-$E31*AE110/Thousand</f>
        <v>-122.138393424658</v>
      </c>
      <c r="AF117" s="47" t="n">
        <f aca="false">-$E31*AF110/Thousand</f>
        <v>-120.810802191781</v>
      </c>
      <c r="AG117" s="47" t="n">
        <f aca="false">-$E31*AG110/Thousand</f>
        <v>-120.810802191781</v>
      </c>
      <c r="AH117" s="47" t="n">
        <f aca="false">-$E31*AH110/Thousand</f>
        <v>-122.138393424658</v>
      </c>
      <c r="AI117" s="47" t="n">
        <f aca="false">-$E31*AI110/Thousand</f>
        <v>-121.771978244384</v>
      </c>
      <c r="AJ117" s="47" t="n">
        <f aca="false">-$E31*AJ110/Thousand</f>
        <v>-119.124761326027</v>
      </c>
      <c r="AK117" s="47" t="n">
        <f aca="false">-$E31*AK110/Thousand</f>
        <v>-120.448369785205</v>
      </c>
      <c r="AL117" s="47" t="n">
        <f aca="false">-$E31*AL110/Thousand</f>
        <v>-121.771978244384</v>
      </c>
      <c r="AM117" s="47" t="n">
        <f aca="false">-$E31*AM110/Thousand</f>
        <v>-121.40666230965</v>
      </c>
      <c r="AN117" s="47" t="n">
        <f aca="false">-$E31*AN110/Thousand</f>
        <v>-118.767387042049</v>
      </c>
      <c r="AO117" s="47" t="n">
        <f aca="false">-$E31*AO110/Thousand</f>
        <v>-120.08702467585</v>
      </c>
      <c r="AP117" s="47" t="n">
        <f aca="false">-$E31*AP110/Thousand</f>
        <v>-121.40666230965</v>
      </c>
      <c r="AQ117" s="47" t="n">
        <f aca="false">-$E31*AQ110/Thousand</f>
        <v>-121.042442322721</v>
      </c>
      <c r="AR117" s="47" t="n">
        <f aca="false">-$E31*AR110/Thousand</f>
        <v>-118.411084880923</v>
      </c>
      <c r="AS117" s="47" t="n">
        <f aca="false">-$E31*AS110/Thousand</f>
        <v>-119.726763601822</v>
      </c>
      <c r="AT117" s="47" t="n">
        <f aca="false">-$E31*AT110/Thousand</f>
        <v>-121.042442322721</v>
      </c>
      <c r="AU117" s="47" t="n">
        <f aca="false">-$E31*AU110/Thousand</f>
        <v>-120.679314995753</v>
      </c>
      <c r="AV117" s="47" t="n">
        <f aca="false">-$E31*AV110/Thousand</f>
        <v>-119.367583311017</v>
      </c>
      <c r="AW117" s="47" t="n">
        <f aca="false">-$E31*AW110/Thousand</f>
        <v>-119.367583311017</v>
      </c>
      <c r="AX117" s="47" t="n">
        <f aca="false">-$E31*AX110/Thousand</f>
        <v>-120.679314995753</v>
      </c>
      <c r="AY117" s="47" t="n">
        <f aca="false">-$E31*AY110/Thousand</f>
        <v>-120.317277050766</v>
      </c>
      <c r="AZ117" s="47" t="n">
        <f aca="false">-$E31*AZ110/Thousand</f>
        <v>-117.701684071402</v>
      </c>
      <c r="BA117" s="47" t="n">
        <f aca="false">-$E31*BA110/Thousand</f>
        <v>-119.009480561084</v>
      </c>
      <c r="BB117" s="47" t="n">
        <f aca="false">-$E31*BB110/Thousand</f>
        <v>-120.317277050766</v>
      </c>
      <c r="BC117" s="47" t="n">
        <f aca="false">-$E31*BC110/Thousand</f>
        <v>-119.956325219614</v>
      </c>
      <c r="BD117" s="47" t="n">
        <f aca="false">-$E31*BD110/Thousand</f>
        <v>-117.348579019187</v>
      </c>
      <c r="BE117" s="47" t="n">
        <f aca="false">-$E31*BE110/Thousand</f>
        <v>-118.652452119401</v>
      </c>
      <c r="BF117" s="47" t="n">
        <f aca="false">-$E31*BF110/Thousand</f>
        <v>-119.956325219614</v>
      </c>
      <c r="BG117" s="47" t="n">
        <f aca="false">-$E31*BG110/Thousand</f>
        <v>-119.596456243955</v>
      </c>
      <c r="BH117" s="47" t="n">
        <f aca="false">-$E31*BH110/Thousand</f>
        <v>-116.99653328213</v>
      </c>
      <c r="BI117" s="47" t="n">
        <f aca="false">-$E31*BI110/Thousand</f>
        <v>-118.296494763042</v>
      </c>
      <c r="BJ117" s="47" t="n">
        <f aca="false">-$E31*BJ110/Thousand</f>
        <v>-119.596456243955</v>
      </c>
      <c r="BK117" s="47" t="n">
        <f aca="false">-$E31*BK110/Thousand</f>
        <v>-119.237666875223</v>
      </c>
      <c r="BL117" s="47" t="n">
        <f aca="false">-$E31*BL110/Thousand</f>
        <v>-117.941605278753</v>
      </c>
      <c r="BM117" s="47" t="n">
        <f aca="false">-$E31*BM110/Thousand</f>
        <v>-117.941605278753</v>
      </c>
      <c r="BN117" s="47" t="n">
        <f aca="false">-$E31*BN110/Thousand</f>
        <v>-119.237666875223</v>
      </c>
      <c r="BO117" s="47" t="n">
        <f aca="false">-$E31*BO110/Thousand</f>
        <v>-118.879953874597</v>
      </c>
      <c r="BP117" s="47" t="n">
        <f aca="false">-$E31*BP110/Thousand</f>
        <v>-116.295607051237</v>
      </c>
      <c r="BQ117" s="47" t="n">
        <f aca="false">-$E31*BQ110/Thousand</f>
        <v>-117.587780462917</v>
      </c>
      <c r="BR117" s="47" t="n">
        <f aca="false">-$E31*BR110/Thousand</f>
        <v>-118.879953874597</v>
      </c>
      <c r="BS117" s="47" t="n">
        <f aca="false">-$E31*BS110/Thousand</f>
        <v>-118.523314012974</v>
      </c>
      <c r="BT117" s="47" t="n">
        <f aca="false">-$E31*BT110/Thousand</f>
        <v>-115.946720230083</v>
      </c>
      <c r="BU117" s="47" t="n">
        <f aca="false">-$E31*BU110/Thousand</f>
        <v>-117.235017121528</v>
      </c>
      <c r="BV117" s="47" t="n">
        <f aca="false">-$E31*BV110/Thousand</f>
        <v>-118.523314012974</v>
      </c>
      <c r="BW117" s="47" t="n">
        <f aca="false">-$E31*BW110/Thousand</f>
        <v>-118.167744070935</v>
      </c>
      <c r="BX117" s="47" t="n">
        <f aca="false">-$E31*BX110/Thousand</f>
        <v>-115.598880069393</v>
      </c>
      <c r="BY117" s="47" t="n">
        <f aca="false">-$E31*BY110/Thousand</f>
        <v>-116.883312070164</v>
      </c>
      <c r="BZ117" s="47" t="n">
        <f aca="false">-$E31*BZ110/Thousand</f>
        <v>-118.167744070935</v>
      </c>
      <c r="CA117" s="47" t="n">
        <f aca="false">-$E31*CA110/Thousand</f>
        <v>-117.813240838722</v>
      </c>
      <c r="CB117" s="47" t="n">
        <f aca="false">-$E31*CB110/Thousand</f>
        <v>-116.532662133953</v>
      </c>
      <c r="CC117" s="47" t="n">
        <f aca="false">-$E31*CC110/Thousand</f>
        <v>-116.532662133953</v>
      </c>
      <c r="CD117" s="47" t="n">
        <f aca="false">-$E31*CD110/Thousand</f>
        <v>-117.813240838722</v>
      </c>
      <c r="CE117" s="47" t="n">
        <f aca="false">-$E31*CE110/Thousand</f>
        <v>-117.459801116206</v>
      </c>
      <c r="CF117" s="47" t="n">
        <f aca="false">-$E31*CF110/Thousand</f>
        <v>-114.906327178897</v>
      </c>
      <c r="CG117" s="47" t="n">
        <f aca="false">-$E31*CG110/Thousand</f>
        <v>-116.183064147551</v>
      </c>
      <c r="CH117" s="47" t="n">
        <f aca="false">-$E31*CH110/Thousand</f>
        <v>-117.459801116206</v>
      </c>
      <c r="CI117" s="47" t="n">
        <f aca="false">-$E31*CI110/Thousand</f>
        <v>-117.107421712857</v>
      </c>
      <c r="CJ117" s="47" t="n">
        <f aca="false">-$E31*CJ110/Thousand</f>
        <v>-114.56160819736</v>
      </c>
      <c r="CK117" s="47" t="n">
        <f aca="false">-$E31*CK110/Thousand</f>
        <v>-115.834514955109</v>
      </c>
      <c r="CL117" s="47" t="n">
        <f aca="false">-$E31*CL110/Thousand</f>
        <v>-117.107421712857</v>
      </c>
      <c r="CM117" s="47" t="n">
        <f aca="false">-$E31*CM110/Thousand</f>
        <v>-116.756099447718</v>
      </c>
      <c r="CN117" s="47" t="n">
        <f aca="false">-$E31*CN110/Thousand</f>
        <v>-114.217923372768</v>
      </c>
      <c r="CO117" s="47" t="n">
        <f aca="false">-$E31*CO110/Thousand</f>
        <v>-115.487011410243</v>
      </c>
      <c r="CP117" s="47" t="n">
        <f aca="false">-$E31*CP110/Thousand</f>
        <v>-116.756099447718</v>
      </c>
      <c r="CQ117" s="47" t="n">
        <f aca="false">-$E31*CQ110/Thousand</f>
        <v>-116.405831149375</v>
      </c>
      <c r="CR117" s="47" t="n">
        <f aca="false">-$E31*CR110/Thousand</f>
        <v>-115.140550376013</v>
      </c>
      <c r="CS117" s="47" t="n">
        <f aca="false">-$E31*CS110/Thousand</f>
        <v>-115.140550376013</v>
      </c>
      <c r="CT117" s="47" t="n">
        <f aca="false">-$E31*CT110/Thousand</f>
        <v>-116.405831149375</v>
      </c>
      <c r="CU117" s="47" t="n">
        <f aca="false">-$E31*CU110/Thousand</f>
        <v>-116.056613655927</v>
      </c>
      <c r="CV117" s="47" t="n">
        <f aca="false">-$E31*CV110/Thousand</f>
        <v>-113.533643793842</v>
      </c>
      <c r="CW117" s="47" t="n">
        <f aca="false">-$E31*CW110/Thousand</f>
        <v>-114.795128724885</v>
      </c>
      <c r="CX117" s="47" t="n">
        <f aca="false">-$E31*CX110/Thousand</f>
        <v>-116.056613655927</v>
      </c>
      <c r="CY117" s="47" t="n">
        <f aca="false">-$E31*CY110/Thousand</f>
        <v>-115.708443814959</v>
      </c>
      <c r="CZ117" s="47" t="n">
        <f aca="false">-$E31*CZ110/Thousand</f>
        <v>-113.19304286246</v>
      </c>
      <c r="DA117" s="47" t="n">
        <f aca="false">-$E31*DA110/Thousand</f>
        <v>-114.45074333871</v>
      </c>
      <c r="DB117" s="47" t="n">
        <f aca="false">-$E31*DB110/Thousand</f>
        <v>-115.708443814959</v>
      </c>
      <c r="DC117" s="47" t="n">
        <f aca="false">-$E31*DC110/Thousand</f>
        <v>-115.361318483515</v>
      </c>
      <c r="DD117" s="47" t="n">
        <f aca="false">-$E31*DD110/Thousand</f>
        <v>-112.853463733873</v>
      </c>
      <c r="DE117" s="47" t="n">
        <f aca="false">-$E31*DE110/Thousand</f>
        <v>-114.107391108694</v>
      </c>
      <c r="DF117" s="47" t="n">
        <f aca="false">-$E31*DF110/Thousand</f>
        <v>-115.361318483515</v>
      </c>
      <c r="DG117" s="47" t="n">
        <f aca="false">-$E31*DG110/Thousand</f>
        <v>-115.015234528064</v>
      </c>
      <c r="DH117" s="47" t="n">
        <f aca="false">-$E31*DH110/Thousand</f>
        <v>-113.765068935368</v>
      </c>
      <c r="DI117" s="47" t="n">
        <f aca="false">-$E31*DI110/Thousand</f>
        <v>-113.765068935368</v>
      </c>
      <c r="DJ117" s="47" t="n">
        <f aca="false">-$E31*DJ110/Thousand</f>
        <v>-115.015234528064</v>
      </c>
      <c r="DK117" s="47" t="n">
        <f aca="false">-$E31*DK110/Thousand</f>
        <v>-114.67018882448</v>
      </c>
      <c r="DL117" s="47" t="n">
        <f aca="false">-$E31*DL110/Thousand</f>
        <v>-112.177358632643</v>
      </c>
      <c r="DM117" s="47" t="n">
        <f aca="false">-$E31*DM110/Thousand</f>
        <v>-113.423773728562</v>
      </c>
      <c r="DN117" s="47" t="n">
        <f aca="false">-$E31*DN110/Thousand</f>
        <v>-114.67018882448</v>
      </c>
      <c r="DO117" s="47" t="n">
        <f aca="false">-$E31*DO110/Thousand</f>
        <v>-114.326178258006</v>
      </c>
      <c r="DP117" s="47" t="n">
        <f aca="false">-$E31*DP110/Thousand</f>
        <v>-111.840826556745</v>
      </c>
      <c r="DQ117" s="47" t="n">
        <f aca="false">-$E31*DQ110/Thousand</f>
        <v>-113.083502407376</v>
      </c>
      <c r="DR117" s="47" t="n">
        <f aca="false">-$E31*DR110/Thousand</f>
        <v>-114.326178258006</v>
      </c>
      <c r="DS117" s="47" t="n">
        <f aca="false">-$E31*DS110/Thousand</f>
        <v>-113.983199723232</v>
      </c>
      <c r="DT117" s="47" t="n">
        <f aca="false">-$E31*DT110/Thousand</f>
        <v>-111.505304077075</v>
      </c>
      <c r="DU117" s="47" t="n">
        <f aca="false">-$E31*DU110/Thousand</f>
        <v>-112.744251900154</v>
      </c>
      <c r="DV117" s="47" t="n">
        <f aca="false">-$E31*DV110/Thousand</f>
        <v>-113.983199723232</v>
      </c>
      <c r="DW117" s="47" t="n">
        <f aca="false">-$E31*DW110/Thousand</f>
        <v>-113.641250124063</v>
      </c>
      <c r="DX117" s="47" t="n">
        <f aca="false">-$E31*DX110/Thousand</f>
        <v>-112.406019144453</v>
      </c>
      <c r="DY117" s="47" t="n">
        <f aca="false">-$E31*DY110/Thousand</f>
        <v>-112.406019144453</v>
      </c>
      <c r="DZ117" s="47" t="n">
        <f aca="false">-$E31*DZ110/Thousand</f>
        <v>-113.641250124063</v>
      </c>
      <c r="EA117" s="47" t="n">
        <f aca="false">-$E31*EA110/Thousand</f>
        <v>-113.30032637369</v>
      </c>
      <c r="EB117" s="47" t="n">
        <f aca="false">-$E31*EB110/Thousand</f>
        <v>-110.837275800349</v>
      </c>
      <c r="EC117" s="47" t="n">
        <f aca="false">-$E31*EC110/Thousand</f>
        <v>-112.06880108702</v>
      </c>
      <c r="ED117" s="47" t="n">
        <f aca="false">-$E31*ED110/Thousand</f>
        <v>-113.30032637369</v>
      </c>
      <c r="EE117" s="47" t="n">
        <f aca="false">-$E31*EE110/Thousand</f>
        <v>-112.960425394569</v>
      </c>
      <c r="EF117" s="47" t="n">
        <f aca="false">-$E31*EF110/Thousand</f>
        <v>-110.504763972948</v>
      </c>
      <c r="EG117" s="47" t="n">
        <f aca="false">-$E31*EG110/Thousand</f>
        <v>-111.732594683759</v>
      </c>
      <c r="EH117" s="47" t="n">
        <f aca="false">-$E31*EH110/Thousand</f>
        <v>-112.960425394569</v>
      </c>
      <c r="EI117" s="47" t="n">
        <f aca="false">-$E31*EI110/Thousand</f>
        <v>-112.621544118386</v>
      </c>
      <c r="EJ117" s="47" t="n">
        <f aca="false">-$E31*EJ110/Thousand</f>
        <v>-110.173249681029</v>
      </c>
      <c r="EK117" s="47" t="n">
        <f aca="false">-$E31*EK110/Thousand</f>
        <v>-111.397396899708</v>
      </c>
      <c r="EL117" s="47" t="n">
        <f aca="false">-$E31*EL110/Thousand</f>
        <v>-112.621544118386</v>
      </c>
      <c r="EM117" s="47" t="n">
        <f aca="false">-$E31*EM110/Thousand</f>
        <v>-112.283679486031</v>
      </c>
      <c r="EN117" s="47" t="n">
        <f aca="false">-$E31*EN110/Thousand</f>
        <v>-111.063204709008</v>
      </c>
      <c r="EO117" s="47" t="n">
        <f aca="false">-$E31*EO110/Thousand</f>
        <v>-111.063204709008</v>
      </c>
      <c r="EP117" s="47" t="n">
        <f aca="false">-$E31*EP110/Thousand</f>
        <v>-112.283679486031</v>
      </c>
      <c r="EQ117" s="47" t="n">
        <f aca="false">-$E31*EQ110/Thousand</f>
        <v>-111.946828447572</v>
      </c>
      <c r="ER117" s="47" t="n">
        <f aca="false">-$E31*ER110/Thousand</f>
        <v>-109.51320174219</v>
      </c>
      <c r="ES117" s="47" t="n">
        <f aca="false">-$E31*ES110/Thousand</f>
        <v>-110.730015094881</v>
      </c>
      <c r="ET117" s="47" t="n">
        <f aca="false">-$E31*ET110/Thousand</f>
        <v>-111.946828447572</v>
      </c>
    </row>
    <row r="118" customFormat="false" ht="15" hidden="false" customHeight="false" outlineLevel="0" collapsed="false">
      <c r="C118" s="31" t="s">
        <v>530</v>
      </c>
      <c r="D118" s="12" t="s">
        <v>222</v>
      </c>
      <c r="I118" s="56" t="n">
        <f aca="false">SUM(J118:ET118)</f>
        <v>518771.452438018</v>
      </c>
      <c r="J118" s="56" t="n">
        <f aca="false">SUM(J111:J117)</f>
        <v>0</v>
      </c>
      <c r="K118" s="56" t="n">
        <f aca="false">SUM(K111:K117)</f>
        <v>0</v>
      </c>
      <c r="L118" s="56" t="n">
        <f aca="false">SUM(L111:L117)</f>
        <v>0</v>
      </c>
      <c r="M118" s="56" t="n">
        <f aca="false">SUM(M111:M117)</f>
        <v>0</v>
      </c>
      <c r="N118" s="56" t="n">
        <f aca="false">SUM(N111:N117)</f>
        <v>0</v>
      </c>
      <c r="O118" s="56" t="n">
        <f aca="false">SUM(O111:O117)</f>
        <v>0</v>
      </c>
      <c r="P118" s="56" t="n">
        <f aca="false">SUM(P111:P117)</f>
        <v>0</v>
      </c>
      <c r="Q118" s="56" t="n">
        <f aca="false">SUM(Q111:Q117)</f>
        <v>0</v>
      </c>
      <c r="R118" s="56" t="n">
        <f aca="false">SUM(R111:R117)</f>
        <v>0</v>
      </c>
      <c r="S118" s="56" t="n">
        <f aca="false">SUM(S111:S117)</f>
        <v>0</v>
      </c>
      <c r="T118" s="56" t="n">
        <f aca="false">SUM(T111:T117)</f>
        <v>0</v>
      </c>
      <c r="U118" s="56" t="n">
        <f aca="false">SUM(U111:U117)</f>
        <v>0</v>
      </c>
      <c r="V118" s="56" t="n">
        <f aca="false">SUM(V111:V117)</f>
        <v>0</v>
      </c>
      <c r="W118" s="56" t="n">
        <f aca="false">SUM(W111:W117)</f>
        <v>-75.5714553470293</v>
      </c>
      <c r="X118" s="56" t="n">
        <f aca="false">SUM(X111:X117)</f>
        <v>-75.7768125626462</v>
      </c>
      <c r="Y118" s="56" t="n">
        <f aca="false">SUM(Y111:Y117)</f>
        <v>-76.6187771466756</v>
      </c>
      <c r="Z118" s="56" t="n">
        <f aca="false">SUM(Z111:Z117)</f>
        <v>-77.460741730705</v>
      </c>
      <c r="AA118" s="56" t="n">
        <f aca="false">SUM(AA111:AA117)</f>
        <v>-77.460741730705</v>
      </c>
      <c r="AB118" s="56" t="n">
        <f aca="false">SUM(AB111:AB117)</f>
        <v>-77.6712328767123</v>
      </c>
      <c r="AC118" s="56" t="n">
        <f aca="false">SUM(AC111:AC117)</f>
        <v>-78.5342465753425</v>
      </c>
      <c r="AD118" s="56" t="n">
        <f aca="false">SUM(AD111:AD117)</f>
        <v>-79.3972602739726</v>
      </c>
      <c r="AE118" s="56" t="n">
        <f aca="false">SUM(AE111:AE117)</f>
        <v>4211.26424350685</v>
      </c>
      <c r="AF118" s="56" t="n">
        <f aca="false">SUM(AF111:AF117)</f>
        <v>4193.21358979562</v>
      </c>
      <c r="AG118" s="56" t="n">
        <f aca="false">SUM(AG111:AG117)</f>
        <v>4193.21358979562</v>
      </c>
      <c r="AH118" s="56" t="n">
        <f aca="false">SUM(AH111:AH117)</f>
        <v>4239.29286001315</v>
      </c>
      <c r="AI118" s="56" t="n">
        <f aca="false">SUM(AI111:AI117)</f>
        <v>4224.41835335092</v>
      </c>
      <c r="AJ118" s="56" t="n">
        <f aca="false">SUM(AJ111:AJ117)</f>
        <v>4159.76764526548</v>
      </c>
      <c r="AK118" s="56" t="n">
        <f aca="false">SUM(AK111:AK117)</f>
        <v>4205.98728576843</v>
      </c>
      <c r="AL118" s="56" t="n">
        <f aca="false">SUM(AL111:AL117)</f>
        <v>4252.20692627138</v>
      </c>
      <c r="AM118" s="56" t="n">
        <f aca="false">SUM(AM111:AM117)</f>
        <v>4237.23976170832</v>
      </c>
      <c r="AN118" s="56" t="n">
        <f aca="false">SUM(AN111:AN117)</f>
        <v>4172.06357572238</v>
      </c>
      <c r="AO118" s="56" t="n">
        <f aca="false">SUM(AO111:AO117)</f>
        <v>4218.41983767485</v>
      </c>
      <c r="AP118" s="56" t="n">
        <f aca="false">SUM(AP111:AP117)</f>
        <v>4264.77609962732</v>
      </c>
      <c r="AQ118" s="56" t="n">
        <f aca="false">SUM(AQ111:AQ117)</f>
        <v>4249.71596394959</v>
      </c>
      <c r="AR118" s="56" t="n">
        <f aca="false">SUM(AR111:AR117)</f>
        <v>4184.00954565736</v>
      </c>
      <c r="AS118" s="56" t="n">
        <f aca="false">SUM(AS111:AS117)</f>
        <v>4230.49854060911</v>
      </c>
      <c r="AT118" s="56" t="n">
        <f aca="false">SUM(AT111:AT117)</f>
        <v>4276.98753556086</v>
      </c>
      <c r="AU118" s="56" t="n">
        <f aca="false">SUM(AU111:AU117)</f>
        <v>4261.83412039085</v>
      </c>
      <c r="AV118" s="56" t="n">
        <f aca="false">SUM(AV111:AV117)</f>
        <v>4242.21034978038</v>
      </c>
      <c r="AW118" s="56" t="n">
        <f aca="false">SUM(AW111:AW117)</f>
        <v>4242.21034978038</v>
      </c>
      <c r="AX118" s="56" t="n">
        <f aca="false">SUM(AX111:AX117)</f>
        <v>4288.82804593182</v>
      </c>
      <c r="AY118" s="56" t="n">
        <f aca="false">SUM(AY111:AY117)</f>
        <v>4273.58104791661</v>
      </c>
      <c r="AZ118" s="56" t="n">
        <f aca="false">SUM(AZ111:AZ117)</f>
        <v>4206.79965364435</v>
      </c>
      <c r="BA118" s="56" t="n">
        <f aca="false">SUM(BA111:BA117)</f>
        <v>4253.54187201818</v>
      </c>
      <c r="BB118" s="56" t="n">
        <f aca="false">SUM(BB111:BB117)</f>
        <v>4300.284090392</v>
      </c>
      <c r="BC118" s="56" t="n">
        <f aca="false">SUM(BC111:BC117)</f>
        <v>4284.94321139648</v>
      </c>
      <c r="BD118" s="56" t="n">
        <f aca="false">SUM(BD111:BD117)</f>
        <v>4217.61694655154</v>
      </c>
      <c r="BE118" s="56" t="n">
        <f aca="false">SUM(BE111:BE117)</f>
        <v>4264.47935706878</v>
      </c>
      <c r="BF118" s="56" t="n">
        <f aca="false">SUM(BF111:BF117)</f>
        <v>4311.34176758602</v>
      </c>
      <c r="BG118" s="56" t="n">
        <f aca="false">SUM(BG111:BG117)</f>
        <v>4295.90671489081</v>
      </c>
      <c r="BH118" s="56" t="n">
        <f aca="false">SUM(BH111:BH117)</f>
        <v>4228.0305712197</v>
      </c>
      <c r="BI118" s="56" t="n">
        <f aca="false">SUM(BI111:BI117)</f>
        <v>4275.0086886777</v>
      </c>
      <c r="BJ118" s="56" t="n">
        <f aca="false">SUM(BJ111:BJ117)</f>
        <v>4321.9868061357</v>
      </c>
      <c r="BK118" s="56" t="n">
        <f aca="false">SUM(BK111:BK117)</f>
        <v>4306.45729264003</v>
      </c>
      <c r="BL118" s="56" t="n">
        <f aca="false">SUM(BL111:BL117)</f>
        <v>4285.11537545281</v>
      </c>
      <c r="BM118" s="56" t="n">
        <f aca="false">SUM(BM111:BM117)</f>
        <v>4285.11537545281</v>
      </c>
      <c r="BN118" s="56" t="n">
        <f aca="false">SUM(BN111:BN117)</f>
        <v>4332.20455540284</v>
      </c>
      <c r="BO118" s="56" t="n">
        <f aca="false">SUM(BO111:BO117)</f>
        <v>4316.58029983243</v>
      </c>
      <c r="BP118" s="56" t="n">
        <f aca="false">SUM(BP111:BP117)</f>
        <v>4247.58910698078</v>
      </c>
      <c r="BQ118" s="56" t="n">
        <f aca="false">SUM(BQ111:BQ117)</f>
        <v>4294.78454150279</v>
      </c>
      <c r="BR118" s="56" t="n">
        <f aca="false">SUM(BR111:BR117)</f>
        <v>4341.9799760248</v>
      </c>
      <c r="BS118" s="56" t="n">
        <f aca="false">SUM(BS111:BS117)</f>
        <v>4326.26070314492</v>
      </c>
      <c r="BT118" s="56" t="n">
        <f aca="false">SUM(BT111:BT117)</f>
        <v>4256.70420347355</v>
      </c>
      <c r="BU118" s="56" t="n">
        <f aca="false">SUM(BU111:BU117)</f>
        <v>4304.00091684548</v>
      </c>
      <c r="BV118" s="56" t="n">
        <f aca="false">SUM(BV111:BV117)</f>
        <v>4351.29763021741</v>
      </c>
      <c r="BW118" s="56" t="n">
        <f aca="false">SUM(BW111:BW117)</f>
        <v>4335.48307105116</v>
      </c>
      <c r="BX118" s="56" t="n">
        <f aca="false">SUM(BX111:BX117)</f>
        <v>4265.35598332121</v>
      </c>
      <c r="BY118" s="56" t="n">
        <f aca="false">SUM(BY111:BY117)</f>
        <v>4312.74882758033</v>
      </c>
      <c r="BZ118" s="56" t="n">
        <f aca="false">SUM(BZ111:BZ117)</f>
        <v>4360.14167183946</v>
      </c>
      <c r="CA118" s="56" t="n">
        <f aca="false">SUM(CA111:CA117)</f>
        <v>4344.23156389146</v>
      </c>
      <c r="CB118" s="56" t="n">
        <f aca="false">SUM(CB111:CB117)</f>
        <v>4321.0121858193</v>
      </c>
      <c r="CC118" s="56" t="n">
        <f aca="false">SUM(CC111:CC117)</f>
        <v>4321.0121858193</v>
      </c>
      <c r="CD118" s="56" t="n">
        <f aca="false">SUM(CD111:CD117)</f>
        <v>4368.49583621292</v>
      </c>
      <c r="CE118" s="56" t="n">
        <f aca="false">SUM(CE111:CE117)</f>
        <v>4352.48992369848</v>
      </c>
      <c r="CF118" s="56" t="n">
        <f aca="false">SUM(CF111:CF117)</f>
        <v>4281.20552904741</v>
      </c>
      <c r="CG118" s="56" t="n">
        <f aca="false">SUM(CG111:CG117)</f>
        <v>4328.77447937016</v>
      </c>
      <c r="CH118" s="56" t="n">
        <f aca="false">SUM(CH111:CH117)</f>
        <v>4376.34342969291</v>
      </c>
      <c r="CI118" s="56" t="n">
        <f aca="false">SUM(CI111:CI117)</f>
        <v>4360.24146377289</v>
      </c>
      <c r="CJ118" s="56" t="n">
        <f aca="false">SUM(CJ111:CJ117)</f>
        <v>4288.3702033513</v>
      </c>
      <c r="CK118" s="56" t="n">
        <f aca="false">SUM(CK111:CK117)</f>
        <v>4336.01876116631</v>
      </c>
      <c r="CL118" s="56" t="n">
        <f aca="false">SUM(CL111:CL117)</f>
        <v>4383.66731898133</v>
      </c>
      <c r="CM118" s="56" t="n">
        <f aca="false">SUM(CM111:CM117)</f>
        <v>4367.46905800267</v>
      </c>
      <c r="CN118" s="56" t="n">
        <f aca="false">SUM(CN111:CN117)</f>
        <v>4295.0053566956</v>
      </c>
      <c r="CO118" s="56" t="n">
        <f aca="false">SUM(CO111:CO117)</f>
        <v>4342.72763843666</v>
      </c>
      <c r="CP118" s="56" t="n">
        <f aca="false">SUM(CP111:CP117)</f>
        <v>4390.44992017773</v>
      </c>
      <c r="CQ118" s="56" t="n">
        <f aca="false">SUM(CQ111:CQ117)</f>
        <v>4374.15512991994</v>
      </c>
      <c r="CR118" s="56" t="n">
        <f aca="false">SUM(CR111:CR117)</f>
        <v>4348.88326160939</v>
      </c>
      <c r="CS118" s="56" t="n">
        <f aca="false">SUM(CS111:CS117)</f>
        <v>4348.88326160939</v>
      </c>
      <c r="CT118" s="56" t="n">
        <f aca="false">SUM(CT111:CT117)</f>
        <v>4396.67318756114</v>
      </c>
      <c r="CU118" s="56" t="n">
        <f aca="false">SUM(CU111:CU117)</f>
        <v>4380.28164148877</v>
      </c>
      <c r="CV118" s="56" t="n">
        <f aca="false">SUM(CV111:CV117)</f>
        <v>4306.61602378972</v>
      </c>
      <c r="CW118" s="56" t="n">
        <f aca="false">SUM(CW111:CW117)</f>
        <v>4354.46731294294</v>
      </c>
      <c r="CX118" s="56" t="n">
        <f aca="false">SUM(CX111:CX117)</f>
        <v>4402.31860209615</v>
      </c>
      <c r="CY118" s="56" t="n">
        <f aca="false">SUM(CY111:CY117)</f>
        <v>4385.83008161744</v>
      </c>
      <c r="CZ118" s="56" t="n">
        <f aca="false">SUM(CZ111:CZ117)</f>
        <v>4311.55483009874</v>
      </c>
      <c r="DA118" s="56" t="n">
        <f aca="false">SUM(DA111:DA117)</f>
        <v>4359.46099487761</v>
      </c>
      <c r="DB118" s="56" t="n">
        <f aca="false">SUM(DB111:DB117)</f>
        <v>4407.36715965649</v>
      </c>
      <c r="DC118" s="56" t="n">
        <f aca="false">SUM(DC111:DC117)</f>
        <v>4390.78145438828</v>
      </c>
      <c r="DD118" s="56" t="n">
        <f aca="false">SUM(DD111:DD117)</f>
        <v>4315.89067724268</v>
      </c>
      <c r="DE118" s="56" t="n">
        <f aca="false">SUM(DE111:DE117)</f>
        <v>4363.84501810093</v>
      </c>
      <c r="DF118" s="56" t="n">
        <f aca="false">SUM(DF111:DF117)</f>
        <v>4411.79935895919</v>
      </c>
      <c r="DG118" s="56" t="n">
        <f aca="false">SUM(DG111:DG117)</f>
        <v>4395.11626699834</v>
      </c>
      <c r="DH118" s="56" t="n">
        <f aca="false">SUM(DH111:DH117)</f>
        <v>4367.59958931967</v>
      </c>
      <c r="DI118" s="56" t="n">
        <f aca="false">SUM(DI111:DI117)</f>
        <v>4367.59958931967</v>
      </c>
      <c r="DJ118" s="56" t="n">
        <f aca="false">SUM(DJ111:DJ117)</f>
        <v>4415.5951892023</v>
      </c>
      <c r="DK118" s="56" t="n">
        <f aca="false">SUM(DK111:DK117)</f>
        <v>4398.81451740362</v>
      </c>
      <c r="DL118" s="56" t="n">
        <f aca="false">SUM(DL111:DL117)</f>
        <v>4322.67468006399</v>
      </c>
      <c r="DM118" s="56" t="n">
        <f aca="false">SUM(DM111:DM117)</f>
        <v>4370.70439873137</v>
      </c>
      <c r="DN118" s="56" t="n">
        <f aca="false">SUM(DN111:DN117)</f>
        <v>4418.73411739875</v>
      </c>
      <c r="DO118" s="56" t="n">
        <f aca="false">SUM(DO111:DO117)</f>
        <v>4401.8556816597</v>
      </c>
      <c r="DP118" s="56" t="n">
        <f aca="false">SUM(DP111:DP117)</f>
        <v>4325.08213897726</v>
      </c>
      <c r="DQ118" s="56" t="n">
        <f aca="false">SUM(DQ111:DQ117)</f>
        <v>4373.13860718811</v>
      </c>
      <c r="DR118" s="56" t="n">
        <f aca="false">SUM(DR111:DR117)</f>
        <v>4421.19507539898</v>
      </c>
      <c r="DS118" s="56" t="n">
        <f aca="false">SUM(DS111:DS117)</f>
        <v>4404.21870095126</v>
      </c>
      <c r="DT118" s="56" t="n">
        <f aca="false">SUM(DT111:DT117)</f>
        <v>4326.80521949484</v>
      </c>
      <c r="DU118" s="56" t="n">
        <f aca="false">SUM(DU111:DU117)</f>
        <v>4374.88083304478</v>
      </c>
      <c r="DV118" s="56" t="n">
        <f aca="false">SUM(DV111:DV117)</f>
        <v>4422.95644659472</v>
      </c>
      <c r="DW118" s="56" t="n">
        <f aca="false">SUM(DW111:DW117)</f>
        <v>4405.88196830288</v>
      </c>
      <c r="DX118" s="56" t="n">
        <f aca="false">SUM(DX111:DX117)</f>
        <v>4375.90913868418</v>
      </c>
      <c r="DY118" s="56" t="n">
        <f aca="false">SUM(DY111:DY117)</f>
        <v>4375.90913868418</v>
      </c>
      <c r="DZ118" s="56" t="n">
        <f aca="false">SUM(DZ111:DZ117)</f>
        <v>4423.9960522961</v>
      </c>
      <c r="EA118" s="56" t="n">
        <f aca="false">SUM(EA111:EA117)</f>
        <v>4406.82331496335</v>
      </c>
      <c r="EB118" s="56" t="n">
        <f aca="false">SUM(EB111:EB117)</f>
        <v>4328.11089564842</v>
      </c>
      <c r="EC118" s="56" t="n">
        <f aca="false">SUM(EC111:EC117)</f>
        <v>4376.20101671118</v>
      </c>
      <c r="ED118" s="56" t="n">
        <f aca="false">SUM(ED111:ED117)</f>
        <v>4424.29113777394</v>
      </c>
      <c r="EE118" s="56" t="n">
        <f aca="false">SUM(EE111:EE117)</f>
        <v>4407.01999645537</v>
      </c>
      <c r="EF118" s="56" t="n">
        <f aca="false">SUM(EF111:EF117)</f>
        <v>4327.64839365581</v>
      </c>
      <c r="EG118" s="56" t="n">
        <f aca="false">SUM(EG111:EG117)</f>
        <v>4375.73337580754</v>
      </c>
      <c r="EH118" s="56" t="n">
        <f aca="false">SUM(EH111:EH117)</f>
        <v>4423.81835795927</v>
      </c>
      <c r="EI118" s="56" t="n">
        <f aca="false">SUM(EI111:EI117)</f>
        <v>4406.4486782825</v>
      </c>
      <c r="EJ118" s="56" t="n">
        <f aca="false">SUM(EJ111:EJ117)</f>
        <v>4326.41128968719</v>
      </c>
      <c r="EK118" s="56" t="n">
        <f aca="false">SUM(EK111:EK117)</f>
        <v>4374.48252623927</v>
      </c>
      <c r="EL118" s="56" t="n">
        <f aca="false">SUM(EL111:EL117)</f>
        <v>4422.55376279135</v>
      </c>
      <c r="EM118" s="56" t="n">
        <f aca="false">SUM(EM111:EM117)</f>
        <v>4405.08542128502</v>
      </c>
      <c r="EN118" s="56" t="n">
        <f aca="false">SUM(EN111:EN117)</f>
        <v>4372.424165008</v>
      </c>
      <c r="EO118" s="56" t="n">
        <f aca="false">SUM(EO111:EO117)</f>
        <v>4372.424165008</v>
      </c>
      <c r="EP118" s="56" t="n">
        <f aca="false">SUM(EP111:EP117)</f>
        <v>4420.47278220589</v>
      </c>
      <c r="EQ118" s="56" t="n">
        <f aca="false">SUM(EQ111:EQ117)</f>
        <v>4402.90566663587</v>
      </c>
      <c r="ER118" s="56" t="n">
        <f aca="false">SUM(ER111:ER117)</f>
        <v>4321.51651052057</v>
      </c>
      <c r="ES118" s="56" t="n">
        <f aca="false">SUM(ES111:ES117)</f>
        <v>4369.53336063747</v>
      </c>
      <c r="ET118" s="56" t="n">
        <f aca="false">SUM(ET111:ET117)</f>
        <v>4417.55021075436</v>
      </c>
    </row>
    <row r="120" customFormat="false" ht="15" hidden="false" customHeight="false" outlineLevel="0" collapsed="false">
      <c r="A120" s="10" t="s">
        <v>13</v>
      </c>
      <c r="B120" s="10"/>
      <c r="C120" s="10" t="s">
        <v>531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</row>
    <row r="121" customFormat="false" ht="15" hidden="false" customHeight="false" outlineLevel="0" collapsed="false">
      <c r="C121" s="1" t="s">
        <v>532</v>
      </c>
      <c r="D121" s="12" t="s">
        <v>222</v>
      </c>
      <c r="E121" s="47" t="n">
        <f aca="false">$I98-($I93+$I53+$I94+$I50)</f>
        <v>152860.102867789</v>
      </c>
      <c r="I121" s="47" t="n">
        <f aca="false">SUM(J121:ET121)</f>
        <v>-152860.102867789</v>
      </c>
      <c r="J121" s="47" t="n">
        <f aca="false">-$E121*J18</f>
        <v>-0</v>
      </c>
      <c r="K121" s="47" t="n">
        <f aca="false">-$E121*K18</f>
        <v>-0</v>
      </c>
      <c r="L121" s="47" t="n">
        <f aca="false">-$E121*L18</f>
        <v>-0</v>
      </c>
      <c r="M121" s="47" t="n">
        <f aca="false">-$E121*M18</f>
        <v>-0</v>
      </c>
      <c r="N121" s="47" t="n">
        <f aca="false">-$E121*N18</f>
        <v>-0</v>
      </c>
      <c r="O121" s="47" t="n">
        <f aca="false">-$E121*O18</f>
        <v>-0</v>
      </c>
      <c r="P121" s="47" t="n">
        <f aca="false">-$E121*P18</f>
        <v>-0</v>
      </c>
      <c r="Q121" s="47" t="n">
        <f aca="false">-$E121*Q18</f>
        <v>-0</v>
      </c>
      <c r="R121" s="47" t="n">
        <f aca="false">-$E121*R18</f>
        <v>-0</v>
      </c>
      <c r="S121" s="47" t="n">
        <f aca="false">-$E121*S18</f>
        <v>-0</v>
      </c>
      <c r="T121" s="47" t="n">
        <f aca="false">-$E121*T18</f>
        <v>-0</v>
      </c>
      <c r="U121" s="47" t="n">
        <f aca="false">-$E121*U18</f>
        <v>-0</v>
      </c>
      <c r="V121" s="47" t="n">
        <f aca="false">-$E121*V18</f>
        <v>-0</v>
      </c>
      <c r="W121" s="47" t="n">
        <f aca="false">-$E121*W18</f>
        <v>-0</v>
      </c>
      <c r="X121" s="47" t="n">
        <f aca="false">-$E121*X18</f>
        <v>-0</v>
      </c>
      <c r="Y121" s="47" t="n">
        <f aca="false">-$E121*Y18</f>
        <v>-0</v>
      </c>
      <c r="Z121" s="47" t="n">
        <f aca="false">-$E121*Z18</f>
        <v>-0</v>
      </c>
      <c r="AA121" s="47" t="n">
        <f aca="false">-$E121*AA18</f>
        <v>-0</v>
      </c>
      <c r="AB121" s="47" t="n">
        <f aca="false">-$E121*AB18</f>
        <v>-0</v>
      </c>
      <c r="AC121" s="47" t="n">
        <f aca="false">-$E121*AC18</f>
        <v>-0</v>
      </c>
      <c r="AD121" s="47" t="n">
        <f aca="false">-$E121*AD18</f>
        <v>-0</v>
      </c>
      <c r="AE121" s="47" t="n">
        <f aca="false">-$E121*AE18</f>
        <v>-1925.13750360528</v>
      </c>
      <c r="AF121" s="47" t="n">
        <f aca="false">-$E121*AF18</f>
        <v>-1904.2120959574</v>
      </c>
      <c r="AG121" s="47" t="n">
        <f aca="false">-$E121*AG18</f>
        <v>-1904.2120959574</v>
      </c>
      <c r="AH121" s="47" t="n">
        <f aca="false">-$E121*AH18</f>
        <v>-1925.13750360528</v>
      </c>
      <c r="AI121" s="47" t="n">
        <f aca="false">-$E121*AI18</f>
        <v>-1925.13750360528</v>
      </c>
      <c r="AJ121" s="47" t="n">
        <f aca="false">-$E121*AJ18</f>
        <v>-1883.28668830951</v>
      </c>
      <c r="AK121" s="47" t="n">
        <f aca="false">-$E121*AK18</f>
        <v>-1904.2120959574</v>
      </c>
      <c r="AL121" s="47" t="n">
        <f aca="false">-$E121*AL18</f>
        <v>-1925.13750360528</v>
      </c>
      <c r="AM121" s="47" t="n">
        <f aca="false">-$E121*AM18</f>
        <v>-1925.13750360528</v>
      </c>
      <c r="AN121" s="47" t="n">
        <f aca="false">-$E121*AN18</f>
        <v>-1883.28668830951</v>
      </c>
      <c r="AO121" s="47" t="n">
        <f aca="false">-$E121*AO18</f>
        <v>-1904.2120959574</v>
      </c>
      <c r="AP121" s="47" t="n">
        <f aca="false">-$E121*AP18</f>
        <v>-1925.13750360528</v>
      </c>
      <c r="AQ121" s="47" t="n">
        <f aca="false">-$E121*AQ18</f>
        <v>-1925.13750360528</v>
      </c>
      <c r="AR121" s="47" t="n">
        <f aca="false">-$E121*AR18</f>
        <v>-1883.28668830951</v>
      </c>
      <c r="AS121" s="47" t="n">
        <f aca="false">-$E121*AS18</f>
        <v>-1904.2120959574</v>
      </c>
      <c r="AT121" s="47" t="n">
        <f aca="false">-$E121*AT18</f>
        <v>-1925.13750360528</v>
      </c>
      <c r="AU121" s="47" t="n">
        <f aca="false">-$E121*AU18</f>
        <v>-1925.13750360528</v>
      </c>
      <c r="AV121" s="47" t="n">
        <f aca="false">-$E121*AV18</f>
        <v>-1904.2120959574</v>
      </c>
      <c r="AW121" s="47" t="n">
        <f aca="false">-$E121*AW18</f>
        <v>-1904.2120959574</v>
      </c>
      <c r="AX121" s="47" t="n">
        <f aca="false">-$E121*AX18</f>
        <v>-1925.13750360528</v>
      </c>
      <c r="AY121" s="47" t="n">
        <f aca="false">-$E121*AY18</f>
        <v>-1925.13750360528</v>
      </c>
      <c r="AZ121" s="47" t="n">
        <f aca="false">-$E121*AZ18</f>
        <v>-1883.28668830951</v>
      </c>
      <c r="BA121" s="47" t="n">
        <f aca="false">-$E121*BA18</f>
        <v>-1904.2120959574</v>
      </c>
      <c r="BB121" s="47" t="n">
        <f aca="false">-$E121*BB18</f>
        <v>-1925.13750360528</v>
      </c>
      <c r="BC121" s="47" t="n">
        <f aca="false">-$E121*BC18</f>
        <v>-1925.13750360528</v>
      </c>
      <c r="BD121" s="47" t="n">
        <f aca="false">-$E121*BD18</f>
        <v>-1883.28668830951</v>
      </c>
      <c r="BE121" s="47" t="n">
        <f aca="false">-$E121*BE18</f>
        <v>-1904.2120959574</v>
      </c>
      <c r="BF121" s="47" t="n">
        <f aca="false">-$E121*BF18</f>
        <v>-1925.13750360528</v>
      </c>
      <c r="BG121" s="47" t="n">
        <f aca="false">-$E121*BG18</f>
        <v>-1925.13750360528</v>
      </c>
      <c r="BH121" s="47" t="n">
        <f aca="false">-$E121*BH18</f>
        <v>-1883.28668830951</v>
      </c>
      <c r="BI121" s="47" t="n">
        <f aca="false">-$E121*BI18</f>
        <v>-1904.2120959574</v>
      </c>
      <c r="BJ121" s="47" t="n">
        <f aca="false">-$E121*BJ18</f>
        <v>-1925.13750360528</v>
      </c>
      <c r="BK121" s="47" t="n">
        <f aca="false">-$E121*BK18</f>
        <v>-1925.13750360528</v>
      </c>
      <c r="BL121" s="47" t="n">
        <f aca="false">-$E121*BL18</f>
        <v>-1904.2120959574</v>
      </c>
      <c r="BM121" s="47" t="n">
        <f aca="false">-$E121*BM18</f>
        <v>-1904.2120959574</v>
      </c>
      <c r="BN121" s="47" t="n">
        <f aca="false">-$E121*BN18</f>
        <v>-1925.13750360528</v>
      </c>
      <c r="BO121" s="47" t="n">
        <f aca="false">-$E121*BO18</f>
        <v>-1925.13750360528</v>
      </c>
      <c r="BP121" s="47" t="n">
        <f aca="false">-$E121*BP18</f>
        <v>-1883.28668830951</v>
      </c>
      <c r="BQ121" s="47" t="n">
        <f aca="false">-$E121*BQ18</f>
        <v>-1904.2120959574</v>
      </c>
      <c r="BR121" s="47" t="n">
        <f aca="false">-$E121*BR18</f>
        <v>-1925.13750360528</v>
      </c>
      <c r="BS121" s="47" t="n">
        <f aca="false">-$E121*BS18</f>
        <v>-1925.13750360528</v>
      </c>
      <c r="BT121" s="47" t="n">
        <f aca="false">-$E121*BT18</f>
        <v>-1883.28668830951</v>
      </c>
      <c r="BU121" s="47" t="n">
        <f aca="false">-$E121*BU18</f>
        <v>-1904.2120959574</v>
      </c>
      <c r="BV121" s="47" t="n">
        <f aca="false">-$E121*BV18</f>
        <v>-1925.13750360528</v>
      </c>
      <c r="BW121" s="47" t="n">
        <f aca="false">-$E121*BW18</f>
        <v>-1925.13750360528</v>
      </c>
      <c r="BX121" s="47" t="n">
        <f aca="false">-$E121*BX18</f>
        <v>-1883.28668830951</v>
      </c>
      <c r="BY121" s="47" t="n">
        <f aca="false">-$E121*BY18</f>
        <v>-1904.2120959574</v>
      </c>
      <c r="BZ121" s="47" t="n">
        <f aca="false">-$E121*BZ18</f>
        <v>-1925.13750360528</v>
      </c>
      <c r="CA121" s="47" t="n">
        <f aca="false">-$E121*CA18</f>
        <v>-1925.13750360528</v>
      </c>
      <c r="CB121" s="47" t="n">
        <f aca="false">-$E121*CB18</f>
        <v>-1904.2120959574</v>
      </c>
      <c r="CC121" s="47" t="n">
        <f aca="false">-$E121*CC18</f>
        <v>-1904.2120959574</v>
      </c>
      <c r="CD121" s="47" t="n">
        <f aca="false">-$E121*CD18</f>
        <v>-1925.13750360528</v>
      </c>
      <c r="CE121" s="47" t="n">
        <f aca="false">-$E121*CE18</f>
        <v>-1925.13750360528</v>
      </c>
      <c r="CF121" s="47" t="n">
        <f aca="false">-$E121*CF18</f>
        <v>-1883.28668830951</v>
      </c>
      <c r="CG121" s="47" t="n">
        <f aca="false">-$E121*CG18</f>
        <v>-1904.2120959574</v>
      </c>
      <c r="CH121" s="47" t="n">
        <f aca="false">-$E121*CH18</f>
        <v>-1925.13750360528</v>
      </c>
      <c r="CI121" s="47" t="n">
        <f aca="false">-$E121*CI18</f>
        <v>-1925.13750360528</v>
      </c>
      <c r="CJ121" s="47" t="n">
        <f aca="false">-$E121*CJ18</f>
        <v>-1883.28668830951</v>
      </c>
      <c r="CK121" s="47" t="n">
        <f aca="false">-$E121*CK18</f>
        <v>-1904.2120959574</v>
      </c>
      <c r="CL121" s="47" t="n">
        <f aca="false">-$E121*CL18</f>
        <v>-1925.13750360528</v>
      </c>
      <c r="CM121" s="47" t="n">
        <f aca="false">-$E121*CM18</f>
        <v>-1925.13750360528</v>
      </c>
      <c r="CN121" s="47" t="n">
        <f aca="false">-$E121*CN18</f>
        <v>-1883.28668830951</v>
      </c>
      <c r="CO121" s="47" t="n">
        <f aca="false">-$E121*CO18</f>
        <v>-1904.2120959574</v>
      </c>
      <c r="CP121" s="47" t="n">
        <f aca="false">-$E121*CP18</f>
        <v>-1925.13750360528</v>
      </c>
      <c r="CQ121" s="47" t="n">
        <f aca="false">-$E121*CQ18</f>
        <v>-1925.13750360528</v>
      </c>
      <c r="CR121" s="47" t="n">
        <f aca="false">-$E121*CR18</f>
        <v>-1904.2120959574</v>
      </c>
      <c r="CS121" s="47" t="n">
        <f aca="false">-$E121*CS18</f>
        <v>-1904.2120959574</v>
      </c>
      <c r="CT121" s="47" t="n">
        <f aca="false">-$E121*CT18</f>
        <v>-1925.13750360528</v>
      </c>
      <c r="CU121" s="47" t="n">
        <f aca="false">-$E121*CU18</f>
        <v>-1925.13750360528</v>
      </c>
      <c r="CV121" s="47" t="n">
        <f aca="false">-$E121*CV18</f>
        <v>-1883.28668830951</v>
      </c>
      <c r="CW121" s="47" t="n">
        <f aca="false">-$E121*CW18</f>
        <v>-1904.2120959574</v>
      </c>
      <c r="CX121" s="47" t="n">
        <f aca="false">-$E121*CX18</f>
        <v>-1925.13750360528</v>
      </c>
      <c r="CY121" s="47" t="n">
        <f aca="false">-$E121*CY18</f>
        <v>-1925.13750360528</v>
      </c>
      <c r="CZ121" s="47" t="n">
        <f aca="false">-$E121*CZ18</f>
        <v>-1883.28668830951</v>
      </c>
      <c r="DA121" s="47" t="n">
        <f aca="false">-$E121*DA18</f>
        <v>-1904.2120959574</v>
      </c>
      <c r="DB121" s="47" t="n">
        <f aca="false">-$E121*DB18</f>
        <v>-1925.13750360528</v>
      </c>
      <c r="DC121" s="47" t="n">
        <f aca="false">-$E121*DC18</f>
        <v>-1925.13750360528</v>
      </c>
      <c r="DD121" s="47" t="n">
        <f aca="false">-$E121*DD18</f>
        <v>-1883.28668830951</v>
      </c>
      <c r="DE121" s="47" t="n">
        <f aca="false">-$E121*DE18</f>
        <v>-1904.2120959574</v>
      </c>
      <c r="DF121" s="47" t="n">
        <f aca="false">-$E121*DF18</f>
        <v>-1925.13750360528</v>
      </c>
      <c r="DG121" s="47" t="n">
        <f aca="false">-$E121*DG18</f>
        <v>-0</v>
      </c>
      <c r="DH121" s="47" t="n">
        <f aca="false">-$E121*DH18</f>
        <v>-0</v>
      </c>
      <c r="DI121" s="47" t="n">
        <f aca="false">-$E121*DI18</f>
        <v>-0</v>
      </c>
      <c r="DJ121" s="47" t="n">
        <f aca="false">-$E121*DJ18</f>
        <v>-0</v>
      </c>
      <c r="DK121" s="47" t="n">
        <f aca="false">-$E121*DK18</f>
        <v>-0</v>
      </c>
      <c r="DL121" s="47" t="n">
        <f aca="false">-$E121*DL18</f>
        <v>-0</v>
      </c>
      <c r="DM121" s="47" t="n">
        <f aca="false">-$E121*DM18</f>
        <v>-0</v>
      </c>
      <c r="DN121" s="47" t="n">
        <f aca="false">-$E121*DN18</f>
        <v>-0</v>
      </c>
      <c r="DO121" s="47" t="n">
        <f aca="false">-$E121*DO18</f>
        <v>-0</v>
      </c>
      <c r="DP121" s="47" t="n">
        <f aca="false">-$E121*DP18</f>
        <v>-0</v>
      </c>
      <c r="DQ121" s="47" t="n">
        <f aca="false">-$E121*DQ18</f>
        <v>-0</v>
      </c>
      <c r="DR121" s="47" t="n">
        <f aca="false">-$E121*DR18</f>
        <v>-0</v>
      </c>
      <c r="DS121" s="47" t="n">
        <f aca="false">-$E121*DS18</f>
        <v>-0</v>
      </c>
      <c r="DT121" s="47" t="n">
        <f aca="false">-$E121*DT18</f>
        <v>-0</v>
      </c>
      <c r="DU121" s="47" t="n">
        <f aca="false">-$E121*DU18</f>
        <v>-0</v>
      </c>
      <c r="DV121" s="47" t="n">
        <f aca="false">-$E121*DV18</f>
        <v>-0</v>
      </c>
      <c r="DW121" s="47" t="n">
        <f aca="false">-$E121*DW18</f>
        <v>-0</v>
      </c>
      <c r="DX121" s="47" t="n">
        <f aca="false">-$E121*DX18</f>
        <v>-0</v>
      </c>
      <c r="DY121" s="47" t="n">
        <f aca="false">-$E121*DY18</f>
        <v>-0</v>
      </c>
      <c r="DZ121" s="47" t="n">
        <f aca="false">-$E121*DZ18</f>
        <v>-0</v>
      </c>
      <c r="EA121" s="47" t="n">
        <f aca="false">-$E121*EA18</f>
        <v>-0</v>
      </c>
      <c r="EB121" s="47" t="n">
        <f aca="false">-$E121*EB18</f>
        <v>-0</v>
      </c>
      <c r="EC121" s="47" t="n">
        <f aca="false">-$E121*EC18</f>
        <v>-0</v>
      </c>
      <c r="ED121" s="47" t="n">
        <f aca="false">-$E121*ED18</f>
        <v>-0</v>
      </c>
      <c r="EE121" s="47" t="n">
        <f aca="false">-$E121*EE18</f>
        <v>-0</v>
      </c>
      <c r="EF121" s="47" t="n">
        <f aca="false">-$E121*EF18</f>
        <v>-0</v>
      </c>
      <c r="EG121" s="47" t="n">
        <f aca="false">-$E121*EG18</f>
        <v>-0</v>
      </c>
      <c r="EH121" s="47" t="n">
        <f aca="false">-$E121*EH18</f>
        <v>-0</v>
      </c>
      <c r="EI121" s="47" t="n">
        <f aca="false">-$E121*EI18</f>
        <v>-0</v>
      </c>
      <c r="EJ121" s="47" t="n">
        <f aca="false">-$E121*EJ18</f>
        <v>-0</v>
      </c>
      <c r="EK121" s="47" t="n">
        <f aca="false">-$E121*EK18</f>
        <v>-0</v>
      </c>
      <c r="EL121" s="47" t="n">
        <f aca="false">-$E121*EL18</f>
        <v>-0</v>
      </c>
      <c r="EM121" s="47" t="n">
        <f aca="false">-$E121*EM18</f>
        <v>-0</v>
      </c>
      <c r="EN121" s="47" t="n">
        <f aca="false">-$E121*EN18</f>
        <v>-0</v>
      </c>
      <c r="EO121" s="47" t="n">
        <f aca="false">-$E121*EO18</f>
        <v>-0</v>
      </c>
      <c r="EP121" s="47" t="n">
        <f aca="false">-$E121*EP18</f>
        <v>-0</v>
      </c>
      <c r="EQ121" s="47" t="n">
        <f aca="false">-$E121*EQ18</f>
        <v>-0</v>
      </c>
      <c r="ER121" s="47" t="n">
        <f aca="false">-$E121*ER18</f>
        <v>-0</v>
      </c>
      <c r="ES121" s="47" t="n">
        <f aca="false">-$E121*ES18</f>
        <v>-0</v>
      </c>
      <c r="ET121" s="47" t="n">
        <f aca="false">-$E121*ET18</f>
        <v>-0</v>
      </c>
    </row>
    <row r="122" customFormat="false" ht="15" hidden="false" customHeight="false" outlineLevel="0" collapsed="false">
      <c r="C122" s="1" t="s">
        <v>533</v>
      </c>
      <c r="D122" s="12" t="s">
        <v>222</v>
      </c>
      <c r="I122" s="47" t="n">
        <f aca="false">SUM(J122:ET122)</f>
        <v>334716.987767223</v>
      </c>
      <c r="J122" s="47" t="n">
        <f aca="false">J118+J121+J101+J102+J103+J57</f>
        <v>0</v>
      </c>
      <c r="K122" s="47" t="n">
        <f aca="false">K118+K121+K101+K102+K103+K57</f>
        <v>-178.520547945205</v>
      </c>
      <c r="L122" s="47" t="n">
        <f aca="false">L118+L121+L101+L102+L103+L57</f>
        <v>-588.444520547945</v>
      </c>
      <c r="M122" s="47" t="n">
        <f aca="false">M118+M121+M101+M102+M103+M57</f>
        <v>-43.8356164383562</v>
      </c>
      <c r="N122" s="47" t="n">
        <f aca="false">N118+N121+N101+N102+N103+N57</f>
        <v>-43.8356164383562</v>
      </c>
      <c r="O122" s="47" t="n">
        <f aca="false">O118+O121+O101+O102+O103+O57</f>
        <v>-184.361643835616</v>
      </c>
      <c r="P122" s="47" t="n">
        <f aca="false">P118+P121+P101+P102+P103+P57</f>
        <v>-1290.04179480011</v>
      </c>
      <c r="Q122" s="47" t="n">
        <f aca="false">Q118+Q121+Q101+Q102+Q103+Q57</f>
        <v>-4.60958904109589</v>
      </c>
      <c r="R122" s="47" t="n">
        <f aca="false">R118+R121+R101+R102+R103+R57</f>
        <v>-164.09150998043</v>
      </c>
      <c r="S122" s="47" t="n">
        <f aca="false">S118+S121+S101+S102+S103+S57</f>
        <v>-317.226138697232</v>
      </c>
      <c r="T122" s="47" t="n">
        <f aca="false">T118+T121+T101+T102+T103+T57</f>
        <v>-304.657534246575</v>
      </c>
      <c r="U122" s="47" t="n">
        <f aca="false">U118+U121+U101+U102+U103+U57</f>
        <v>0</v>
      </c>
      <c r="V122" s="47" t="n">
        <f aca="false">V118+V121+V101+V102+V103+V57</f>
        <v>0</v>
      </c>
      <c r="W122" s="47" t="n">
        <f aca="false">W118+W121+W101+W102+W103+W57</f>
        <v>-1826.91430303581</v>
      </c>
      <c r="X122" s="47" t="n">
        <f aca="false">X118+X121+X101+X102+X103+X57</f>
        <v>-247.602298000408</v>
      </c>
      <c r="Y122" s="47" t="n">
        <f aca="false">Y118+Y121+Y101+Y102+Y103+Y57</f>
        <v>-225.845410859847</v>
      </c>
      <c r="Z122" s="47" t="n">
        <f aca="false">Z118+Z121+Z101+Z102+Z103+Z57</f>
        <v>-203.274582025816</v>
      </c>
      <c r="AA122" s="47" t="n">
        <f aca="false">AA118+AA121+AA101+AA102+AA103+AA57</f>
        <v>-177.946631681942</v>
      </c>
      <c r="AB122" s="47" t="n">
        <f aca="false">AB118+AB121+AB101+AB102+AB103+AB57</f>
        <v>-151.195304231742</v>
      </c>
      <c r="AC122" s="47" t="n">
        <f aca="false">AC118+AC121+AC101+AC102+AC103+AC57</f>
        <v>-128.367228271529</v>
      </c>
      <c r="AD122" s="47" t="n">
        <f aca="false">AD118+AD121+AD101+AD102+AD103+AD57</f>
        <v>-104.725210617846</v>
      </c>
      <c r="AE122" s="47" t="n">
        <f aca="false">AE118+AE121+AE101+AE102+AE103+AE57</f>
        <v>1129.05834999941</v>
      </c>
      <c r="AF122" s="47" t="n">
        <f aca="false">AF118+AF121+AF101+AF102+AF103+AF57</f>
        <v>1154.40500805689</v>
      </c>
      <c r="AG122" s="47" t="n">
        <f aca="false">AG118+AG121+AG101+AG102+AG103+AG57</f>
        <v>1177.15781097923</v>
      </c>
      <c r="AH122" s="47" t="n">
        <f aca="false">AH118+AH121+AH101+AH102+AH103+AH57</f>
        <v>1225.34888650774</v>
      </c>
      <c r="AI122" s="47" t="n">
        <f aca="false">AI118+AI121+AI101+AI102+AI103+AI57</f>
        <v>1233.79955796636</v>
      </c>
      <c r="AJ122" s="47" t="n">
        <f aca="false">AJ118+AJ121+AJ101+AJ102+AJ103+AJ57</f>
        <v>1234.61640802405</v>
      </c>
      <c r="AK122" s="47" t="n">
        <f aca="false">AK118+AK121+AK101+AK102+AK103+AK57</f>
        <v>1283.82259301207</v>
      </c>
      <c r="AL122" s="47" t="n">
        <f aca="false">AL118+AL121+AL101+AL102+AL103+AL57</f>
        <v>1333.32767740175</v>
      </c>
      <c r="AM122" s="47" t="n">
        <f aca="false">AM118+AM121+AM101+AM102+AM103+AM57</f>
        <v>1342.87400001749</v>
      </c>
      <c r="AN122" s="47" t="n">
        <f aca="false">AN118+AN121+AN101+AN102+AN103+AN57</f>
        <v>1344.36853509585</v>
      </c>
      <c r="AO122" s="47" t="n">
        <f aca="false">AO118+AO121+AO101+AO102+AO103+AO57</f>
        <v>1394.92954399107</v>
      </c>
      <c r="AP122" s="47" t="n">
        <f aca="false">AP118+AP121+AP101+AP102+AP103+AP57</f>
        <v>1445.80467981868</v>
      </c>
      <c r="AQ122" s="47" t="n">
        <f aca="false">AQ118+AQ121+AQ101+AQ102+AQ103+AQ57</f>
        <v>1456.50687918301</v>
      </c>
      <c r="AR122" s="47" t="n">
        <f aca="false">AR118+AR121+AR101+AR102+AR103+AR57</f>
        <v>1458.73564041663</v>
      </c>
      <c r="AS122" s="47" t="n">
        <f aca="false">AS118+AS121+AS101+AS102+AS103+AS57</f>
        <v>1510.70964650346</v>
      </c>
      <c r="AT122" s="47" t="n">
        <f aca="false">AT118+AT121+AT101+AT102+AT103+AT57</f>
        <v>1563.01378282507</v>
      </c>
      <c r="AU122" s="47" t="n">
        <f aca="false">AU118+AU121+AU101+AU102+AU103+AU57</f>
        <v>1574.93517353554</v>
      </c>
      <c r="AV122" s="47" t="n">
        <f aca="false">AV118+AV121+AV101+AV102+AV103+AV57</f>
        <v>1603.65005152693</v>
      </c>
      <c r="AW122" s="47" t="n">
        <f aca="false">AW118+AW121+AW101+AW102+AW103+AW57</f>
        <v>1631.40595799283</v>
      </c>
      <c r="AX122" s="47" t="n">
        <f aca="false">AX118+AX121+AX101+AX102+AX103+AX57</f>
        <v>1685.20110179311</v>
      </c>
      <c r="AY122" s="47" t="n">
        <f aca="false">AY118+AY121+AY101+AY102+AY103+AY57</f>
        <v>1698.40824476584</v>
      </c>
      <c r="AZ122" s="47" t="n">
        <f aca="false">AZ118+AZ121+AZ101+AZ102+AZ103+AZ57</f>
        <v>1702.28748353962</v>
      </c>
      <c r="BA122" s="47" t="n">
        <f aca="false">BA118+BA121+BA101+BA102+BA103+BA57</f>
        <v>1757.27423473773</v>
      </c>
      <c r="BB122" s="47" t="n">
        <f aca="false">BB118+BB121+BB101+BB102+BB103+BB57</f>
        <v>1812.62561019173</v>
      </c>
      <c r="BC122" s="47" t="n">
        <f aca="false">BC118+BC121+BC101+BC102+BC103+BC57</f>
        <v>1827.18847798338</v>
      </c>
      <c r="BD122" s="47" t="n">
        <f aca="false">BD118+BD121+BD101+BD102+BD103+BD57</f>
        <v>1831.99057205621</v>
      </c>
      <c r="BE122" s="47" t="n">
        <f aca="false">BE118+BE121+BE101+BE102+BE103+BE57</f>
        <v>1888.58358784284</v>
      </c>
      <c r="BF122" s="47" t="n">
        <f aca="false">BF118+BF121+BF101+BF102+BF103+BF57</f>
        <v>1945.55980379094</v>
      </c>
      <c r="BG122" s="47" t="n">
        <f aca="false">BG118+BG121+BG101+BG102+BG103+BG57</f>
        <v>1961.55195433796</v>
      </c>
      <c r="BH122" s="47" t="n">
        <f aca="false">BH118+BH121+BH101+BH102+BH103+BH57</f>
        <v>1967.34666924538</v>
      </c>
      <c r="BI122" s="47" t="n">
        <f aca="false">BI118+BI121+BI101+BI102+BI103+BI57</f>
        <v>2025.61717287929</v>
      </c>
      <c r="BJ122" s="47" t="n">
        <f aca="false">BJ118+BJ121+BJ101+BJ102+BJ103+BJ57</f>
        <v>2084.29039893599</v>
      </c>
      <c r="BK122" s="47" t="n">
        <f aca="false">BK118+BK121+BK101+BK102+BK103+BK57</f>
        <v>2101.78915813999</v>
      </c>
      <c r="BL122" s="47" t="n">
        <f aca="false">BL118+BL121+BL101+BL102+BL103+BL57</f>
        <v>2134.81377470907</v>
      </c>
      <c r="BM122" s="47" t="n">
        <f aca="false">BM118+BM121+BM101+BM102+BM103+BM57</f>
        <v>2168.67291489384</v>
      </c>
      <c r="BN122" s="47" t="n">
        <f aca="false">BN118+BN121+BN101+BN102+BN103+BN57</f>
        <v>2229.11906663307</v>
      </c>
      <c r="BO122" s="47" t="n">
        <f aca="false">BO118+BO121+BO101+BO102+BO103+BO57</f>
        <v>2248.20572024271</v>
      </c>
      <c r="BP122" s="47" t="n">
        <f aca="false">BP118+BP121+BP101+BP102+BP103+BP57</f>
        <v>2256.21013823162</v>
      </c>
      <c r="BQ122" s="47" t="n">
        <f aca="false">BQ118+BQ121+BQ101+BQ102+BQ103+BQ57</f>
        <v>2318.06427059485</v>
      </c>
      <c r="BR122" s="47" t="n">
        <f aca="false">BR118+BR121+BR101+BR102+BR103+BR57</f>
        <v>2380.3632042767</v>
      </c>
      <c r="BS122" s="47" t="n">
        <f aca="false">BS118+BS121+BS101+BS102+BS103+BS57</f>
        <v>2401.12319953964</v>
      </c>
      <c r="BT122" s="47" t="n">
        <f aca="false">BT118+BT121+BT101+BT102+BT103+BT57</f>
        <v>2373.41751516404</v>
      </c>
      <c r="BU122" s="47" t="n">
        <f aca="false">BU118+BU121+BU101+BU102+BU103+BU57</f>
        <v>2399.78882088808</v>
      </c>
      <c r="BV122" s="47" t="n">
        <f aca="false">BV118+BV121+BV101+BV102+BV103+BV57</f>
        <v>2426.16012661213</v>
      </c>
      <c r="BW122" s="47" t="n">
        <f aca="false">BW118+BW121+BW101+BW102+BW103+BW57</f>
        <v>2410.34556744588</v>
      </c>
      <c r="BX122" s="47" t="n">
        <f aca="false">BX118+BX121+BX101+BX102+BX103+BX57</f>
        <v>2382.0692950117</v>
      </c>
      <c r="BY122" s="47" t="n">
        <f aca="false">BY118+BY121+BY101+BY102+BY103+BY57</f>
        <v>2408.53673162294</v>
      </c>
      <c r="BZ122" s="47" t="n">
        <f aca="false">BZ118+BZ121+BZ101+BZ102+BZ103+BZ57</f>
        <v>2435.00416823418</v>
      </c>
      <c r="CA122" s="47" t="n">
        <f aca="false">CA118+CA121+CA101+CA102+CA103+CA57</f>
        <v>2419.09406028618</v>
      </c>
      <c r="CB122" s="47" t="n">
        <f aca="false">CB118+CB121+CB101+CB102+CB103+CB57</f>
        <v>2416.8000898619</v>
      </c>
      <c r="CC122" s="47" t="n">
        <f aca="false">CC118+CC121+CC101+CC102+CC103+CC57</f>
        <v>2416.8000898619</v>
      </c>
      <c r="CD122" s="47" t="n">
        <f aca="false">CD118+CD121+CD101+CD102+CD103+CD57</f>
        <v>2443.35833260764</v>
      </c>
      <c r="CE122" s="47" t="n">
        <f aca="false">CE118+CE121+CE101+CE102+CE103+CE57</f>
        <v>2427.3524200932</v>
      </c>
      <c r="CF122" s="47" t="n">
        <f aca="false">CF118+CF121+CF101+CF102+CF103+CF57</f>
        <v>2397.9188407379</v>
      </c>
      <c r="CG122" s="47" t="n">
        <f aca="false">CG118+CG121+CG101+CG102+CG103+CG57</f>
        <v>2424.56238341276</v>
      </c>
      <c r="CH122" s="47" t="n">
        <f aca="false">CH118+CH121+CH101+CH102+CH103+CH57</f>
        <v>2451.20592608763</v>
      </c>
      <c r="CI122" s="47" t="n">
        <f aca="false">CI118+CI121+CI101+CI102+CI103+CI57</f>
        <v>2435.10396016761</v>
      </c>
      <c r="CJ122" s="47" t="n">
        <f aca="false">CJ118+CJ121+CJ101+CJ102+CJ103+CJ57</f>
        <v>2405.08351504178</v>
      </c>
      <c r="CK122" s="47" t="n">
        <f aca="false">CK118+CK121+CK101+CK102+CK103+CK57</f>
        <v>2431.80666520891</v>
      </c>
      <c r="CL122" s="47" t="n">
        <f aca="false">CL118+CL121+CL101+CL102+CL103+CL57</f>
        <v>2458.52981537605</v>
      </c>
      <c r="CM122" s="47" t="n">
        <f aca="false">CM118+CM121+CM101+CM102+CM103+CM57</f>
        <v>2442.33155439739</v>
      </c>
      <c r="CN122" s="47" t="n">
        <f aca="false">CN118+CN121+CN101+CN102+CN103+CN57</f>
        <v>2411.71866838609</v>
      </c>
      <c r="CO122" s="47" t="n">
        <f aca="false">CO118+CO121+CO101+CO102+CO103+CO57</f>
        <v>2438.51554247927</v>
      </c>
      <c r="CP122" s="47" t="n">
        <f aca="false">CP118+CP121+CP101+CP102+CP103+CP57</f>
        <v>2465.31241657245</v>
      </c>
      <c r="CQ122" s="47" t="n">
        <f aca="false">CQ118+CQ121+CQ101+CQ102+CQ103+CQ57</f>
        <v>2449.01762631466</v>
      </c>
      <c r="CR122" s="47" t="n">
        <f aca="false">CR118+CR121+CR101+CR102+CR103+CR57</f>
        <v>2444.67116565199</v>
      </c>
      <c r="CS122" s="47" t="n">
        <f aca="false">CS118+CS121+CS101+CS102+CS103+CS57</f>
        <v>2444.67116565199</v>
      </c>
      <c r="CT122" s="47" t="n">
        <f aca="false">CT118+CT121+CT101+CT102+CT103+CT57</f>
        <v>2471.53568395586</v>
      </c>
      <c r="CU122" s="47" t="n">
        <f aca="false">CU118+CU121+CU101+CU102+CU103+CU57</f>
        <v>2455.14413788349</v>
      </c>
      <c r="CV122" s="47" t="n">
        <f aca="false">CV118+CV121+CV101+CV102+CV103+CV57</f>
        <v>2423.3293354802</v>
      </c>
      <c r="CW122" s="47" t="n">
        <f aca="false">CW118+CW121+CW101+CW102+CW103+CW57</f>
        <v>2450.25521698554</v>
      </c>
      <c r="CX122" s="47" t="n">
        <f aca="false">CX118+CX121+CX101+CX102+CX103+CX57</f>
        <v>2477.18109849087</v>
      </c>
      <c r="CY122" s="47" t="n">
        <f aca="false">CY118+CY121+CY101+CY102+CY103+CY57</f>
        <v>2460.69257801216</v>
      </c>
      <c r="CZ122" s="47" t="n">
        <f aca="false">CZ118+CZ121+CZ101+CZ102+CZ103+CZ57</f>
        <v>2428.26814178922</v>
      </c>
      <c r="DA122" s="47" t="n">
        <f aca="false">DA118+DA121+DA101+DA102+DA103+DA57</f>
        <v>2455.24889892022</v>
      </c>
      <c r="DB122" s="47" t="n">
        <f aca="false">DB118+DB121+DB101+DB102+DB103+DB57</f>
        <v>2482.22965605121</v>
      </c>
      <c r="DC122" s="47" t="n">
        <f aca="false">DC118+DC121+DC101+DC102+DC103+DC57</f>
        <v>2465.643950783</v>
      </c>
      <c r="DD122" s="47" t="n">
        <f aca="false">DD118+DD121+DD101+DD102+DD103+DD57</f>
        <v>2432.60398893317</v>
      </c>
      <c r="DE122" s="47" t="n">
        <f aca="false">DE118+DE121+DE101+DE102+DE103+DE57</f>
        <v>2459.63292214354</v>
      </c>
      <c r="DF122" s="47" t="n">
        <f aca="false">DF118+DF121+DF101+DF102+DF103+DF57</f>
        <v>2486.66185535391</v>
      </c>
      <c r="DG122" s="47" t="n">
        <f aca="false">DG118+DG121+DG101+DG102+DG103+DG57</f>
        <v>4395.11626699834</v>
      </c>
      <c r="DH122" s="47" t="n">
        <f aca="false">DH118+DH121+DH101+DH102+DH103+DH57</f>
        <v>4367.59958931967</v>
      </c>
      <c r="DI122" s="47" t="n">
        <f aca="false">DI118+DI121+DI101+DI102+DI103+DI57</f>
        <v>4367.59958931967</v>
      </c>
      <c r="DJ122" s="47" t="n">
        <f aca="false">DJ118+DJ121+DJ101+DJ102+DJ103+DJ57</f>
        <v>4415.5951892023</v>
      </c>
      <c r="DK122" s="47" t="n">
        <f aca="false">DK118+DK121+DK101+DK102+DK103+DK57</f>
        <v>4398.81451740362</v>
      </c>
      <c r="DL122" s="47" t="n">
        <f aca="false">DL118+DL121+DL101+DL102+DL103+DL57</f>
        <v>4322.67468006399</v>
      </c>
      <c r="DM122" s="47" t="n">
        <f aca="false">DM118+DM121+DM101+DM102+DM103+DM57</f>
        <v>4370.70439873137</v>
      </c>
      <c r="DN122" s="47" t="n">
        <f aca="false">DN118+DN121+DN101+DN102+DN103+DN57</f>
        <v>4418.73411739875</v>
      </c>
      <c r="DO122" s="47" t="n">
        <f aca="false">DO118+DO121+DO101+DO102+DO103+DO57</f>
        <v>4401.8556816597</v>
      </c>
      <c r="DP122" s="47" t="n">
        <f aca="false">DP118+DP121+DP101+DP102+DP103+DP57</f>
        <v>4325.08213897726</v>
      </c>
      <c r="DQ122" s="47" t="n">
        <f aca="false">DQ118+DQ121+DQ101+DQ102+DQ103+DQ57</f>
        <v>4373.13860718811</v>
      </c>
      <c r="DR122" s="47" t="n">
        <f aca="false">DR118+DR121+DR101+DR102+DR103+DR57</f>
        <v>4421.19507539898</v>
      </c>
      <c r="DS122" s="47" t="n">
        <f aca="false">DS118+DS121+DS101+DS102+DS103+DS57</f>
        <v>4404.21870095126</v>
      </c>
      <c r="DT122" s="47" t="n">
        <f aca="false">DT118+DT121+DT101+DT102+DT103+DT57</f>
        <v>4326.80521949484</v>
      </c>
      <c r="DU122" s="47" t="n">
        <f aca="false">DU118+DU121+DU101+DU102+DU103+DU57</f>
        <v>4374.88083304478</v>
      </c>
      <c r="DV122" s="47" t="n">
        <f aca="false">DV118+DV121+DV101+DV102+DV103+DV57</f>
        <v>4422.95644659472</v>
      </c>
      <c r="DW122" s="47" t="n">
        <f aca="false">DW118+DW121+DW101+DW102+DW103+DW57</f>
        <v>4405.88196830288</v>
      </c>
      <c r="DX122" s="47" t="n">
        <f aca="false">DX118+DX121+DX101+DX102+DX103+DX57</f>
        <v>4375.90913868418</v>
      </c>
      <c r="DY122" s="47" t="n">
        <f aca="false">DY118+DY121+DY101+DY102+DY103+DY57</f>
        <v>4375.90913868418</v>
      </c>
      <c r="DZ122" s="47" t="n">
        <f aca="false">DZ118+DZ121+DZ101+DZ102+DZ103+DZ57</f>
        <v>4423.9960522961</v>
      </c>
      <c r="EA122" s="47" t="n">
        <f aca="false">EA118+EA121+EA101+EA102+EA103+EA57</f>
        <v>4406.82331496335</v>
      </c>
      <c r="EB122" s="47" t="n">
        <f aca="false">EB118+EB121+EB101+EB102+EB103+EB57</f>
        <v>4328.11089564842</v>
      </c>
      <c r="EC122" s="47" t="n">
        <f aca="false">EC118+EC121+EC101+EC102+EC103+EC57</f>
        <v>4376.20101671118</v>
      </c>
      <c r="ED122" s="47" t="n">
        <f aca="false">ED118+ED121+ED101+ED102+ED103+ED57</f>
        <v>4424.29113777394</v>
      </c>
      <c r="EE122" s="47" t="n">
        <f aca="false">EE118+EE121+EE101+EE102+EE103+EE57</f>
        <v>4407.01999645537</v>
      </c>
      <c r="EF122" s="47" t="n">
        <f aca="false">EF118+EF121+EF101+EF102+EF103+EF57</f>
        <v>4327.64839365581</v>
      </c>
      <c r="EG122" s="47" t="n">
        <f aca="false">EG118+EG121+EG101+EG102+EG103+EG57</f>
        <v>4375.73337580754</v>
      </c>
      <c r="EH122" s="47" t="n">
        <f aca="false">EH118+EH121+EH101+EH102+EH103+EH57</f>
        <v>4423.81835795927</v>
      </c>
      <c r="EI122" s="47" t="n">
        <f aca="false">EI118+EI121+EI101+EI102+EI103+EI57</f>
        <v>4406.4486782825</v>
      </c>
      <c r="EJ122" s="47" t="n">
        <f aca="false">EJ118+EJ121+EJ101+EJ102+EJ103+EJ57</f>
        <v>4326.41128968719</v>
      </c>
      <c r="EK122" s="47" t="n">
        <f aca="false">EK118+EK121+EK101+EK102+EK103+EK57</f>
        <v>4374.48252623927</v>
      </c>
      <c r="EL122" s="47" t="n">
        <f aca="false">EL118+EL121+EL101+EL102+EL103+EL57</f>
        <v>4422.55376279135</v>
      </c>
      <c r="EM122" s="47" t="n">
        <f aca="false">EM118+EM121+EM101+EM102+EM103+EM57</f>
        <v>4405.08542128502</v>
      </c>
      <c r="EN122" s="47" t="n">
        <f aca="false">EN118+EN121+EN101+EN102+EN103+EN57</f>
        <v>4372.424165008</v>
      </c>
      <c r="EO122" s="47" t="n">
        <f aca="false">EO118+EO121+EO101+EO102+EO103+EO57</f>
        <v>4372.424165008</v>
      </c>
      <c r="EP122" s="47" t="n">
        <f aca="false">EP118+EP121+EP101+EP102+EP103+EP57</f>
        <v>4420.47278220589</v>
      </c>
      <c r="EQ122" s="47" t="n">
        <f aca="false">EQ118+EQ121+EQ101+EQ102+EQ103+EQ57</f>
        <v>4402.90566663587</v>
      </c>
      <c r="ER122" s="47" t="n">
        <f aca="false">ER118+ER121+ER101+ER102+ER103+ER57</f>
        <v>4321.51651052057</v>
      </c>
      <c r="ES122" s="47" t="n">
        <f aca="false">ES118+ES121+ES101+ES102+ES103+ES57</f>
        <v>4369.53336063747</v>
      </c>
      <c r="ET122" s="47" t="n">
        <f aca="false">ET118+ET121+ET101+ET102+ET103+ET57</f>
        <v>4417.55021075436</v>
      </c>
    </row>
    <row r="123" customFormat="false" ht="15" hidden="false" customHeight="false" outlineLevel="0" collapsed="false">
      <c r="C123" s="1" t="s">
        <v>534</v>
      </c>
      <c r="D123" s="12" t="s">
        <v>222</v>
      </c>
      <c r="J123" s="23" t="n">
        <f aca="false">I126</f>
        <v>0</v>
      </c>
      <c r="K123" s="23" t="n">
        <f aca="false">J126</f>
        <v>0</v>
      </c>
      <c r="L123" s="23" t="n">
        <f aca="false">K126</f>
        <v>178.520547945205</v>
      </c>
      <c r="M123" s="23" t="n">
        <f aca="false">L126</f>
        <v>766.965068493151</v>
      </c>
      <c r="N123" s="23" t="n">
        <f aca="false">M126</f>
        <v>810.800684931507</v>
      </c>
      <c r="O123" s="23" t="n">
        <f aca="false">N126</f>
        <v>854.636301369863</v>
      </c>
      <c r="P123" s="23" t="n">
        <f aca="false">O126</f>
        <v>1038.99794520548</v>
      </c>
      <c r="Q123" s="23" t="n">
        <f aca="false">P126</f>
        <v>2329.03974000559</v>
      </c>
      <c r="R123" s="23" t="n">
        <f aca="false">Q126</f>
        <v>2333.64932904669</v>
      </c>
      <c r="S123" s="23" t="n">
        <f aca="false">R126</f>
        <v>2497.74083902712</v>
      </c>
      <c r="T123" s="23" t="n">
        <f aca="false">S126</f>
        <v>2814.96697772435</v>
      </c>
      <c r="U123" s="23" t="n">
        <f aca="false">T126</f>
        <v>3119.62451197093</v>
      </c>
      <c r="V123" s="23" t="n">
        <f aca="false">U126</f>
        <v>3119.62451197093</v>
      </c>
      <c r="W123" s="23" t="n">
        <f aca="false">V126</f>
        <v>3119.62451197093</v>
      </c>
      <c r="X123" s="23" t="n">
        <f aca="false">W126</f>
        <v>4946.53881500673</v>
      </c>
      <c r="Y123" s="23" t="n">
        <f aca="false">X126</f>
        <v>5194.14111300714</v>
      </c>
      <c r="Z123" s="23" t="n">
        <f aca="false">Y126</f>
        <v>5419.98652386699</v>
      </c>
      <c r="AA123" s="23" t="n">
        <f aca="false">Z126</f>
        <v>5623.2611058928</v>
      </c>
      <c r="AB123" s="23" t="n">
        <f aca="false">AA126</f>
        <v>5801.20773757475</v>
      </c>
      <c r="AC123" s="23" t="n">
        <f aca="false">AB126</f>
        <v>5952.40304180649</v>
      </c>
      <c r="AD123" s="23" t="n">
        <f aca="false">AC126</f>
        <v>6080.77027007802</v>
      </c>
      <c r="AE123" s="23" t="n">
        <f aca="false">AD126</f>
        <v>6185.49548069586</v>
      </c>
      <c r="AF123" s="23" t="n">
        <f aca="false">AE126</f>
        <v>5056.43713069645</v>
      </c>
      <c r="AG123" s="23" t="n">
        <f aca="false">AF126</f>
        <v>3902.03212263956</v>
      </c>
      <c r="AH123" s="23" t="n">
        <f aca="false">AG126</f>
        <v>2724.87431166033</v>
      </c>
      <c r="AI123" s="23" t="n">
        <f aca="false">AH126</f>
        <v>1499.52542515259</v>
      </c>
      <c r="AJ123" s="23" t="n">
        <f aca="false">AI126</f>
        <v>265.725867186226</v>
      </c>
      <c r="AK123" s="23" t="n">
        <f aca="false">AJ126</f>
        <v>0</v>
      </c>
      <c r="AL123" s="23" t="n">
        <f aca="false">AK126</f>
        <v>0</v>
      </c>
      <c r="AM123" s="23" t="n">
        <f aca="false">AL126</f>
        <v>0</v>
      </c>
      <c r="AN123" s="23" t="n">
        <f aca="false">AM126</f>
        <v>0</v>
      </c>
      <c r="AO123" s="23" t="n">
        <f aca="false">AN126</f>
        <v>0</v>
      </c>
      <c r="AP123" s="23" t="n">
        <f aca="false">AO126</f>
        <v>0</v>
      </c>
      <c r="AQ123" s="23" t="n">
        <f aca="false">AP126</f>
        <v>0</v>
      </c>
      <c r="AR123" s="23" t="n">
        <f aca="false">AQ126</f>
        <v>0</v>
      </c>
      <c r="AS123" s="23" t="n">
        <f aca="false">AR126</f>
        <v>0</v>
      </c>
      <c r="AT123" s="23" t="n">
        <f aca="false">AS126</f>
        <v>0</v>
      </c>
      <c r="AU123" s="23" t="n">
        <f aca="false">AT126</f>
        <v>0</v>
      </c>
      <c r="AV123" s="23" t="n">
        <f aca="false">AU126</f>
        <v>0</v>
      </c>
      <c r="AW123" s="23" t="n">
        <f aca="false">AV126</f>
        <v>0</v>
      </c>
      <c r="AX123" s="23" t="n">
        <f aca="false">AW126</f>
        <v>0</v>
      </c>
      <c r="AY123" s="23" t="n">
        <f aca="false">AX126</f>
        <v>0</v>
      </c>
      <c r="AZ123" s="23" t="n">
        <f aca="false">AY126</f>
        <v>0</v>
      </c>
      <c r="BA123" s="23" t="n">
        <f aca="false">AZ126</f>
        <v>0</v>
      </c>
      <c r="BB123" s="23" t="n">
        <f aca="false">BA126</f>
        <v>0</v>
      </c>
      <c r="BC123" s="23" t="n">
        <f aca="false">BB126</f>
        <v>0</v>
      </c>
      <c r="BD123" s="23" t="n">
        <f aca="false">BC126</f>
        <v>0</v>
      </c>
      <c r="BE123" s="23" t="n">
        <f aca="false">BD126</f>
        <v>0</v>
      </c>
      <c r="BF123" s="23" t="n">
        <f aca="false">BE126</f>
        <v>0</v>
      </c>
      <c r="BG123" s="23" t="n">
        <f aca="false">BF126</f>
        <v>0</v>
      </c>
      <c r="BH123" s="23" t="n">
        <f aca="false">BG126</f>
        <v>0</v>
      </c>
      <c r="BI123" s="23" t="n">
        <f aca="false">BH126</f>
        <v>0</v>
      </c>
      <c r="BJ123" s="23" t="n">
        <f aca="false">BI126</f>
        <v>0</v>
      </c>
      <c r="BK123" s="23" t="n">
        <f aca="false">BJ126</f>
        <v>0</v>
      </c>
      <c r="BL123" s="23" t="n">
        <f aca="false">BK126</f>
        <v>0</v>
      </c>
      <c r="BM123" s="23" t="n">
        <f aca="false">BL126</f>
        <v>0</v>
      </c>
      <c r="BN123" s="23" t="n">
        <f aca="false">BM126</f>
        <v>0</v>
      </c>
      <c r="BO123" s="23" t="n">
        <f aca="false">BN126</f>
        <v>0</v>
      </c>
      <c r="BP123" s="23" t="n">
        <f aca="false">BO126</f>
        <v>0</v>
      </c>
      <c r="BQ123" s="23" t="n">
        <f aca="false">BP126</f>
        <v>0</v>
      </c>
      <c r="BR123" s="23" t="n">
        <f aca="false">BQ126</f>
        <v>0</v>
      </c>
      <c r="BS123" s="23" t="n">
        <f aca="false">BR126</f>
        <v>0</v>
      </c>
      <c r="BT123" s="23" t="n">
        <f aca="false">BS126</f>
        <v>0</v>
      </c>
      <c r="BU123" s="23" t="n">
        <f aca="false">BT126</f>
        <v>0</v>
      </c>
      <c r="BV123" s="23" t="n">
        <f aca="false">BU126</f>
        <v>0</v>
      </c>
      <c r="BW123" s="23" t="n">
        <f aca="false">BV126</f>
        <v>0</v>
      </c>
      <c r="BX123" s="23" t="n">
        <f aca="false">BW126</f>
        <v>0</v>
      </c>
      <c r="BY123" s="23" t="n">
        <f aca="false">BX126</f>
        <v>0</v>
      </c>
      <c r="BZ123" s="23" t="n">
        <f aca="false">BY126</f>
        <v>0</v>
      </c>
      <c r="CA123" s="23" t="n">
        <f aca="false">BZ126</f>
        <v>0</v>
      </c>
      <c r="CB123" s="23" t="n">
        <f aca="false">CA126</f>
        <v>0</v>
      </c>
      <c r="CC123" s="23" t="n">
        <f aca="false">CB126</f>
        <v>0</v>
      </c>
      <c r="CD123" s="23" t="n">
        <f aca="false">CC126</f>
        <v>0</v>
      </c>
      <c r="CE123" s="23" t="n">
        <f aca="false">CD126</f>
        <v>0</v>
      </c>
      <c r="CF123" s="23" t="n">
        <f aca="false">CE126</f>
        <v>0</v>
      </c>
      <c r="CG123" s="23" t="n">
        <f aca="false">CF126</f>
        <v>0</v>
      </c>
      <c r="CH123" s="23" t="n">
        <f aca="false">CG126</f>
        <v>0</v>
      </c>
      <c r="CI123" s="23" t="n">
        <f aca="false">CH126</f>
        <v>0</v>
      </c>
      <c r="CJ123" s="23" t="n">
        <f aca="false">CI126</f>
        <v>0</v>
      </c>
      <c r="CK123" s="23" t="n">
        <f aca="false">CJ126</f>
        <v>0</v>
      </c>
      <c r="CL123" s="23" t="n">
        <f aca="false">CK126</f>
        <v>0</v>
      </c>
      <c r="CM123" s="23" t="n">
        <f aca="false">CL126</f>
        <v>0</v>
      </c>
      <c r="CN123" s="23" t="n">
        <f aca="false">CM126</f>
        <v>0</v>
      </c>
      <c r="CO123" s="23" t="n">
        <f aca="false">CN126</f>
        <v>0</v>
      </c>
      <c r="CP123" s="23" t="n">
        <f aca="false">CO126</f>
        <v>0</v>
      </c>
      <c r="CQ123" s="23" t="n">
        <f aca="false">CP126</f>
        <v>0</v>
      </c>
      <c r="CR123" s="23" t="n">
        <f aca="false">CQ126</f>
        <v>0</v>
      </c>
      <c r="CS123" s="23" t="n">
        <f aca="false">CR126</f>
        <v>0</v>
      </c>
      <c r="CT123" s="23" t="n">
        <f aca="false">CS126</f>
        <v>0</v>
      </c>
      <c r="CU123" s="23" t="n">
        <f aca="false">CT126</f>
        <v>0</v>
      </c>
      <c r="CV123" s="23" t="n">
        <f aca="false">CU126</f>
        <v>0</v>
      </c>
      <c r="CW123" s="23" t="n">
        <f aca="false">CV126</f>
        <v>0</v>
      </c>
      <c r="CX123" s="23" t="n">
        <f aca="false">CW126</f>
        <v>0</v>
      </c>
      <c r="CY123" s="23" t="n">
        <f aca="false">CX126</f>
        <v>0</v>
      </c>
      <c r="CZ123" s="23" t="n">
        <f aca="false">CY126</f>
        <v>0</v>
      </c>
      <c r="DA123" s="23" t="n">
        <f aca="false">CZ126</f>
        <v>0</v>
      </c>
      <c r="DB123" s="23" t="n">
        <f aca="false">DA126</f>
        <v>0</v>
      </c>
      <c r="DC123" s="23" t="n">
        <f aca="false">DB126</f>
        <v>0</v>
      </c>
      <c r="DD123" s="23" t="n">
        <f aca="false">DC126</f>
        <v>0</v>
      </c>
      <c r="DE123" s="23" t="n">
        <f aca="false">DD126</f>
        <v>0</v>
      </c>
      <c r="DF123" s="23" t="n">
        <f aca="false">DE126</f>
        <v>0</v>
      </c>
      <c r="DG123" s="23" t="n">
        <f aca="false">DF126</f>
        <v>0</v>
      </c>
      <c r="DH123" s="23" t="n">
        <f aca="false">DG126</f>
        <v>0</v>
      </c>
      <c r="DI123" s="23" t="n">
        <f aca="false">DH126</f>
        <v>0</v>
      </c>
      <c r="DJ123" s="23" t="n">
        <f aca="false">DI126</f>
        <v>0</v>
      </c>
      <c r="DK123" s="23" t="n">
        <f aca="false">DJ126</f>
        <v>0</v>
      </c>
      <c r="DL123" s="23" t="n">
        <f aca="false">DK126</f>
        <v>0</v>
      </c>
      <c r="DM123" s="23" t="n">
        <f aca="false">DL126</f>
        <v>0</v>
      </c>
      <c r="DN123" s="23" t="n">
        <f aca="false">DM126</f>
        <v>0</v>
      </c>
      <c r="DO123" s="23" t="n">
        <f aca="false">DN126</f>
        <v>0</v>
      </c>
      <c r="DP123" s="23" t="n">
        <f aca="false">DO126</f>
        <v>0</v>
      </c>
      <c r="DQ123" s="23" t="n">
        <f aca="false">DP126</f>
        <v>0</v>
      </c>
      <c r="DR123" s="23" t="n">
        <f aca="false">DQ126</f>
        <v>0</v>
      </c>
      <c r="DS123" s="23" t="n">
        <f aca="false">DR126</f>
        <v>0</v>
      </c>
      <c r="DT123" s="23" t="n">
        <f aca="false">DS126</f>
        <v>0</v>
      </c>
      <c r="DU123" s="23" t="n">
        <f aca="false">DT126</f>
        <v>0</v>
      </c>
      <c r="DV123" s="23" t="n">
        <f aca="false">DU126</f>
        <v>0</v>
      </c>
      <c r="DW123" s="23" t="n">
        <f aca="false">DV126</f>
        <v>0</v>
      </c>
      <c r="DX123" s="23" t="n">
        <f aca="false">DW126</f>
        <v>0</v>
      </c>
      <c r="DY123" s="23" t="n">
        <f aca="false">DX126</f>
        <v>0</v>
      </c>
      <c r="DZ123" s="23" t="n">
        <f aca="false">DY126</f>
        <v>0</v>
      </c>
      <c r="EA123" s="23" t="n">
        <f aca="false">DZ126</f>
        <v>0</v>
      </c>
      <c r="EB123" s="23" t="n">
        <f aca="false">EA126</f>
        <v>0</v>
      </c>
      <c r="EC123" s="23" t="n">
        <f aca="false">EB126</f>
        <v>0</v>
      </c>
      <c r="ED123" s="23" t="n">
        <f aca="false">EC126</f>
        <v>0</v>
      </c>
      <c r="EE123" s="23" t="n">
        <f aca="false">ED126</f>
        <v>0</v>
      </c>
      <c r="EF123" s="23" t="n">
        <f aca="false">EE126</f>
        <v>0</v>
      </c>
      <c r="EG123" s="23" t="n">
        <f aca="false">EF126</f>
        <v>0</v>
      </c>
      <c r="EH123" s="23" t="n">
        <f aca="false">EG126</f>
        <v>0</v>
      </c>
      <c r="EI123" s="23" t="n">
        <f aca="false">EH126</f>
        <v>0</v>
      </c>
      <c r="EJ123" s="23" t="n">
        <f aca="false">EI126</f>
        <v>0</v>
      </c>
      <c r="EK123" s="23" t="n">
        <f aca="false">EJ126</f>
        <v>0</v>
      </c>
      <c r="EL123" s="23" t="n">
        <f aca="false">EK126</f>
        <v>0</v>
      </c>
      <c r="EM123" s="23" t="n">
        <f aca="false">EL126</f>
        <v>0</v>
      </c>
      <c r="EN123" s="23" t="n">
        <f aca="false">EM126</f>
        <v>0</v>
      </c>
      <c r="EO123" s="23" t="n">
        <f aca="false">EN126</f>
        <v>0</v>
      </c>
      <c r="EP123" s="23" t="n">
        <f aca="false">EO126</f>
        <v>0</v>
      </c>
      <c r="EQ123" s="23" t="n">
        <f aca="false">EP126</f>
        <v>0</v>
      </c>
      <c r="ER123" s="23" t="n">
        <f aca="false">EQ126</f>
        <v>0</v>
      </c>
      <c r="ES123" s="23" t="n">
        <f aca="false">ER126</f>
        <v>0</v>
      </c>
      <c r="ET123" s="23" t="n">
        <f aca="false">ES126</f>
        <v>0</v>
      </c>
    </row>
    <row r="124" customFormat="false" ht="15" hidden="false" customHeight="false" outlineLevel="0" collapsed="false">
      <c r="C124" s="1" t="s">
        <v>535</v>
      </c>
      <c r="D124" s="12" t="s">
        <v>222</v>
      </c>
      <c r="I124" s="47" t="n">
        <f aca="false">SUM(J124:ET124)</f>
        <v>6185.49548069586</v>
      </c>
      <c r="J124" s="47" t="n">
        <f aca="false">MAX(0,-J122)</f>
        <v>-0</v>
      </c>
      <c r="K124" s="47" t="n">
        <f aca="false">MAX(0,-K122)</f>
        <v>178.520547945205</v>
      </c>
      <c r="L124" s="47" t="n">
        <f aca="false">MAX(0,-L122)</f>
        <v>588.444520547945</v>
      </c>
      <c r="M124" s="47" t="n">
        <f aca="false">MAX(0,-M122)</f>
        <v>43.8356164383562</v>
      </c>
      <c r="N124" s="47" t="n">
        <f aca="false">MAX(0,-N122)</f>
        <v>43.8356164383562</v>
      </c>
      <c r="O124" s="47" t="n">
        <f aca="false">MAX(0,-O122)</f>
        <v>184.361643835616</v>
      </c>
      <c r="P124" s="47" t="n">
        <f aca="false">MAX(0,-P122)</f>
        <v>1290.04179480011</v>
      </c>
      <c r="Q124" s="47" t="n">
        <f aca="false">MAX(0,-Q122)</f>
        <v>4.60958904109589</v>
      </c>
      <c r="R124" s="47" t="n">
        <f aca="false">MAX(0,-R122)</f>
        <v>164.09150998043</v>
      </c>
      <c r="S124" s="47" t="n">
        <f aca="false">MAX(0,-S122)</f>
        <v>317.226138697232</v>
      </c>
      <c r="T124" s="47" t="n">
        <f aca="false">MAX(0,-T122)</f>
        <v>304.657534246575</v>
      </c>
      <c r="U124" s="47" t="n">
        <f aca="false">MAX(0,-U122)</f>
        <v>-0</v>
      </c>
      <c r="V124" s="47" t="n">
        <f aca="false">MAX(0,-V122)</f>
        <v>-0</v>
      </c>
      <c r="W124" s="47" t="n">
        <f aca="false">MAX(0,-W122)</f>
        <v>1826.91430303581</v>
      </c>
      <c r="X124" s="47" t="n">
        <f aca="false">MAX(0,-X122)</f>
        <v>247.602298000408</v>
      </c>
      <c r="Y124" s="47" t="n">
        <f aca="false">MAX(0,-Y122)</f>
        <v>225.845410859847</v>
      </c>
      <c r="Z124" s="47" t="n">
        <f aca="false">MAX(0,-Z122)</f>
        <v>203.274582025816</v>
      </c>
      <c r="AA124" s="47" t="n">
        <f aca="false">MAX(0,-AA122)</f>
        <v>177.946631681942</v>
      </c>
      <c r="AB124" s="47" t="n">
        <f aca="false">MAX(0,-AB122)</f>
        <v>151.195304231742</v>
      </c>
      <c r="AC124" s="47" t="n">
        <f aca="false">MAX(0,-AC122)</f>
        <v>128.367228271529</v>
      </c>
      <c r="AD124" s="47" t="n">
        <f aca="false">MAX(0,-AD122)</f>
        <v>104.725210617846</v>
      </c>
      <c r="AE124" s="47" t="n">
        <f aca="false">MAX(0,-AE122)</f>
        <v>0</v>
      </c>
      <c r="AF124" s="47" t="n">
        <f aca="false">MAX(0,-AF122)</f>
        <v>0</v>
      </c>
      <c r="AG124" s="47" t="n">
        <f aca="false">MAX(0,-AG122)</f>
        <v>0</v>
      </c>
      <c r="AH124" s="47" t="n">
        <f aca="false">MAX(0,-AH122)</f>
        <v>0</v>
      </c>
      <c r="AI124" s="47" t="n">
        <f aca="false">MAX(0,-AI122)</f>
        <v>0</v>
      </c>
      <c r="AJ124" s="47" t="n">
        <f aca="false">MAX(0,-AJ122)</f>
        <v>0</v>
      </c>
      <c r="AK124" s="47" t="n">
        <f aca="false">MAX(0,-AK122)</f>
        <v>0</v>
      </c>
      <c r="AL124" s="47" t="n">
        <f aca="false">MAX(0,-AL122)</f>
        <v>0</v>
      </c>
      <c r="AM124" s="47" t="n">
        <f aca="false">MAX(0,-AM122)</f>
        <v>0</v>
      </c>
      <c r="AN124" s="47" t="n">
        <f aca="false">MAX(0,-AN122)</f>
        <v>0</v>
      </c>
      <c r="AO124" s="47" t="n">
        <f aca="false">MAX(0,-AO122)</f>
        <v>0</v>
      </c>
      <c r="AP124" s="47" t="n">
        <f aca="false">MAX(0,-AP122)</f>
        <v>0</v>
      </c>
      <c r="AQ124" s="47" t="n">
        <f aca="false">MAX(0,-AQ122)</f>
        <v>0</v>
      </c>
      <c r="AR124" s="47" t="n">
        <f aca="false">MAX(0,-AR122)</f>
        <v>0</v>
      </c>
      <c r="AS124" s="47" t="n">
        <f aca="false">MAX(0,-AS122)</f>
        <v>0</v>
      </c>
      <c r="AT124" s="47" t="n">
        <f aca="false">MAX(0,-AT122)</f>
        <v>0</v>
      </c>
      <c r="AU124" s="47" t="n">
        <f aca="false">MAX(0,-AU122)</f>
        <v>0</v>
      </c>
      <c r="AV124" s="47" t="n">
        <f aca="false">MAX(0,-AV122)</f>
        <v>0</v>
      </c>
      <c r="AW124" s="47" t="n">
        <f aca="false">MAX(0,-AW122)</f>
        <v>0</v>
      </c>
      <c r="AX124" s="47" t="n">
        <f aca="false">MAX(0,-AX122)</f>
        <v>0</v>
      </c>
      <c r="AY124" s="47" t="n">
        <f aca="false">MAX(0,-AY122)</f>
        <v>0</v>
      </c>
      <c r="AZ124" s="47" t="n">
        <f aca="false">MAX(0,-AZ122)</f>
        <v>0</v>
      </c>
      <c r="BA124" s="47" t="n">
        <f aca="false">MAX(0,-BA122)</f>
        <v>0</v>
      </c>
      <c r="BB124" s="47" t="n">
        <f aca="false">MAX(0,-BB122)</f>
        <v>0</v>
      </c>
      <c r="BC124" s="47" t="n">
        <f aca="false">MAX(0,-BC122)</f>
        <v>0</v>
      </c>
      <c r="BD124" s="47" t="n">
        <f aca="false">MAX(0,-BD122)</f>
        <v>0</v>
      </c>
      <c r="BE124" s="47" t="n">
        <f aca="false">MAX(0,-BE122)</f>
        <v>0</v>
      </c>
      <c r="BF124" s="47" t="n">
        <f aca="false">MAX(0,-BF122)</f>
        <v>0</v>
      </c>
      <c r="BG124" s="47" t="n">
        <f aca="false">MAX(0,-BG122)</f>
        <v>0</v>
      </c>
      <c r="BH124" s="47" t="n">
        <f aca="false">MAX(0,-BH122)</f>
        <v>0</v>
      </c>
      <c r="BI124" s="47" t="n">
        <f aca="false">MAX(0,-BI122)</f>
        <v>0</v>
      </c>
      <c r="BJ124" s="47" t="n">
        <f aca="false">MAX(0,-BJ122)</f>
        <v>0</v>
      </c>
      <c r="BK124" s="47" t="n">
        <f aca="false">MAX(0,-BK122)</f>
        <v>0</v>
      </c>
      <c r="BL124" s="47" t="n">
        <f aca="false">MAX(0,-BL122)</f>
        <v>0</v>
      </c>
      <c r="BM124" s="47" t="n">
        <f aca="false">MAX(0,-BM122)</f>
        <v>0</v>
      </c>
      <c r="BN124" s="47" t="n">
        <f aca="false">MAX(0,-BN122)</f>
        <v>0</v>
      </c>
      <c r="BO124" s="47" t="n">
        <f aca="false">MAX(0,-BO122)</f>
        <v>0</v>
      </c>
      <c r="BP124" s="47" t="n">
        <f aca="false">MAX(0,-BP122)</f>
        <v>0</v>
      </c>
      <c r="BQ124" s="47" t="n">
        <f aca="false">MAX(0,-BQ122)</f>
        <v>0</v>
      </c>
      <c r="BR124" s="47" t="n">
        <f aca="false">MAX(0,-BR122)</f>
        <v>0</v>
      </c>
      <c r="BS124" s="47" t="n">
        <f aca="false">MAX(0,-BS122)</f>
        <v>0</v>
      </c>
      <c r="BT124" s="47" t="n">
        <f aca="false">MAX(0,-BT122)</f>
        <v>0</v>
      </c>
      <c r="BU124" s="47" t="n">
        <f aca="false">MAX(0,-BU122)</f>
        <v>0</v>
      </c>
      <c r="BV124" s="47" t="n">
        <f aca="false">MAX(0,-BV122)</f>
        <v>0</v>
      </c>
      <c r="BW124" s="47" t="n">
        <f aca="false">MAX(0,-BW122)</f>
        <v>0</v>
      </c>
      <c r="BX124" s="47" t="n">
        <f aca="false">MAX(0,-BX122)</f>
        <v>0</v>
      </c>
      <c r="BY124" s="47" t="n">
        <f aca="false">MAX(0,-BY122)</f>
        <v>0</v>
      </c>
      <c r="BZ124" s="47" t="n">
        <f aca="false">MAX(0,-BZ122)</f>
        <v>0</v>
      </c>
      <c r="CA124" s="47" t="n">
        <f aca="false">MAX(0,-CA122)</f>
        <v>0</v>
      </c>
      <c r="CB124" s="47" t="n">
        <f aca="false">MAX(0,-CB122)</f>
        <v>0</v>
      </c>
      <c r="CC124" s="47" t="n">
        <f aca="false">MAX(0,-CC122)</f>
        <v>0</v>
      </c>
      <c r="CD124" s="47" t="n">
        <f aca="false">MAX(0,-CD122)</f>
        <v>0</v>
      </c>
      <c r="CE124" s="47" t="n">
        <f aca="false">MAX(0,-CE122)</f>
        <v>0</v>
      </c>
      <c r="CF124" s="47" t="n">
        <f aca="false">MAX(0,-CF122)</f>
        <v>0</v>
      </c>
      <c r="CG124" s="47" t="n">
        <f aca="false">MAX(0,-CG122)</f>
        <v>0</v>
      </c>
      <c r="CH124" s="47" t="n">
        <f aca="false">MAX(0,-CH122)</f>
        <v>0</v>
      </c>
      <c r="CI124" s="47" t="n">
        <f aca="false">MAX(0,-CI122)</f>
        <v>0</v>
      </c>
      <c r="CJ124" s="47" t="n">
        <f aca="false">MAX(0,-CJ122)</f>
        <v>0</v>
      </c>
      <c r="CK124" s="47" t="n">
        <f aca="false">MAX(0,-CK122)</f>
        <v>0</v>
      </c>
      <c r="CL124" s="47" t="n">
        <f aca="false">MAX(0,-CL122)</f>
        <v>0</v>
      </c>
      <c r="CM124" s="47" t="n">
        <f aca="false">MAX(0,-CM122)</f>
        <v>0</v>
      </c>
      <c r="CN124" s="47" t="n">
        <f aca="false">MAX(0,-CN122)</f>
        <v>0</v>
      </c>
      <c r="CO124" s="47" t="n">
        <f aca="false">MAX(0,-CO122)</f>
        <v>0</v>
      </c>
      <c r="CP124" s="47" t="n">
        <f aca="false">MAX(0,-CP122)</f>
        <v>0</v>
      </c>
      <c r="CQ124" s="47" t="n">
        <f aca="false">MAX(0,-CQ122)</f>
        <v>0</v>
      </c>
      <c r="CR124" s="47" t="n">
        <f aca="false">MAX(0,-CR122)</f>
        <v>0</v>
      </c>
      <c r="CS124" s="47" t="n">
        <f aca="false">MAX(0,-CS122)</f>
        <v>0</v>
      </c>
      <c r="CT124" s="47" t="n">
        <f aca="false">MAX(0,-CT122)</f>
        <v>0</v>
      </c>
      <c r="CU124" s="47" t="n">
        <f aca="false">MAX(0,-CU122)</f>
        <v>0</v>
      </c>
      <c r="CV124" s="47" t="n">
        <f aca="false">MAX(0,-CV122)</f>
        <v>0</v>
      </c>
      <c r="CW124" s="47" t="n">
        <f aca="false">MAX(0,-CW122)</f>
        <v>0</v>
      </c>
      <c r="CX124" s="47" t="n">
        <f aca="false">MAX(0,-CX122)</f>
        <v>0</v>
      </c>
      <c r="CY124" s="47" t="n">
        <f aca="false">MAX(0,-CY122)</f>
        <v>0</v>
      </c>
      <c r="CZ124" s="47" t="n">
        <f aca="false">MAX(0,-CZ122)</f>
        <v>0</v>
      </c>
      <c r="DA124" s="47" t="n">
        <f aca="false">MAX(0,-DA122)</f>
        <v>0</v>
      </c>
      <c r="DB124" s="47" t="n">
        <f aca="false">MAX(0,-DB122)</f>
        <v>0</v>
      </c>
      <c r="DC124" s="47" t="n">
        <f aca="false">MAX(0,-DC122)</f>
        <v>0</v>
      </c>
      <c r="DD124" s="47" t="n">
        <f aca="false">MAX(0,-DD122)</f>
        <v>0</v>
      </c>
      <c r="DE124" s="47" t="n">
        <f aca="false">MAX(0,-DE122)</f>
        <v>0</v>
      </c>
      <c r="DF124" s="47" t="n">
        <f aca="false">MAX(0,-DF122)</f>
        <v>0</v>
      </c>
      <c r="DG124" s="47" t="n">
        <f aca="false">MAX(0,-DG122)</f>
        <v>0</v>
      </c>
      <c r="DH124" s="47" t="n">
        <f aca="false">MAX(0,-DH122)</f>
        <v>0</v>
      </c>
      <c r="DI124" s="47" t="n">
        <f aca="false">MAX(0,-DI122)</f>
        <v>0</v>
      </c>
      <c r="DJ124" s="47" t="n">
        <f aca="false">MAX(0,-DJ122)</f>
        <v>0</v>
      </c>
      <c r="DK124" s="47" t="n">
        <f aca="false">MAX(0,-DK122)</f>
        <v>0</v>
      </c>
      <c r="DL124" s="47" t="n">
        <f aca="false">MAX(0,-DL122)</f>
        <v>0</v>
      </c>
      <c r="DM124" s="47" t="n">
        <f aca="false">MAX(0,-DM122)</f>
        <v>0</v>
      </c>
      <c r="DN124" s="47" t="n">
        <f aca="false">MAX(0,-DN122)</f>
        <v>0</v>
      </c>
      <c r="DO124" s="47" t="n">
        <f aca="false">MAX(0,-DO122)</f>
        <v>0</v>
      </c>
      <c r="DP124" s="47" t="n">
        <f aca="false">MAX(0,-DP122)</f>
        <v>0</v>
      </c>
      <c r="DQ124" s="47" t="n">
        <f aca="false">MAX(0,-DQ122)</f>
        <v>0</v>
      </c>
      <c r="DR124" s="47" t="n">
        <f aca="false">MAX(0,-DR122)</f>
        <v>0</v>
      </c>
      <c r="DS124" s="47" t="n">
        <f aca="false">MAX(0,-DS122)</f>
        <v>0</v>
      </c>
      <c r="DT124" s="47" t="n">
        <f aca="false">MAX(0,-DT122)</f>
        <v>0</v>
      </c>
      <c r="DU124" s="47" t="n">
        <f aca="false">MAX(0,-DU122)</f>
        <v>0</v>
      </c>
      <c r="DV124" s="47" t="n">
        <f aca="false">MAX(0,-DV122)</f>
        <v>0</v>
      </c>
      <c r="DW124" s="47" t="n">
        <f aca="false">MAX(0,-DW122)</f>
        <v>0</v>
      </c>
      <c r="DX124" s="47" t="n">
        <f aca="false">MAX(0,-DX122)</f>
        <v>0</v>
      </c>
      <c r="DY124" s="47" t="n">
        <f aca="false">MAX(0,-DY122)</f>
        <v>0</v>
      </c>
      <c r="DZ124" s="47" t="n">
        <f aca="false">MAX(0,-DZ122)</f>
        <v>0</v>
      </c>
      <c r="EA124" s="47" t="n">
        <f aca="false">MAX(0,-EA122)</f>
        <v>0</v>
      </c>
      <c r="EB124" s="47" t="n">
        <f aca="false">MAX(0,-EB122)</f>
        <v>0</v>
      </c>
      <c r="EC124" s="47" t="n">
        <f aca="false">MAX(0,-EC122)</f>
        <v>0</v>
      </c>
      <c r="ED124" s="47" t="n">
        <f aca="false">MAX(0,-ED122)</f>
        <v>0</v>
      </c>
      <c r="EE124" s="47" t="n">
        <f aca="false">MAX(0,-EE122)</f>
        <v>0</v>
      </c>
      <c r="EF124" s="47" t="n">
        <f aca="false">MAX(0,-EF122)</f>
        <v>0</v>
      </c>
      <c r="EG124" s="47" t="n">
        <f aca="false">MAX(0,-EG122)</f>
        <v>0</v>
      </c>
      <c r="EH124" s="47" t="n">
        <f aca="false">MAX(0,-EH122)</f>
        <v>0</v>
      </c>
      <c r="EI124" s="47" t="n">
        <f aca="false">MAX(0,-EI122)</f>
        <v>0</v>
      </c>
      <c r="EJ124" s="47" t="n">
        <f aca="false">MAX(0,-EJ122)</f>
        <v>0</v>
      </c>
      <c r="EK124" s="47" t="n">
        <f aca="false">MAX(0,-EK122)</f>
        <v>0</v>
      </c>
      <c r="EL124" s="47" t="n">
        <f aca="false">MAX(0,-EL122)</f>
        <v>0</v>
      </c>
      <c r="EM124" s="47" t="n">
        <f aca="false">MAX(0,-EM122)</f>
        <v>0</v>
      </c>
      <c r="EN124" s="47" t="n">
        <f aca="false">MAX(0,-EN122)</f>
        <v>0</v>
      </c>
      <c r="EO124" s="47" t="n">
        <f aca="false">MAX(0,-EO122)</f>
        <v>0</v>
      </c>
      <c r="EP124" s="47" t="n">
        <f aca="false">MAX(0,-EP122)</f>
        <v>0</v>
      </c>
      <c r="EQ124" s="47" t="n">
        <f aca="false">MAX(0,-EQ122)</f>
        <v>0</v>
      </c>
      <c r="ER124" s="47" t="n">
        <f aca="false">MAX(0,-ER122)</f>
        <v>0</v>
      </c>
      <c r="ES124" s="47" t="n">
        <f aca="false">MAX(0,-ES122)</f>
        <v>0</v>
      </c>
      <c r="ET124" s="47" t="n">
        <f aca="false">MAX(0,-ET122)</f>
        <v>0</v>
      </c>
    </row>
    <row r="125" customFormat="false" ht="15" hidden="false" customHeight="false" outlineLevel="0" collapsed="false">
      <c r="C125" s="1" t="s">
        <v>536</v>
      </c>
      <c r="D125" s="12" t="s">
        <v>222</v>
      </c>
      <c r="I125" s="47" t="n">
        <f aca="false">SUM(J125:ET125)</f>
        <v>-6185.49548069586</v>
      </c>
      <c r="J125" s="47" t="n">
        <f aca="false">-MIN(J123,MAX(0,J122))</f>
        <v>-0</v>
      </c>
      <c r="K125" s="47" t="n">
        <f aca="false">-MIN(K123,MAX(0,K122))</f>
        <v>-0</v>
      </c>
      <c r="L125" s="47" t="n">
        <f aca="false">-MIN(L123,MAX(0,L122))</f>
        <v>-0</v>
      </c>
      <c r="M125" s="47" t="n">
        <f aca="false">-MIN(M123,MAX(0,M122))</f>
        <v>-0</v>
      </c>
      <c r="N125" s="47" t="n">
        <f aca="false">-MIN(N123,MAX(0,N122))</f>
        <v>-0</v>
      </c>
      <c r="O125" s="47" t="n">
        <f aca="false">-MIN(O123,MAX(0,O122))</f>
        <v>-0</v>
      </c>
      <c r="P125" s="47" t="n">
        <f aca="false">-MIN(P123,MAX(0,P122))</f>
        <v>-0</v>
      </c>
      <c r="Q125" s="47" t="n">
        <f aca="false">-MIN(Q123,MAX(0,Q122))</f>
        <v>-0</v>
      </c>
      <c r="R125" s="47" t="n">
        <f aca="false">-MIN(R123,MAX(0,R122))</f>
        <v>-0</v>
      </c>
      <c r="S125" s="47" t="n">
        <f aca="false">-MIN(S123,MAX(0,S122))</f>
        <v>-0</v>
      </c>
      <c r="T125" s="47" t="n">
        <f aca="false">-MIN(T123,MAX(0,T122))</f>
        <v>-0</v>
      </c>
      <c r="U125" s="47" t="n">
        <f aca="false">-MIN(U123,MAX(0,U122))</f>
        <v>-0</v>
      </c>
      <c r="V125" s="47" t="n">
        <f aca="false">-MIN(V123,MAX(0,V122))</f>
        <v>-0</v>
      </c>
      <c r="W125" s="47" t="n">
        <f aca="false">-MIN(W123,MAX(0,W122))</f>
        <v>-0</v>
      </c>
      <c r="X125" s="47" t="n">
        <f aca="false">-MIN(X123,MAX(0,X122))</f>
        <v>-0</v>
      </c>
      <c r="Y125" s="47" t="n">
        <f aca="false">-MIN(Y123,MAX(0,Y122))</f>
        <v>-0</v>
      </c>
      <c r="Z125" s="47" t="n">
        <f aca="false">-MIN(Z123,MAX(0,Z122))</f>
        <v>-0</v>
      </c>
      <c r="AA125" s="47" t="n">
        <f aca="false">-MIN(AA123,MAX(0,AA122))</f>
        <v>-0</v>
      </c>
      <c r="AB125" s="47" t="n">
        <f aca="false">-MIN(AB123,MAX(0,AB122))</f>
        <v>-0</v>
      </c>
      <c r="AC125" s="47" t="n">
        <f aca="false">-MIN(AC123,MAX(0,AC122))</f>
        <v>-0</v>
      </c>
      <c r="AD125" s="47" t="n">
        <f aca="false">-MIN(AD123,MAX(0,AD122))</f>
        <v>-0</v>
      </c>
      <c r="AE125" s="47" t="n">
        <f aca="false">-MIN(AE123,MAX(0,AE122))</f>
        <v>-1129.05834999941</v>
      </c>
      <c r="AF125" s="47" t="n">
        <f aca="false">-MIN(AF123,MAX(0,AF122))</f>
        <v>-1154.40500805689</v>
      </c>
      <c r="AG125" s="47" t="n">
        <f aca="false">-MIN(AG123,MAX(0,AG122))</f>
        <v>-1177.15781097923</v>
      </c>
      <c r="AH125" s="47" t="n">
        <f aca="false">-MIN(AH123,MAX(0,AH122))</f>
        <v>-1225.34888650774</v>
      </c>
      <c r="AI125" s="47" t="n">
        <f aca="false">-MIN(AI123,MAX(0,AI122))</f>
        <v>-1233.79955796636</v>
      </c>
      <c r="AJ125" s="47" t="n">
        <f aca="false">-MIN(AJ123,MAX(0,AJ122))</f>
        <v>-265.725867186226</v>
      </c>
      <c r="AK125" s="47" t="n">
        <f aca="false">-MIN(AK123,MAX(0,AK122))</f>
        <v>-0</v>
      </c>
      <c r="AL125" s="47" t="n">
        <f aca="false">-MIN(AL123,MAX(0,AL122))</f>
        <v>-0</v>
      </c>
      <c r="AM125" s="47" t="n">
        <f aca="false">-MIN(AM123,MAX(0,AM122))</f>
        <v>-0</v>
      </c>
      <c r="AN125" s="47" t="n">
        <f aca="false">-MIN(AN123,MAX(0,AN122))</f>
        <v>-0</v>
      </c>
      <c r="AO125" s="47" t="n">
        <f aca="false">-MIN(AO123,MAX(0,AO122))</f>
        <v>-0</v>
      </c>
      <c r="AP125" s="47" t="n">
        <f aca="false">-MIN(AP123,MAX(0,AP122))</f>
        <v>-0</v>
      </c>
      <c r="AQ125" s="47" t="n">
        <f aca="false">-MIN(AQ123,MAX(0,AQ122))</f>
        <v>-0</v>
      </c>
      <c r="AR125" s="47" t="n">
        <f aca="false">-MIN(AR123,MAX(0,AR122))</f>
        <v>-0</v>
      </c>
      <c r="AS125" s="47" t="n">
        <f aca="false">-MIN(AS123,MAX(0,AS122))</f>
        <v>-0</v>
      </c>
      <c r="AT125" s="47" t="n">
        <f aca="false">-MIN(AT123,MAX(0,AT122))</f>
        <v>-0</v>
      </c>
      <c r="AU125" s="47" t="n">
        <f aca="false">-MIN(AU123,MAX(0,AU122))</f>
        <v>-0</v>
      </c>
      <c r="AV125" s="47" t="n">
        <f aca="false">-MIN(AV123,MAX(0,AV122))</f>
        <v>-0</v>
      </c>
      <c r="AW125" s="47" t="n">
        <f aca="false">-MIN(AW123,MAX(0,AW122))</f>
        <v>-0</v>
      </c>
      <c r="AX125" s="47" t="n">
        <f aca="false">-MIN(AX123,MAX(0,AX122))</f>
        <v>-0</v>
      </c>
      <c r="AY125" s="47" t="n">
        <f aca="false">-MIN(AY123,MAX(0,AY122))</f>
        <v>-0</v>
      </c>
      <c r="AZ125" s="47" t="n">
        <f aca="false">-MIN(AZ123,MAX(0,AZ122))</f>
        <v>-0</v>
      </c>
      <c r="BA125" s="47" t="n">
        <f aca="false">-MIN(BA123,MAX(0,BA122))</f>
        <v>-0</v>
      </c>
      <c r="BB125" s="47" t="n">
        <f aca="false">-MIN(BB123,MAX(0,BB122))</f>
        <v>-0</v>
      </c>
      <c r="BC125" s="47" t="n">
        <f aca="false">-MIN(BC123,MAX(0,BC122))</f>
        <v>-0</v>
      </c>
      <c r="BD125" s="47" t="n">
        <f aca="false">-MIN(BD123,MAX(0,BD122))</f>
        <v>-0</v>
      </c>
      <c r="BE125" s="47" t="n">
        <f aca="false">-MIN(BE123,MAX(0,BE122))</f>
        <v>-0</v>
      </c>
      <c r="BF125" s="47" t="n">
        <f aca="false">-MIN(BF123,MAX(0,BF122))</f>
        <v>-0</v>
      </c>
      <c r="BG125" s="47" t="n">
        <f aca="false">-MIN(BG123,MAX(0,BG122))</f>
        <v>-0</v>
      </c>
      <c r="BH125" s="47" t="n">
        <f aca="false">-MIN(BH123,MAX(0,BH122))</f>
        <v>-0</v>
      </c>
      <c r="BI125" s="47" t="n">
        <f aca="false">-MIN(BI123,MAX(0,BI122))</f>
        <v>-0</v>
      </c>
      <c r="BJ125" s="47" t="n">
        <f aca="false">-MIN(BJ123,MAX(0,BJ122))</f>
        <v>-0</v>
      </c>
      <c r="BK125" s="47" t="n">
        <f aca="false">-MIN(BK123,MAX(0,BK122))</f>
        <v>-0</v>
      </c>
      <c r="BL125" s="47" t="n">
        <f aca="false">-MIN(BL123,MAX(0,BL122))</f>
        <v>-0</v>
      </c>
      <c r="BM125" s="47" t="n">
        <f aca="false">-MIN(BM123,MAX(0,BM122))</f>
        <v>-0</v>
      </c>
      <c r="BN125" s="47" t="n">
        <f aca="false">-MIN(BN123,MAX(0,BN122))</f>
        <v>-0</v>
      </c>
      <c r="BO125" s="47" t="n">
        <f aca="false">-MIN(BO123,MAX(0,BO122))</f>
        <v>-0</v>
      </c>
      <c r="BP125" s="47" t="n">
        <f aca="false">-MIN(BP123,MAX(0,BP122))</f>
        <v>-0</v>
      </c>
      <c r="BQ125" s="47" t="n">
        <f aca="false">-MIN(BQ123,MAX(0,BQ122))</f>
        <v>-0</v>
      </c>
      <c r="BR125" s="47" t="n">
        <f aca="false">-MIN(BR123,MAX(0,BR122))</f>
        <v>-0</v>
      </c>
      <c r="BS125" s="47" t="n">
        <f aca="false">-MIN(BS123,MAX(0,BS122))</f>
        <v>-0</v>
      </c>
      <c r="BT125" s="47" t="n">
        <f aca="false">-MIN(BT123,MAX(0,BT122))</f>
        <v>-0</v>
      </c>
      <c r="BU125" s="47" t="n">
        <f aca="false">-MIN(BU123,MAX(0,BU122))</f>
        <v>-0</v>
      </c>
      <c r="BV125" s="47" t="n">
        <f aca="false">-MIN(BV123,MAX(0,BV122))</f>
        <v>-0</v>
      </c>
      <c r="BW125" s="47" t="n">
        <f aca="false">-MIN(BW123,MAX(0,BW122))</f>
        <v>-0</v>
      </c>
      <c r="BX125" s="47" t="n">
        <f aca="false">-MIN(BX123,MAX(0,BX122))</f>
        <v>-0</v>
      </c>
      <c r="BY125" s="47" t="n">
        <f aca="false">-MIN(BY123,MAX(0,BY122))</f>
        <v>-0</v>
      </c>
      <c r="BZ125" s="47" t="n">
        <f aca="false">-MIN(BZ123,MAX(0,BZ122))</f>
        <v>-0</v>
      </c>
      <c r="CA125" s="47" t="n">
        <f aca="false">-MIN(CA123,MAX(0,CA122))</f>
        <v>-0</v>
      </c>
      <c r="CB125" s="47" t="n">
        <f aca="false">-MIN(CB123,MAX(0,CB122))</f>
        <v>-0</v>
      </c>
      <c r="CC125" s="47" t="n">
        <f aca="false">-MIN(CC123,MAX(0,CC122))</f>
        <v>-0</v>
      </c>
      <c r="CD125" s="47" t="n">
        <f aca="false">-MIN(CD123,MAX(0,CD122))</f>
        <v>-0</v>
      </c>
      <c r="CE125" s="47" t="n">
        <f aca="false">-MIN(CE123,MAX(0,CE122))</f>
        <v>-0</v>
      </c>
      <c r="CF125" s="47" t="n">
        <f aca="false">-MIN(CF123,MAX(0,CF122))</f>
        <v>-0</v>
      </c>
      <c r="CG125" s="47" t="n">
        <f aca="false">-MIN(CG123,MAX(0,CG122))</f>
        <v>-0</v>
      </c>
      <c r="CH125" s="47" t="n">
        <f aca="false">-MIN(CH123,MAX(0,CH122))</f>
        <v>-0</v>
      </c>
      <c r="CI125" s="47" t="n">
        <f aca="false">-MIN(CI123,MAX(0,CI122))</f>
        <v>-0</v>
      </c>
      <c r="CJ125" s="47" t="n">
        <f aca="false">-MIN(CJ123,MAX(0,CJ122))</f>
        <v>-0</v>
      </c>
      <c r="CK125" s="47" t="n">
        <f aca="false">-MIN(CK123,MAX(0,CK122))</f>
        <v>-0</v>
      </c>
      <c r="CL125" s="47" t="n">
        <f aca="false">-MIN(CL123,MAX(0,CL122))</f>
        <v>-0</v>
      </c>
      <c r="CM125" s="47" t="n">
        <f aca="false">-MIN(CM123,MAX(0,CM122))</f>
        <v>-0</v>
      </c>
      <c r="CN125" s="47" t="n">
        <f aca="false">-MIN(CN123,MAX(0,CN122))</f>
        <v>-0</v>
      </c>
      <c r="CO125" s="47" t="n">
        <f aca="false">-MIN(CO123,MAX(0,CO122))</f>
        <v>-0</v>
      </c>
      <c r="CP125" s="47" t="n">
        <f aca="false">-MIN(CP123,MAX(0,CP122))</f>
        <v>-0</v>
      </c>
      <c r="CQ125" s="47" t="n">
        <f aca="false">-MIN(CQ123,MAX(0,CQ122))</f>
        <v>-0</v>
      </c>
      <c r="CR125" s="47" t="n">
        <f aca="false">-MIN(CR123,MAX(0,CR122))</f>
        <v>-0</v>
      </c>
      <c r="CS125" s="47" t="n">
        <f aca="false">-MIN(CS123,MAX(0,CS122))</f>
        <v>-0</v>
      </c>
      <c r="CT125" s="47" t="n">
        <f aca="false">-MIN(CT123,MAX(0,CT122))</f>
        <v>-0</v>
      </c>
      <c r="CU125" s="47" t="n">
        <f aca="false">-MIN(CU123,MAX(0,CU122))</f>
        <v>-0</v>
      </c>
      <c r="CV125" s="47" t="n">
        <f aca="false">-MIN(CV123,MAX(0,CV122))</f>
        <v>-0</v>
      </c>
      <c r="CW125" s="47" t="n">
        <f aca="false">-MIN(CW123,MAX(0,CW122))</f>
        <v>-0</v>
      </c>
      <c r="CX125" s="47" t="n">
        <f aca="false">-MIN(CX123,MAX(0,CX122))</f>
        <v>-0</v>
      </c>
      <c r="CY125" s="47" t="n">
        <f aca="false">-MIN(CY123,MAX(0,CY122))</f>
        <v>-0</v>
      </c>
      <c r="CZ125" s="47" t="n">
        <f aca="false">-MIN(CZ123,MAX(0,CZ122))</f>
        <v>-0</v>
      </c>
      <c r="DA125" s="47" t="n">
        <f aca="false">-MIN(DA123,MAX(0,DA122))</f>
        <v>-0</v>
      </c>
      <c r="DB125" s="47" t="n">
        <f aca="false">-MIN(DB123,MAX(0,DB122))</f>
        <v>-0</v>
      </c>
      <c r="DC125" s="47" t="n">
        <f aca="false">-MIN(DC123,MAX(0,DC122))</f>
        <v>-0</v>
      </c>
      <c r="DD125" s="47" t="n">
        <f aca="false">-MIN(DD123,MAX(0,DD122))</f>
        <v>-0</v>
      </c>
      <c r="DE125" s="47" t="n">
        <f aca="false">-MIN(DE123,MAX(0,DE122))</f>
        <v>-0</v>
      </c>
      <c r="DF125" s="47" t="n">
        <f aca="false">-MIN(DF123,MAX(0,DF122))</f>
        <v>-0</v>
      </c>
      <c r="DG125" s="47" t="n">
        <f aca="false">-MIN(DG123,MAX(0,DG122))</f>
        <v>-0</v>
      </c>
      <c r="DH125" s="47" t="n">
        <f aca="false">-MIN(DH123,MAX(0,DH122))</f>
        <v>-0</v>
      </c>
      <c r="DI125" s="47" t="n">
        <f aca="false">-MIN(DI123,MAX(0,DI122))</f>
        <v>-0</v>
      </c>
      <c r="DJ125" s="47" t="n">
        <f aca="false">-MIN(DJ123,MAX(0,DJ122))</f>
        <v>-0</v>
      </c>
      <c r="DK125" s="47" t="n">
        <f aca="false">-MIN(DK123,MAX(0,DK122))</f>
        <v>-0</v>
      </c>
      <c r="DL125" s="47" t="n">
        <f aca="false">-MIN(DL123,MAX(0,DL122))</f>
        <v>-0</v>
      </c>
      <c r="DM125" s="47" t="n">
        <f aca="false">-MIN(DM123,MAX(0,DM122))</f>
        <v>-0</v>
      </c>
      <c r="DN125" s="47" t="n">
        <f aca="false">-MIN(DN123,MAX(0,DN122))</f>
        <v>-0</v>
      </c>
      <c r="DO125" s="47" t="n">
        <f aca="false">-MIN(DO123,MAX(0,DO122))</f>
        <v>-0</v>
      </c>
      <c r="DP125" s="47" t="n">
        <f aca="false">-MIN(DP123,MAX(0,DP122))</f>
        <v>-0</v>
      </c>
      <c r="DQ125" s="47" t="n">
        <f aca="false">-MIN(DQ123,MAX(0,DQ122))</f>
        <v>-0</v>
      </c>
      <c r="DR125" s="47" t="n">
        <f aca="false">-MIN(DR123,MAX(0,DR122))</f>
        <v>-0</v>
      </c>
      <c r="DS125" s="47" t="n">
        <f aca="false">-MIN(DS123,MAX(0,DS122))</f>
        <v>-0</v>
      </c>
      <c r="DT125" s="47" t="n">
        <f aca="false">-MIN(DT123,MAX(0,DT122))</f>
        <v>-0</v>
      </c>
      <c r="DU125" s="47" t="n">
        <f aca="false">-MIN(DU123,MAX(0,DU122))</f>
        <v>-0</v>
      </c>
      <c r="DV125" s="47" t="n">
        <f aca="false">-MIN(DV123,MAX(0,DV122))</f>
        <v>-0</v>
      </c>
      <c r="DW125" s="47" t="n">
        <f aca="false">-MIN(DW123,MAX(0,DW122))</f>
        <v>-0</v>
      </c>
      <c r="DX125" s="47" t="n">
        <f aca="false">-MIN(DX123,MAX(0,DX122))</f>
        <v>-0</v>
      </c>
      <c r="DY125" s="47" t="n">
        <f aca="false">-MIN(DY123,MAX(0,DY122))</f>
        <v>-0</v>
      </c>
      <c r="DZ125" s="47" t="n">
        <f aca="false">-MIN(DZ123,MAX(0,DZ122))</f>
        <v>-0</v>
      </c>
      <c r="EA125" s="47" t="n">
        <f aca="false">-MIN(EA123,MAX(0,EA122))</f>
        <v>-0</v>
      </c>
      <c r="EB125" s="47" t="n">
        <f aca="false">-MIN(EB123,MAX(0,EB122))</f>
        <v>-0</v>
      </c>
      <c r="EC125" s="47" t="n">
        <f aca="false">-MIN(EC123,MAX(0,EC122))</f>
        <v>-0</v>
      </c>
      <c r="ED125" s="47" t="n">
        <f aca="false">-MIN(ED123,MAX(0,ED122))</f>
        <v>-0</v>
      </c>
      <c r="EE125" s="47" t="n">
        <f aca="false">-MIN(EE123,MAX(0,EE122))</f>
        <v>-0</v>
      </c>
      <c r="EF125" s="47" t="n">
        <f aca="false">-MIN(EF123,MAX(0,EF122))</f>
        <v>-0</v>
      </c>
      <c r="EG125" s="47" t="n">
        <f aca="false">-MIN(EG123,MAX(0,EG122))</f>
        <v>-0</v>
      </c>
      <c r="EH125" s="47" t="n">
        <f aca="false">-MIN(EH123,MAX(0,EH122))</f>
        <v>-0</v>
      </c>
      <c r="EI125" s="47" t="n">
        <f aca="false">-MIN(EI123,MAX(0,EI122))</f>
        <v>-0</v>
      </c>
      <c r="EJ125" s="47" t="n">
        <f aca="false">-MIN(EJ123,MAX(0,EJ122))</f>
        <v>-0</v>
      </c>
      <c r="EK125" s="47" t="n">
        <f aca="false">-MIN(EK123,MAX(0,EK122))</f>
        <v>-0</v>
      </c>
      <c r="EL125" s="47" t="n">
        <f aca="false">-MIN(EL123,MAX(0,EL122))</f>
        <v>-0</v>
      </c>
      <c r="EM125" s="47" t="n">
        <f aca="false">-MIN(EM123,MAX(0,EM122))</f>
        <v>-0</v>
      </c>
      <c r="EN125" s="47" t="n">
        <f aca="false">-MIN(EN123,MAX(0,EN122))</f>
        <v>-0</v>
      </c>
      <c r="EO125" s="47" t="n">
        <f aca="false">-MIN(EO123,MAX(0,EO122))</f>
        <v>-0</v>
      </c>
      <c r="EP125" s="47" t="n">
        <f aca="false">-MIN(EP123,MAX(0,EP122))</f>
        <v>-0</v>
      </c>
      <c r="EQ125" s="47" t="n">
        <f aca="false">-MIN(EQ123,MAX(0,EQ122))</f>
        <v>-0</v>
      </c>
      <c r="ER125" s="47" t="n">
        <f aca="false">-MIN(ER123,MAX(0,ER122))</f>
        <v>-0</v>
      </c>
      <c r="ES125" s="47" t="n">
        <f aca="false">-MIN(ES123,MAX(0,ES122))</f>
        <v>-0</v>
      </c>
      <c r="ET125" s="47" t="n">
        <f aca="false">-MIN(ET123,MAX(0,ET122))</f>
        <v>-0</v>
      </c>
    </row>
    <row r="126" customFormat="false" ht="15" hidden="false" customHeight="false" outlineLevel="0" collapsed="false">
      <c r="C126" s="1" t="s">
        <v>537</v>
      </c>
      <c r="D126" s="12" t="s">
        <v>222</v>
      </c>
      <c r="I126" s="57"/>
      <c r="J126" s="47" t="n">
        <f aca="false">SUM(J123:J125)</f>
        <v>0</v>
      </c>
      <c r="K126" s="47" t="n">
        <f aca="false">SUM(K123:K125)</f>
        <v>178.520547945205</v>
      </c>
      <c r="L126" s="47" t="n">
        <f aca="false">SUM(L123:L125)</f>
        <v>766.965068493151</v>
      </c>
      <c r="M126" s="47" t="n">
        <f aca="false">SUM(M123:M125)</f>
        <v>810.800684931507</v>
      </c>
      <c r="N126" s="47" t="n">
        <f aca="false">SUM(N123:N125)</f>
        <v>854.636301369863</v>
      </c>
      <c r="O126" s="47" t="n">
        <f aca="false">SUM(O123:O125)</f>
        <v>1038.99794520548</v>
      </c>
      <c r="P126" s="47" t="n">
        <f aca="false">SUM(P123:P125)</f>
        <v>2329.03974000559</v>
      </c>
      <c r="Q126" s="47" t="n">
        <f aca="false">SUM(Q123:Q125)</f>
        <v>2333.64932904669</v>
      </c>
      <c r="R126" s="47" t="n">
        <f aca="false">SUM(R123:R125)</f>
        <v>2497.74083902712</v>
      </c>
      <c r="S126" s="47" t="n">
        <f aca="false">SUM(S123:S125)</f>
        <v>2814.96697772435</v>
      </c>
      <c r="T126" s="47" t="n">
        <f aca="false">SUM(T123:T125)</f>
        <v>3119.62451197093</v>
      </c>
      <c r="U126" s="47" t="n">
        <f aca="false">SUM(U123:U125)</f>
        <v>3119.62451197093</v>
      </c>
      <c r="V126" s="47" t="n">
        <f aca="false">SUM(V123:V125)</f>
        <v>3119.62451197093</v>
      </c>
      <c r="W126" s="47" t="n">
        <f aca="false">SUM(W123:W125)</f>
        <v>4946.53881500673</v>
      </c>
      <c r="X126" s="47" t="n">
        <f aca="false">SUM(X123:X125)</f>
        <v>5194.14111300714</v>
      </c>
      <c r="Y126" s="47" t="n">
        <f aca="false">SUM(Y123:Y125)</f>
        <v>5419.98652386699</v>
      </c>
      <c r="Z126" s="47" t="n">
        <f aca="false">SUM(Z123:Z125)</f>
        <v>5623.2611058928</v>
      </c>
      <c r="AA126" s="47" t="n">
        <f aca="false">SUM(AA123:AA125)</f>
        <v>5801.20773757475</v>
      </c>
      <c r="AB126" s="47" t="n">
        <f aca="false">SUM(AB123:AB125)</f>
        <v>5952.40304180649</v>
      </c>
      <c r="AC126" s="47" t="n">
        <f aca="false">SUM(AC123:AC125)</f>
        <v>6080.77027007802</v>
      </c>
      <c r="AD126" s="47" t="n">
        <f aca="false">SUM(AD123:AD125)</f>
        <v>6185.49548069586</v>
      </c>
      <c r="AE126" s="47" t="n">
        <f aca="false">SUM(AE123:AE125)</f>
        <v>5056.43713069645</v>
      </c>
      <c r="AF126" s="47" t="n">
        <f aca="false">SUM(AF123:AF125)</f>
        <v>3902.03212263956</v>
      </c>
      <c r="AG126" s="47" t="n">
        <f aca="false">SUM(AG123:AG125)</f>
        <v>2724.87431166033</v>
      </c>
      <c r="AH126" s="47" t="n">
        <f aca="false">SUM(AH123:AH125)</f>
        <v>1499.52542515259</v>
      </c>
      <c r="AI126" s="47" t="n">
        <f aca="false">SUM(AI123:AI125)</f>
        <v>265.725867186226</v>
      </c>
      <c r="AJ126" s="47" t="n">
        <f aca="false">SUM(AJ123:AJ125)</f>
        <v>0</v>
      </c>
      <c r="AK126" s="47" t="n">
        <f aca="false">SUM(AK123:AK125)</f>
        <v>0</v>
      </c>
      <c r="AL126" s="47" t="n">
        <f aca="false">SUM(AL123:AL125)</f>
        <v>0</v>
      </c>
      <c r="AM126" s="47" t="n">
        <f aca="false">SUM(AM123:AM125)</f>
        <v>0</v>
      </c>
      <c r="AN126" s="47" t="n">
        <f aca="false">SUM(AN123:AN125)</f>
        <v>0</v>
      </c>
      <c r="AO126" s="47" t="n">
        <f aca="false">SUM(AO123:AO125)</f>
        <v>0</v>
      </c>
      <c r="AP126" s="47" t="n">
        <f aca="false">SUM(AP123:AP125)</f>
        <v>0</v>
      </c>
      <c r="AQ126" s="47" t="n">
        <f aca="false">SUM(AQ123:AQ125)</f>
        <v>0</v>
      </c>
      <c r="AR126" s="47" t="n">
        <f aca="false">SUM(AR123:AR125)</f>
        <v>0</v>
      </c>
      <c r="AS126" s="47" t="n">
        <f aca="false">SUM(AS123:AS125)</f>
        <v>0</v>
      </c>
      <c r="AT126" s="47" t="n">
        <f aca="false">SUM(AT123:AT125)</f>
        <v>0</v>
      </c>
      <c r="AU126" s="47" t="n">
        <f aca="false">SUM(AU123:AU125)</f>
        <v>0</v>
      </c>
      <c r="AV126" s="47" t="n">
        <f aca="false">SUM(AV123:AV125)</f>
        <v>0</v>
      </c>
      <c r="AW126" s="47" t="n">
        <f aca="false">SUM(AW123:AW125)</f>
        <v>0</v>
      </c>
      <c r="AX126" s="47" t="n">
        <f aca="false">SUM(AX123:AX125)</f>
        <v>0</v>
      </c>
      <c r="AY126" s="47" t="n">
        <f aca="false">SUM(AY123:AY125)</f>
        <v>0</v>
      </c>
      <c r="AZ126" s="47" t="n">
        <f aca="false">SUM(AZ123:AZ125)</f>
        <v>0</v>
      </c>
      <c r="BA126" s="47" t="n">
        <f aca="false">SUM(BA123:BA125)</f>
        <v>0</v>
      </c>
      <c r="BB126" s="47" t="n">
        <f aca="false">SUM(BB123:BB125)</f>
        <v>0</v>
      </c>
      <c r="BC126" s="47" t="n">
        <f aca="false">SUM(BC123:BC125)</f>
        <v>0</v>
      </c>
      <c r="BD126" s="47" t="n">
        <f aca="false">SUM(BD123:BD125)</f>
        <v>0</v>
      </c>
      <c r="BE126" s="47" t="n">
        <f aca="false">SUM(BE123:BE125)</f>
        <v>0</v>
      </c>
      <c r="BF126" s="47" t="n">
        <f aca="false">SUM(BF123:BF125)</f>
        <v>0</v>
      </c>
      <c r="BG126" s="47" t="n">
        <f aca="false">SUM(BG123:BG125)</f>
        <v>0</v>
      </c>
      <c r="BH126" s="47" t="n">
        <f aca="false">SUM(BH123:BH125)</f>
        <v>0</v>
      </c>
      <c r="BI126" s="47" t="n">
        <f aca="false">SUM(BI123:BI125)</f>
        <v>0</v>
      </c>
      <c r="BJ126" s="47" t="n">
        <f aca="false">SUM(BJ123:BJ125)</f>
        <v>0</v>
      </c>
      <c r="BK126" s="47" t="n">
        <f aca="false">SUM(BK123:BK125)</f>
        <v>0</v>
      </c>
      <c r="BL126" s="47" t="n">
        <f aca="false">SUM(BL123:BL125)</f>
        <v>0</v>
      </c>
      <c r="BM126" s="47" t="n">
        <f aca="false">SUM(BM123:BM125)</f>
        <v>0</v>
      </c>
      <c r="BN126" s="47" t="n">
        <f aca="false">SUM(BN123:BN125)</f>
        <v>0</v>
      </c>
      <c r="BO126" s="47" t="n">
        <f aca="false">SUM(BO123:BO125)</f>
        <v>0</v>
      </c>
      <c r="BP126" s="47" t="n">
        <f aca="false">SUM(BP123:BP125)</f>
        <v>0</v>
      </c>
      <c r="BQ126" s="47" t="n">
        <f aca="false">SUM(BQ123:BQ125)</f>
        <v>0</v>
      </c>
      <c r="BR126" s="47" t="n">
        <f aca="false">SUM(BR123:BR125)</f>
        <v>0</v>
      </c>
      <c r="BS126" s="47" t="n">
        <f aca="false">SUM(BS123:BS125)</f>
        <v>0</v>
      </c>
      <c r="BT126" s="47" t="n">
        <f aca="false">SUM(BT123:BT125)</f>
        <v>0</v>
      </c>
      <c r="BU126" s="47" t="n">
        <f aca="false">SUM(BU123:BU125)</f>
        <v>0</v>
      </c>
      <c r="BV126" s="47" t="n">
        <f aca="false">SUM(BV123:BV125)</f>
        <v>0</v>
      </c>
      <c r="BW126" s="47" t="n">
        <f aca="false">SUM(BW123:BW125)</f>
        <v>0</v>
      </c>
      <c r="BX126" s="47" t="n">
        <f aca="false">SUM(BX123:BX125)</f>
        <v>0</v>
      </c>
      <c r="BY126" s="47" t="n">
        <f aca="false">SUM(BY123:BY125)</f>
        <v>0</v>
      </c>
      <c r="BZ126" s="47" t="n">
        <f aca="false">SUM(BZ123:BZ125)</f>
        <v>0</v>
      </c>
      <c r="CA126" s="47" t="n">
        <f aca="false">SUM(CA123:CA125)</f>
        <v>0</v>
      </c>
      <c r="CB126" s="47" t="n">
        <f aca="false">SUM(CB123:CB125)</f>
        <v>0</v>
      </c>
      <c r="CC126" s="47" t="n">
        <f aca="false">SUM(CC123:CC125)</f>
        <v>0</v>
      </c>
      <c r="CD126" s="47" t="n">
        <f aca="false">SUM(CD123:CD125)</f>
        <v>0</v>
      </c>
      <c r="CE126" s="47" t="n">
        <f aca="false">SUM(CE123:CE125)</f>
        <v>0</v>
      </c>
      <c r="CF126" s="47" t="n">
        <f aca="false">SUM(CF123:CF125)</f>
        <v>0</v>
      </c>
      <c r="CG126" s="47" t="n">
        <f aca="false">SUM(CG123:CG125)</f>
        <v>0</v>
      </c>
      <c r="CH126" s="47" t="n">
        <f aca="false">SUM(CH123:CH125)</f>
        <v>0</v>
      </c>
      <c r="CI126" s="47" t="n">
        <f aca="false">SUM(CI123:CI125)</f>
        <v>0</v>
      </c>
      <c r="CJ126" s="47" t="n">
        <f aca="false">SUM(CJ123:CJ125)</f>
        <v>0</v>
      </c>
      <c r="CK126" s="47" t="n">
        <f aca="false">SUM(CK123:CK125)</f>
        <v>0</v>
      </c>
      <c r="CL126" s="47" t="n">
        <f aca="false">SUM(CL123:CL125)</f>
        <v>0</v>
      </c>
      <c r="CM126" s="47" t="n">
        <f aca="false">SUM(CM123:CM125)</f>
        <v>0</v>
      </c>
      <c r="CN126" s="47" t="n">
        <f aca="false">SUM(CN123:CN125)</f>
        <v>0</v>
      </c>
      <c r="CO126" s="47" t="n">
        <f aca="false">SUM(CO123:CO125)</f>
        <v>0</v>
      </c>
      <c r="CP126" s="47" t="n">
        <f aca="false">SUM(CP123:CP125)</f>
        <v>0</v>
      </c>
      <c r="CQ126" s="47" t="n">
        <f aca="false">SUM(CQ123:CQ125)</f>
        <v>0</v>
      </c>
      <c r="CR126" s="47" t="n">
        <f aca="false">SUM(CR123:CR125)</f>
        <v>0</v>
      </c>
      <c r="CS126" s="47" t="n">
        <f aca="false">SUM(CS123:CS125)</f>
        <v>0</v>
      </c>
      <c r="CT126" s="47" t="n">
        <f aca="false">SUM(CT123:CT125)</f>
        <v>0</v>
      </c>
      <c r="CU126" s="47" t="n">
        <f aca="false">SUM(CU123:CU125)</f>
        <v>0</v>
      </c>
      <c r="CV126" s="47" t="n">
        <f aca="false">SUM(CV123:CV125)</f>
        <v>0</v>
      </c>
      <c r="CW126" s="47" t="n">
        <f aca="false">SUM(CW123:CW125)</f>
        <v>0</v>
      </c>
      <c r="CX126" s="47" t="n">
        <f aca="false">SUM(CX123:CX125)</f>
        <v>0</v>
      </c>
      <c r="CY126" s="47" t="n">
        <f aca="false">SUM(CY123:CY125)</f>
        <v>0</v>
      </c>
      <c r="CZ126" s="47" t="n">
        <f aca="false">SUM(CZ123:CZ125)</f>
        <v>0</v>
      </c>
      <c r="DA126" s="47" t="n">
        <f aca="false">SUM(DA123:DA125)</f>
        <v>0</v>
      </c>
      <c r="DB126" s="47" t="n">
        <f aca="false">SUM(DB123:DB125)</f>
        <v>0</v>
      </c>
      <c r="DC126" s="47" t="n">
        <f aca="false">SUM(DC123:DC125)</f>
        <v>0</v>
      </c>
      <c r="DD126" s="47" t="n">
        <f aca="false">SUM(DD123:DD125)</f>
        <v>0</v>
      </c>
      <c r="DE126" s="47" t="n">
        <f aca="false">SUM(DE123:DE125)</f>
        <v>0</v>
      </c>
      <c r="DF126" s="47" t="n">
        <f aca="false">SUM(DF123:DF125)</f>
        <v>0</v>
      </c>
      <c r="DG126" s="47" t="n">
        <f aca="false">SUM(DG123:DG125)</f>
        <v>0</v>
      </c>
      <c r="DH126" s="47" t="n">
        <f aca="false">SUM(DH123:DH125)</f>
        <v>0</v>
      </c>
      <c r="DI126" s="47" t="n">
        <f aca="false">SUM(DI123:DI125)</f>
        <v>0</v>
      </c>
      <c r="DJ126" s="47" t="n">
        <f aca="false">SUM(DJ123:DJ125)</f>
        <v>0</v>
      </c>
      <c r="DK126" s="47" t="n">
        <f aca="false">SUM(DK123:DK125)</f>
        <v>0</v>
      </c>
      <c r="DL126" s="47" t="n">
        <f aca="false">SUM(DL123:DL125)</f>
        <v>0</v>
      </c>
      <c r="DM126" s="47" t="n">
        <f aca="false">SUM(DM123:DM125)</f>
        <v>0</v>
      </c>
      <c r="DN126" s="47" t="n">
        <f aca="false">SUM(DN123:DN125)</f>
        <v>0</v>
      </c>
      <c r="DO126" s="47" t="n">
        <f aca="false">SUM(DO123:DO125)</f>
        <v>0</v>
      </c>
      <c r="DP126" s="47" t="n">
        <f aca="false">SUM(DP123:DP125)</f>
        <v>0</v>
      </c>
      <c r="DQ126" s="47" t="n">
        <f aca="false">SUM(DQ123:DQ125)</f>
        <v>0</v>
      </c>
      <c r="DR126" s="47" t="n">
        <f aca="false">SUM(DR123:DR125)</f>
        <v>0</v>
      </c>
      <c r="DS126" s="47" t="n">
        <f aca="false">SUM(DS123:DS125)</f>
        <v>0</v>
      </c>
      <c r="DT126" s="47" t="n">
        <f aca="false">SUM(DT123:DT125)</f>
        <v>0</v>
      </c>
      <c r="DU126" s="47" t="n">
        <f aca="false">SUM(DU123:DU125)</f>
        <v>0</v>
      </c>
      <c r="DV126" s="47" t="n">
        <f aca="false">SUM(DV123:DV125)</f>
        <v>0</v>
      </c>
      <c r="DW126" s="47" t="n">
        <f aca="false">SUM(DW123:DW125)</f>
        <v>0</v>
      </c>
      <c r="DX126" s="47" t="n">
        <f aca="false">SUM(DX123:DX125)</f>
        <v>0</v>
      </c>
      <c r="DY126" s="47" t="n">
        <f aca="false">SUM(DY123:DY125)</f>
        <v>0</v>
      </c>
      <c r="DZ126" s="47" t="n">
        <f aca="false">SUM(DZ123:DZ125)</f>
        <v>0</v>
      </c>
      <c r="EA126" s="47" t="n">
        <f aca="false">SUM(EA123:EA125)</f>
        <v>0</v>
      </c>
      <c r="EB126" s="47" t="n">
        <f aca="false">SUM(EB123:EB125)</f>
        <v>0</v>
      </c>
      <c r="EC126" s="47" t="n">
        <f aca="false">SUM(EC123:EC125)</f>
        <v>0</v>
      </c>
      <c r="ED126" s="47" t="n">
        <f aca="false">SUM(ED123:ED125)</f>
        <v>0</v>
      </c>
      <c r="EE126" s="47" t="n">
        <f aca="false">SUM(EE123:EE125)</f>
        <v>0</v>
      </c>
      <c r="EF126" s="47" t="n">
        <f aca="false">SUM(EF123:EF125)</f>
        <v>0</v>
      </c>
      <c r="EG126" s="47" t="n">
        <f aca="false">SUM(EG123:EG125)</f>
        <v>0</v>
      </c>
      <c r="EH126" s="47" t="n">
        <f aca="false">SUM(EH123:EH125)</f>
        <v>0</v>
      </c>
      <c r="EI126" s="47" t="n">
        <f aca="false">SUM(EI123:EI125)</f>
        <v>0</v>
      </c>
      <c r="EJ126" s="47" t="n">
        <f aca="false">SUM(EJ123:EJ125)</f>
        <v>0</v>
      </c>
      <c r="EK126" s="47" t="n">
        <f aca="false">SUM(EK123:EK125)</f>
        <v>0</v>
      </c>
      <c r="EL126" s="47" t="n">
        <f aca="false">SUM(EL123:EL125)</f>
        <v>0</v>
      </c>
      <c r="EM126" s="47" t="n">
        <f aca="false">SUM(EM123:EM125)</f>
        <v>0</v>
      </c>
      <c r="EN126" s="47" t="n">
        <f aca="false">SUM(EN123:EN125)</f>
        <v>0</v>
      </c>
      <c r="EO126" s="47" t="n">
        <f aca="false">SUM(EO123:EO125)</f>
        <v>0</v>
      </c>
      <c r="EP126" s="47" t="n">
        <f aca="false">SUM(EP123:EP125)</f>
        <v>0</v>
      </c>
      <c r="EQ126" s="47" t="n">
        <f aca="false">SUM(EQ123:EQ125)</f>
        <v>0</v>
      </c>
      <c r="ER126" s="47" t="n">
        <f aca="false">SUM(ER123:ER125)</f>
        <v>0</v>
      </c>
      <c r="ES126" s="47" t="n">
        <f aca="false">SUM(ES123:ES125)</f>
        <v>0</v>
      </c>
      <c r="ET126" s="47" t="n">
        <f aca="false">SUM(ET123:ET125)</f>
        <v>0</v>
      </c>
    </row>
    <row r="127" customFormat="false" ht="15" hidden="false" customHeight="false" outlineLevel="0" collapsed="false">
      <c r="C127" s="31" t="s">
        <v>219</v>
      </c>
      <c r="D127" s="12" t="s">
        <v>222</v>
      </c>
      <c r="I127" s="56" t="n">
        <f aca="false">SUM(J127:ET127)</f>
        <v>-30124.5288990501</v>
      </c>
      <c r="J127" s="56" t="n">
        <f aca="false">-In_CIT*(MAX(0,J122)+J125)</f>
        <v>-0</v>
      </c>
      <c r="K127" s="56" t="n">
        <f aca="false">-In_CIT*(MAX(0,K122)+K125)</f>
        <v>-0</v>
      </c>
      <c r="L127" s="56" t="n">
        <f aca="false">-In_CIT*(MAX(0,L122)+L125)</f>
        <v>-0</v>
      </c>
      <c r="M127" s="56" t="n">
        <f aca="false">-In_CIT*(MAX(0,M122)+M125)</f>
        <v>-0</v>
      </c>
      <c r="N127" s="56" t="n">
        <f aca="false">-In_CIT*(MAX(0,N122)+N125)</f>
        <v>-0</v>
      </c>
      <c r="O127" s="56" t="n">
        <f aca="false">-In_CIT*(MAX(0,O122)+O125)</f>
        <v>-0</v>
      </c>
      <c r="P127" s="56" t="n">
        <f aca="false">-In_CIT*(MAX(0,P122)+P125)</f>
        <v>-0</v>
      </c>
      <c r="Q127" s="56" t="n">
        <f aca="false">-In_CIT*(MAX(0,Q122)+Q125)</f>
        <v>-0</v>
      </c>
      <c r="R127" s="56" t="n">
        <f aca="false">-In_CIT*(MAX(0,R122)+R125)</f>
        <v>-0</v>
      </c>
      <c r="S127" s="56" t="n">
        <f aca="false">-In_CIT*(MAX(0,S122)+S125)</f>
        <v>-0</v>
      </c>
      <c r="T127" s="56" t="n">
        <f aca="false">-In_CIT*(MAX(0,T122)+T125)</f>
        <v>-0</v>
      </c>
      <c r="U127" s="56" t="n">
        <f aca="false">-In_CIT*(MAX(0,U122)+U125)</f>
        <v>-0</v>
      </c>
      <c r="V127" s="56" t="n">
        <f aca="false">-In_CIT*(MAX(0,V122)+V125)</f>
        <v>-0</v>
      </c>
      <c r="W127" s="56" t="n">
        <f aca="false">-In_CIT*(MAX(0,W122)+W125)</f>
        <v>-0</v>
      </c>
      <c r="X127" s="56" t="n">
        <f aca="false">-In_CIT*(MAX(0,X122)+X125)</f>
        <v>-0</v>
      </c>
      <c r="Y127" s="56" t="n">
        <f aca="false">-In_CIT*(MAX(0,Y122)+Y125)</f>
        <v>-0</v>
      </c>
      <c r="Z127" s="56" t="n">
        <f aca="false">-In_CIT*(MAX(0,Z122)+Z125)</f>
        <v>-0</v>
      </c>
      <c r="AA127" s="56" t="n">
        <f aca="false">-In_CIT*(MAX(0,AA122)+AA125)</f>
        <v>-0</v>
      </c>
      <c r="AB127" s="56" t="n">
        <f aca="false">-In_CIT*(MAX(0,AB122)+AB125)</f>
        <v>-0</v>
      </c>
      <c r="AC127" s="56" t="n">
        <f aca="false">-In_CIT*(MAX(0,AC122)+AC125)</f>
        <v>-0</v>
      </c>
      <c r="AD127" s="56" t="n">
        <f aca="false">-In_CIT*(MAX(0,AD122)+AD125)</f>
        <v>-0</v>
      </c>
      <c r="AE127" s="56" t="n">
        <f aca="false">-In_CIT*(MAX(0,AE122)+AE125)</f>
        <v>-0</v>
      </c>
      <c r="AF127" s="56" t="n">
        <f aca="false">-In_CIT*(MAX(0,AF122)+AF125)</f>
        <v>-0</v>
      </c>
      <c r="AG127" s="56" t="n">
        <f aca="false">-In_CIT*(MAX(0,AG122)+AG125)</f>
        <v>-0</v>
      </c>
      <c r="AH127" s="56" t="n">
        <f aca="false">-In_CIT*(MAX(0,AH122)+AH125)</f>
        <v>-0</v>
      </c>
      <c r="AI127" s="56" t="n">
        <f aca="false">-In_CIT*(MAX(0,AI122)+AI125)</f>
        <v>-0</v>
      </c>
      <c r="AJ127" s="56" t="n">
        <f aca="false">-In_CIT*(MAX(0,AJ122)+AJ125)</f>
        <v>-87.200148675404</v>
      </c>
      <c r="AK127" s="56" t="n">
        <f aca="false">-In_CIT*(MAX(0,AK122)+AK125)</f>
        <v>-115.544033371086</v>
      </c>
      <c r="AL127" s="56" t="n">
        <f aca="false">-In_CIT*(MAX(0,AL122)+AL125)</f>
        <v>-119.999490966158</v>
      </c>
      <c r="AM127" s="56" t="n">
        <f aca="false">-In_CIT*(MAX(0,AM122)+AM125)</f>
        <v>-120.858660001574</v>
      </c>
      <c r="AN127" s="56" t="n">
        <f aca="false">-In_CIT*(MAX(0,AN122)+AN125)</f>
        <v>-120.993168158626</v>
      </c>
      <c r="AO127" s="56" t="n">
        <f aca="false">-In_CIT*(MAX(0,AO122)+AO125)</f>
        <v>-125.543658959197</v>
      </c>
      <c r="AP127" s="56" t="n">
        <f aca="false">-In_CIT*(MAX(0,AP122)+AP125)</f>
        <v>-130.122421183681</v>
      </c>
      <c r="AQ127" s="56" t="n">
        <f aca="false">-In_CIT*(MAX(0,AQ122)+AQ125)</f>
        <v>-131.085619126471</v>
      </c>
      <c r="AR127" s="56" t="n">
        <f aca="false">-In_CIT*(MAX(0,AR122)+AR125)</f>
        <v>-131.286207637497</v>
      </c>
      <c r="AS127" s="56" t="n">
        <f aca="false">-In_CIT*(MAX(0,AS122)+AS125)</f>
        <v>-135.963868185311</v>
      </c>
      <c r="AT127" s="56" t="n">
        <f aca="false">-In_CIT*(MAX(0,AT122)+AT125)</f>
        <v>-140.671240454257</v>
      </c>
      <c r="AU127" s="56" t="n">
        <f aca="false">-In_CIT*(MAX(0,AU122)+AU125)</f>
        <v>-141.744165618198</v>
      </c>
      <c r="AV127" s="56" t="n">
        <f aca="false">-In_CIT*(MAX(0,AV122)+AV125)</f>
        <v>-144.328504637424</v>
      </c>
      <c r="AW127" s="56" t="n">
        <f aca="false">-In_CIT*(MAX(0,AW122)+AW125)</f>
        <v>-146.826536219355</v>
      </c>
      <c r="AX127" s="56" t="n">
        <f aca="false">-In_CIT*(MAX(0,AX122)+AX125)</f>
        <v>-151.66809916138</v>
      </c>
      <c r="AY127" s="56" t="n">
        <f aca="false">-In_CIT*(MAX(0,AY122)+AY125)</f>
        <v>-152.856742028925</v>
      </c>
      <c r="AZ127" s="56" t="n">
        <f aca="false">-In_CIT*(MAX(0,AZ122)+AZ125)</f>
        <v>-153.205873518566</v>
      </c>
      <c r="BA127" s="56" t="n">
        <f aca="false">-In_CIT*(MAX(0,BA122)+BA125)</f>
        <v>-158.154681126396</v>
      </c>
      <c r="BB127" s="56" t="n">
        <f aca="false">-In_CIT*(MAX(0,BB122)+BB125)</f>
        <v>-163.136304917256</v>
      </c>
      <c r="BC127" s="56" t="n">
        <f aca="false">-In_CIT*(MAX(0,BC122)+BC125)</f>
        <v>-164.446963018504</v>
      </c>
      <c r="BD127" s="56" t="n">
        <f aca="false">-In_CIT*(MAX(0,BD122)+BD125)</f>
        <v>-164.879151485059</v>
      </c>
      <c r="BE127" s="56" t="n">
        <f aca="false">-In_CIT*(MAX(0,BE122)+BE125)</f>
        <v>-169.972522905856</v>
      </c>
      <c r="BF127" s="56" t="n">
        <f aca="false">-In_CIT*(MAX(0,BF122)+BF125)</f>
        <v>-175.100382341185</v>
      </c>
      <c r="BG127" s="56" t="n">
        <f aca="false">-In_CIT*(MAX(0,BG122)+BG125)</f>
        <v>-176.539675890417</v>
      </c>
      <c r="BH127" s="56" t="n">
        <f aca="false">-In_CIT*(MAX(0,BH122)+BH125)</f>
        <v>-177.061200232084</v>
      </c>
      <c r="BI127" s="56" t="n">
        <f aca="false">-In_CIT*(MAX(0,BI122)+BI125)</f>
        <v>-182.305545559136</v>
      </c>
      <c r="BJ127" s="56" t="n">
        <f aca="false">-In_CIT*(MAX(0,BJ122)+BJ125)</f>
        <v>-187.586135904239</v>
      </c>
      <c r="BK127" s="56" t="n">
        <f aca="false">-In_CIT*(MAX(0,BK122)+BK125)</f>
        <v>-189.161024232599</v>
      </c>
      <c r="BL127" s="56" t="n">
        <f aca="false">-In_CIT*(MAX(0,BL122)+BL125)</f>
        <v>-192.133239723816</v>
      </c>
      <c r="BM127" s="56" t="n">
        <f aca="false">-In_CIT*(MAX(0,BM122)+BM125)</f>
        <v>-195.180562340446</v>
      </c>
      <c r="BN127" s="56" t="n">
        <f aca="false">-In_CIT*(MAX(0,BN122)+BN125)</f>
        <v>-200.620715996976</v>
      </c>
      <c r="BO127" s="56" t="n">
        <f aca="false">-In_CIT*(MAX(0,BO122)+BO125)</f>
        <v>-202.338514821844</v>
      </c>
      <c r="BP127" s="56" t="n">
        <f aca="false">-In_CIT*(MAX(0,BP122)+BP125)</f>
        <v>-203.058912440846</v>
      </c>
      <c r="BQ127" s="56" t="n">
        <f aca="false">-In_CIT*(MAX(0,BQ122)+BQ125)</f>
        <v>-208.625784353537</v>
      </c>
      <c r="BR127" s="56" t="n">
        <f aca="false">-In_CIT*(MAX(0,BR122)+BR125)</f>
        <v>-214.232688384903</v>
      </c>
      <c r="BS127" s="56" t="n">
        <f aca="false">-In_CIT*(MAX(0,BS122)+BS125)</f>
        <v>-216.101087958568</v>
      </c>
      <c r="BT127" s="56" t="n">
        <f aca="false">-In_CIT*(MAX(0,BT122)+BT125)</f>
        <v>-213.607576364763</v>
      </c>
      <c r="BU127" s="56" t="n">
        <f aca="false">-In_CIT*(MAX(0,BU122)+BU125)</f>
        <v>-215.980993879928</v>
      </c>
      <c r="BV127" s="56" t="n">
        <f aca="false">-In_CIT*(MAX(0,BV122)+BV125)</f>
        <v>-218.354411395091</v>
      </c>
      <c r="BW127" s="56" t="n">
        <f aca="false">-In_CIT*(MAX(0,BW122)+BW125)</f>
        <v>-216.931101070129</v>
      </c>
      <c r="BX127" s="56" t="n">
        <f aca="false">-In_CIT*(MAX(0,BX122)+BX125)</f>
        <v>-214.386236551053</v>
      </c>
      <c r="BY127" s="56" t="n">
        <f aca="false">-In_CIT*(MAX(0,BY122)+BY125)</f>
        <v>-216.768305846064</v>
      </c>
      <c r="BZ127" s="56" t="n">
        <f aca="false">-In_CIT*(MAX(0,BZ122)+BZ125)</f>
        <v>-219.150375141076</v>
      </c>
      <c r="CA127" s="56" t="n">
        <f aca="false">-In_CIT*(MAX(0,CA122)+CA125)</f>
        <v>-217.718465425756</v>
      </c>
      <c r="CB127" s="56" t="n">
        <f aca="false">-In_CIT*(MAX(0,CB122)+CB125)</f>
        <v>-217.512008087571</v>
      </c>
      <c r="CC127" s="56" t="n">
        <f aca="false">-In_CIT*(MAX(0,CC122)+CC125)</f>
        <v>-217.512008087571</v>
      </c>
      <c r="CD127" s="56" t="n">
        <f aca="false">-In_CIT*(MAX(0,CD122)+CD125)</f>
        <v>-219.902249934687</v>
      </c>
      <c r="CE127" s="56" t="n">
        <f aca="false">-In_CIT*(MAX(0,CE122)+CE125)</f>
        <v>-218.461717808388</v>
      </c>
      <c r="CF127" s="56" t="n">
        <f aca="false">-In_CIT*(MAX(0,CF122)+CF125)</f>
        <v>-215.812695666411</v>
      </c>
      <c r="CG127" s="56" t="n">
        <f aca="false">-In_CIT*(MAX(0,CG122)+CG125)</f>
        <v>-218.210614507149</v>
      </c>
      <c r="CH127" s="56" t="n">
        <f aca="false">-In_CIT*(MAX(0,CH122)+CH125)</f>
        <v>-220.608533347887</v>
      </c>
      <c r="CI127" s="56" t="n">
        <f aca="false">-In_CIT*(MAX(0,CI122)+CI125)</f>
        <v>-219.159356415085</v>
      </c>
      <c r="CJ127" s="56" t="n">
        <f aca="false">-In_CIT*(MAX(0,CJ122)+CJ125)</f>
        <v>-216.457516353761</v>
      </c>
      <c r="CK127" s="56" t="n">
        <f aca="false">-In_CIT*(MAX(0,CK122)+CK125)</f>
        <v>-218.862599868802</v>
      </c>
      <c r="CL127" s="56" t="n">
        <f aca="false">-In_CIT*(MAX(0,CL122)+CL125)</f>
        <v>-221.267683383844</v>
      </c>
      <c r="CM127" s="56" t="n">
        <f aca="false">-In_CIT*(MAX(0,CM122)+CM125)</f>
        <v>-219.809839895765</v>
      </c>
      <c r="CN127" s="56" t="n">
        <f aca="false">-In_CIT*(MAX(0,CN122)+CN125)</f>
        <v>-217.054680154748</v>
      </c>
      <c r="CO127" s="56" t="n">
        <f aca="false">-In_CIT*(MAX(0,CO122)+CO125)</f>
        <v>-219.466398823134</v>
      </c>
      <c r="CP127" s="56" t="n">
        <f aca="false">-In_CIT*(MAX(0,CP122)+CP125)</f>
        <v>-221.87811749152</v>
      </c>
      <c r="CQ127" s="56" t="n">
        <f aca="false">-In_CIT*(MAX(0,CQ122)+CQ125)</f>
        <v>-220.411586368319</v>
      </c>
      <c r="CR127" s="56" t="n">
        <f aca="false">-In_CIT*(MAX(0,CR122)+CR125)</f>
        <v>-220.020404908679</v>
      </c>
      <c r="CS127" s="56" t="n">
        <f aca="false">-In_CIT*(MAX(0,CS122)+CS125)</f>
        <v>-220.020404908679</v>
      </c>
      <c r="CT127" s="56" t="n">
        <f aca="false">-In_CIT*(MAX(0,CT122)+CT125)</f>
        <v>-222.438211556028</v>
      </c>
      <c r="CU127" s="56" t="n">
        <f aca="false">-In_CIT*(MAX(0,CU122)+CU125)</f>
        <v>-220.962972409514</v>
      </c>
      <c r="CV127" s="56" t="n">
        <f aca="false">-In_CIT*(MAX(0,CV122)+CV125)</f>
        <v>-218.099640193218</v>
      </c>
      <c r="CW127" s="56" t="n">
        <f aca="false">-In_CIT*(MAX(0,CW122)+CW125)</f>
        <v>-220.522969528699</v>
      </c>
      <c r="CX127" s="56" t="n">
        <f aca="false">-In_CIT*(MAX(0,CX122)+CX125)</f>
        <v>-222.946298864179</v>
      </c>
      <c r="CY127" s="56" t="n">
        <f aca="false">-In_CIT*(MAX(0,CY122)+CY125)</f>
        <v>-221.462332021094</v>
      </c>
      <c r="CZ127" s="56" t="n">
        <f aca="false">-In_CIT*(MAX(0,CZ122)+CZ125)</f>
        <v>-218.54413276103</v>
      </c>
      <c r="DA127" s="56" t="n">
        <f aca="false">-In_CIT*(MAX(0,DA122)+DA125)</f>
        <v>-220.972400902819</v>
      </c>
      <c r="DB127" s="56" t="n">
        <f aca="false">-In_CIT*(MAX(0,DB122)+DB125)</f>
        <v>-223.400669044609</v>
      </c>
      <c r="DC127" s="56" t="n">
        <f aca="false">-In_CIT*(MAX(0,DC122)+DC125)</f>
        <v>-221.90795557047</v>
      </c>
      <c r="DD127" s="56" t="n">
        <f aca="false">-In_CIT*(MAX(0,DD122)+DD125)</f>
        <v>-218.934359003985</v>
      </c>
      <c r="DE127" s="56" t="n">
        <f aca="false">-In_CIT*(MAX(0,DE122)+DE125)</f>
        <v>-221.366962992918</v>
      </c>
      <c r="DF127" s="56" t="n">
        <f aca="false">-In_CIT*(MAX(0,DF122)+DF125)</f>
        <v>-223.799566981852</v>
      </c>
      <c r="DG127" s="56" t="n">
        <f aca="false">-In_CIT*(MAX(0,DG122)+DG125)</f>
        <v>-395.56046402985</v>
      </c>
      <c r="DH127" s="56" t="n">
        <f aca="false">-In_CIT*(MAX(0,DH122)+DH125)</f>
        <v>-393.08396303877</v>
      </c>
      <c r="DI127" s="56" t="n">
        <f aca="false">-In_CIT*(MAX(0,DI122)+DI125)</f>
        <v>-393.08396303877</v>
      </c>
      <c r="DJ127" s="56" t="n">
        <f aca="false">-In_CIT*(MAX(0,DJ122)+DJ125)</f>
        <v>-397.403567028207</v>
      </c>
      <c r="DK127" s="56" t="n">
        <f aca="false">-In_CIT*(MAX(0,DK122)+DK125)</f>
        <v>-395.893306566326</v>
      </c>
      <c r="DL127" s="56" t="n">
        <f aca="false">-In_CIT*(MAX(0,DL122)+DL125)</f>
        <v>-389.040721205759</v>
      </c>
      <c r="DM127" s="56" t="n">
        <f aca="false">-In_CIT*(MAX(0,DM122)+DM125)</f>
        <v>-393.363395885823</v>
      </c>
      <c r="DN127" s="56" t="n">
        <f aca="false">-In_CIT*(MAX(0,DN122)+DN125)</f>
        <v>-397.686070565887</v>
      </c>
      <c r="DO127" s="56" t="n">
        <f aca="false">-In_CIT*(MAX(0,DO122)+DO125)</f>
        <v>-396.167011349373</v>
      </c>
      <c r="DP127" s="56" t="n">
        <f aca="false">-In_CIT*(MAX(0,DP122)+DP125)</f>
        <v>-389.257392507953</v>
      </c>
      <c r="DQ127" s="56" t="n">
        <f aca="false">-In_CIT*(MAX(0,DQ122)+DQ125)</f>
        <v>-393.58247464693</v>
      </c>
      <c r="DR127" s="56" t="n">
        <f aca="false">-In_CIT*(MAX(0,DR122)+DR125)</f>
        <v>-397.907556785908</v>
      </c>
      <c r="DS127" s="56" t="n">
        <f aca="false">-In_CIT*(MAX(0,DS122)+DS125)</f>
        <v>-396.379683085613</v>
      </c>
      <c r="DT127" s="56" t="n">
        <f aca="false">-In_CIT*(MAX(0,DT122)+DT125)</f>
        <v>-389.412469754535</v>
      </c>
      <c r="DU127" s="56" t="n">
        <f aca="false">-In_CIT*(MAX(0,DU122)+DU125)</f>
        <v>-393.73927497403</v>
      </c>
      <c r="DV127" s="56" t="n">
        <f aca="false">-In_CIT*(MAX(0,DV122)+DV125)</f>
        <v>-398.066080193525</v>
      </c>
      <c r="DW127" s="56" t="n">
        <f aca="false">-In_CIT*(MAX(0,DW122)+DW125)</f>
        <v>-396.529377147259</v>
      </c>
      <c r="DX127" s="56" t="n">
        <f aca="false">-In_CIT*(MAX(0,DX122)+DX125)</f>
        <v>-393.831822481576</v>
      </c>
      <c r="DY127" s="56" t="n">
        <f aca="false">-In_CIT*(MAX(0,DY122)+DY125)</f>
        <v>-393.831822481576</v>
      </c>
      <c r="DZ127" s="56" t="n">
        <f aca="false">-In_CIT*(MAX(0,DZ122)+DZ125)</f>
        <v>-398.159644706649</v>
      </c>
      <c r="EA127" s="56" t="n">
        <f aca="false">-In_CIT*(MAX(0,EA122)+EA125)</f>
        <v>-396.614098346702</v>
      </c>
      <c r="EB127" s="56" t="n">
        <f aca="false">-In_CIT*(MAX(0,EB122)+EB125)</f>
        <v>-389.529980608358</v>
      </c>
      <c r="EC127" s="56" t="n">
        <f aca="false">-In_CIT*(MAX(0,EC122)+EC125)</f>
        <v>-393.858091504006</v>
      </c>
      <c r="ED127" s="56" t="n">
        <f aca="false">-In_CIT*(MAX(0,ED122)+ED125)</f>
        <v>-398.186202399655</v>
      </c>
      <c r="EE127" s="56" t="n">
        <f aca="false">-In_CIT*(MAX(0,EE122)+EE125)</f>
        <v>-396.631799680983</v>
      </c>
      <c r="EF127" s="56" t="n">
        <f aca="false">-In_CIT*(MAX(0,EF122)+EF125)</f>
        <v>-389.488355429023</v>
      </c>
      <c r="EG127" s="56" t="n">
        <f aca="false">-In_CIT*(MAX(0,EG122)+EG125)</f>
        <v>-393.816003822678</v>
      </c>
      <c r="EH127" s="56" t="n">
        <f aca="false">-In_CIT*(MAX(0,EH122)+EH125)</f>
        <v>-398.143652216334</v>
      </c>
      <c r="EI127" s="56" t="n">
        <f aca="false">-In_CIT*(MAX(0,EI122)+EI125)</f>
        <v>-396.580381045425</v>
      </c>
      <c r="EJ127" s="56" t="n">
        <f aca="false">-In_CIT*(MAX(0,EJ122)+EJ125)</f>
        <v>-389.377016071847</v>
      </c>
      <c r="EK127" s="56" t="n">
        <f aca="false">-In_CIT*(MAX(0,EK122)+EK125)</f>
        <v>-393.703427361534</v>
      </c>
      <c r="EL127" s="56" t="n">
        <f aca="false">-In_CIT*(MAX(0,EL122)+EL125)</f>
        <v>-398.029838651222</v>
      </c>
      <c r="EM127" s="56" t="n">
        <f aca="false">-In_CIT*(MAX(0,EM122)+EM125)</f>
        <v>-396.457687915652</v>
      </c>
      <c r="EN127" s="56" t="n">
        <f aca="false">-In_CIT*(MAX(0,EN122)+EN125)</f>
        <v>-393.51817485072</v>
      </c>
      <c r="EO127" s="56" t="n">
        <f aca="false">-In_CIT*(MAX(0,EO122)+EO125)</f>
        <v>-393.51817485072</v>
      </c>
      <c r="EP127" s="56" t="n">
        <f aca="false">-In_CIT*(MAX(0,EP122)+EP125)</f>
        <v>-397.84255039853</v>
      </c>
      <c r="EQ127" s="56" t="n">
        <f aca="false">-In_CIT*(MAX(0,EQ122)+EQ125)</f>
        <v>-396.261509997228</v>
      </c>
      <c r="ER127" s="56" t="n">
        <f aca="false">-In_CIT*(MAX(0,ER122)+ER125)</f>
        <v>-388.936485946852</v>
      </c>
      <c r="ES127" s="56" t="n">
        <f aca="false">-In_CIT*(MAX(0,ES122)+ES125)</f>
        <v>-393.258002457372</v>
      </c>
      <c r="ET127" s="56" t="n">
        <f aca="false">-In_CIT*(MAX(0,ET122)+ET125)</f>
        <v>-397.579518967893</v>
      </c>
    </row>
    <row r="129" customFormat="false" ht="15" hidden="false" customHeight="false" outlineLevel="0" collapsed="false">
      <c r="A129" s="10" t="s">
        <v>13</v>
      </c>
      <c r="B129" s="10"/>
      <c r="C129" s="10" t="s">
        <v>116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</row>
    <row r="130" customFormat="false" ht="15" hidden="false" customHeight="false" outlineLevel="0" collapsed="false">
      <c r="C130" s="31" t="s">
        <v>45</v>
      </c>
      <c r="D130" s="12" t="s">
        <v>222</v>
      </c>
      <c r="E130" s="56" t="n">
        <f aca="false">In_RtB_Premium*In_MVA</f>
        <v>15000</v>
      </c>
    </row>
    <row r="131" customFormat="false" ht="15" hidden="false" customHeight="false" outlineLevel="0" collapsed="false">
      <c r="A131" s="36"/>
      <c r="B131" s="36"/>
      <c r="C131" s="36" t="s">
        <v>538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6"/>
      <c r="CL131" s="36"/>
      <c r="CM131" s="36"/>
      <c r="CN131" s="36"/>
      <c r="CO131" s="36"/>
      <c r="CP131" s="36"/>
      <c r="CQ131" s="36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6"/>
      <c r="DG131" s="36"/>
      <c r="DH131" s="36"/>
      <c r="DI131" s="36"/>
      <c r="DJ131" s="36"/>
      <c r="DK131" s="36"/>
      <c r="DL131" s="36"/>
      <c r="DM131" s="36"/>
      <c r="DN131" s="36"/>
      <c r="DO131" s="36"/>
      <c r="DP131" s="36"/>
      <c r="DQ131" s="36"/>
      <c r="DR131" s="36"/>
      <c r="DS131" s="36"/>
      <c r="DT131" s="36"/>
      <c r="DU131" s="36"/>
      <c r="DV131" s="36"/>
      <c r="DW131" s="36"/>
      <c r="DX131" s="36"/>
      <c r="DY131" s="36"/>
      <c r="DZ131" s="36"/>
      <c r="EA131" s="36"/>
      <c r="EB131" s="36"/>
      <c r="EC131" s="36"/>
      <c r="ED131" s="36"/>
      <c r="EE131" s="36"/>
      <c r="EF131" s="36"/>
      <c r="EG131" s="36"/>
      <c r="EH131" s="36"/>
      <c r="EI131" s="36"/>
      <c r="EJ131" s="36"/>
      <c r="EK131" s="36"/>
      <c r="EL131" s="36"/>
      <c r="EM131" s="36"/>
      <c r="EN131" s="36"/>
      <c r="EO131" s="36"/>
      <c r="EP131" s="36"/>
      <c r="EQ131" s="36"/>
      <c r="ER131" s="36"/>
      <c r="ES131" s="36"/>
      <c r="ET131" s="36"/>
    </row>
    <row r="132" customFormat="false" ht="15" hidden="false" customHeight="false" outlineLevel="0" collapsed="false">
      <c r="C132" s="1" t="s">
        <v>539</v>
      </c>
      <c r="D132" s="12" t="s">
        <v>222</v>
      </c>
      <c r="E132" s="47" t="n">
        <f aca="false">$E64+$E55</f>
        <v>21842.7086410959</v>
      </c>
      <c r="F132" s="47" t="n">
        <f aca="false">MAX(0,$E130+$E132)</f>
        <v>36842.7086410959</v>
      </c>
    </row>
    <row r="133" customFormat="false" ht="15" hidden="false" customHeight="false" outlineLevel="0" collapsed="false">
      <c r="C133" s="1" t="s">
        <v>120</v>
      </c>
      <c r="D133" s="12" t="s">
        <v>222</v>
      </c>
      <c r="E133" s="23" t="n">
        <f aca="false">In_Sale_Costs</f>
        <v>500</v>
      </c>
      <c r="F133" s="47" t="n">
        <f aca="false">MIN($E133,$F132)</f>
        <v>500</v>
      </c>
    </row>
    <row r="134" customFormat="false" ht="15" hidden="false" customHeight="false" outlineLevel="0" collapsed="false">
      <c r="C134" s="1" t="s">
        <v>121</v>
      </c>
      <c r="D134" s="12" t="s">
        <v>222</v>
      </c>
      <c r="E134" s="47" t="n">
        <f aca="false">$E64</f>
        <v>21412.2641205479</v>
      </c>
      <c r="F134" s="47" t="n">
        <f aca="false">MIN($E134,$F132-SUM($F133:$F133))</f>
        <v>21412.2641205479</v>
      </c>
    </row>
    <row r="135" customFormat="false" ht="15" hidden="false" customHeight="false" outlineLevel="0" collapsed="false">
      <c r="C135" s="1" t="s">
        <v>122</v>
      </c>
      <c r="D135" s="12" t="s">
        <v>222</v>
      </c>
      <c r="E135" s="47" t="n">
        <f aca="false">$E67</f>
        <v>1564.53664418093</v>
      </c>
      <c r="F135" s="47" t="n">
        <f aca="false">MIN($E135,$F132-SUM($F133:$F134))</f>
        <v>1564.53664418093</v>
      </c>
    </row>
    <row r="136" customFormat="false" ht="15" hidden="false" customHeight="false" outlineLevel="0" collapsed="false">
      <c r="C136" s="1" t="s">
        <v>123</v>
      </c>
      <c r="D136" s="12" t="s">
        <v>222</v>
      </c>
      <c r="E136" s="47" t="n">
        <f aca="false">$E55</f>
        <v>430.444520547945</v>
      </c>
      <c r="F136" s="47" t="n">
        <f aca="false">MIN($E136,$F132-SUM($F133:$F135))</f>
        <v>430.444520547945</v>
      </c>
    </row>
    <row r="137" customFormat="false" ht="15" hidden="false" customHeight="false" outlineLevel="0" collapsed="false">
      <c r="C137" s="1" t="s">
        <v>540</v>
      </c>
      <c r="D137" s="12" t="s">
        <v>222</v>
      </c>
      <c r="E137" s="47" t="n">
        <f aca="false">$E78</f>
        <v>3119.62451197093</v>
      </c>
      <c r="F137" s="47" t="n">
        <f aca="false">MIN($E137,$F132-SUM($F133:$F136))</f>
        <v>3119.62451197093</v>
      </c>
    </row>
    <row r="138" customFormat="false" ht="15" hidden="false" customHeight="false" outlineLevel="0" collapsed="false">
      <c r="C138" s="1" t="s">
        <v>125</v>
      </c>
      <c r="D138" s="12" t="s">
        <v>222</v>
      </c>
      <c r="E138" s="47" t="n">
        <f aca="false">$E72</f>
        <v>974.903115514509</v>
      </c>
      <c r="F138" s="47" t="n">
        <f aca="false">MIN($E138,$F132-SUM($F133:$F137))</f>
        <v>974.903115514509</v>
      </c>
    </row>
    <row r="139" customFormat="false" ht="15" hidden="false" customHeight="false" outlineLevel="0" collapsed="false">
      <c r="C139" s="1" t="s">
        <v>541</v>
      </c>
      <c r="D139" s="12" t="s">
        <v>222</v>
      </c>
      <c r="E139" s="47" t="n">
        <f aca="false">MIN(In_DSA_Cap,In_DSA_Rate*YEARFRAC(In_Signing_Date,$E12,0))*$E24</f>
        <v>1113.19444444444</v>
      </c>
      <c r="F139" s="47" t="n">
        <f aca="false">MIN($E139,$F132-SUM($F133:$F138))</f>
        <v>1113.19444444444</v>
      </c>
    </row>
    <row r="140" customFormat="false" ht="15" hidden="false" customHeight="false" outlineLevel="0" collapsed="false">
      <c r="C140" s="31" t="s">
        <v>542</v>
      </c>
      <c r="D140" s="12" t="s">
        <v>222</v>
      </c>
      <c r="F140" s="56" t="n">
        <f aca="false">MAX(0,$F132-SUM($E133:$E139))</f>
        <v>7727.74128388919</v>
      </c>
    </row>
    <row r="141" customFormat="false" ht="15" hidden="false" customHeight="false" outlineLevel="0" collapsed="false">
      <c r="C141" s="31" t="s">
        <v>543</v>
      </c>
      <c r="D141" s="12" t="s">
        <v>222</v>
      </c>
      <c r="F141" s="56" t="n">
        <f aca="false">SUM($F134:$F138)+In_FEP_Share*$F140</f>
        <v>32911.1918114847</v>
      </c>
    </row>
    <row r="142" customFormat="false" ht="15" hidden="false" customHeight="false" outlineLevel="0" collapsed="false">
      <c r="C142" s="1" t="s">
        <v>544</v>
      </c>
      <c r="D142" s="12" t="s">
        <v>222</v>
      </c>
      <c r="F142" s="47" t="n">
        <f aca="false">$F139+(1-In_FEP_Share)*$F140</f>
        <v>3431.5168296112</v>
      </c>
    </row>
    <row r="143" customFormat="false" ht="15" hidden="false" customHeight="false" outlineLevel="0" collapsed="false">
      <c r="A143" s="36"/>
      <c r="B143" s="36"/>
      <c r="C143" s="36" t="s">
        <v>545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36"/>
      <c r="DY143" s="36"/>
      <c r="DZ143" s="36"/>
      <c r="EA143" s="36"/>
      <c r="EB143" s="36"/>
      <c r="EC143" s="36"/>
      <c r="ED143" s="36"/>
      <c r="EE143" s="36"/>
      <c r="EF143" s="36"/>
      <c r="EG143" s="36"/>
      <c r="EH143" s="36"/>
      <c r="EI143" s="36"/>
      <c r="EJ143" s="36"/>
      <c r="EK143" s="36"/>
      <c r="EL143" s="36"/>
      <c r="EM143" s="36"/>
      <c r="EN143" s="36"/>
      <c r="EO143" s="36"/>
      <c r="EP143" s="36"/>
      <c r="EQ143" s="36"/>
      <c r="ER143" s="36"/>
      <c r="ES143" s="36"/>
      <c r="ET143" s="36"/>
    </row>
    <row r="144" customFormat="false" ht="15" hidden="false" customHeight="false" outlineLevel="0" collapsed="false">
      <c r="C144" s="1" t="s">
        <v>546</v>
      </c>
      <c r="D144" s="12" t="s">
        <v>222</v>
      </c>
      <c r="E144" s="47" t="n">
        <f aca="false">$F135+$F137+$F138+In_FEP_Share*$F140</f>
        <v>11068.4831703888</v>
      </c>
      <c r="F144" s="47" t="n">
        <f aca="false">$F142</f>
        <v>3431.5168296112</v>
      </c>
    </row>
    <row r="145" customFormat="false" ht="15" hidden="false" customHeight="false" outlineLevel="0" collapsed="false">
      <c r="C145" s="31" t="s">
        <v>547</v>
      </c>
      <c r="D145" s="12" t="s">
        <v>222</v>
      </c>
      <c r="E145" s="56" t="n">
        <f aca="false">$E144+$F144</f>
        <v>14500</v>
      </c>
    </row>
    <row r="146" customFormat="false" ht="15" hidden="false" customHeight="false" outlineLevel="0" collapsed="false">
      <c r="C146" s="1" t="s">
        <v>548</v>
      </c>
      <c r="D146" s="12" t="s">
        <v>27</v>
      </c>
      <c r="E146" s="49" t="n">
        <f aca="false">$E144/$E24</f>
        <v>79.0605940742057</v>
      </c>
      <c r="F146" s="49" t="n">
        <f aca="false">$F144/$E24</f>
        <v>24.5108344972229</v>
      </c>
    </row>
    <row r="147" customFormat="false" ht="15" hidden="false" customHeight="false" outlineLevel="0" collapsed="false">
      <c r="C147" s="1" t="s">
        <v>549</v>
      </c>
      <c r="D147" s="12" t="s">
        <v>222</v>
      </c>
      <c r="E147" s="47" t="n">
        <f aca="false">$I46-($E57+$E64+$E47)</f>
        <v>-24940.1078106011</v>
      </c>
    </row>
    <row r="148" customFormat="false" ht="15" hidden="false" customHeight="false" outlineLevel="0" collapsed="false">
      <c r="C148" s="1" t="s">
        <v>550</v>
      </c>
      <c r="D148" s="12" t="s">
        <v>27</v>
      </c>
      <c r="E148" s="49" t="n">
        <f aca="false">$E145/$E24</f>
        <v>103.571428571429</v>
      </c>
    </row>
    <row r="149" customFormat="false" ht="15" hidden="false" customHeight="false" outlineLevel="0" collapsed="false">
      <c r="A149" s="36"/>
      <c r="B149" s="36"/>
      <c r="C149" s="36" t="s">
        <v>551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36"/>
      <c r="DY149" s="36"/>
      <c r="DZ149" s="36"/>
      <c r="EA149" s="36"/>
      <c r="EB149" s="36"/>
      <c r="EC149" s="36"/>
      <c r="ED149" s="36"/>
      <c r="EE149" s="36"/>
      <c r="EF149" s="36"/>
      <c r="EG149" s="36"/>
      <c r="EH149" s="36"/>
      <c r="EI149" s="36"/>
      <c r="EJ149" s="36"/>
      <c r="EK149" s="36"/>
      <c r="EL149" s="36"/>
      <c r="EM149" s="36"/>
      <c r="EN149" s="36"/>
      <c r="EO149" s="36"/>
      <c r="EP149" s="36"/>
      <c r="EQ149" s="36"/>
      <c r="ER149" s="36"/>
      <c r="ES149" s="36"/>
      <c r="ET149" s="36"/>
    </row>
    <row r="150" customFormat="false" ht="15" hidden="false" customHeight="false" outlineLevel="0" collapsed="false">
      <c r="C150" s="1" t="s">
        <v>552</v>
      </c>
      <c r="D150" s="12" t="s">
        <v>222</v>
      </c>
      <c r="E150" s="47" t="n">
        <f aca="false">-In_CIT*MAX(0,$I150-In_FEP_Share*$F140)</f>
        <v>-130.461571560805</v>
      </c>
      <c r="I150" s="47" t="n">
        <f aca="false">SUM(J150:ET150)</f>
        <v>6858.99191606471</v>
      </c>
      <c r="J150" s="47" t="n">
        <f aca="false">(J59+J53)*(J$4&lt;=$E12)+$F141*J12</f>
        <v>-400</v>
      </c>
      <c r="K150" s="47" t="n">
        <f aca="false">(K59+K53)*(K$4&lt;=$E12)+$F141*K12</f>
        <v>-1435.42058922875</v>
      </c>
      <c r="L150" s="47" t="n">
        <f aca="false">(L59+L53)*(L$4&lt;=$E12)+$F141*L12</f>
        <v>-678.468164758867</v>
      </c>
      <c r="M150" s="47" t="n">
        <f aca="false">(M59+M53)*(M$4&lt;=$E12)+$F141*M12</f>
        <v>-134.859523362732</v>
      </c>
      <c r="N150" s="47" t="n">
        <f aca="false">(N59+N53)*(N$4&lt;=$E12)+$F141*N12</f>
        <v>-135.859786076187</v>
      </c>
      <c r="O150" s="47" t="n">
        <f aca="false">(O59+O53)*(O$4&lt;=$E12)+$F141*O12</f>
        <v>-276.385813473447</v>
      </c>
      <c r="P150" s="47" t="n">
        <f aca="false">(P59+P53)*(P$4&lt;=$E12)+$F141*P12</f>
        <v>-1381.06570172449</v>
      </c>
      <c r="Q150" s="47" t="n">
        <f aca="false">(Q59+Q53)*(Q$4&lt;=$E12)+$F141*Q12</f>
        <v>-95.6334959654719</v>
      </c>
      <c r="R150" s="47" t="n">
        <f aca="false">(R59+R53)*(R$4&lt;=$E12)+$F141*R12</f>
        <v>-256.115679618261</v>
      </c>
      <c r="S150" s="47" t="n">
        <f aca="false">(S59+S53)*(S$4&lt;=$E12)+$F141*S12</f>
        <v>-409.250308335063</v>
      </c>
      <c r="T150" s="47" t="n">
        <f aca="false">(T59+T53)*(T$4&lt;=$E12)+$F141*T12</f>
        <v>-20574.0685866767</v>
      </c>
      <c r="U150" s="47" t="n">
        <f aca="false">(U59+U53)*(U$4&lt;=$E12)+$F141*U12</f>
        <v>-91.0239069243761</v>
      </c>
      <c r="V150" s="47" t="n">
        <f aca="false">(V59+V53)*(V$4&lt;=$E12)+$F141*V12</f>
        <v>-92.0241696378307</v>
      </c>
      <c r="W150" s="47" t="n">
        <f aca="false">(W59+W53)*(W$4&lt;=$E12)+$F141*W12</f>
        <v>32819.1676418469</v>
      </c>
      <c r="X150" s="47" t="n">
        <f aca="false">(X59+X53)*(X$4&lt;=$E12)+$F141*X12</f>
        <v>0</v>
      </c>
      <c r="Y150" s="47" t="n">
        <f aca="false">(Y59+Y53)*(Y$4&lt;=$E12)+$F141*Y12</f>
        <v>0</v>
      </c>
      <c r="Z150" s="47" t="n">
        <f aca="false">(Z59+Z53)*(Z$4&lt;=$E12)+$F141*Z12</f>
        <v>0</v>
      </c>
      <c r="AA150" s="47" t="n">
        <f aca="false">(AA59+AA53)*(AA$4&lt;=$E12)+$F141*AA12</f>
        <v>0</v>
      </c>
      <c r="AB150" s="47" t="n">
        <f aca="false">(AB59+AB53)*(AB$4&lt;=$E12)+$F141*AB12</f>
        <v>0</v>
      </c>
      <c r="AC150" s="47" t="n">
        <f aca="false">(AC59+AC53)*(AC$4&lt;=$E12)+$F141*AC12</f>
        <v>0</v>
      </c>
      <c r="AD150" s="47" t="n">
        <f aca="false">(AD59+AD53)*(AD$4&lt;=$E12)+$F141*AD12</f>
        <v>0</v>
      </c>
      <c r="AE150" s="47" t="n">
        <f aca="false">(AE59+AE53)*(AE$4&lt;=$E12)+$F141*AE12</f>
        <v>0</v>
      </c>
      <c r="AF150" s="47" t="n">
        <f aca="false">(AF59+AF53)*(AF$4&lt;=$E12)+$F141*AF12</f>
        <v>0</v>
      </c>
      <c r="AG150" s="47" t="n">
        <f aca="false">(AG59+AG53)*(AG$4&lt;=$E12)+$F141*AG12</f>
        <v>0</v>
      </c>
      <c r="AH150" s="47" t="n">
        <f aca="false">(AH59+AH53)*(AH$4&lt;=$E12)+$F141*AH12</f>
        <v>0</v>
      </c>
      <c r="AI150" s="47" t="n">
        <f aca="false">(AI59+AI53)*(AI$4&lt;=$E12)+$F141*AI12</f>
        <v>0</v>
      </c>
      <c r="AJ150" s="47" t="n">
        <f aca="false">(AJ59+AJ53)*(AJ$4&lt;=$E12)+$F141*AJ12</f>
        <v>0</v>
      </c>
      <c r="AK150" s="47" t="n">
        <f aca="false">(AK59+AK53)*(AK$4&lt;=$E12)+$F141*AK12</f>
        <v>0</v>
      </c>
      <c r="AL150" s="47" t="n">
        <f aca="false">(AL59+AL53)*(AL$4&lt;=$E12)+$F141*AL12</f>
        <v>0</v>
      </c>
      <c r="AM150" s="47" t="n">
        <f aca="false">(AM59+AM53)*(AM$4&lt;=$E12)+$F141*AM12</f>
        <v>0</v>
      </c>
      <c r="AN150" s="47" t="n">
        <f aca="false">(AN59+AN53)*(AN$4&lt;=$E12)+$F141*AN12</f>
        <v>0</v>
      </c>
      <c r="AO150" s="47" t="n">
        <f aca="false">(AO59+AO53)*(AO$4&lt;=$E12)+$F141*AO12</f>
        <v>0</v>
      </c>
      <c r="AP150" s="47" t="n">
        <f aca="false">(AP59+AP53)*(AP$4&lt;=$E12)+$F141*AP12</f>
        <v>0</v>
      </c>
      <c r="AQ150" s="47" t="n">
        <f aca="false">(AQ59+AQ53)*(AQ$4&lt;=$E12)+$F141*AQ12</f>
        <v>0</v>
      </c>
      <c r="AR150" s="47" t="n">
        <f aca="false">(AR59+AR53)*(AR$4&lt;=$E12)+$F141*AR12</f>
        <v>0</v>
      </c>
      <c r="AS150" s="47" t="n">
        <f aca="false">(AS59+AS53)*(AS$4&lt;=$E12)+$F141*AS12</f>
        <v>0</v>
      </c>
      <c r="AT150" s="47" t="n">
        <f aca="false">(AT59+AT53)*(AT$4&lt;=$E12)+$F141*AT12</f>
        <v>0</v>
      </c>
      <c r="AU150" s="47" t="n">
        <f aca="false">(AU59+AU53)*(AU$4&lt;=$E12)+$F141*AU12</f>
        <v>0</v>
      </c>
      <c r="AV150" s="47" t="n">
        <f aca="false">(AV59+AV53)*(AV$4&lt;=$E12)+$F141*AV12</f>
        <v>0</v>
      </c>
      <c r="AW150" s="47" t="n">
        <f aca="false">(AW59+AW53)*(AW$4&lt;=$E12)+$F141*AW12</f>
        <v>0</v>
      </c>
      <c r="AX150" s="47" t="n">
        <f aca="false">(AX59+AX53)*(AX$4&lt;=$E12)+$F141*AX12</f>
        <v>0</v>
      </c>
      <c r="AY150" s="47" t="n">
        <f aca="false">(AY59+AY53)*(AY$4&lt;=$E12)+$F141*AY12</f>
        <v>0</v>
      </c>
      <c r="AZ150" s="47" t="n">
        <f aca="false">(AZ59+AZ53)*(AZ$4&lt;=$E12)+$F141*AZ12</f>
        <v>0</v>
      </c>
      <c r="BA150" s="47" t="n">
        <f aca="false">(BA59+BA53)*(BA$4&lt;=$E12)+$F141*BA12</f>
        <v>0</v>
      </c>
      <c r="BB150" s="47" t="n">
        <f aca="false">(BB59+BB53)*(BB$4&lt;=$E12)+$F141*BB12</f>
        <v>0</v>
      </c>
      <c r="BC150" s="47" t="n">
        <f aca="false">(BC59+BC53)*(BC$4&lt;=$E12)+$F141*BC12</f>
        <v>0</v>
      </c>
      <c r="BD150" s="47" t="n">
        <f aca="false">(BD59+BD53)*(BD$4&lt;=$E12)+$F141*BD12</f>
        <v>0</v>
      </c>
      <c r="BE150" s="47" t="n">
        <f aca="false">(BE59+BE53)*(BE$4&lt;=$E12)+$F141*BE12</f>
        <v>0</v>
      </c>
      <c r="BF150" s="47" t="n">
        <f aca="false">(BF59+BF53)*(BF$4&lt;=$E12)+$F141*BF12</f>
        <v>0</v>
      </c>
      <c r="BG150" s="47" t="n">
        <f aca="false">(BG59+BG53)*(BG$4&lt;=$E12)+$F141*BG12</f>
        <v>0</v>
      </c>
      <c r="BH150" s="47" t="n">
        <f aca="false">(BH59+BH53)*(BH$4&lt;=$E12)+$F141*BH12</f>
        <v>0</v>
      </c>
      <c r="BI150" s="47" t="n">
        <f aca="false">(BI59+BI53)*(BI$4&lt;=$E12)+$F141*BI12</f>
        <v>0</v>
      </c>
      <c r="BJ150" s="47" t="n">
        <f aca="false">(BJ59+BJ53)*(BJ$4&lt;=$E12)+$F141*BJ12</f>
        <v>0</v>
      </c>
      <c r="BK150" s="47" t="n">
        <f aca="false">(BK59+BK53)*(BK$4&lt;=$E12)+$F141*BK12</f>
        <v>0</v>
      </c>
      <c r="BL150" s="47" t="n">
        <f aca="false">(BL59+BL53)*(BL$4&lt;=$E12)+$F141*BL12</f>
        <v>0</v>
      </c>
      <c r="BM150" s="47" t="n">
        <f aca="false">(BM59+BM53)*(BM$4&lt;=$E12)+$F141*BM12</f>
        <v>0</v>
      </c>
      <c r="BN150" s="47" t="n">
        <f aca="false">(BN59+BN53)*(BN$4&lt;=$E12)+$F141*BN12</f>
        <v>0</v>
      </c>
      <c r="BO150" s="47" t="n">
        <f aca="false">(BO59+BO53)*(BO$4&lt;=$E12)+$F141*BO12</f>
        <v>0</v>
      </c>
      <c r="BP150" s="47" t="n">
        <f aca="false">(BP59+BP53)*(BP$4&lt;=$E12)+$F141*BP12</f>
        <v>0</v>
      </c>
      <c r="BQ150" s="47" t="n">
        <f aca="false">(BQ59+BQ53)*(BQ$4&lt;=$E12)+$F141*BQ12</f>
        <v>0</v>
      </c>
      <c r="BR150" s="47" t="n">
        <f aca="false">(BR59+BR53)*(BR$4&lt;=$E12)+$F141*BR12</f>
        <v>0</v>
      </c>
      <c r="BS150" s="47" t="n">
        <f aca="false">(BS59+BS53)*(BS$4&lt;=$E12)+$F141*BS12</f>
        <v>0</v>
      </c>
      <c r="BT150" s="47" t="n">
        <f aca="false">(BT59+BT53)*(BT$4&lt;=$E12)+$F141*BT12</f>
        <v>0</v>
      </c>
      <c r="BU150" s="47" t="n">
        <f aca="false">(BU59+BU53)*(BU$4&lt;=$E12)+$F141*BU12</f>
        <v>0</v>
      </c>
      <c r="BV150" s="47" t="n">
        <f aca="false">(BV59+BV53)*(BV$4&lt;=$E12)+$F141*BV12</f>
        <v>0</v>
      </c>
      <c r="BW150" s="47" t="n">
        <f aca="false">(BW59+BW53)*(BW$4&lt;=$E12)+$F141*BW12</f>
        <v>0</v>
      </c>
      <c r="BX150" s="47" t="n">
        <f aca="false">(BX59+BX53)*(BX$4&lt;=$E12)+$F141*BX12</f>
        <v>0</v>
      </c>
      <c r="BY150" s="47" t="n">
        <f aca="false">(BY59+BY53)*(BY$4&lt;=$E12)+$F141*BY12</f>
        <v>0</v>
      </c>
      <c r="BZ150" s="47" t="n">
        <f aca="false">(BZ59+BZ53)*(BZ$4&lt;=$E12)+$F141*BZ12</f>
        <v>0</v>
      </c>
      <c r="CA150" s="47" t="n">
        <f aca="false">(CA59+CA53)*(CA$4&lt;=$E12)+$F141*CA12</f>
        <v>0</v>
      </c>
      <c r="CB150" s="47" t="n">
        <f aca="false">(CB59+CB53)*(CB$4&lt;=$E12)+$F141*CB12</f>
        <v>0</v>
      </c>
      <c r="CC150" s="47" t="n">
        <f aca="false">(CC59+CC53)*(CC$4&lt;=$E12)+$F141*CC12</f>
        <v>0</v>
      </c>
      <c r="CD150" s="47" t="n">
        <f aca="false">(CD59+CD53)*(CD$4&lt;=$E12)+$F141*CD12</f>
        <v>0</v>
      </c>
      <c r="CE150" s="47" t="n">
        <f aca="false">(CE59+CE53)*(CE$4&lt;=$E12)+$F141*CE12</f>
        <v>0</v>
      </c>
      <c r="CF150" s="47" t="n">
        <f aca="false">(CF59+CF53)*(CF$4&lt;=$E12)+$F141*CF12</f>
        <v>0</v>
      </c>
      <c r="CG150" s="47" t="n">
        <f aca="false">(CG59+CG53)*(CG$4&lt;=$E12)+$F141*CG12</f>
        <v>0</v>
      </c>
      <c r="CH150" s="47" t="n">
        <f aca="false">(CH59+CH53)*(CH$4&lt;=$E12)+$F141*CH12</f>
        <v>0</v>
      </c>
      <c r="CI150" s="47" t="n">
        <f aca="false">(CI59+CI53)*(CI$4&lt;=$E12)+$F141*CI12</f>
        <v>0</v>
      </c>
      <c r="CJ150" s="47" t="n">
        <f aca="false">(CJ59+CJ53)*(CJ$4&lt;=$E12)+$F141*CJ12</f>
        <v>0</v>
      </c>
      <c r="CK150" s="47" t="n">
        <f aca="false">(CK59+CK53)*(CK$4&lt;=$E12)+$F141*CK12</f>
        <v>0</v>
      </c>
      <c r="CL150" s="47" t="n">
        <f aca="false">(CL59+CL53)*(CL$4&lt;=$E12)+$F141*CL12</f>
        <v>0</v>
      </c>
      <c r="CM150" s="47" t="n">
        <f aca="false">(CM59+CM53)*(CM$4&lt;=$E12)+$F141*CM12</f>
        <v>0</v>
      </c>
      <c r="CN150" s="47" t="n">
        <f aca="false">(CN59+CN53)*(CN$4&lt;=$E12)+$F141*CN12</f>
        <v>0</v>
      </c>
      <c r="CO150" s="47" t="n">
        <f aca="false">(CO59+CO53)*(CO$4&lt;=$E12)+$F141*CO12</f>
        <v>0</v>
      </c>
      <c r="CP150" s="47" t="n">
        <f aca="false">(CP59+CP53)*(CP$4&lt;=$E12)+$F141*CP12</f>
        <v>0</v>
      </c>
      <c r="CQ150" s="47" t="n">
        <f aca="false">(CQ59+CQ53)*(CQ$4&lt;=$E12)+$F141*CQ12</f>
        <v>0</v>
      </c>
      <c r="CR150" s="47" t="n">
        <f aca="false">(CR59+CR53)*(CR$4&lt;=$E12)+$F141*CR12</f>
        <v>0</v>
      </c>
      <c r="CS150" s="47" t="n">
        <f aca="false">(CS59+CS53)*(CS$4&lt;=$E12)+$F141*CS12</f>
        <v>0</v>
      </c>
      <c r="CT150" s="47" t="n">
        <f aca="false">(CT59+CT53)*(CT$4&lt;=$E12)+$F141*CT12</f>
        <v>0</v>
      </c>
      <c r="CU150" s="47" t="n">
        <f aca="false">(CU59+CU53)*(CU$4&lt;=$E12)+$F141*CU12</f>
        <v>0</v>
      </c>
      <c r="CV150" s="47" t="n">
        <f aca="false">(CV59+CV53)*(CV$4&lt;=$E12)+$F141*CV12</f>
        <v>0</v>
      </c>
      <c r="CW150" s="47" t="n">
        <f aca="false">(CW59+CW53)*(CW$4&lt;=$E12)+$F141*CW12</f>
        <v>0</v>
      </c>
      <c r="CX150" s="47" t="n">
        <f aca="false">(CX59+CX53)*(CX$4&lt;=$E12)+$F141*CX12</f>
        <v>0</v>
      </c>
      <c r="CY150" s="47" t="n">
        <f aca="false">(CY59+CY53)*(CY$4&lt;=$E12)+$F141*CY12</f>
        <v>0</v>
      </c>
      <c r="CZ150" s="47" t="n">
        <f aca="false">(CZ59+CZ53)*(CZ$4&lt;=$E12)+$F141*CZ12</f>
        <v>0</v>
      </c>
      <c r="DA150" s="47" t="n">
        <f aca="false">(DA59+DA53)*(DA$4&lt;=$E12)+$F141*DA12</f>
        <v>0</v>
      </c>
      <c r="DB150" s="47" t="n">
        <f aca="false">(DB59+DB53)*(DB$4&lt;=$E12)+$F141*DB12</f>
        <v>0</v>
      </c>
      <c r="DC150" s="47" t="n">
        <f aca="false">(DC59+DC53)*(DC$4&lt;=$E12)+$F141*DC12</f>
        <v>0</v>
      </c>
      <c r="DD150" s="47" t="n">
        <f aca="false">(DD59+DD53)*(DD$4&lt;=$E12)+$F141*DD12</f>
        <v>0</v>
      </c>
      <c r="DE150" s="47" t="n">
        <f aca="false">(DE59+DE53)*(DE$4&lt;=$E12)+$F141*DE12</f>
        <v>0</v>
      </c>
      <c r="DF150" s="47" t="n">
        <f aca="false">(DF59+DF53)*(DF$4&lt;=$E12)+$F141*DF12</f>
        <v>0</v>
      </c>
      <c r="DG150" s="47" t="n">
        <f aca="false">(DG59+DG53)*(DG$4&lt;=$E12)+$F141*DG12</f>
        <v>0</v>
      </c>
      <c r="DH150" s="47" t="n">
        <f aca="false">(DH59+DH53)*(DH$4&lt;=$E12)+$F141*DH12</f>
        <v>0</v>
      </c>
      <c r="DI150" s="47" t="n">
        <f aca="false">(DI59+DI53)*(DI$4&lt;=$E12)+$F141*DI12</f>
        <v>0</v>
      </c>
      <c r="DJ150" s="47" t="n">
        <f aca="false">(DJ59+DJ53)*(DJ$4&lt;=$E12)+$F141*DJ12</f>
        <v>0</v>
      </c>
      <c r="DK150" s="47" t="n">
        <f aca="false">(DK59+DK53)*(DK$4&lt;=$E12)+$F141*DK12</f>
        <v>0</v>
      </c>
      <c r="DL150" s="47" t="n">
        <f aca="false">(DL59+DL53)*(DL$4&lt;=$E12)+$F141*DL12</f>
        <v>0</v>
      </c>
      <c r="DM150" s="47" t="n">
        <f aca="false">(DM59+DM53)*(DM$4&lt;=$E12)+$F141*DM12</f>
        <v>0</v>
      </c>
      <c r="DN150" s="47" t="n">
        <f aca="false">(DN59+DN53)*(DN$4&lt;=$E12)+$F141*DN12</f>
        <v>0</v>
      </c>
      <c r="DO150" s="47" t="n">
        <f aca="false">(DO59+DO53)*(DO$4&lt;=$E12)+$F141*DO12</f>
        <v>0</v>
      </c>
      <c r="DP150" s="47" t="n">
        <f aca="false">(DP59+DP53)*(DP$4&lt;=$E12)+$F141*DP12</f>
        <v>0</v>
      </c>
      <c r="DQ150" s="47" t="n">
        <f aca="false">(DQ59+DQ53)*(DQ$4&lt;=$E12)+$F141*DQ12</f>
        <v>0</v>
      </c>
      <c r="DR150" s="47" t="n">
        <f aca="false">(DR59+DR53)*(DR$4&lt;=$E12)+$F141*DR12</f>
        <v>0</v>
      </c>
      <c r="DS150" s="47" t="n">
        <f aca="false">(DS59+DS53)*(DS$4&lt;=$E12)+$F141*DS12</f>
        <v>0</v>
      </c>
      <c r="DT150" s="47" t="n">
        <f aca="false">(DT59+DT53)*(DT$4&lt;=$E12)+$F141*DT12</f>
        <v>0</v>
      </c>
      <c r="DU150" s="47" t="n">
        <f aca="false">(DU59+DU53)*(DU$4&lt;=$E12)+$F141*DU12</f>
        <v>0</v>
      </c>
      <c r="DV150" s="47" t="n">
        <f aca="false">(DV59+DV53)*(DV$4&lt;=$E12)+$F141*DV12</f>
        <v>0</v>
      </c>
      <c r="DW150" s="47" t="n">
        <f aca="false">(DW59+DW53)*(DW$4&lt;=$E12)+$F141*DW12</f>
        <v>0</v>
      </c>
      <c r="DX150" s="47" t="n">
        <f aca="false">(DX59+DX53)*(DX$4&lt;=$E12)+$F141*DX12</f>
        <v>0</v>
      </c>
      <c r="DY150" s="47" t="n">
        <f aca="false">(DY59+DY53)*(DY$4&lt;=$E12)+$F141*DY12</f>
        <v>0</v>
      </c>
      <c r="DZ150" s="47" t="n">
        <f aca="false">(DZ59+DZ53)*(DZ$4&lt;=$E12)+$F141*DZ12</f>
        <v>0</v>
      </c>
      <c r="EA150" s="47" t="n">
        <f aca="false">(EA59+EA53)*(EA$4&lt;=$E12)+$F141*EA12</f>
        <v>0</v>
      </c>
      <c r="EB150" s="47" t="n">
        <f aca="false">(EB59+EB53)*(EB$4&lt;=$E12)+$F141*EB12</f>
        <v>0</v>
      </c>
      <c r="EC150" s="47" t="n">
        <f aca="false">(EC59+EC53)*(EC$4&lt;=$E12)+$F141*EC12</f>
        <v>0</v>
      </c>
      <c r="ED150" s="47" t="n">
        <f aca="false">(ED59+ED53)*(ED$4&lt;=$E12)+$F141*ED12</f>
        <v>0</v>
      </c>
      <c r="EE150" s="47" t="n">
        <f aca="false">(EE59+EE53)*(EE$4&lt;=$E12)+$F141*EE12</f>
        <v>0</v>
      </c>
      <c r="EF150" s="47" t="n">
        <f aca="false">(EF59+EF53)*(EF$4&lt;=$E12)+$F141*EF12</f>
        <v>0</v>
      </c>
      <c r="EG150" s="47" t="n">
        <f aca="false">(EG59+EG53)*(EG$4&lt;=$E12)+$F141*EG12</f>
        <v>0</v>
      </c>
      <c r="EH150" s="47" t="n">
        <f aca="false">(EH59+EH53)*(EH$4&lt;=$E12)+$F141*EH12</f>
        <v>0</v>
      </c>
      <c r="EI150" s="47" t="n">
        <f aca="false">(EI59+EI53)*(EI$4&lt;=$E12)+$F141*EI12</f>
        <v>0</v>
      </c>
      <c r="EJ150" s="47" t="n">
        <f aca="false">(EJ59+EJ53)*(EJ$4&lt;=$E12)+$F141*EJ12</f>
        <v>0</v>
      </c>
      <c r="EK150" s="47" t="n">
        <f aca="false">(EK59+EK53)*(EK$4&lt;=$E12)+$F141*EK12</f>
        <v>0</v>
      </c>
      <c r="EL150" s="47" t="n">
        <f aca="false">(EL59+EL53)*(EL$4&lt;=$E12)+$F141*EL12</f>
        <v>0</v>
      </c>
      <c r="EM150" s="47" t="n">
        <f aca="false">(EM59+EM53)*(EM$4&lt;=$E12)+$F141*EM12</f>
        <v>0</v>
      </c>
      <c r="EN150" s="47" t="n">
        <f aca="false">(EN59+EN53)*(EN$4&lt;=$E12)+$F141*EN12</f>
        <v>0</v>
      </c>
      <c r="EO150" s="47" t="n">
        <f aca="false">(EO59+EO53)*(EO$4&lt;=$E12)+$F141*EO12</f>
        <v>0</v>
      </c>
      <c r="EP150" s="47" t="n">
        <f aca="false">(EP59+EP53)*(EP$4&lt;=$E12)+$F141*EP12</f>
        <v>0</v>
      </c>
      <c r="EQ150" s="47" t="n">
        <f aca="false">(EQ59+EQ53)*(EQ$4&lt;=$E12)+$F141*EQ12</f>
        <v>0</v>
      </c>
      <c r="ER150" s="47" t="n">
        <f aca="false">(ER59+ER53)*(ER$4&lt;=$E12)+$F141*ER12</f>
        <v>0</v>
      </c>
      <c r="ES150" s="47" t="n">
        <f aca="false">(ES59+ES53)*(ES$4&lt;=$E12)+$F141*ES12</f>
        <v>0</v>
      </c>
      <c r="ET150" s="47" t="n">
        <f aca="false">(ET59+ET53)*(ET$4&lt;=$E12)+$F141*ET12</f>
        <v>0</v>
      </c>
    </row>
    <row r="151" customFormat="false" ht="15" hidden="false" customHeight="false" outlineLevel="0" collapsed="false">
      <c r="C151" s="31" t="s">
        <v>553</v>
      </c>
      <c r="D151" s="12" t="s">
        <v>222</v>
      </c>
      <c r="I151" s="56" t="n">
        <f aca="false">SUM(J151:ET151)</f>
        <v>6728.5303445039</v>
      </c>
      <c r="J151" s="56" t="n">
        <f aca="false">J150+$E150*J12</f>
        <v>-400</v>
      </c>
      <c r="K151" s="56" t="n">
        <f aca="false">K150+$E150*K12</f>
        <v>-1435.42058922875</v>
      </c>
      <c r="L151" s="56" t="n">
        <f aca="false">L150+$E150*L12</f>
        <v>-678.468164758867</v>
      </c>
      <c r="M151" s="56" t="n">
        <f aca="false">M150+$E150*M12</f>
        <v>-134.859523362732</v>
      </c>
      <c r="N151" s="56" t="n">
        <f aca="false">N150+$E150*N12</f>
        <v>-135.859786076187</v>
      </c>
      <c r="O151" s="56" t="n">
        <f aca="false">O150+$E150*O12</f>
        <v>-276.385813473447</v>
      </c>
      <c r="P151" s="56" t="n">
        <f aca="false">P150+$E150*P12</f>
        <v>-1381.06570172449</v>
      </c>
      <c r="Q151" s="56" t="n">
        <f aca="false">Q150+$E150*Q12</f>
        <v>-95.6334959654719</v>
      </c>
      <c r="R151" s="56" t="n">
        <f aca="false">R150+$E150*R12</f>
        <v>-256.115679618261</v>
      </c>
      <c r="S151" s="56" t="n">
        <f aca="false">S150+$E150*S12</f>
        <v>-409.250308335063</v>
      </c>
      <c r="T151" s="56" t="n">
        <f aca="false">T150+$E150*T12</f>
        <v>-20574.0685866767</v>
      </c>
      <c r="U151" s="56" t="n">
        <f aca="false">U150+$E150*U12</f>
        <v>-91.0239069243761</v>
      </c>
      <c r="V151" s="56" t="n">
        <f aca="false">V150+$E150*V12</f>
        <v>-92.0241696378307</v>
      </c>
      <c r="W151" s="56" t="n">
        <f aca="false">W150+$E150*W12</f>
        <v>32688.7060702861</v>
      </c>
      <c r="X151" s="56" t="n">
        <f aca="false">X150+$E150*X12</f>
        <v>0</v>
      </c>
      <c r="Y151" s="56" t="n">
        <f aca="false">Y150+$E150*Y12</f>
        <v>0</v>
      </c>
      <c r="Z151" s="56" t="n">
        <f aca="false">Z150+$E150*Z12</f>
        <v>0</v>
      </c>
      <c r="AA151" s="56" t="n">
        <f aca="false">AA150+$E150*AA12</f>
        <v>0</v>
      </c>
      <c r="AB151" s="56" t="n">
        <f aca="false">AB150+$E150*AB12</f>
        <v>0</v>
      </c>
      <c r="AC151" s="56" t="n">
        <f aca="false">AC150+$E150*AC12</f>
        <v>0</v>
      </c>
      <c r="AD151" s="56" t="n">
        <f aca="false">AD150+$E150*AD12</f>
        <v>0</v>
      </c>
      <c r="AE151" s="56" t="n">
        <f aca="false">AE150+$E150*AE12</f>
        <v>0</v>
      </c>
      <c r="AF151" s="56" t="n">
        <f aca="false">AF150+$E150*AF12</f>
        <v>0</v>
      </c>
      <c r="AG151" s="56" t="n">
        <f aca="false">AG150+$E150*AG12</f>
        <v>0</v>
      </c>
      <c r="AH151" s="56" t="n">
        <f aca="false">AH150+$E150*AH12</f>
        <v>0</v>
      </c>
      <c r="AI151" s="56" t="n">
        <f aca="false">AI150+$E150*AI12</f>
        <v>0</v>
      </c>
      <c r="AJ151" s="56" t="n">
        <f aca="false">AJ150+$E150*AJ12</f>
        <v>0</v>
      </c>
      <c r="AK151" s="56" t="n">
        <f aca="false">AK150+$E150*AK12</f>
        <v>0</v>
      </c>
      <c r="AL151" s="56" t="n">
        <f aca="false">AL150+$E150*AL12</f>
        <v>0</v>
      </c>
      <c r="AM151" s="56" t="n">
        <f aca="false">AM150+$E150*AM12</f>
        <v>0</v>
      </c>
      <c r="AN151" s="56" t="n">
        <f aca="false">AN150+$E150*AN12</f>
        <v>0</v>
      </c>
      <c r="AO151" s="56" t="n">
        <f aca="false">AO150+$E150*AO12</f>
        <v>0</v>
      </c>
      <c r="AP151" s="56" t="n">
        <f aca="false">AP150+$E150*AP12</f>
        <v>0</v>
      </c>
      <c r="AQ151" s="56" t="n">
        <f aca="false">AQ150+$E150*AQ12</f>
        <v>0</v>
      </c>
      <c r="AR151" s="56" t="n">
        <f aca="false">AR150+$E150*AR12</f>
        <v>0</v>
      </c>
      <c r="AS151" s="56" t="n">
        <f aca="false">AS150+$E150*AS12</f>
        <v>0</v>
      </c>
      <c r="AT151" s="56" t="n">
        <f aca="false">AT150+$E150*AT12</f>
        <v>0</v>
      </c>
      <c r="AU151" s="56" t="n">
        <f aca="false">AU150+$E150*AU12</f>
        <v>0</v>
      </c>
      <c r="AV151" s="56" t="n">
        <f aca="false">AV150+$E150*AV12</f>
        <v>0</v>
      </c>
      <c r="AW151" s="56" t="n">
        <f aca="false">AW150+$E150*AW12</f>
        <v>0</v>
      </c>
      <c r="AX151" s="56" t="n">
        <f aca="false">AX150+$E150*AX12</f>
        <v>0</v>
      </c>
      <c r="AY151" s="56" t="n">
        <f aca="false">AY150+$E150*AY12</f>
        <v>0</v>
      </c>
      <c r="AZ151" s="56" t="n">
        <f aca="false">AZ150+$E150*AZ12</f>
        <v>0</v>
      </c>
      <c r="BA151" s="56" t="n">
        <f aca="false">BA150+$E150*BA12</f>
        <v>0</v>
      </c>
      <c r="BB151" s="56" t="n">
        <f aca="false">BB150+$E150*BB12</f>
        <v>0</v>
      </c>
      <c r="BC151" s="56" t="n">
        <f aca="false">BC150+$E150*BC12</f>
        <v>0</v>
      </c>
      <c r="BD151" s="56" t="n">
        <f aca="false">BD150+$E150*BD12</f>
        <v>0</v>
      </c>
      <c r="BE151" s="56" t="n">
        <f aca="false">BE150+$E150*BE12</f>
        <v>0</v>
      </c>
      <c r="BF151" s="56" t="n">
        <f aca="false">BF150+$E150*BF12</f>
        <v>0</v>
      </c>
      <c r="BG151" s="56" t="n">
        <f aca="false">BG150+$E150*BG12</f>
        <v>0</v>
      </c>
      <c r="BH151" s="56" t="n">
        <f aca="false">BH150+$E150*BH12</f>
        <v>0</v>
      </c>
      <c r="BI151" s="56" t="n">
        <f aca="false">BI150+$E150*BI12</f>
        <v>0</v>
      </c>
      <c r="BJ151" s="56" t="n">
        <f aca="false">BJ150+$E150*BJ12</f>
        <v>0</v>
      </c>
      <c r="BK151" s="56" t="n">
        <f aca="false">BK150+$E150*BK12</f>
        <v>0</v>
      </c>
      <c r="BL151" s="56" t="n">
        <f aca="false">BL150+$E150*BL12</f>
        <v>0</v>
      </c>
      <c r="BM151" s="56" t="n">
        <f aca="false">BM150+$E150*BM12</f>
        <v>0</v>
      </c>
      <c r="BN151" s="56" t="n">
        <f aca="false">BN150+$E150*BN12</f>
        <v>0</v>
      </c>
      <c r="BO151" s="56" t="n">
        <f aca="false">BO150+$E150*BO12</f>
        <v>0</v>
      </c>
      <c r="BP151" s="56" t="n">
        <f aca="false">BP150+$E150*BP12</f>
        <v>0</v>
      </c>
      <c r="BQ151" s="56" t="n">
        <f aca="false">BQ150+$E150*BQ12</f>
        <v>0</v>
      </c>
      <c r="BR151" s="56" t="n">
        <f aca="false">BR150+$E150*BR12</f>
        <v>0</v>
      </c>
      <c r="BS151" s="56" t="n">
        <f aca="false">BS150+$E150*BS12</f>
        <v>0</v>
      </c>
      <c r="BT151" s="56" t="n">
        <f aca="false">BT150+$E150*BT12</f>
        <v>0</v>
      </c>
      <c r="BU151" s="56" t="n">
        <f aca="false">BU150+$E150*BU12</f>
        <v>0</v>
      </c>
      <c r="BV151" s="56" t="n">
        <f aca="false">BV150+$E150*BV12</f>
        <v>0</v>
      </c>
      <c r="BW151" s="56" t="n">
        <f aca="false">BW150+$E150*BW12</f>
        <v>0</v>
      </c>
      <c r="BX151" s="56" t="n">
        <f aca="false">BX150+$E150*BX12</f>
        <v>0</v>
      </c>
      <c r="BY151" s="56" t="n">
        <f aca="false">BY150+$E150*BY12</f>
        <v>0</v>
      </c>
      <c r="BZ151" s="56" t="n">
        <f aca="false">BZ150+$E150*BZ12</f>
        <v>0</v>
      </c>
      <c r="CA151" s="56" t="n">
        <f aca="false">CA150+$E150*CA12</f>
        <v>0</v>
      </c>
      <c r="CB151" s="56" t="n">
        <f aca="false">CB150+$E150*CB12</f>
        <v>0</v>
      </c>
      <c r="CC151" s="56" t="n">
        <f aca="false">CC150+$E150*CC12</f>
        <v>0</v>
      </c>
      <c r="CD151" s="56" t="n">
        <f aca="false">CD150+$E150*CD12</f>
        <v>0</v>
      </c>
      <c r="CE151" s="56" t="n">
        <f aca="false">CE150+$E150*CE12</f>
        <v>0</v>
      </c>
      <c r="CF151" s="56" t="n">
        <f aca="false">CF150+$E150*CF12</f>
        <v>0</v>
      </c>
      <c r="CG151" s="56" t="n">
        <f aca="false">CG150+$E150*CG12</f>
        <v>0</v>
      </c>
      <c r="CH151" s="56" t="n">
        <f aca="false">CH150+$E150*CH12</f>
        <v>0</v>
      </c>
      <c r="CI151" s="56" t="n">
        <f aca="false">CI150+$E150*CI12</f>
        <v>0</v>
      </c>
      <c r="CJ151" s="56" t="n">
        <f aca="false">CJ150+$E150*CJ12</f>
        <v>0</v>
      </c>
      <c r="CK151" s="56" t="n">
        <f aca="false">CK150+$E150*CK12</f>
        <v>0</v>
      </c>
      <c r="CL151" s="56" t="n">
        <f aca="false">CL150+$E150*CL12</f>
        <v>0</v>
      </c>
      <c r="CM151" s="56" t="n">
        <f aca="false">CM150+$E150*CM12</f>
        <v>0</v>
      </c>
      <c r="CN151" s="56" t="n">
        <f aca="false">CN150+$E150*CN12</f>
        <v>0</v>
      </c>
      <c r="CO151" s="56" t="n">
        <f aca="false">CO150+$E150*CO12</f>
        <v>0</v>
      </c>
      <c r="CP151" s="56" t="n">
        <f aca="false">CP150+$E150*CP12</f>
        <v>0</v>
      </c>
      <c r="CQ151" s="56" t="n">
        <f aca="false">CQ150+$E150*CQ12</f>
        <v>0</v>
      </c>
      <c r="CR151" s="56" t="n">
        <f aca="false">CR150+$E150*CR12</f>
        <v>0</v>
      </c>
      <c r="CS151" s="56" t="n">
        <f aca="false">CS150+$E150*CS12</f>
        <v>0</v>
      </c>
      <c r="CT151" s="56" t="n">
        <f aca="false">CT150+$E150*CT12</f>
        <v>0</v>
      </c>
      <c r="CU151" s="56" t="n">
        <f aca="false">CU150+$E150*CU12</f>
        <v>0</v>
      </c>
      <c r="CV151" s="56" t="n">
        <f aca="false">CV150+$E150*CV12</f>
        <v>0</v>
      </c>
      <c r="CW151" s="56" t="n">
        <f aca="false">CW150+$E150*CW12</f>
        <v>0</v>
      </c>
      <c r="CX151" s="56" t="n">
        <f aca="false">CX150+$E150*CX12</f>
        <v>0</v>
      </c>
      <c r="CY151" s="56" t="n">
        <f aca="false">CY150+$E150*CY12</f>
        <v>0</v>
      </c>
      <c r="CZ151" s="56" t="n">
        <f aca="false">CZ150+$E150*CZ12</f>
        <v>0</v>
      </c>
      <c r="DA151" s="56" t="n">
        <f aca="false">DA150+$E150*DA12</f>
        <v>0</v>
      </c>
      <c r="DB151" s="56" t="n">
        <f aca="false">DB150+$E150*DB12</f>
        <v>0</v>
      </c>
      <c r="DC151" s="56" t="n">
        <f aca="false">DC150+$E150*DC12</f>
        <v>0</v>
      </c>
      <c r="DD151" s="56" t="n">
        <f aca="false">DD150+$E150*DD12</f>
        <v>0</v>
      </c>
      <c r="DE151" s="56" t="n">
        <f aca="false">DE150+$E150*DE12</f>
        <v>0</v>
      </c>
      <c r="DF151" s="56" t="n">
        <f aca="false">DF150+$E150*DF12</f>
        <v>0</v>
      </c>
      <c r="DG151" s="56" t="n">
        <f aca="false">DG150+$E150*DG12</f>
        <v>0</v>
      </c>
      <c r="DH151" s="56" t="n">
        <f aca="false">DH150+$E150*DH12</f>
        <v>0</v>
      </c>
      <c r="DI151" s="56" t="n">
        <f aca="false">DI150+$E150*DI12</f>
        <v>0</v>
      </c>
      <c r="DJ151" s="56" t="n">
        <f aca="false">DJ150+$E150*DJ12</f>
        <v>0</v>
      </c>
      <c r="DK151" s="56" t="n">
        <f aca="false">DK150+$E150*DK12</f>
        <v>0</v>
      </c>
      <c r="DL151" s="56" t="n">
        <f aca="false">DL150+$E150*DL12</f>
        <v>0</v>
      </c>
      <c r="DM151" s="56" t="n">
        <f aca="false">DM150+$E150*DM12</f>
        <v>0</v>
      </c>
      <c r="DN151" s="56" t="n">
        <f aca="false">DN150+$E150*DN12</f>
        <v>0</v>
      </c>
      <c r="DO151" s="56" t="n">
        <f aca="false">DO150+$E150*DO12</f>
        <v>0</v>
      </c>
      <c r="DP151" s="56" t="n">
        <f aca="false">DP150+$E150*DP12</f>
        <v>0</v>
      </c>
      <c r="DQ151" s="56" t="n">
        <f aca="false">DQ150+$E150*DQ12</f>
        <v>0</v>
      </c>
      <c r="DR151" s="56" t="n">
        <f aca="false">DR150+$E150*DR12</f>
        <v>0</v>
      </c>
      <c r="DS151" s="56" t="n">
        <f aca="false">DS150+$E150*DS12</f>
        <v>0</v>
      </c>
      <c r="DT151" s="56" t="n">
        <f aca="false">DT150+$E150*DT12</f>
        <v>0</v>
      </c>
      <c r="DU151" s="56" t="n">
        <f aca="false">DU150+$E150*DU12</f>
        <v>0</v>
      </c>
      <c r="DV151" s="56" t="n">
        <f aca="false">DV150+$E150*DV12</f>
        <v>0</v>
      </c>
      <c r="DW151" s="56" t="n">
        <f aca="false">DW150+$E150*DW12</f>
        <v>0</v>
      </c>
      <c r="DX151" s="56" t="n">
        <f aca="false">DX150+$E150*DX12</f>
        <v>0</v>
      </c>
      <c r="DY151" s="56" t="n">
        <f aca="false">DY150+$E150*DY12</f>
        <v>0</v>
      </c>
      <c r="DZ151" s="56" t="n">
        <f aca="false">DZ150+$E150*DZ12</f>
        <v>0</v>
      </c>
      <c r="EA151" s="56" t="n">
        <f aca="false">EA150+$E150*EA12</f>
        <v>0</v>
      </c>
      <c r="EB151" s="56" t="n">
        <f aca="false">EB150+$E150*EB12</f>
        <v>0</v>
      </c>
      <c r="EC151" s="56" t="n">
        <f aca="false">EC150+$E150*EC12</f>
        <v>0</v>
      </c>
      <c r="ED151" s="56" t="n">
        <f aca="false">ED150+$E150*ED12</f>
        <v>0</v>
      </c>
      <c r="EE151" s="56" t="n">
        <f aca="false">EE150+$E150*EE12</f>
        <v>0</v>
      </c>
      <c r="EF151" s="56" t="n">
        <f aca="false">EF150+$E150*EF12</f>
        <v>0</v>
      </c>
      <c r="EG151" s="56" t="n">
        <f aca="false">EG150+$E150*EG12</f>
        <v>0</v>
      </c>
      <c r="EH151" s="56" t="n">
        <f aca="false">EH150+$E150*EH12</f>
        <v>0</v>
      </c>
      <c r="EI151" s="56" t="n">
        <f aca="false">EI150+$E150*EI12</f>
        <v>0</v>
      </c>
      <c r="EJ151" s="56" t="n">
        <f aca="false">EJ150+$E150*EJ12</f>
        <v>0</v>
      </c>
      <c r="EK151" s="56" t="n">
        <f aca="false">EK150+$E150*EK12</f>
        <v>0</v>
      </c>
      <c r="EL151" s="56" t="n">
        <f aca="false">EL150+$E150*EL12</f>
        <v>0</v>
      </c>
      <c r="EM151" s="56" t="n">
        <f aca="false">EM150+$E150*EM12</f>
        <v>0</v>
      </c>
      <c r="EN151" s="56" t="n">
        <f aca="false">EN150+$E150*EN12</f>
        <v>0</v>
      </c>
      <c r="EO151" s="56" t="n">
        <f aca="false">EO150+$E150*EO12</f>
        <v>0</v>
      </c>
      <c r="EP151" s="56" t="n">
        <f aca="false">EP150+$E150*EP12</f>
        <v>0</v>
      </c>
      <c r="EQ151" s="56" t="n">
        <f aca="false">EQ150+$E150*EQ12</f>
        <v>0</v>
      </c>
      <c r="ER151" s="56" t="n">
        <f aca="false">ER150+$E150*ER12</f>
        <v>0</v>
      </c>
      <c r="ES151" s="56" t="n">
        <f aca="false">ES150+$E150*ES12</f>
        <v>0</v>
      </c>
      <c r="ET151" s="56" t="n">
        <f aca="false">ET150+$E150*ET12</f>
        <v>0</v>
      </c>
    </row>
    <row r="152" customFormat="false" ht="15" hidden="false" customHeight="false" outlineLevel="0" collapsed="false">
      <c r="C152" s="31" t="s">
        <v>75</v>
      </c>
      <c r="D152" s="12" t="s">
        <v>35</v>
      </c>
      <c r="E152" s="59" t="n">
        <f aca="false">IFERROR(XIRR($J151:$ET151,$J$4:$ET$4),"n/a")</f>
        <v>0.229148555941046</v>
      </c>
    </row>
    <row r="153" customFormat="false" ht="15" hidden="false" customHeight="false" outlineLevel="0" collapsed="false">
      <c r="C153" s="31" t="s">
        <v>554</v>
      </c>
      <c r="D153" s="12" t="s">
        <v>13</v>
      </c>
      <c r="E153" s="60" t="n">
        <f aca="false">($F141+$E150)/($F141-$I150)</f>
        <v>1.25827110077129</v>
      </c>
    </row>
    <row r="154" customFormat="false" ht="15" hidden="false" customHeight="false" outlineLevel="0" collapsed="false">
      <c r="C154" s="31" t="s">
        <v>142</v>
      </c>
      <c r="D154" s="12" t="s">
        <v>222</v>
      </c>
      <c r="E154" s="56" t="n">
        <f aca="false">XNPV(In_Discount_Rate,$J151:$ET151,$J$4:$ET$4)</f>
        <v>3485.06538772661</v>
      </c>
    </row>
    <row r="156" customFormat="false" ht="15" hidden="false" customHeight="false" outlineLevel="0" collapsed="false">
      <c r="A156" s="10" t="s">
        <v>13</v>
      </c>
      <c r="B156" s="10"/>
      <c r="C156" s="10" t="s">
        <v>143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</row>
    <row r="157" customFormat="false" ht="15" hidden="false" customHeight="false" outlineLevel="0" collapsed="false">
      <c r="C157" s="1" t="s">
        <v>555</v>
      </c>
      <c r="D157" s="12" t="s">
        <v>222</v>
      </c>
      <c r="I157" s="47" t="n">
        <f aca="false">SUM(J157:ET157)</f>
        <v>-68638.6060303975</v>
      </c>
      <c r="J157" s="47" t="n">
        <f aca="false">(J59+J104+J97+J118)*(J$4&lt;=In_COD)</f>
        <v>-400</v>
      </c>
      <c r="K157" s="47" t="n">
        <f aca="false">(K59+K104+K97+K118)*(K$4&lt;=In_COD)</f>
        <v>-1435.42058922875</v>
      </c>
      <c r="L157" s="47" t="n">
        <f aca="false">(L59+L104+L97+L118)*(L$4&lt;=In_COD)</f>
        <v>-678.468164758867</v>
      </c>
      <c r="M157" s="47" t="n">
        <f aca="false">(M59+M104+M97+M118)*(M$4&lt;=In_COD)</f>
        <v>-134.859523362732</v>
      </c>
      <c r="N157" s="47" t="n">
        <f aca="false">(N59+N104+N97+N118)*(N$4&lt;=In_COD)</f>
        <v>-135.859786076187</v>
      </c>
      <c r="O157" s="47" t="n">
        <f aca="false">(O59+O104+O97+O118)*(O$4&lt;=In_COD)</f>
        <v>-276.385813473447</v>
      </c>
      <c r="P157" s="47" t="n">
        <f aca="false">(P59+P104+P97+P118)*(P$4&lt;=In_COD)</f>
        <v>-1381.06570172449</v>
      </c>
      <c r="Q157" s="47" t="n">
        <f aca="false">(Q59+Q104+Q97+Q118)*(Q$4&lt;=In_COD)</f>
        <v>-95.6334959654719</v>
      </c>
      <c r="R157" s="47" t="n">
        <f aca="false">(R59+R104+R97+R118)*(R$4&lt;=In_COD)</f>
        <v>-256.115679618261</v>
      </c>
      <c r="S157" s="47" t="n">
        <f aca="false">(S59+S104+S97+S118)*(S$4&lt;=In_COD)</f>
        <v>-409.250308335063</v>
      </c>
      <c r="T157" s="47" t="n">
        <f aca="false">(T59+T104+T97+T118)*(T$4&lt;=In_COD)</f>
        <v>-20574.0685866767</v>
      </c>
      <c r="U157" s="47" t="n">
        <f aca="false">(U59+U104+U97+U118)*(U$4&lt;=In_COD)</f>
        <v>-91.0239069243761</v>
      </c>
      <c r="V157" s="47" t="n">
        <f aca="false">(V59+V104+V97+V118)*(V$4&lt;=In_COD)</f>
        <v>-92.0241696378307</v>
      </c>
      <c r="W157" s="47" t="n">
        <f aca="false">(W59+W104+W97+W118)*(W$4&lt;=In_COD)</f>
        <v>-6189.04506865487</v>
      </c>
      <c r="X157" s="47" t="n">
        <f aca="false">(X59+X104+X97+X118)*(X$4&lt;=In_COD)</f>
        <v>-4514.9041339321</v>
      </c>
      <c r="Y157" s="47" t="n">
        <f aca="false">(Y59+Y104+Y97+Y118)*(Y$4&lt;=In_COD)</f>
        <v>-4540.56171163523</v>
      </c>
      <c r="Z157" s="47" t="n">
        <f aca="false">(Z59+Z104+Z97+Z118)*(Z$4&lt;=In_COD)</f>
        <v>-4565.40534764488</v>
      </c>
      <c r="AA157" s="47" t="n">
        <f aca="false">(AA59+AA104+AA97+AA118)*(AA$4&lt;=In_COD)</f>
        <v>-4540.07739730101</v>
      </c>
      <c r="AB157" s="47" t="n">
        <f aca="false">(AB59+AB104+AB97+AB118)*(AB$4&lt;=In_COD)</f>
        <v>-4418.49714016344</v>
      </c>
      <c r="AC157" s="47" t="n">
        <f aca="false">(AC59+AC104+AC97+AC118)*(AC$4&lt;=In_COD)</f>
        <v>-4443.08352904691</v>
      </c>
      <c r="AD157" s="47" t="n">
        <f aca="false">(AD59+AD104+AD97+AD118)*(AD$4&lt;=In_COD)</f>
        <v>-9466.85597623691</v>
      </c>
      <c r="AE157" s="47" t="n">
        <f aca="false">(AE59+AE104+AE97+AE118)*(AE$4&lt;=In_COD)</f>
        <v>0</v>
      </c>
      <c r="AF157" s="47" t="n">
        <f aca="false">(AF59+AF104+AF97+AF118)*(AF$4&lt;=In_COD)</f>
        <v>0</v>
      </c>
      <c r="AG157" s="47" t="n">
        <f aca="false">(AG59+AG104+AG97+AG118)*(AG$4&lt;=In_COD)</f>
        <v>0</v>
      </c>
      <c r="AH157" s="47" t="n">
        <f aca="false">(AH59+AH104+AH97+AH118)*(AH$4&lt;=In_COD)</f>
        <v>0</v>
      </c>
      <c r="AI157" s="47" t="n">
        <f aca="false">(AI59+AI104+AI97+AI118)*(AI$4&lt;=In_COD)</f>
        <v>0</v>
      </c>
      <c r="AJ157" s="47" t="n">
        <f aca="false">(AJ59+AJ104+AJ97+AJ118)*(AJ$4&lt;=In_COD)</f>
        <v>0</v>
      </c>
      <c r="AK157" s="47" t="n">
        <f aca="false">(AK59+AK104+AK97+AK118)*(AK$4&lt;=In_COD)</f>
        <v>0</v>
      </c>
      <c r="AL157" s="47" t="n">
        <f aca="false">(AL59+AL104+AL97+AL118)*(AL$4&lt;=In_COD)</f>
        <v>0</v>
      </c>
      <c r="AM157" s="47" t="n">
        <f aca="false">(AM59+AM104+AM97+AM118)*(AM$4&lt;=In_COD)</f>
        <v>0</v>
      </c>
      <c r="AN157" s="47" t="n">
        <f aca="false">(AN59+AN104+AN97+AN118)*(AN$4&lt;=In_COD)</f>
        <v>0</v>
      </c>
      <c r="AO157" s="47" t="n">
        <f aca="false">(AO59+AO104+AO97+AO118)*(AO$4&lt;=In_COD)</f>
        <v>0</v>
      </c>
      <c r="AP157" s="47" t="n">
        <f aca="false">(AP59+AP104+AP97+AP118)*(AP$4&lt;=In_COD)</f>
        <v>0</v>
      </c>
      <c r="AQ157" s="47" t="n">
        <f aca="false">(AQ59+AQ104+AQ97+AQ118)*(AQ$4&lt;=In_COD)</f>
        <v>0</v>
      </c>
      <c r="AR157" s="47" t="n">
        <f aca="false">(AR59+AR104+AR97+AR118)*(AR$4&lt;=In_COD)</f>
        <v>0</v>
      </c>
      <c r="AS157" s="47" t="n">
        <f aca="false">(AS59+AS104+AS97+AS118)*(AS$4&lt;=In_COD)</f>
        <v>0</v>
      </c>
      <c r="AT157" s="47" t="n">
        <f aca="false">(AT59+AT104+AT97+AT118)*(AT$4&lt;=In_COD)</f>
        <v>0</v>
      </c>
      <c r="AU157" s="47" t="n">
        <f aca="false">(AU59+AU104+AU97+AU118)*(AU$4&lt;=In_COD)</f>
        <v>0</v>
      </c>
      <c r="AV157" s="47" t="n">
        <f aca="false">(AV59+AV104+AV97+AV118)*(AV$4&lt;=In_COD)</f>
        <v>0</v>
      </c>
      <c r="AW157" s="47" t="n">
        <f aca="false">(AW59+AW104+AW97+AW118)*(AW$4&lt;=In_COD)</f>
        <v>0</v>
      </c>
      <c r="AX157" s="47" t="n">
        <f aca="false">(AX59+AX104+AX97+AX118)*(AX$4&lt;=In_COD)</f>
        <v>0</v>
      </c>
      <c r="AY157" s="47" t="n">
        <f aca="false">(AY59+AY104+AY97+AY118)*(AY$4&lt;=In_COD)</f>
        <v>0</v>
      </c>
      <c r="AZ157" s="47" t="n">
        <f aca="false">(AZ59+AZ104+AZ97+AZ118)*(AZ$4&lt;=In_COD)</f>
        <v>0</v>
      </c>
      <c r="BA157" s="47" t="n">
        <f aca="false">(BA59+BA104+BA97+BA118)*(BA$4&lt;=In_COD)</f>
        <v>0</v>
      </c>
      <c r="BB157" s="47" t="n">
        <f aca="false">(BB59+BB104+BB97+BB118)*(BB$4&lt;=In_COD)</f>
        <v>0</v>
      </c>
      <c r="BC157" s="47" t="n">
        <f aca="false">(BC59+BC104+BC97+BC118)*(BC$4&lt;=In_COD)</f>
        <v>0</v>
      </c>
      <c r="BD157" s="47" t="n">
        <f aca="false">(BD59+BD104+BD97+BD118)*(BD$4&lt;=In_COD)</f>
        <v>0</v>
      </c>
      <c r="BE157" s="47" t="n">
        <f aca="false">(BE59+BE104+BE97+BE118)*(BE$4&lt;=In_COD)</f>
        <v>0</v>
      </c>
      <c r="BF157" s="47" t="n">
        <f aca="false">(BF59+BF104+BF97+BF118)*(BF$4&lt;=In_COD)</f>
        <v>0</v>
      </c>
      <c r="BG157" s="47" t="n">
        <f aca="false">(BG59+BG104+BG97+BG118)*(BG$4&lt;=In_COD)</f>
        <v>0</v>
      </c>
      <c r="BH157" s="47" t="n">
        <f aca="false">(BH59+BH104+BH97+BH118)*(BH$4&lt;=In_COD)</f>
        <v>0</v>
      </c>
      <c r="BI157" s="47" t="n">
        <f aca="false">(BI59+BI104+BI97+BI118)*(BI$4&lt;=In_COD)</f>
        <v>0</v>
      </c>
      <c r="BJ157" s="47" t="n">
        <f aca="false">(BJ59+BJ104+BJ97+BJ118)*(BJ$4&lt;=In_COD)</f>
        <v>0</v>
      </c>
      <c r="BK157" s="47" t="n">
        <f aca="false">(BK59+BK104+BK97+BK118)*(BK$4&lt;=In_COD)</f>
        <v>0</v>
      </c>
      <c r="BL157" s="47" t="n">
        <f aca="false">(BL59+BL104+BL97+BL118)*(BL$4&lt;=In_COD)</f>
        <v>0</v>
      </c>
      <c r="BM157" s="47" t="n">
        <f aca="false">(BM59+BM104+BM97+BM118)*(BM$4&lt;=In_COD)</f>
        <v>0</v>
      </c>
      <c r="BN157" s="47" t="n">
        <f aca="false">(BN59+BN104+BN97+BN118)*(BN$4&lt;=In_COD)</f>
        <v>0</v>
      </c>
      <c r="BO157" s="47" t="n">
        <f aca="false">(BO59+BO104+BO97+BO118)*(BO$4&lt;=In_COD)</f>
        <v>0</v>
      </c>
      <c r="BP157" s="47" t="n">
        <f aca="false">(BP59+BP104+BP97+BP118)*(BP$4&lt;=In_COD)</f>
        <v>0</v>
      </c>
      <c r="BQ157" s="47" t="n">
        <f aca="false">(BQ59+BQ104+BQ97+BQ118)*(BQ$4&lt;=In_COD)</f>
        <v>0</v>
      </c>
      <c r="BR157" s="47" t="n">
        <f aca="false">(BR59+BR104+BR97+BR118)*(BR$4&lt;=In_COD)</f>
        <v>0</v>
      </c>
      <c r="BS157" s="47" t="n">
        <f aca="false">(BS59+BS104+BS97+BS118)*(BS$4&lt;=In_COD)</f>
        <v>0</v>
      </c>
      <c r="BT157" s="47" t="n">
        <f aca="false">(BT59+BT104+BT97+BT118)*(BT$4&lt;=In_COD)</f>
        <v>0</v>
      </c>
      <c r="BU157" s="47" t="n">
        <f aca="false">(BU59+BU104+BU97+BU118)*(BU$4&lt;=In_COD)</f>
        <v>0</v>
      </c>
      <c r="BV157" s="47" t="n">
        <f aca="false">(BV59+BV104+BV97+BV118)*(BV$4&lt;=In_COD)</f>
        <v>0</v>
      </c>
      <c r="BW157" s="47" t="n">
        <f aca="false">(BW59+BW104+BW97+BW118)*(BW$4&lt;=In_COD)</f>
        <v>0</v>
      </c>
      <c r="BX157" s="47" t="n">
        <f aca="false">(BX59+BX104+BX97+BX118)*(BX$4&lt;=In_COD)</f>
        <v>0</v>
      </c>
      <c r="BY157" s="47" t="n">
        <f aca="false">(BY59+BY104+BY97+BY118)*(BY$4&lt;=In_COD)</f>
        <v>0</v>
      </c>
      <c r="BZ157" s="47" t="n">
        <f aca="false">(BZ59+BZ104+BZ97+BZ118)*(BZ$4&lt;=In_COD)</f>
        <v>0</v>
      </c>
      <c r="CA157" s="47" t="n">
        <f aca="false">(CA59+CA104+CA97+CA118)*(CA$4&lt;=In_COD)</f>
        <v>0</v>
      </c>
      <c r="CB157" s="47" t="n">
        <f aca="false">(CB59+CB104+CB97+CB118)*(CB$4&lt;=In_COD)</f>
        <v>0</v>
      </c>
      <c r="CC157" s="47" t="n">
        <f aca="false">(CC59+CC104+CC97+CC118)*(CC$4&lt;=In_COD)</f>
        <v>0</v>
      </c>
      <c r="CD157" s="47" t="n">
        <f aca="false">(CD59+CD104+CD97+CD118)*(CD$4&lt;=In_COD)</f>
        <v>0</v>
      </c>
      <c r="CE157" s="47" t="n">
        <f aca="false">(CE59+CE104+CE97+CE118)*(CE$4&lt;=In_COD)</f>
        <v>0</v>
      </c>
      <c r="CF157" s="47" t="n">
        <f aca="false">(CF59+CF104+CF97+CF118)*(CF$4&lt;=In_COD)</f>
        <v>0</v>
      </c>
      <c r="CG157" s="47" t="n">
        <f aca="false">(CG59+CG104+CG97+CG118)*(CG$4&lt;=In_COD)</f>
        <v>0</v>
      </c>
      <c r="CH157" s="47" t="n">
        <f aca="false">(CH59+CH104+CH97+CH118)*(CH$4&lt;=In_COD)</f>
        <v>0</v>
      </c>
      <c r="CI157" s="47" t="n">
        <f aca="false">(CI59+CI104+CI97+CI118)*(CI$4&lt;=In_COD)</f>
        <v>0</v>
      </c>
      <c r="CJ157" s="47" t="n">
        <f aca="false">(CJ59+CJ104+CJ97+CJ118)*(CJ$4&lt;=In_COD)</f>
        <v>0</v>
      </c>
      <c r="CK157" s="47" t="n">
        <f aca="false">(CK59+CK104+CK97+CK118)*(CK$4&lt;=In_COD)</f>
        <v>0</v>
      </c>
      <c r="CL157" s="47" t="n">
        <f aca="false">(CL59+CL104+CL97+CL118)*(CL$4&lt;=In_COD)</f>
        <v>0</v>
      </c>
      <c r="CM157" s="47" t="n">
        <f aca="false">(CM59+CM104+CM97+CM118)*(CM$4&lt;=In_COD)</f>
        <v>0</v>
      </c>
      <c r="CN157" s="47" t="n">
        <f aca="false">(CN59+CN104+CN97+CN118)*(CN$4&lt;=In_COD)</f>
        <v>0</v>
      </c>
      <c r="CO157" s="47" t="n">
        <f aca="false">(CO59+CO104+CO97+CO118)*(CO$4&lt;=In_COD)</f>
        <v>0</v>
      </c>
      <c r="CP157" s="47" t="n">
        <f aca="false">(CP59+CP104+CP97+CP118)*(CP$4&lt;=In_COD)</f>
        <v>0</v>
      </c>
      <c r="CQ157" s="47" t="n">
        <f aca="false">(CQ59+CQ104+CQ97+CQ118)*(CQ$4&lt;=In_COD)</f>
        <v>0</v>
      </c>
      <c r="CR157" s="47" t="n">
        <f aca="false">(CR59+CR104+CR97+CR118)*(CR$4&lt;=In_COD)</f>
        <v>0</v>
      </c>
      <c r="CS157" s="47" t="n">
        <f aca="false">(CS59+CS104+CS97+CS118)*(CS$4&lt;=In_COD)</f>
        <v>0</v>
      </c>
      <c r="CT157" s="47" t="n">
        <f aca="false">(CT59+CT104+CT97+CT118)*(CT$4&lt;=In_COD)</f>
        <v>0</v>
      </c>
      <c r="CU157" s="47" t="n">
        <f aca="false">(CU59+CU104+CU97+CU118)*(CU$4&lt;=In_COD)</f>
        <v>0</v>
      </c>
      <c r="CV157" s="47" t="n">
        <f aca="false">(CV59+CV104+CV97+CV118)*(CV$4&lt;=In_COD)</f>
        <v>0</v>
      </c>
      <c r="CW157" s="47" t="n">
        <f aca="false">(CW59+CW104+CW97+CW118)*(CW$4&lt;=In_COD)</f>
        <v>0</v>
      </c>
      <c r="CX157" s="47" t="n">
        <f aca="false">(CX59+CX104+CX97+CX118)*(CX$4&lt;=In_COD)</f>
        <v>0</v>
      </c>
      <c r="CY157" s="47" t="n">
        <f aca="false">(CY59+CY104+CY97+CY118)*(CY$4&lt;=In_COD)</f>
        <v>0</v>
      </c>
      <c r="CZ157" s="47" t="n">
        <f aca="false">(CZ59+CZ104+CZ97+CZ118)*(CZ$4&lt;=In_COD)</f>
        <v>0</v>
      </c>
      <c r="DA157" s="47" t="n">
        <f aca="false">(DA59+DA104+DA97+DA118)*(DA$4&lt;=In_COD)</f>
        <v>0</v>
      </c>
      <c r="DB157" s="47" t="n">
        <f aca="false">(DB59+DB104+DB97+DB118)*(DB$4&lt;=In_COD)</f>
        <v>0</v>
      </c>
      <c r="DC157" s="47" t="n">
        <f aca="false">(DC59+DC104+DC97+DC118)*(DC$4&lt;=In_COD)</f>
        <v>0</v>
      </c>
      <c r="DD157" s="47" t="n">
        <f aca="false">(DD59+DD104+DD97+DD118)*(DD$4&lt;=In_COD)</f>
        <v>0</v>
      </c>
      <c r="DE157" s="47" t="n">
        <f aca="false">(DE59+DE104+DE97+DE118)*(DE$4&lt;=In_COD)</f>
        <v>0</v>
      </c>
      <c r="DF157" s="47" t="n">
        <f aca="false">(DF59+DF104+DF97+DF118)*(DF$4&lt;=In_COD)</f>
        <v>0</v>
      </c>
      <c r="DG157" s="47" t="n">
        <f aca="false">(DG59+DG104+DG97+DG118)*(DG$4&lt;=In_COD)</f>
        <v>0</v>
      </c>
      <c r="DH157" s="47" t="n">
        <f aca="false">(DH59+DH104+DH97+DH118)*(DH$4&lt;=In_COD)</f>
        <v>0</v>
      </c>
      <c r="DI157" s="47" t="n">
        <f aca="false">(DI59+DI104+DI97+DI118)*(DI$4&lt;=In_COD)</f>
        <v>0</v>
      </c>
      <c r="DJ157" s="47" t="n">
        <f aca="false">(DJ59+DJ104+DJ97+DJ118)*(DJ$4&lt;=In_COD)</f>
        <v>0</v>
      </c>
      <c r="DK157" s="47" t="n">
        <f aca="false">(DK59+DK104+DK97+DK118)*(DK$4&lt;=In_COD)</f>
        <v>0</v>
      </c>
      <c r="DL157" s="47" t="n">
        <f aca="false">(DL59+DL104+DL97+DL118)*(DL$4&lt;=In_COD)</f>
        <v>0</v>
      </c>
      <c r="DM157" s="47" t="n">
        <f aca="false">(DM59+DM104+DM97+DM118)*(DM$4&lt;=In_COD)</f>
        <v>0</v>
      </c>
      <c r="DN157" s="47" t="n">
        <f aca="false">(DN59+DN104+DN97+DN118)*(DN$4&lt;=In_COD)</f>
        <v>0</v>
      </c>
      <c r="DO157" s="47" t="n">
        <f aca="false">(DO59+DO104+DO97+DO118)*(DO$4&lt;=In_COD)</f>
        <v>0</v>
      </c>
      <c r="DP157" s="47" t="n">
        <f aca="false">(DP59+DP104+DP97+DP118)*(DP$4&lt;=In_COD)</f>
        <v>0</v>
      </c>
      <c r="DQ157" s="47" t="n">
        <f aca="false">(DQ59+DQ104+DQ97+DQ118)*(DQ$4&lt;=In_COD)</f>
        <v>0</v>
      </c>
      <c r="DR157" s="47" t="n">
        <f aca="false">(DR59+DR104+DR97+DR118)*(DR$4&lt;=In_COD)</f>
        <v>0</v>
      </c>
      <c r="DS157" s="47" t="n">
        <f aca="false">(DS59+DS104+DS97+DS118)*(DS$4&lt;=In_COD)</f>
        <v>0</v>
      </c>
      <c r="DT157" s="47" t="n">
        <f aca="false">(DT59+DT104+DT97+DT118)*(DT$4&lt;=In_COD)</f>
        <v>0</v>
      </c>
      <c r="DU157" s="47" t="n">
        <f aca="false">(DU59+DU104+DU97+DU118)*(DU$4&lt;=In_COD)</f>
        <v>0</v>
      </c>
      <c r="DV157" s="47" t="n">
        <f aca="false">(DV59+DV104+DV97+DV118)*(DV$4&lt;=In_COD)</f>
        <v>0</v>
      </c>
      <c r="DW157" s="47" t="n">
        <f aca="false">(DW59+DW104+DW97+DW118)*(DW$4&lt;=In_COD)</f>
        <v>0</v>
      </c>
      <c r="DX157" s="47" t="n">
        <f aca="false">(DX59+DX104+DX97+DX118)*(DX$4&lt;=In_COD)</f>
        <v>0</v>
      </c>
      <c r="DY157" s="47" t="n">
        <f aca="false">(DY59+DY104+DY97+DY118)*(DY$4&lt;=In_COD)</f>
        <v>0</v>
      </c>
      <c r="DZ157" s="47" t="n">
        <f aca="false">(DZ59+DZ104+DZ97+DZ118)*(DZ$4&lt;=In_COD)</f>
        <v>0</v>
      </c>
      <c r="EA157" s="47" t="n">
        <f aca="false">(EA59+EA104+EA97+EA118)*(EA$4&lt;=In_COD)</f>
        <v>0</v>
      </c>
      <c r="EB157" s="47" t="n">
        <f aca="false">(EB59+EB104+EB97+EB118)*(EB$4&lt;=In_COD)</f>
        <v>0</v>
      </c>
      <c r="EC157" s="47" t="n">
        <f aca="false">(EC59+EC104+EC97+EC118)*(EC$4&lt;=In_COD)</f>
        <v>0</v>
      </c>
      <c r="ED157" s="47" t="n">
        <f aca="false">(ED59+ED104+ED97+ED118)*(ED$4&lt;=In_COD)</f>
        <v>0</v>
      </c>
      <c r="EE157" s="47" t="n">
        <f aca="false">(EE59+EE104+EE97+EE118)*(EE$4&lt;=In_COD)</f>
        <v>0</v>
      </c>
      <c r="EF157" s="47" t="n">
        <f aca="false">(EF59+EF104+EF97+EF118)*(EF$4&lt;=In_COD)</f>
        <v>0</v>
      </c>
      <c r="EG157" s="47" t="n">
        <f aca="false">(EG59+EG104+EG97+EG118)*(EG$4&lt;=In_COD)</f>
        <v>0</v>
      </c>
      <c r="EH157" s="47" t="n">
        <f aca="false">(EH59+EH104+EH97+EH118)*(EH$4&lt;=In_COD)</f>
        <v>0</v>
      </c>
      <c r="EI157" s="47" t="n">
        <f aca="false">(EI59+EI104+EI97+EI118)*(EI$4&lt;=In_COD)</f>
        <v>0</v>
      </c>
      <c r="EJ157" s="47" t="n">
        <f aca="false">(EJ59+EJ104+EJ97+EJ118)*(EJ$4&lt;=In_COD)</f>
        <v>0</v>
      </c>
      <c r="EK157" s="47" t="n">
        <f aca="false">(EK59+EK104+EK97+EK118)*(EK$4&lt;=In_COD)</f>
        <v>0</v>
      </c>
      <c r="EL157" s="47" t="n">
        <f aca="false">(EL59+EL104+EL97+EL118)*(EL$4&lt;=In_COD)</f>
        <v>0</v>
      </c>
      <c r="EM157" s="47" t="n">
        <f aca="false">(EM59+EM104+EM97+EM118)*(EM$4&lt;=In_COD)</f>
        <v>0</v>
      </c>
      <c r="EN157" s="47" t="n">
        <f aca="false">(EN59+EN104+EN97+EN118)*(EN$4&lt;=In_COD)</f>
        <v>0</v>
      </c>
      <c r="EO157" s="47" t="n">
        <f aca="false">(EO59+EO104+EO97+EO118)*(EO$4&lt;=In_COD)</f>
        <v>0</v>
      </c>
      <c r="EP157" s="47" t="n">
        <f aca="false">(EP59+EP104+EP97+EP118)*(EP$4&lt;=In_COD)</f>
        <v>0</v>
      </c>
      <c r="EQ157" s="47" t="n">
        <f aca="false">(EQ59+EQ104+EQ97+EQ118)*(EQ$4&lt;=In_COD)</f>
        <v>0</v>
      </c>
      <c r="ER157" s="47" t="n">
        <f aca="false">(ER59+ER104+ER97+ER118)*(ER$4&lt;=In_COD)</f>
        <v>0</v>
      </c>
      <c r="ES157" s="47" t="n">
        <f aca="false">(ES59+ES104+ES97+ES118)*(ES$4&lt;=In_COD)</f>
        <v>0</v>
      </c>
      <c r="ET157" s="47" t="n">
        <f aca="false">(ET59+ET104+ET97+ET118)*(ET$4&lt;=In_COD)</f>
        <v>0</v>
      </c>
    </row>
    <row r="158" customFormat="false" ht="15" hidden="false" customHeight="false" outlineLevel="0" collapsed="false">
      <c r="C158" s="1" t="s">
        <v>556</v>
      </c>
      <c r="D158" s="12" t="s">
        <v>222</v>
      </c>
      <c r="E158" s="47" t="n">
        <f aca="false">SUMPRODUCT($J158:$ET158,$J21:$ET21)</f>
        <v>-24.7454304721122</v>
      </c>
      <c r="I158" s="47" t="n">
        <f aca="false">SUM(J158:ET158)</f>
        <v>-63.076579425959</v>
      </c>
      <c r="J158" s="47" t="n">
        <f aca="false">-($E31-In_Ref_Community)*J110*(1-In_CIT)/Thousand</f>
        <v>-0</v>
      </c>
      <c r="K158" s="47" t="n">
        <f aca="false">-($E31-In_Ref_Community)*K110*(1-In_CIT)/Thousand</f>
        <v>-0</v>
      </c>
      <c r="L158" s="47" t="n">
        <f aca="false">-($E31-In_Ref_Community)*L110*(1-In_CIT)/Thousand</f>
        <v>-0</v>
      </c>
      <c r="M158" s="47" t="n">
        <f aca="false">-($E31-In_Ref_Community)*M110*(1-In_CIT)/Thousand</f>
        <v>-0</v>
      </c>
      <c r="N158" s="47" t="n">
        <f aca="false">-($E31-In_Ref_Community)*N110*(1-In_CIT)/Thousand</f>
        <v>-0</v>
      </c>
      <c r="O158" s="47" t="n">
        <f aca="false">-($E31-In_Ref_Community)*O110*(1-In_CIT)/Thousand</f>
        <v>-0</v>
      </c>
      <c r="P158" s="47" t="n">
        <f aca="false">-($E31-In_Ref_Community)*P110*(1-In_CIT)/Thousand</f>
        <v>-0</v>
      </c>
      <c r="Q158" s="47" t="n">
        <f aca="false">-($E31-In_Ref_Community)*Q110*(1-In_CIT)/Thousand</f>
        <v>-0</v>
      </c>
      <c r="R158" s="47" t="n">
        <f aca="false">-($E31-In_Ref_Community)*R110*(1-In_CIT)/Thousand</f>
        <v>-0</v>
      </c>
      <c r="S158" s="47" t="n">
        <f aca="false">-($E31-In_Ref_Community)*S110*(1-In_CIT)/Thousand</f>
        <v>-0</v>
      </c>
      <c r="T158" s="47" t="n">
        <f aca="false">-($E31-In_Ref_Community)*T110*(1-In_CIT)/Thousand</f>
        <v>-0</v>
      </c>
      <c r="U158" s="47" t="n">
        <f aca="false">-($E31-In_Ref_Community)*U110*(1-In_CIT)/Thousand</f>
        <v>-0</v>
      </c>
      <c r="V158" s="47" t="n">
        <f aca="false">-($E31-In_Ref_Community)*V110*(1-In_CIT)/Thousand</f>
        <v>-0</v>
      </c>
      <c r="W158" s="47" t="n">
        <f aca="false">-($E31-In_Ref_Community)*W110*(1-In_CIT)/Thousand</f>
        <v>-0</v>
      </c>
      <c r="X158" s="47" t="n">
        <f aca="false">-($E31-In_Ref_Community)*X110*(1-In_CIT)/Thousand</f>
        <v>-0</v>
      </c>
      <c r="Y158" s="47" t="n">
        <f aca="false">-($E31-In_Ref_Community)*Y110*(1-In_CIT)/Thousand</f>
        <v>-0</v>
      </c>
      <c r="Z158" s="47" t="n">
        <f aca="false">-($E31-In_Ref_Community)*Z110*(1-In_CIT)/Thousand</f>
        <v>-0</v>
      </c>
      <c r="AA158" s="47" t="n">
        <f aca="false">-($E31-In_Ref_Community)*AA110*(1-In_CIT)/Thousand</f>
        <v>-0</v>
      </c>
      <c r="AB158" s="47" t="n">
        <f aca="false">-($E31-In_Ref_Community)*AB110*(1-In_CIT)/Thousand</f>
        <v>-0</v>
      </c>
      <c r="AC158" s="47" t="n">
        <f aca="false">-($E31-In_Ref_Community)*AC110*(1-In_CIT)/Thousand</f>
        <v>-0</v>
      </c>
      <c r="AD158" s="47" t="n">
        <f aca="false">-($E31-In_Ref_Community)*AD110*(1-In_CIT)/Thousand</f>
        <v>-0</v>
      </c>
      <c r="AE158" s="47" t="n">
        <f aca="false">-($E31-In_Ref_Community)*AE110*(1-In_CIT)/Thousand</f>
        <v>-0.552964865753413</v>
      </c>
      <c r="AF158" s="47" t="n">
        <f aca="false">-($E31-In_Ref_Community)*AF110*(1-In_CIT)/Thousand</f>
        <v>-0.54695437808218</v>
      </c>
      <c r="AG158" s="47" t="n">
        <f aca="false">-($E31-In_Ref_Community)*AG110*(1-In_CIT)/Thousand</f>
        <v>-0.54695437808218</v>
      </c>
      <c r="AH158" s="47" t="n">
        <f aca="false">-($E31-In_Ref_Community)*AH110*(1-In_CIT)/Thousand</f>
        <v>-0.552964865753413</v>
      </c>
      <c r="AI158" s="47" t="n">
        <f aca="false">-($E31-In_Ref_Community)*AI110*(1-In_CIT)/Thousand</f>
        <v>-0.551305971156153</v>
      </c>
      <c r="AJ158" s="47" t="n">
        <f aca="false">-($E31-In_Ref_Community)*AJ110*(1-In_CIT)/Thousand</f>
        <v>-0.539321058739715</v>
      </c>
      <c r="AK158" s="47" t="n">
        <f aca="false">-($E31-In_Ref_Community)*AK110*(1-In_CIT)/Thousand</f>
        <v>-0.545313514947934</v>
      </c>
      <c r="AL158" s="47" t="n">
        <f aca="false">-($E31-In_Ref_Community)*AL110*(1-In_CIT)/Thousand</f>
        <v>-0.551305971156153</v>
      </c>
      <c r="AM158" s="47" t="n">
        <f aca="false">-($E31-In_Ref_Community)*AM110*(1-In_CIT)/Thousand</f>
        <v>-0.549652053242684</v>
      </c>
      <c r="AN158" s="47" t="n">
        <f aca="false">-($E31-In_Ref_Community)*AN110*(1-In_CIT)/Thousand</f>
        <v>-0.537703095563495</v>
      </c>
      <c r="AO158" s="47" t="n">
        <f aca="false">-($E31-In_Ref_Community)*AO110*(1-In_CIT)/Thousand</f>
        <v>-0.54367757440309</v>
      </c>
      <c r="AP158" s="47" t="n">
        <f aca="false">-($E31-In_Ref_Community)*AP110*(1-In_CIT)/Thousand</f>
        <v>-0.549652053242684</v>
      </c>
      <c r="AQ158" s="47" t="n">
        <f aca="false">-($E31-In_Ref_Community)*AQ110*(1-In_CIT)/Thousand</f>
        <v>-0.548003097082956</v>
      </c>
      <c r="AR158" s="47" t="n">
        <f aca="false">-($E31-In_Ref_Community)*AR110*(1-In_CIT)/Thousand</f>
        <v>-0.536089986276805</v>
      </c>
      <c r="AS158" s="47" t="n">
        <f aca="false">-($E31-In_Ref_Community)*AS110*(1-In_CIT)/Thousand</f>
        <v>-0.542046541679881</v>
      </c>
      <c r="AT158" s="47" t="n">
        <f aca="false">-($E31-In_Ref_Community)*AT110*(1-In_CIT)/Thousand</f>
        <v>-0.548003097082956</v>
      </c>
      <c r="AU158" s="47" t="n">
        <f aca="false">-($E31-In_Ref_Community)*AU110*(1-In_CIT)/Thousand</f>
        <v>-0.546359087791708</v>
      </c>
      <c r="AV158" s="47" t="n">
        <f aca="false">-($E31-In_Ref_Community)*AV110*(1-In_CIT)/Thousand</f>
        <v>-0.540420402054841</v>
      </c>
      <c r="AW158" s="47" t="n">
        <f aca="false">-($E31-In_Ref_Community)*AW110*(1-In_CIT)/Thousand</f>
        <v>-0.540420402054841</v>
      </c>
      <c r="AX158" s="47" t="n">
        <f aca="false">-($E31-In_Ref_Community)*AX110*(1-In_CIT)/Thousand</f>
        <v>-0.546359087791708</v>
      </c>
      <c r="AY158" s="47" t="n">
        <f aca="false">-($E31-In_Ref_Community)*AY110*(1-In_CIT)/Thousand</f>
        <v>-0.544720010528332</v>
      </c>
      <c r="AZ158" s="47" t="n">
        <f aca="false">-($E31-In_Ref_Community)*AZ110*(1-In_CIT)/Thousand</f>
        <v>-0.532878271169021</v>
      </c>
      <c r="BA158" s="47" t="n">
        <f aca="false">-($E31-In_Ref_Community)*BA110*(1-In_CIT)/Thousand</f>
        <v>-0.538799140848676</v>
      </c>
      <c r="BB158" s="47" t="n">
        <f aca="false">-($E31-In_Ref_Community)*BB110*(1-In_CIT)/Thousand</f>
        <v>-0.544720010528332</v>
      </c>
      <c r="BC158" s="47" t="n">
        <f aca="false">-($E31-In_Ref_Community)*BC110*(1-In_CIT)/Thousand</f>
        <v>-0.543085850496747</v>
      </c>
      <c r="BD158" s="47" t="n">
        <f aca="false">-($E31-In_Ref_Community)*BD110*(1-In_CIT)/Thousand</f>
        <v>-0.531279636355514</v>
      </c>
      <c r="BE158" s="47" t="n">
        <f aca="false">-($E31-In_Ref_Community)*BE110*(1-In_CIT)/Thousand</f>
        <v>-0.53718274342613</v>
      </c>
      <c r="BF158" s="47" t="n">
        <f aca="false">-($E31-In_Ref_Community)*BF110*(1-In_CIT)/Thousand</f>
        <v>-0.543085850496747</v>
      </c>
      <c r="BG158" s="47" t="n">
        <f aca="false">-($E31-In_Ref_Community)*BG110*(1-In_CIT)/Thousand</f>
        <v>-0.541456592945257</v>
      </c>
      <c r="BH158" s="47" t="n">
        <f aca="false">-($E31-In_Ref_Community)*BH110*(1-In_CIT)/Thousand</f>
        <v>-0.529685797446447</v>
      </c>
      <c r="BI158" s="47" t="n">
        <f aca="false">-($E31-In_Ref_Community)*BI110*(1-In_CIT)/Thousand</f>
        <v>-0.535571195195852</v>
      </c>
      <c r="BJ158" s="47" t="n">
        <f aca="false">-($E31-In_Ref_Community)*BJ110*(1-In_CIT)/Thousand</f>
        <v>-0.541456592945257</v>
      </c>
      <c r="BK158" s="47" t="n">
        <f aca="false">-($E31-In_Ref_Community)*BK110*(1-In_CIT)/Thousand</f>
        <v>-0.539832223166421</v>
      </c>
      <c r="BL158" s="47" t="n">
        <f aca="false">-($E31-In_Ref_Community)*BL110*(1-In_CIT)/Thousand</f>
        <v>-0.533964481610264</v>
      </c>
      <c r="BM158" s="47" t="n">
        <f aca="false">-($E31-In_Ref_Community)*BM110*(1-In_CIT)/Thousand</f>
        <v>-0.533964481610264</v>
      </c>
      <c r="BN158" s="47" t="n">
        <f aca="false">-($E31-In_Ref_Community)*BN110*(1-In_CIT)/Thousand</f>
        <v>-0.539832223166421</v>
      </c>
      <c r="BO158" s="47" t="n">
        <f aca="false">-($E31-In_Ref_Community)*BO110*(1-In_CIT)/Thousand</f>
        <v>-0.538212726496922</v>
      </c>
      <c r="BP158" s="47" t="n">
        <f aca="false">-($E31-In_Ref_Community)*BP110*(1-In_CIT)/Thousand</f>
        <v>-0.526512449833945</v>
      </c>
      <c r="BQ158" s="47" t="n">
        <f aca="false">-($E31-In_Ref_Community)*BQ110*(1-In_CIT)/Thousand</f>
        <v>-0.532362588165434</v>
      </c>
      <c r="BR158" s="47" t="n">
        <f aca="false">-($E31-In_Ref_Community)*BR110*(1-In_CIT)/Thousand</f>
        <v>-0.538212726496922</v>
      </c>
      <c r="BS158" s="47" t="n">
        <f aca="false">-($E31-In_Ref_Community)*BS110*(1-In_CIT)/Thousand</f>
        <v>-0.536598088317431</v>
      </c>
      <c r="BT158" s="47" t="n">
        <f aca="false">-($E31-In_Ref_Community)*BT110*(1-In_CIT)/Thousand</f>
        <v>-0.524932912484444</v>
      </c>
      <c r="BU158" s="47" t="n">
        <f aca="false">-($E31-In_Ref_Community)*BU110*(1-In_CIT)/Thousand</f>
        <v>-0.530765500400937</v>
      </c>
      <c r="BV158" s="47" t="n">
        <f aca="false">-($E31-In_Ref_Community)*BV110*(1-In_CIT)/Thousand</f>
        <v>-0.536598088317431</v>
      </c>
      <c r="BW158" s="47" t="n">
        <f aca="false">-($E31-In_Ref_Community)*BW110*(1-In_CIT)/Thousand</f>
        <v>-0.534988294052479</v>
      </c>
      <c r="BX158" s="47" t="n">
        <f aca="false">-($E31-In_Ref_Community)*BX110*(1-In_CIT)/Thousand</f>
        <v>-0.52335811374699</v>
      </c>
      <c r="BY158" s="47" t="n">
        <f aca="false">-($E31-In_Ref_Community)*BY110*(1-In_CIT)/Thousand</f>
        <v>-0.529173203899735</v>
      </c>
      <c r="BZ158" s="47" t="n">
        <f aca="false">-($E31-In_Ref_Community)*BZ110*(1-In_CIT)/Thousand</f>
        <v>-0.534988294052479</v>
      </c>
      <c r="CA158" s="47" t="n">
        <f aca="false">-($E31-In_Ref_Community)*CA110*(1-In_CIT)/Thousand</f>
        <v>-0.533383329170321</v>
      </c>
      <c r="CB158" s="47" t="n">
        <f aca="false">-($E31-In_Ref_Community)*CB110*(1-In_CIT)/Thousand</f>
        <v>-0.527585684288035</v>
      </c>
      <c r="CC158" s="47" t="n">
        <f aca="false">-($E31-In_Ref_Community)*CC110*(1-In_CIT)/Thousand</f>
        <v>-0.527585684288035</v>
      </c>
      <c r="CD158" s="47" t="n">
        <f aca="false">-($E31-In_Ref_Community)*CD110*(1-In_CIT)/Thousand</f>
        <v>-0.533383329170321</v>
      </c>
      <c r="CE158" s="47" t="n">
        <f aca="false">-($E31-In_Ref_Community)*CE110*(1-In_CIT)/Thousand</f>
        <v>-0.53178317918281</v>
      </c>
      <c r="CF158" s="47" t="n">
        <f aca="false">-($E31-In_Ref_Community)*CF110*(1-In_CIT)/Thousand</f>
        <v>-0.520222675287532</v>
      </c>
      <c r="CG158" s="47" t="n">
        <f aca="false">-($E31-In_Ref_Community)*CG110*(1-In_CIT)/Thousand</f>
        <v>-0.526002927235171</v>
      </c>
      <c r="CH158" s="47" t="n">
        <f aca="false">-($E31-In_Ref_Community)*CH110*(1-In_CIT)/Thousand</f>
        <v>-0.53178317918281</v>
      </c>
      <c r="CI158" s="47" t="n">
        <f aca="false">-($E31-In_Ref_Community)*CI110*(1-In_CIT)/Thousand</f>
        <v>-0.530187829645262</v>
      </c>
      <c r="CJ158" s="47" t="n">
        <f aca="false">-($E31-In_Ref_Community)*CJ110*(1-In_CIT)/Thousand</f>
        <v>-0.518662007261669</v>
      </c>
      <c r="CK158" s="47" t="n">
        <f aca="false">-($E31-In_Ref_Community)*CK110*(1-In_CIT)/Thousand</f>
        <v>-0.524424918453466</v>
      </c>
      <c r="CL158" s="47" t="n">
        <f aca="false">-($E31-In_Ref_Community)*CL110*(1-In_CIT)/Thousand</f>
        <v>-0.530187829645262</v>
      </c>
      <c r="CM158" s="47" t="n">
        <f aca="false">-($E31-In_Ref_Community)*CM110*(1-In_CIT)/Thousand</f>
        <v>-0.528597266156326</v>
      </c>
      <c r="CN158" s="47" t="n">
        <f aca="false">-($E31-In_Ref_Community)*CN110*(1-In_CIT)/Thousand</f>
        <v>-0.517106021239884</v>
      </c>
      <c r="CO158" s="47" t="n">
        <f aca="false">-($E31-In_Ref_Community)*CO110*(1-In_CIT)/Thousand</f>
        <v>-0.522851643698105</v>
      </c>
      <c r="CP158" s="47" t="n">
        <f aca="false">-($E31-In_Ref_Community)*CP110*(1-In_CIT)/Thousand</f>
        <v>-0.528597266156326</v>
      </c>
      <c r="CQ158" s="47" t="n">
        <f aca="false">-($E31-In_Ref_Community)*CQ110*(1-In_CIT)/Thousand</f>
        <v>-0.527011474357857</v>
      </c>
      <c r="CR158" s="47" t="n">
        <f aca="false">-($E31-In_Ref_Community)*CR110*(1-In_CIT)/Thousand</f>
        <v>-0.521283088767011</v>
      </c>
      <c r="CS158" s="47" t="n">
        <f aca="false">-($E31-In_Ref_Community)*CS110*(1-In_CIT)/Thousand</f>
        <v>-0.521283088767011</v>
      </c>
      <c r="CT158" s="47" t="n">
        <f aca="false">-($E31-In_Ref_Community)*CT110*(1-In_CIT)/Thousand</f>
        <v>-0.527011474357857</v>
      </c>
      <c r="CU158" s="47" t="n">
        <f aca="false">-($E31-In_Ref_Community)*CU110*(1-In_CIT)/Thousand</f>
        <v>-0.525430439934784</v>
      </c>
      <c r="CV158" s="47" t="n">
        <f aca="false">-($E31-In_Ref_Community)*CV110*(1-In_CIT)/Thousand</f>
        <v>-0.514008039066636</v>
      </c>
      <c r="CW158" s="47" t="n">
        <f aca="false">-($E31-In_Ref_Community)*CW110*(1-In_CIT)/Thousand</f>
        <v>-0.51971923950071</v>
      </c>
      <c r="CX158" s="47" t="n">
        <f aca="false">-($E31-In_Ref_Community)*CX110*(1-In_CIT)/Thousand</f>
        <v>-0.525430439934784</v>
      </c>
      <c r="CY158" s="47" t="n">
        <f aca="false">-($E31-In_Ref_Community)*CY110*(1-In_CIT)/Thousand</f>
        <v>-0.523854148614979</v>
      </c>
      <c r="CZ158" s="47" t="n">
        <f aca="false">-($E31-In_Ref_Community)*CZ110*(1-In_CIT)/Thousand</f>
        <v>-0.512466014949436</v>
      </c>
      <c r="DA158" s="47" t="n">
        <f aca="false">-($E31-In_Ref_Community)*DA110*(1-In_CIT)/Thousand</f>
        <v>-0.518160081782208</v>
      </c>
      <c r="DB158" s="47" t="n">
        <f aca="false">-($E31-In_Ref_Community)*DB110*(1-In_CIT)/Thousand</f>
        <v>-0.523854148614979</v>
      </c>
      <c r="DC158" s="47" t="n">
        <f aca="false">-($E31-In_Ref_Community)*DC110*(1-In_CIT)/Thousand</f>
        <v>-0.522282586169135</v>
      </c>
      <c r="DD158" s="47" t="n">
        <f aca="false">-($E31-In_Ref_Community)*DD110*(1-In_CIT)/Thousand</f>
        <v>-0.510928616904588</v>
      </c>
      <c r="DE158" s="47" t="n">
        <f aca="false">-($E31-In_Ref_Community)*DE110*(1-In_CIT)/Thousand</f>
        <v>-0.516605601536861</v>
      </c>
      <c r="DF158" s="47" t="n">
        <f aca="false">-($E31-In_Ref_Community)*DF110*(1-In_CIT)/Thousand</f>
        <v>-0.522282586169135</v>
      </c>
      <c r="DG158" s="47" t="n">
        <f aca="false">-($E31-In_Ref_Community)*DG110*(1-In_CIT)/Thousand</f>
        <v>-0.520715738410627</v>
      </c>
      <c r="DH158" s="47" t="n">
        <f aca="false">-($E31-In_Ref_Community)*DH110*(1-In_CIT)/Thousand</f>
        <v>-0.515055784732251</v>
      </c>
      <c r="DI158" s="47" t="n">
        <f aca="false">-($E31-In_Ref_Community)*DI110*(1-In_CIT)/Thousand</f>
        <v>-0.515055784732251</v>
      </c>
      <c r="DJ158" s="47" t="n">
        <f aca="false">-($E31-In_Ref_Community)*DJ110*(1-In_CIT)/Thousand</f>
        <v>-0.520715738410627</v>
      </c>
      <c r="DK158" s="47" t="n">
        <f aca="false">-($E31-In_Ref_Community)*DK110*(1-In_CIT)/Thousand</f>
        <v>-0.519153591195395</v>
      </c>
      <c r="DL158" s="47" t="n">
        <f aca="false">-($E31-In_Ref_Community)*DL110*(1-In_CIT)/Thousand</f>
        <v>-0.507867643560713</v>
      </c>
      <c r="DM158" s="47" t="n">
        <f aca="false">-($E31-In_Ref_Community)*DM110*(1-In_CIT)/Thousand</f>
        <v>-0.513510617378054</v>
      </c>
      <c r="DN158" s="47" t="n">
        <f aca="false">-($E31-In_Ref_Community)*DN110*(1-In_CIT)/Thousand</f>
        <v>-0.519153591195395</v>
      </c>
      <c r="DO158" s="47" t="n">
        <f aca="false">-($E31-In_Ref_Community)*DO110*(1-In_CIT)/Thousand</f>
        <v>-0.517596130421809</v>
      </c>
      <c r="DP158" s="47" t="n">
        <f aca="false">-($E31-In_Ref_Community)*DP110*(1-In_CIT)/Thousand</f>
        <v>-0.50634404063003</v>
      </c>
      <c r="DQ158" s="47" t="n">
        <f aca="false">-($E31-In_Ref_Community)*DQ110*(1-In_CIT)/Thousand</f>
        <v>-0.51197008552592</v>
      </c>
      <c r="DR158" s="47" t="n">
        <f aca="false">-($E31-In_Ref_Community)*DR110*(1-In_CIT)/Thousand</f>
        <v>-0.517596130421809</v>
      </c>
      <c r="DS158" s="47" t="n">
        <f aca="false">-($E31-In_Ref_Community)*DS110*(1-In_CIT)/Thousand</f>
        <v>-0.516043342030544</v>
      </c>
      <c r="DT158" s="47" t="n">
        <f aca="false">-($E31-In_Ref_Community)*DT110*(1-In_CIT)/Thousand</f>
        <v>-0.50482500850814</v>
      </c>
      <c r="DU158" s="47" t="n">
        <f aca="false">-($E31-In_Ref_Community)*DU110*(1-In_CIT)/Thousand</f>
        <v>-0.510434175269342</v>
      </c>
      <c r="DV158" s="47" t="n">
        <f aca="false">-($E31-In_Ref_Community)*DV110*(1-In_CIT)/Thousand</f>
        <v>-0.516043342030544</v>
      </c>
      <c r="DW158" s="47" t="n">
        <f aca="false">-($E31-In_Ref_Community)*DW110*(1-In_CIT)/Thousand</f>
        <v>-0.514495212004452</v>
      </c>
      <c r="DX158" s="47" t="n">
        <f aca="false">-($E31-In_Ref_Community)*DX110*(1-In_CIT)/Thousand</f>
        <v>-0.508902872743534</v>
      </c>
      <c r="DY158" s="47" t="n">
        <f aca="false">-($E31-In_Ref_Community)*DY110*(1-In_CIT)/Thousand</f>
        <v>-0.508902872743534</v>
      </c>
      <c r="DZ158" s="47" t="n">
        <f aca="false">-($E31-In_Ref_Community)*DZ110*(1-In_CIT)/Thousand</f>
        <v>-0.514495212004452</v>
      </c>
      <c r="EA158" s="47" t="n">
        <f aca="false">-($E31-In_Ref_Community)*EA110*(1-In_CIT)/Thousand</f>
        <v>-0.512951726368438</v>
      </c>
      <c r="EB158" s="47" t="n">
        <f aca="false">-($E31-In_Ref_Community)*EB110*(1-In_CIT)/Thousand</f>
        <v>-0.501800601882168</v>
      </c>
      <c r="EC158" s="47" t="n">
        <f aca="false">-($E31-In_Ref_Community)*EC110*(1-In_CIT)/Thousand</f>
        <v>-0.507376164125303</v>
      </c>
      <c r="ED158" s="47" t="n">
        <f aca="false">-($E31-In_Ref_Community)*ED110*(1-In_CIT)/Thousand</f>
        <v>-0.512951726368438</v>
      </c>
      <c r="EE158" s="47" t="n">
        <f aca="false">-($E31-In_Ref_Community)*EE110*(1-In_CIT)/Thousand</f>
        <v>-0.511412871189333</v>
      </c>
      <c r="EF158" s="47" t="n">
        <f aca="false">-($E31-In_Ref_Community)*EF110*(1-In_CIT)/Thousand</f>
        <v>-0.500295200076522</v>
      </c>
      <c r="EG158" s="47" t="n">
        <f aca="false">-($E31-In_Ref_Community)*EG110*(1-In_CIT)/Thousand</f>
        <v>-0.505854035632927</v>
      </c>
      <c r="EH158" s="47" t="n">
        <f aca="false">-($E31-In_Ref_Community)*EH110*(1-In_CIT)/Thousand</f>
        <v>-0.511412871189333</v>
      </c>
      <c r="EI158" s="47" t="n">
        <f aca="false">-($E31-In_Ref_Community)*EI110*(1-In_CIT)/Thousand</f>
        <v>-0.509878632575765</v>
      </c>
      <c r="EJ158" s="47" t="n">
        <f aca="false">-($E31-In_Ref_Community)*EJ110*(1-In_CIT)/Thousand</f>
        <v>-0.498794314476292</v>
      </c>
      <c r="EK158" s="47" t="n">
        <f aca="false">-($E31-In_Ref_Community)*EK110*(1-In_CIT)/Thousand</f>
        <v>-0.504336473526029</v>
      </c>
      <c r="EL158" s="47" t="n">
        <f aca="false">-($E31-In_Ref_Community)*EL110*(1-In_CIT)/Thousand</f>
        <v>-0.509878632575765</v>
      </c>
      <c r="EM158" s="47" t="n">
        <f aca="false">-($E31-In_Ref_Community)*EM110*(1-In_CIT)/Thousand</f>
        <v>-0.508348996678038</v>
      </c>
      <c r="EN158" s="47" t="n">
        <f aca="false">-($E31-In_Ref_Community)*EN110*(1-In_CIT)/Thousand</f>
        <v>-0.50282346410545</v>
      </c>
      <c r="EO158" s="47" t="n">
        <f aca="false">-($E31-In_Ref_Community)*EO110*(1-In_CIT)/Thousand</f>
        <v>-0.50282346410545</v>
      </c>
      <c r="EP158" s="47" t="n">
        <f aca="false">-($E31-In_Ref_Community)*EP110*(1-In_CIT)/Thousand</f>
        <v>-0.508348996678038</v>
      </c>
      <c r="EQ158" s="47" t="n">
        <f aca="false">-($E31-In_Ref_Community)*EQ110*(1-In_CIT)/Thousand</f>
        <v>-0.506823949688004</v>
      </c>
      <c r="ER158" s="47" t="n">
        <f aca="false">-($E31-In_Ref_Community)*ER110*(1-In_CIT)/Thousand</f>
        <v>-0.495806037738264</v>
      </c>
      <c r="ES158" s="47" t="n">
        <f aca="false">-($E31-In_Ref_Community)*ES110*(1-In_CIT)/Thousand</f>
        <v>-0.501314993713134</v>
      </c>
      <c r="ET158" s="47" t="n">
        <f aca="false">-($E31-In_Ref_Community)*ET110*(1-In_CIT)/Thousand</f>
        <v>-0.506823949688004</v>
      </c>
    </row>
    <row r="159" customFormat="false" ht="15" hidden="false" customHeight="false" outlineLevel="0" collapsed="false">
      <c r="C159" s="1" t="s">
        <v>557</v>
      </c>
      <c r="D159" s="12" t="s">
        <v>222</v>
      </c>
      <c r="E159" s="47" t="n">
        <f aca="false">IF(In_CN_Turbine=1,In_COD_Price_CN,In_COD_Price)*$F24*(1-$E27)</f>
        <v>245000</v>
      </c>
      <c r="F159" s="47" t="n">
        <f aca="false">In_Pass_Through*($E158+SUMPRODUCT($J86:$ET86,$J21:$ET21))</f>
        <v>-1094.97144999633</v>
      </c>
    </row>
    <row r="160" customFormat="false" ht="15" hidden="false" customHeight="false" outlineLevel="0" collapsed="false">
      <c r="A160" s="36"/>
      <c r="B160" s="36"/>
      <c r="C160" s="36" t="s">
        <v>558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  <c r="AW160" s="36"/>
      <c r="AX160" s="36"/>
      <c r="AY160" s="36"/>
      <c r="AZ160" s="36"/>
      <c r="BA160" s="36"/>
      <c r="BB160" s="36"/>
      <c r="BC160" s="36"/>
      <c r="BD160" s="36"/>
      <c r="BE160" s="36"/>
      <c r="BF160" s="36"/>
      <c r="BG160" s="36"/>
      <c r="BH160" s="36"/>
      <c r="BI160" s="36"/>
      <c r="BJ160" s="36"/>
      <c r="BK160" s="36"/>
      <c r="BL160" s="36"/>
      <c r="BM160" s="36"/>
      <c r="BN160" s="36"/>
      <c r="BO160" s="36"/>
      <c r="BP160" s="36"/>
      <c r="BQ160" s="36"/>
      <c r="BR160" s="36"/>
      <c r="BS160" s="36"/>
      <c r="BT160" s="36"/>
      <c r="BU160" s="36"/>
      <c r="BV160" s="36"/>
      <c r="BW160" s="36"/>
      <c r="BX160" s="36"/>
      <c r="BY160" s="36"/>
      <c r="BZ160" s="36"/>
      <c r="CA160" s="36"/>
      <c r="CB160" s="36"/>
      <c r="CC160" s="36"/>
      <c r="CD160" s="36"/>
      <c r="CE160" s="36"/>
      <c r="CF160" s="36"/>
      <c r="CG160" s="36"/>
      <c r="CH160" s="36"/>
      <c r="CI160" s="36"/>
      <c r="CJ160" s="36"/>
      <c r="CK160" s="36"/>
      <c r="CL160" s="36"/>
      <c r="CM160" s="36"/>
      <c r="CN160" s="36"/>
      <c r="CO160" s="36"/>
      <c r="CP160" s="36"/>
      <c r="CQ160" s="3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/>
      <c r="DD160" s="36"/>
      <c r="DE160" s="36"/>
      <c r="DF160" s="36"/>
      <c r="DG160" s="36"/>
      <c r="DH160" s="36"/>
      <c r="DI160" s="36"/>
      <c r="DJ160" s="36"/>
      <c r="DK160" s="36"/>
      <c r="DL160" s="36"/>
      <c r="DM160" s="36"/>
      <c r="DN160" s="36"/>
      <c r="DO160" s="36"/>
      <c r="DP160" s="36"/>
      <c r="DQ160" s="36"/>
      <c r="DR160" s="36"/>
      <c r="DS160" s="36"/>
      <c r="DT160" s="36"/>
      <c r="DU160" s="36"/>
      <c r="DV160" s="36"/>
      <c r="DW160" s="36"/>
      <c r="DX160" s="36"/>
      <c r="DY160" s="36"/>
      <c r="DZ160" s="36"/>
      <c r="EA160" s="36"/>
      <c r="EB160" s="36"/>
      <c r="EC160" s="36"/>
      <c r="ED160" s="36"/>
      <c r="EE160" s="36"/>
      <c r="EF160" s="36"/>
      <c r="EG160" s="36"/>
      <c r="EH160" s="36"/>
      <c r="EI160" s="36"/>
      <c r="EJ160" s="36"/>
      <c r="EK160" s="36"/>
      <c r="EL160" s="36"/>
      <c r="EM160" s="36"/>
      <c r="EN160" s="36"/>
      <c r="EO160" s="36"/>
      <c r="EP160" s="36"/>
      <c r="EQ160" s="36"/>
      <c r="ER160" s="36"/>
      <c r="ES160" s="36"/>
      <c r="ET160" s="36"/>
    </row>
    <row r="161" customFormat="false" ht="15" hidden="false" customHeight="false" outlineLevel="0" collapsed="false">
      <c r="C161" s="1" t="s">
        <v>559</v>
      </c>
      <c r="D161" s="12" t="s">
        <v>222</v>
      </c>
      <c r="E161" s="47" t="n">
        <f aca="false">$I97+$I98</f>
        <v>92565.4711921723</v>
      </c>
      <c r="F161" s="47" t="n">
        <f aca="false">MAX(0,$E159+$F159-$E161)</f>
        <v>151339.557357831</v>
      </c>
    </row>
    <row r="162" customFormat="false" ht="15" hidden="false" customHeight="false" outlineLevel="0" collapsed="false">
      <c r="C162" s="1" t="s">
        <v>120</v>
      </c>
      <c r="D162" s="12" t="s">
        <v>222</v>
      </c>
      <c r="E162" s="23" t="n">
        <f aca="false">In_Sale_Costs</f>
        <v>500</v>
      </c>
      <c r="F162" s="47" t="n">
        <f aca="false">MIN($E162,$F161)</f>
        <v>500</v>
      </c>
    </row>
    <row r="163" customFormat="false" ht="15" hidden="false" customHeight="false" outlineLevel="0" collapsed="false">
      <c r="C163" s="1" t="s">
        <v>560</v>
      </c>
      <c r="D163" s="12" t="s">
        <v>222</v>
      </c>
      <c r="E163" s="47" t="n">
        <f aca="false">-$I157+$I46+$I54+$I56+$I47+$F58</f>
        <v>63790.9471648893</v>
      </c>
      <c r="F163" s="47" t="n">
        <f aca="false">MIN($E163,$F161-SUM($F162:$F162))</f>
        <v>63790.9471648893</v>
      </c>
    </row>
    <row r="164" customFormat="false" ht="15" hidden="false" customHeight="false" outlineLevel="0" collapsed="false">
      <c r="C164" s="1" t="s">
        <v>561</v>
      </c>
      <c r="D164" s="12" t="s">
        <v>222</v>
      </c>
      <c r="E164" s="47" t="n">
        <f aca="false">$F67+$F72+$F78</f>
        <v>11487.2306059999</v>
      </c>
      <c r="F164" s="47" t="n">
        <f aca="false">MIN($E164,$F161-SUM($F162:$F163))</f>
        <v>11487.2306059999</v>
      </c>
    </row>
    <row r="165" customFormat="false" ht="15" hidden="false" customHeight="false" outlineLevel="0" collapsed="false">
      <c r="C165" s="1" t="s">
        <v>541</v>
      </c>
      <c r="D165" s="12" t="s">
        <v>222</v>
      </c>
      <c r="E165" s="47" t="n">
        <f aca="false">MIN(In_DSA_Cap,In_DSA_Rate*YEARFRAC(In_Signing_Date,In_COD,0))*$E24</f>
        <v>1400</v>
      </c>
      <c r="F165" s="47" t="n">
        <f aca="false">MIN($E165,$F161-SUM($F162:$F164))</f>
        <v>1400</v>
      </c>
    </row>
    <row r="166" customFormat="false" ht="15" hidden="false" customHeight="false" outlineLevel="0" collapsed="false">
      <c r="C166" s="31" t="s">
        <v>542</v>
      </c>
      <c r="D166" s="12" t="s">
        <v>222</v>
      </c>
      <c r="F166" s="56" t="n">
        <f aca="false">MAX(0,$F161-SUM($E162:$E165))</f>
        <v>74161.3795869421</v>
      </c>
    </row>
    <row r="167" customFormat="false" ht="15" hidden="false" customHeight="false" outlineLevel="0" collapsed="false">
      <c r="C167" s="31" t="s">
        <v>149</v>
      </c>
      <c r="D167" s="12" t="s">
        <v>222</v>
      </c>
      <c r="F167" s="56" t="n">
        <f aca="false">$F163+$F164+In_FEP_Share*$F166</f>
        <v>127191.143481749</v>
      </c>
    </row>
    <row r="168" customFormat="false" ht="15" hidden="false" customHeight="false" outlineLevel="0" collapsed="false">
      <c r="C168" s="31" t="s">
        <v>562</v>
      </c>
      <c r="D168" s="12" t="s">
        <v>222</v>
      </c>
      <c r="I168" s="56" t="n">
        <f aca="false">SUM(J168:ET168)</f>
        <v>58552.5374513512</v>
      </c>
      <c r="J168" s="56" t="n">
        <f aca="false">J157+$F167*J14</f>
        <v>-400</v>
      </c>
      <c r="K168" s="56" t="n">
        <f aca="false">K157+$F167*K14</f>
        <v>-1435.42058922875</v>
      </c>
      <c r="L168" s="56" t="n">
        <f aca="false">L157+$F167*L14</f>
        <v>-678.468164758867</v>
      </c>
      <c r="M168" s="56" t="n">
        <f aca="false">M157+$F167*M14</f>
        <v>-134.859523362732</v>
      </c>
      <c r="N168" s="56" t="n">
        <f aca="false">N157+$F167*N14</f>
        <v>-135.859786076187</v>
      </c>
      <c r="O168" s="56" t="n">
        <f aca="false">O157+$F167*O14</f>
        <v>-276.385813473447</v>
      </c>
      <c r="P168" s="56" t="n">
        <f aca="false">P157+$F167*P14</f>
        <v>-1381.06570172449</v>
      </c>
      <c r="Q168" s="56" t="n">
        <f aca="false">Q157+$F167*Q14</f>
        <v>-95.6334959654719</v>
      </c>
      <c r="R168" s="56" t="n">
        <f aca="false">R157+$F167*R14</f>
        <v>-256.115679618261</v>
      </c>
      <c r="S168" s="56" t="n">
        <f aca="false">S157+$F167*S14</f>
        <v>-409.250308335063</v>
      </c>
      <c r="T168" s="56" t="n">
        <f aca="false">T157+$F167*T14</f>
        <v>-20574.0685866767</v>
      </c>
      <c r="U168" s="56" t="n">
        <f aca="false">U157+$F167*U14</f>
        <v>-91.0239069243761</v>
      </c>
      <c r="V168" s="56" t="n">
        <f aca="false">V157+$F167*V14</f>
        <v>-92.0241696378307</v>
      </c>
      <c r="W168" s="56" t="n">
        <f aca="false">W157+$F167*W14</f>
        <v>-6189.04506865487</v>
      </c>
      <c r="X168" s="56" t="n">
        <f aca="false">X157+$F167*X14</f>
        <v>-4514.9041339321</v>
      </c>
      <c r="Y168" s="56" t="n">
        <f aca="false">Y157+$F167*Y14</f>
        <v>-4540.56171163523</v>
      </c>
      <c r="Z168" s="56" t="n">
        <f aca="false">Z157+$F167*Z14</f>
        <v>-4565.40534764488</v>
      </c>
      <c r="AA168" s="56" t="n">
        <f aca="false">AA157+$F167*AA14</f>
        <v>-4540.07739730101</v>
      </c>
      <c r="AB168" s="56" t="n">
        <f aca="false">AB157+$F167*AB14</f>
        <v>-4418.49714016344</v>
      </c>
      <c r="AC168" s="56" t="n">
        <f aca="false">AC157+$F167*AC14</f>
        <v>-4443.08352904691</v>
      </c>
      <c r="AD168" s="56" t="n">
        <f aca="false">AD157+$F167*AD14</f>
        <v>117724.287505512</v>
      </c>
      <c r="AE168" s="56" t="n">
        <f aca="false">AE157+$F167*AE14</f>
        <v>0</v>
      </c>
      <c r="AF168" s="56" t="n">
        <f aca="false">AF157+$F167*AF14</f>
        <v>0</v>
      </c>
      <c r="AG168" s="56" t="n">
        <f aca="false">AG157+$F167*AG14</f>
        <v>0</v>
      </c>
      <c r="AH168" s="56" t="n">
        <f aca="false">AH157+$F167*AH14</f>
        <v>0</v>
      </c>
      <c r="AI168" s="56" t="n">
        <f aca="false">AI157+$F167*AI14</f>
        <v>0</v>
      </c>
      <c r="AJ168" s="56" t="n">
        <f aca="false">AJ157+$F167*AJ14</f>
        <v>0</v>
      </c>
      <c r="AK168" s="56" t="n">
        <f aca="false">AK157+$F167*AK14</f>
        <v>0</v>
      </c>
      <c r="AL168" s="56" t="n">
        <f aca="false">AL157+$F167*AL14</f>
        <v>0</v>
      </c>
      <c r="AM168" s="56" t="n">
        <f aca="false">AM157+$F167*AM14</f>
        <v>0</v>
      </c>
      <c r="AN168" s="56" t="n">
        <f aca="false">AN157+$F167*AN14</f>
        <v>0</v>
      </c>
      <c r="AO168" s="56" t="n">
        <f aca="false">AO157+$F167*AO14</f>
        <v>0</v>
      </c>
      <c r="AP168" s="56" t="n">
        <f aca="false">AP157+$F167*AP14</f>
        <v>0</v>
      </c>
      <c r="AQ168" s="56" t="n">
        <f aca="false">AQ157+$F167*AQ14</f>
        <v>0</v>
      </c>
      <c r="AR168" s="56" t="n">
        <f aca="false">AR157+$F167*AR14</f>
        <v>0</v>
      </c>
      <c r="AS168" s="56" t="n">
        <f aca="false">AS157+$F167*AS14</f>
        <v>0</v>
      </c>
      <c r="AT168" s="56" t="n">
        <f aca="false">AT157+$F167*AT14</f>
        <v>0</v>
      </c>
      <c r="AU168" s="56" t="n">
        <f aca="false">AU157+$F167*AU14</f>
        <v>0</v>
      </c>
      <c r="AV168" s="56" t="n">
        <f aca="false">AV157+$F167*AV14</f>
        <v>0</v>
      </c>
      <c r="AW168" s="56" t="n">
        <f aca="false">AW157+$F167*AW14</f>
        <v>0</v>
      </c>
      <c r="AX168" s="56" t="n">
        <f aca="false">AX157+$F167*AX14</f>
        <v>0</v>
      </c>
      <c r="AY168" s="56" t="n">
        <f aca="false">AY157+$F167*AY14</f>
        <v>0</v>
      </c>
      <c r="AZ168" s="56" t="n">
        <f aca="false">AZ157+$F167*AZ14</f>
        <v>0</v>
      </c>
      <c r="BA168" s="56" t="n">
        <f aca="false">BA157+$F167*BA14</f>
        <v>0</v>
      </c>
      <c r="BB168" s="56" t="n">
        <f aca="false">BB157+$F167*BB14</f>
        <v>0</v>
      </c>
      <c r="BC168" s="56" t="n">
        <f aca="false">BC157+$F167*BC14</f>
        <v>0</v>
      </c>
      <c r="BD168" s="56" t="n">
        <f aca="false">BD157+$F167*BD14</f>
        <v>0</v>
      </c>
      <c r="BE168" s="56" t="n">
        <f aca="false">BE157+$F167*BE14</f>
        <v>0</v>
      </c>
      <c r="BF168" s="56" t="n">
        <f aca="false">BF157+$F167*BF14</f>
        <v>0</v>
      </c>
      <c r="BG168" s="56" t="n">
        <f aca="false">BG157+$F167*BG14</f>
        <v>0</v>
      </c>
      <c r="BH168" s="56" t="n">
        <f aca="false">BH157+$F167*BH14</f>
        <v>0</v>
      </c>
      <c r="BI168" s="56" t="n">
        <f aca="false">BI157+$F167*BI14</f>
        <v>0</v>
      </c>
      <c r="BJ168" s="56" t="n">
        <f aca="false">BJ157+$F167*BJ14</f>
        <v>0</v>
      </c>
      <c r="BK168" s="56" t="n">
        <f aca="false">BK157+$F167*BK14</f>
        <v>0</v>
      </c>
      <c r="BL168" s="56" t="n">
        <f aca="false">BL157+$F167*BL14</f>
        <v>0</v>
      </c>
      <c r="BM168" s="56" t="n">
        <f aca="false">BM157+$F167*BM14</f>
        <v>0</v>
      </c>
      <c r="BN168" s="56" t="n">
        <f aca="false">BN157+$F167*BN14</f>
        <v>0</v>
      </c>
      <c r="BO168" s="56" t="n">
        <f aca="false">BO157+$F167*BO14</f>
        <v>0</v>
      </c>
      <c r="BP168" s="56" t="n">
        <f aca="false">BP157+$F167*BP14</f>
        <v>0</v>
      </c>
      <c r="BQ168" s="56" t="n">
        <f aca="false">BQ157+$F167*BQ14</f>
        <v>0</v>
      </c>
      <c r="BR168" s="56" t="n">
        <f aca="false">BR157+$F167*BR14</f>
        <v>0</v>
      </c>
      <c r="BS168" s="56" t="n">
        <f aca="false">BS157+$F167*BS14</f>
        <v>0</v>
      </c>
      <c r="BT168" s="56" t="n">
        <f aca="false">BT157+$F167*BT14</f>
        <v>0</v>
      </c>
      <c r="BU168" s="56" t="n">
        <f aca="false">BU157+$F167*BU14</f>
        <v>0</v>
      </c>
      <c r="BV168" s="56" t="n">
        <f aca="false">BV157+$F167*BV14</f>
        <v>0</v>
      </c>
      <c r="BW168" s="56" t="n">
        <f aca="false">BW157+$F167*BW14</f>
        <v>0</v>
      </c>
      <c r="BX168" s="56" t="n">
        <f aca="false">BX157+$F167*BX14</f>
        <v>0</v>
      </c>
      <c r="BY168" s="56" t="n">
        <f aca="false">BY157+$F167*BY14</f>
        <v>0</v>
      </c>
      <c r="BZ168" s="56" t="n">
        <f aca="false">BZ157+$F167*BZ14</f>
        <v>0</v>
      </c>
      <c r="CA168" s="56" t="n">
        <f aca="false">CA157+$F167*CA14</f>
        <v>0</v>
      </c>
      <c r="CB168" s="56" t="n">
        <f aca="false">CB157+$F167*CB14</f>
        <v>0</v>
      </c>
      <c r="CC168" s="56" t="n">
        <f aca="false">CC157+$F167*CC14</f>
        <v>0</v>
      </c>
      <c r="CD168" s="56" t="n">
        <f aca="false">CD157+$F167*CD14</f>
        <v>0</v>
      </c>
      <c r="CE168" s="56" t="n">
        <f aca="false">CE157+$F167*CE14</f>
        <v>0</v>
      </c>
      <c r="CF168" s="56" t="n">
        <f aca="false">CF157+$F167*CF14</f>
        <v>0</v>
      </c>
      <c r="CG168" s="56" t="n">
        <f aca="false">CG157+$F167*CG14</f>
        <v>0</v>
      </c>
      <c r="CH168" s="56" t="n">
        <f aca="false">CH157+$F167*CH14</f>
        <v>0</v>
      </c>
      <c r="CI168" s="56" t="n">
        <f aca="false">CI157+$F167*CI14</f>
        <v>0</v>
      </c>
      <c r="CJ168" s="56" t="n">
        <f aca="false">CJ157+$F167*CJ14</f>
        <v>0</v>
      </c>
      <c r="CK168" s="56" t="n">
        <f aca="false">CK157+$F167*CK14</f>
        <v>0</v>
      </c>
      <c r="CL168" s="56" t="n">
        <f aca="false">CL157+$F167*CL14</f>
        <v>0</v>
      </c>
      <c r="CM168" s="56" t="n">
        <f aca="false">CM157+$F167*CM14</f>
        <v>0</v>
      </c>
      <c r="CN168" s="56" t="n">
        <f aca="false">CN157+$F167*CN14</f>
        <v>0</v>
      </c>
      <c r="CO168" s="56" t="n">
        <f aca="false">CO157+$F167*CO14</f>
        <v>0</v>
      </c>
      <c r="CP168" s="56" t="n">
        <f aca="false">CP157+$F167*CP14</f>
        <v>0</v>
      </c>
      <c r="CQ168" s="56" t="n">
        <f aca="false">CQ157+$F167*CQ14</f>
        <v>0</v>
      </c>
      <c r="CR168" s="56" t="n">
        <f aca="false">CR157+$F167*CR14</f>
        <v>0</v>
      </c>
      <c r="CS168" s="56" t="n">
        <f aca="false">CS157+$F167*CS14</f>
        <v>0</v>
      </c>
      <c r="CT168" s="56" t="n">
        <f aca="false">CT157+$F167*CT14</f>
        <v>0</v>
      </c>
      <c r="CU168" s="56" t="n">
        <f aca="false">CU157+$F167*CU14</f>
        <v>0</v>
      </c>
      <c r="CV168" s="56" t="n">
        <f aca="false">CV157+$F167*CV14</f>
        <v>0</v>
      </c>
      <c r="CW168" s="56" t="n">
        <f aca="false">CW157+$F167*CW14</f>
        <v>0</v>
      </c>
      <c r="CX168" s="56" t="n">
        <f aca="false">CX157+$F167*CX14</f>
        <v>0</v>
      </c>
      <c r="CY168" s="56" t="n">
        <f aca="false">CY157+$F167*CY14</f>
        <v>0</v>
      </c>
      <c r="CZ168" s="56" t="n">
        <f aca="false">CZ157+$F167*CZ14</f>
        <v>0</v>
      </c>
      <c r="DA168" s="56" t="n">
        <f aca="false">DA157+$F167*DA14</f>
        <v>0</v>
      </c>
      <c r="DB168" s="56" t="n">
        <f aca="false">DB157+$F167*DB14</f>
        <v>0</v>
      </c>
      <c r="DC168" s="56" t="n">
        <f aca="false">DC157+$F167*DC14</f>
        <v>0</v>
      </c>
      <c r="DD168" s="56" t="n">
        <f aca="false">DD157+$F167*DD14</f>
        <v>0</v>
      </c>
      <c r="DE168" s="56" t="n">
        <f aca="false">DE157+$F167*DE14</f>
        <v>0</v>
      </c>
      <c r="DF168" s="56" t="n">
        <f aca="false">DF157+$F167*DF14</f>
        <v>0</v>
      </c>
      <c r="DG168" s="56" t="n">
        <f aca="false">DG157+$F167*DG14</f>
        <v>0</v>
      </c>
      <c r="DH168" s="56" t="n">
        <f aca="false">DH157+$F167*DH14</f>
        <v>0</v>
      </c>
      <c r="DI168" s="56" t="n">
        <f aca="false">DI157+$F167*DI14</f>
        <v>0</v>
      </c>
      <c r="DJ168" s="56" t="n">
        <f aca="false">DJ157+$F167*DJ14</f>
        <v>0</v>
      </c>
      <c r="DK168" s="56" t="n">
        <f aca="false">DK157+$F167*DK14</f>
        <v>0</v>
      </c>
      <c r="DL168" s="56" t="n">
        <f aca="false">DL157+$F167*DL14</f>
        <v>0</v>
      </c>
      <c r="DM168" s="56" t="n">
        <f aca="false">DM157+$F167*DM14</f>
        <v>0</v>
      </c>
      <c r="DN168" s="56" t="n">
        <f aca="false">DN157+$F167*DN14</f>
        <v>0</v>
      </c>
      <c r="DO168" s="56" t="n">
        <f aca="false">DO157+$F167*DO14</f>
        <v>0</v>
      </c>
      <c r="DP168" s="56" t="n">
        <f aca="false">DP157+$F167*DP14</f>
        <v>0</v>
      </c>
      <c r="DQ168" s="56" t="n">
        <f aca="false">DQ157+$F167*DQ14</f>
        <v>0</v>
      </c>
      <c r="DR168" s="56" t="n">
        <f aca="false">DR157+$F167*DR14</f>
        <v>0</v>
      </c>
      <c r="DS168" s="56" t="n">
        <f aca="false">DS157+$F167*DS14</f>
        <v>0</v>
      </c>
      <c r="DT168" s="56" t="n">
        <f aca="false">DT157+$F167*DT14</f>
        <v>0</v>
      </c>
      <c r="DU168" s="56" t="n">
        <f aca="false">DU157+$F167*DU14</f>
        <v>0</v>
      </c>
      <c r="DV168" s="56" t="n">
        <f aca="false">DV157+$F167*DV14</f>
        <v>0</v>
      </c>
      <c r="DW168" s="56" t="n">
        <f aca="false">DW157+$F167*DW14</f>
        <v>0</v>
      </c>
      <c r="DX168" s="56" t="n">
        <f aca="false">DX157+$F167*DX14</f>
        <v>0</v>
      </c>
      <c r="DY168" s="56" t="n">
        <f aca="false">DY157+$F167*DY14</f>
        <v>0</v>
      </c>
      <c r="DZ168" s="56" t="n">
        <f aca="false">DZ157+$F167*DZ14</f>
        <v>0</v>
      </c>
      <c r="EA168" s="56" t="n">
        <f aca="false">EA157+$F167*EA14</f>
        <v>0</v>
      </c>
      <c r="EB168" s="56" t="n">
        <f aca="false">EB157+$F167*EB14</f>
        <v>0</v>
      </c>
      <c r="EC168" s="56" t="n">
        <f aca="false">EC157+$F167*EC14</f>
        <v>0</v>
      </c>
      <c r="ED168" s="56" t="n">
        <f aca="false">ED157+$F167*ED14</f>
        <v>0</v>
      </c>
      <c r="EE168" s="56" t="n">
        <f aca="false">EE157+$F167*EE14</f>
        <v>0</v>
      </c>
      <c r="EF168" s="56" t="n">
        <f aca="false">EF157+$F167*EF14</f>
        <v>0</v>
      </c>
      <c r="EG168" s="56" t="n">
        <f aca="false">EG157+$F167*EG14</f>
        <v>0</v>
      </c>
      <c r="EH168" s="56" t="n">
        <f aca="false">EH157+$F167*EH14</f>
        <v>0</v>
      </c>
      <c r="EI168" s="56" t="n">
        <f aca="false">EI157+$F167*EI14</f>
        <v>0</v>
      </c>
      <c r="EJ168" s="56" t="n">
        <f aca="false">EJ157+$F167*EJ14</f>
        <v>0</v>
      </c>
      <c r="EK168" s="56" t="n">
        <f aca="false">EK157+$F167*EK14</f>
        <v>0</v>
      </c>
      <c r="EL168" s="56" t="n">
        <f aca="false">EL157+$F167*EL14</f>
        <v>0</v>
      </c>
      <c r="EM168" s="56" t="n">
        <f aca="false">EM157+$F167*EM14</f>
        <v>0</v>
      </c>
      <c r="EN168" s="56" t="n">
        <f aca="false">EN157+$F167*EN14</f>
        <v>0</v>
      </c>
      <c r="EO168" s="56" t="n">
        <f aca="false">EO157+$F167*EO14</f>
        <v>0</v>
      </c>
      <c r="EP168" s="56" t="n">
        <f aca="false">EP157+$F167*EP14</f>
        <v>0</v>
      </c>
      <c r="EQ168" s="56" t="n">
        <f aca="false">EQ157+$F167*EQ14</f>
        <v>0</v>
      </c>
      <c r="ER168" s="56" t="n">
        <f aca="false">ER157+$F167*ER14</f>
        <v>0</v>
      </c>
      <c r="ES168" s="56" t="n">
        <f aca="false">ES157+$F167*ES14</f>
        <v>0</v>
      </c>
      <c r="ET168" s="56" t="n">
        <f aca="false">ET157+$F167*ET14</f>
        <v>0</v>
      </c>
    </row>
    <row r="169" customFormat="false" ht="15" hidden="false" customHeight="false" outlineLevel="0" collapsed="false">
      <c r="C169" s="31" t="s">
        <v>77</v>
      </c>
      <c r="D169" s="12" t="s">
        <v>35</v>
      </c>
      <c r="E169" s="59" t="n">
        <f aca="false">XIRR($J168:$ET168,$J$4:$ET$4)</f>
        <v>0.404581523786068</v>
      </c>
    </row>
    <row r="170" customFormat="false" ht="15" hidden="false" customHeight="false" outlineLevel="0" collapsed="false">
      <c r="C170" s="31" t="s">
        <v>563</v>
      </c>
      <c r="D170" s="12" t="s">
        <v>13</v>
      </c>
      <c r="E170" s="60" t="n">
        <f aca="false">$F167/-$I157</f>
        <v>1.85305545723671</v>
      </c>
    </row>
    <row r="171" customFormat="false" ht="15" hidden="false" customHeight="false" outlineLevel="0" collapsed="false">
      <c r="C171" s="31" t="s">
        <v>79</v>
      </c>
      <c r="D171" s="12" t="s">
        <v>222</v>
      </c>
      <c r="E171" s="56" t="n">
        <f aca="false">XNPV(In_Discount_Rate,$J168:$ET168,$J$4:$ET$4)</f>
        <v>33641.146565739</v>
      </c>
    </row>
    <row r="172" customFormat="false" ht="15" hidden="false" customHeight="false" outlineLevel="0" collapsed="false">
      <c r="A172" s="36"/>
      <c r="B172" s="36"/>
      <c r="C172" s="36" t="s">
        <v>564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</row>
    <row r="173" customFormat="false" ht="15" hidden="false" customHeight="false" outlineLevel="0" collapsed="false">
      <c r="C173" s="1" t="s">
        <v>85</v>
      </c>
      <c r="D173" s="12" t="s">
        <v>222</v>
      </c>
      <c r="E173" s="47" t="n">
        <f aca="false">$E49-$I47-$I50</f>
        <v>7326.02739726027</v>
      </c>
    </row>
    <row r="174" customFormat="false" ht="15" hidden="false" customHeight="false" outlineLevel="0" collapsed="false">
      <c r="C174" s="1" t="s">
        <v>86</v>
      </c>
      <c r="D174" s="12" t="s">
        <v>222</v>
      </c>
      <c r="E174" s="47" t="n">
        <f aca="false">-($I57+$I46)</f>
        <v>3519.62451197093</v>
      </c>
    </row>
    <row r="175" customFormat="false" ht="15" hidden="false" customHeight="false" outlineLevel="0" collapsed="false">
      <c r="C175" s="1" t="s">
        <v>87</v>
      </c>
      <c r="D175" s="12" t="s">
        <v>222</v>
      </c>
      <c r="E175" s="47" t="n">
        <f aca="false">-($I93+$I53+$I94)-SUMIF($J$4:$ET$4,"&lt;="&amp;In_COD,$J118:$ET118)</f>
        <v>148272.878676463</v>
      </c>
    </row>
    <row r="176" customFormat="false" ht="15" hidden="false" customHeight="false" outlineLevel="0" collapsed="false">
      <c r="C176" s="1" t="s">
        <v>88</v>
      </c>
      <c r="D176" s="12" t="s">
        <v>222</v>
      </c>
      <c r="E176" s="47" t="n">
        <f aca="false">$I98-$I102-$I103-$F58</f>
        <v>8170.47814372495</v>
      </c>
    </row>
    <row r="177" customFormat="false" ht="15" hidden="false" customHeight="false" outlineLevel="0" collapsed="false">
      <c r="C177" s="31" t="s">
        <v>83</v>
      </c>
      <c r="D177" s="12" t="s">
        <v>222</v>
      </c>
      <c r="E177" s="56" t="n">
        <f aca="false">SUM($E173:$E176)</f>
        <v>167289.008729419</v>
      </c>
    </row>
    <row r="178" customFormat="false" ht="15" hidden="false" customHeight="false" outlineLevel="0" collapsed="false">
      <c r="C178" s="1" t="s">
        <v>565</v>
      </c>
      <c r="D178" s="12" t="s">
        <v>222</v>
      </c>
      <c r="E178" s="47" t="n">
        <f aca="false">-$I86</f>
        <v>1112.32876712329</v>
      </c>
      <c r="F178" s="47" t="n">
        <f aca="false">$F85</f>
        <v>6084.93150684932</v>
      </c>
    </row>
    <row r="179" customFormat="false" ht="15" hidden="false" customHeight="false" outlineLevel="0" collapsed="false">
      <c r="C179" s="31" t="s">
        <v>566</v>
      </c>
      <c r="D179" s="12" t="s">
        <v>222</v>
      </c>
      <c r="E179" s="56" t="n">
        <f aca="false">$E177-$E49</f>
        <v>161204.07722257</v>
      </c>
      <c r="F179" s="56" t="n">
        <f aca="false">$I97+$I98-$I157</f>
        <v>161204.07722257</v>
      </c>
    </row>
    <row r="180" customFormat="false" ht="15" hidden="false" customHeight="false" outlineLevel="0" collapsed="false">
      <c r="C180" s="1" t="s">
        <v>567</v>
      </c>
      <c r="D180" s="12" t="s">
        <v>27</v>
      </c>
      <c r="E180" s="47" t="n">
        <f aca="false">$E179/$F24</f>
        <v>1612.0407722257</v>
      </c>
    </row>
    <row r="182" customFormat="false" ht="15" hidden="false" customHeight="false" outlineLevel="0" collapsed="false">
      <c r="A182" s="10" t="s">
        <v>13</v>
      </c>
      <c r="B182" s="10"/>
      <c r="C182" s="10" t="s">
        <v>152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</row>
    <row r="183" customFormat="false" ht="15" hidden="false" customHeight="false" outlineLevel="0" collapsed="false">
      <c r="C183" s="31" t="s">
        <v>568</v>
      </c>
      <c r="D183" s="12" t="s">
        <v>222</v>
      </c>
      <c r="I183" s="56" t="n">
        <f aca="false">SUM(J183:ET183)</f>
        <v>297341.990430381</v>
      </c>
      <c r="J183" s="56" t="n">
        <f aca="false">J59+J104+J97+J118+J101+J99+J127+J86-$F142*J12</f>
        <v>-400</v>
      </c>
      <c r="K183" s="56" t="n">
        <f aca="false">K59+K104+K97+K118+K101+K99+K127+K86-$F142*K12</f>
        <v>-1435.42058922875</v>
      </c>
      <c r="L183" s="56" t="n">
        <f aca="false">L59+L104+L97+L118+L101+L99+L127+L86-$F142*L12</f>
        <v>-678.468164758867</v>
      </c>
      <c r="M183" s="56" t="n">
        <f aca="false">M59+M104+M97+M118+M101+M99+M127+M86-$F142*M12</f>
        <v>-134.859523362732</v>
      </c>
      <c r="N183" s="56" t="n">
        <f aca="false">N59+N104+N97+N118+N101+N99+N127+N86-$F142*N12</f>
        <v>-135.859786076187</v>
      </c>
      <c r="O183" s="56" t="n">
        <f aca="false">O59+O104+O97+O118+O101+O99+O127+O86-$F142*O12</f>
        <v>-276.385813473447</v>
      </c>
      <c r="P183" s="56" t="n">
        <f aca="false">P59+P104+P97+P118+P101+P99+P127+P86-$F142*P12</f>
        <v>-1381.06570172449</v>
      </c>
      <c r="Q183" s="56" t="n">
        <f aca="false">Q59+Q104+Q97+Q118+Q101+Q99+Q127+Q86-$F142*Q12</f>
        <v>-95.6334959654719</v>
      </c>
      <c r="R183" s="56" t="n">
        <f aca="false">R59+R104+R97+R118+R101+R99+R127+R86-$F142*R12</f>
        <v>-256.115679618261</v>
      </c>
      <c r="S183" s="56" t="n">
        <f aca="false">S59+S104+S97+S118+S101+S99+S127+S86-$F142*S12</f>
        <v>-409.250308335063</v>
      </c>
      <c r="T183" s="56" t="n">
        <f aca="false">T59+T104+T97+T118+T101+T99+T127+T86-$F142*T12</f>
        <v>-20574.0685866767</v>
      </c>
      <c r="U183" s="56" t="n">
        <f aca="false">U59+U104+U97+U118+U101+U99+U127+U86-$F142*U12</f>
        <v>-91.0239069243761</v>
      </c>
      <c r="V183" s="56" t="n">
        <f aca="false">V59+V104+V97+V118+V101+V99+V127+V86-$F142*V12</f>
        <v>-92.0241696378307</v>
      </c>
      <c r="W183" s="56" t="n">
        <f aca="false">W59+W104+W97+W118+W101+W99+W127+W86-$F142*W12</f>
        <v>-9620.56189826607</v>
      </c>
      <c r="X183" s="56" t="n">
        <f aca="false">X59+X104+X97+X118+X101+X99+X127+X86-$F142*X12</f>
        <v>-4514.9041339321</v>
      </c>
      <c r="Y183" s="56" t="n">
        <f aca="false">Y59+Y104+Y97+Y118+Y101+Y99+Y127+Y86-$F142*Y12</f>
        <v>-4540.56171163523</v>
      </c>
      <c r="Z183" s="56" t="n">
        <f aca="false">Z59+Z104+Z97+Z118+Z101+Z99+Z127+Z86-$F142*Z12</f>
        <v>-4565.40534764488</v>
      </c>
      <c r="AA183" s="56" t="n">
        <f aca="false">AA59+AA104+AA97+AA118+AA101+AA99+AA127+AA86-$F142*AA12</f>
        <v>-4540.07739730101</v>
      </c>
      <c r="AB183" s="56" t="n">
        <f aca="false">AB59+AB104+AB97+AB118+AB101+AB99+AB127+AB86-$F142*AB12</f>
        <v>-4418.49714016344</v>
      </c>
      <c r="AC183" s="56" t="n">
        <f aca="false">AC59+AC104+AC97+AC118+AC101+AC99+AC127+AC86-$F142*AC12</f>
        <v>-4443.08352904691</v>
      </c>
      <c r="AD183" s="56" t="n">
        <f aca="false">AD59+AD104+AD97+AD118+AD101+AD99+AD127+AD86-$F142*AD12</f>
        <v>-9466.85597623691</v>
      </c>
      <c r="AE183" s="56" t="n">
        <f aca="false">AE59+AE104+AE97+AE118+AE101+AE99+AE127+AE86-$F142*AE12</f>
        <v>1164.41935430087</v>
      </c>
      <c r="AF183" s="56" t="n">
        <f aca="false">AF59+AF104+AF97+AF118+AF101+AF99+AF127+AF86-$F142*AF12</f>
        <v>35.0401961798063</v>
      </c>
      <c r="AG183" s="56" t="n">
        <f aca="false">AG59+AG104+AG97+AG118+AG101+AG99+AG127+AG86-$F142*AG12</f>
        <v>1147.36896330309</v>
      </c>
      <c r="AH183" s="56" t="n">
        <f aca="false">AH59+AH104+AH97+AH118+AH101+AH99+AH127+AH86-$F142*AH12</f>
        <v>1192.44797080717</v>
      </c>
      <c r="AI183" s="56" t="n">
        <f aca="false">AI59+AI104+AI97+AI118+AI101+AI99+AI127+AI86-$F142*AI12</f>
        <v>1177.57346414494</v>
      </c>
      <c r="AJ183" s="56" t="n">
        <f aca="false">AJ59+AJ104+AJ97+AJ118+AJ101+AJ99+AJ127+AJ86-$F142*AJ12</f>
        <v>1027.72313281101</v>
      </c>
      <c r="AK183" s="56" t="n">
        <f aca="false">AK59+AK104+AK97+AK118+AK101+AK99+AK127+AK86-$F142*AK12</f>
        <v>1135.6225328292</v>
      </c>
      <c r="AL183" s="56" t="n">
        <f aca="false">AL59+AL104+AL97+AL118+AL101+AL99+AL127+AL86-$F142*AL12</f>
        <v>1177.38671573708</v>
      </c>
      <c r="AM183" s="56" t="n">
        <f aca="false">AM59+AM104+AM97+AM118+AM101+AM99+AM127+AM86-$F142*AM12</f>
        <v>1161.5603821386</v>
      </c>
      <c r="AN183" s="56" t="n">
        <f aca="false">AN59+AN104+AN97+AN118+AN101+AN99+AN127+AN86-$F142*AN12</f>
        <v>1096.24968799561</v>
      </c>
      <c r="AO183" s="56" t="n">
        <f aca="false">AO59+AO104+AO97+AO118+AO101+AO99+AO127+AO86-$F142*AO12</f>
        <v>1138.05545914751</v>
      </c>
      <c r="AP183" s="56" t="n">
        <f aca="false">AP59+AP104+AP97+AP118+AP101+AP99+AP127+AP86-$F142*AP12</f>
        <v>1179.83295887549</v>
      </c>
      <c r="AQ183" s="56" t="n">
        <f aca="false">AQ59+AQ104+AQ97+AQ118+AQ101+AQ99+AQ127+AQ86-$F142*AQ12</f>
        <v>1163.80962525497</v>
      </c>
      <c r="AR183" s="56" t="n">
        <f aca="false">AR59+AR104+AR97+AR118+AR101+AR99+AR127+AR86-$F142*AR12</f>
        <v>1097.90261845172</v>
      </c>
      <c r="AS183" s="56" t="n">
        <f aca="false">AS59+AS104+AS97+AS118+AS101+AS99+AS127+AS86-$F142*AS12</f>
        <v>1139.71395285565</v>
      </c>
      <c r="AT183" s="56" t="n">
        <f aca="false">AT59+AT104+AT97+AT118+AT101+AT99+AT127+AT86-$F142*AT12</f>
        <v>1181.49557553845</v>
      </c>
      <c r="AU183" s="56" t="n">
        <f aca="false">AU59+AU104+AU97+AU118+AU101+AU99+AU127+AU86-$F142*AU12</f>
        <v>1165.26923520451</v>
      </c>
      <c r="AV183" s="56" t="n">
        <f aca="false">AV59+AV104+AV97+AV118+AV101+AV99+AV127+AV86-$F142*AV12</f>
        <v>1143.06112557481</v>
      </c>
      <c r="AW183" s="56" t="n">
        <f aca="false">AW59+AW104+AW97+AW118+AW101+AW99+AW127+AW86-$F142*AW12</f>
        <v>1140.56309399288</v>
      </c>
      <c r="AX183" s="56" t="n">
        <f aca="false">AX59+AX104+AX97+AX118+AX101+AX99+AX127+AX86-$F142*AX12</f>
        <v>1182.33922720229</v>
      </c>
      <c r="AY183" s="56" t="n">
        <f aca="false">AY59+AY104+AY97+AY118+AY101+AY99+AY127+AY86-$F142*AY12</f>
        <v>1165.90358631954</v>
      </c>
      <c r="AZ183" s="56" t="n">
        <f aca="false">AZ59+AZ104+AZ97+AZ118+AZ101+AZ99+AZ127+AZ86-$F142*AZ12</f>
        <v>1098.77306055764</v>
      </c>
      <c r="BA183" s="56" t="n">
        <f aca="false">BA59+BA104+BA97+BA118+BA101+BA99+BA127+BA86-$F142*BA12</f>
        <v>1140.56647132364</v>
      </c>
      <c r="BB183" s="56" t="n">
        <f aca="false">BB59+BB104+BB97+BB118+BB101+BB99+BB127+BB86-$F142*BB12</f>
        <v>1182.3270659066</v>
      </c>
      <c r="BC183" s="56" t="n">
        <f aca="false">BC59+BC104+BC97+BC118+BC101+BC99+BC127+BC86-$F142*BC12</f>
        <v>1165.67552880983</v>
      </c>
      <c r="BD183" s="56" t="n">
        <f aca="false">BD59+BD104+BD97+BD118+BD101+BD99+BD127+BD86-$F142*BD12</f>
        <v>1097.91707549834</v>
      </c>
      <c r="BE183" s="56" t="n">
        <f aca="false">BE59+BE104+BE97+BE118+BE101+BE99+BE127+BE86-$F142*BE12</f>
        <v>1139.68611459478</v>
      </c>
      <c r="BF183" s="56" t="n">
        <f aca="false">BF59+BF104+BF97+BF118+BF101+BF99+BF127+BF86-$F142*BF12</f>
        <v>1181.42066567669</v>
      </c>
      <c r="BG183" s="56" t="n">
        <f aca="false">BG59+BG104+BG97+BG118+BG101+BG99+BG127+BG86-$F142*BG12</f>
        <v>1164.54631943225</v>
      </c>
      <c r="BH183" s="56" t="n">
        <f aca="false">BH59+BH104+BH97+BH118+BH101+BH99+BH127+BH86-$F142*BH12</f>
        <v>1096.14865141947</v>
      </c>
      <c r="BI183" s="56" t="n">
        <f aca="false">BI59+BI104+BI97+BI118+BI101+BI99+BI127+BI86-$F142*BI12</f>
        <v>1137.88242355042</v>
      </c>
      <c r="BJ183" s="56" t="n">
        <f aca="false">BJ59+BJ104+BJ97+BJ118+BJ101+BJ99+BJ127+BJ86-$F142*BJ12</f>
        <v>1179.57995066331</v>
      </c>
      <c r="BK183" s="56" t="n">
        <f aca="false">BK59+BK104+BK97+BK118+BK101+BK99+BK127+BK86-$F142*BK12</f>
        <v>1162.47554883928</v>
      </c>
      <c r="BL183" s="56" t="n">
        <f aca="false">BL59+BL104+BL97+BL118+BL101+BL99+BL127+BL86-$F142*BL12</f>
        <v>1138.16141616084</v>
      </c>
      <c r="BM183" s="56" t="n">
        <f aca="false">BM59+BM104+BM97+BM118+BM101+BM99+BM127+BM86-$F142*BM12</f>
        <v>1135.11409354421</v>
      </c>
      <c r="BN183" s="56" t="n">
        <f aca="false">BN59+BN104+BN97+BN118+BN101+BN99+BN127+BN86-$F142*BN12</f>
        <v>1176.76311983771</v>
      </c>
      <c r="BO183" s="56" t="n">
        <f aca="false">BO59+BO104+BO97+BO118+BO101+BO99+BO127+BO86-$F142*BO12</f>
        <v>1159.42106544244</v>
      </c>
      <c r="BP183" s="56" t="n">
        <f aca="false">BP59+BP104+BP97+BP118+BP101+BP99+BP127+BP86-$F142*BP12</f>
        <v>1089.70947497179</v>
      </c>
      <c r="BQ183" s="56" t="n">
        <f aca="false">BQ59+BQ104+BQ97+BQ118+BQ101+BQ99+BQ127+BQ86-$F142*BQ12</f>
        <v>1131.3380375811</v>
      </c>
      <c r="BR183" s="56" t="n">
        <f aca="false">BR59+BR104+BR97+BR118+BR101+BR99+BR127+BR86-$F142*BR12</f>
        <v>1172.92656807175</v>
      </c>
      <c r="BS183" s="56" t="n">
        <f aca="false">BS59+BS104+BS97+BS118+BS101+BS99+BS127+BS86-$F142*BS12</f>
        <v>4110.15961518635</v>
      </c>
      <c r="BT183" s="56" t="n">
        <f aca="false">BT59+BT104+BT97+BT118+BT101+BT99+BT127+BT86-$F142*BT12</f>
        <v>4043.09662710879</v>
      </c>
      <c r="BU183" s="56" t="n">
        <f aca="false">BU59+BU104+BU97+BU118+BU101+BU99+BU127+BU86-$F142*BU12</f>
        <v>4088.01992296555</v>
      </c>
      <c r="BV183" s="56" t="n">
        <f aca="false">BV59+BV104+BV97+BV118+BV101+BV99+BV127+BV86-$F142*BV12</f>
        <v>4132.94321882232</v>
      </c>
      <c r="BW183" s="56" t="n">
        <f aca="false">BW59+BW104+BW97+BW118+BW101+BW99+BW127+BW86-$F142*BW12</f>
        <v>4118.55196998103</v>
      </c>
      <c r="BX183" s="56" t="n">
        <f aca="false">BX59+BX104+BX97+BX118+BX101+BX99+BX127+BX86-$F142*BX12</f>
        <v>4050.96974677016</v>
      </c>
      <c r="BY183" s="56" t="n">
        <f aca="false">BY59+BY104+BY97+BY118+BY101+BY99+BY127+BY86-$F142*BY12</f>
        <v>4095.98052173427</v>
      </c>
      <c r="BZ183" s="56" t="n">
        <f aca="false">BZ59+BZ104+BZ97+BZ118+BZ101+BZ99+BZ127+BZ86-$F142*BZ12</f>
        <v>4140.99129669838</v>
      </c>
      <c r="CA183" s="56" t="n">
        <f aca="false">CA59+CA104+CA97+CA118+CA101+CA99+CA127+CA86-$F142*CA12</f>
        <v>4126.5130984657</v>
      </c>
      <c r="CB183" s="56" t="n">
        <f aca="false">CB59+CB104+CB97+CB118+CB101+CB99+CB127+CB86-$F142*CB12</f>
        <v>4103.50017773173</v>
      </c>
      <c r="CC183" s="56" t="n">
        <f aca="false">CC59+CC104+CC97+CC118+CC101+CC99+CC127+CC86-$F142*CC12</f>
        <v>4103.50017773173</v>
      </c>
      <c r="CD183" s="56" t="n">
        <f aca="false">CD59+CD104+CD97+CD118+CD101+CD99+CD127+CD86-$F142*CD12</f>
        <v>4148.59358627823</v>
      </c>
      <c r="CE183" s="56" t="n">
        <f aca="false">CE59+CE104+CE97+CE118+CE101+CE99+CE127+CE86-$F142*CE12</f>
        <v>4134.02820589009</v>
      </c>
      <c r="CF183" s="56" t="n">
        <f aca="false">CF59+CF104+CF97+CF118+CF101+CF99+CF127+CF86-$F142*CF12</f>
        <v>4065.392833381</v>
      </c>
      <c r="CG183" s="56" t="n">
        <f aca="false">CG59+CG104+CG97+CG118+CG101+CG99+CG127+CG86-$F142*CG12</f>
        <v>4110.56386486301</v>
      </c>
      <c r="CH183" s="56" t="n">
        <f aca="false">CH59+CH104+CH97+CH118+CH101+CH99+CH127+CH86-$F142*CH12</f>
        <v>4155.73489634502</v>
      </c>
      <c r="CI183" s="56" t="n">
        <f aca="false">CI59+CI104+CI97+CI118+CI101+CI99+CI127+CI86-$F142*CI12</f>
        <v>4141.08210735781</v>
      </c>
      <c r="CJ183" s="56" t="n">
        <f aca="false">CJ59+CJ104+CJ97+CJ118+CJ101+CJ99+CJ127+CJ86-$F142*CJ12</f>
        <v>4071.91268699754</v>
      </c>
      <c r="CK183" s="56" t="n">
        <f aca="false">CK59+CK104+CK97+CK118+CK101+CK99+CK127+CK86-$F142*CK12</f>
        <v>4117.15616129751</v>
      </c>
      <c r="CL183" s="56" t="n">
        <f aca="false">CL59+CL104+CL97+CL118+CL101+CL99+CL127+CL86-$F142*CL12</f>
        <v>4162.39963559748</v>
      </c>
      <c r="CM183" s="56" t="n">
        <f aca="false">CM59+CM104+CM97+CM118+CM101+CM99+CM127+CM86-$F142*CM12</f>
        <v>4147.6592181069</v>
      </c>
      <c r="CN183" s="56" t="n">
        <f aca="false">CN59+CN104+CN97+CN118+CN101+CN99+CN127+CN86-$F142*CN12</f>
        <v>4077.95067654085</v>
      </c>
      <c r="CO183" s="56" t="n">
        <f aca="false">CO59+CO104+CO97+CO118+CO101+CO99+CO127+CO86-$F142*CO12</f>
        <v>4123.26123961353</v>
      </c>
      <c r="CP183" s="56" t="n">
        <f aca="false">CP59+CP104+CP97+CP118+CP101+CP99+CP127+CP86-$F142*CP12</f>
        <v>4168.57180268621</v>
      </c>
      <c r="CQ183" s="56" t="n">
        <f aca="false">CQ59+CQ104+CQ97+CQ118+CQ101+CQ99+CQ127+CQ86-$F142*CQ12</f>
        <v>4153.74354355162</v>
      </c>
      <c r="CR183" s="56" t="n">
        <f aca="false">CR59+CR104+CR97+CR118+CR101+CR99+CR127+CR86-$F142*CR12</f>
        <v>4128.86285670071</v>
      </c>
      <c r="CS183" s="56" t="n">
        <f aca="false">CS59+CS104+CS97+CS118+CS101+CS99+CS127+CS86-$F142*CS12</f>
        <v>4128.86285670071</v>
      </c>
      <c r="CT183" s="56" t="n">
        <f aca="false">CT59+CT104+CT97+CT118+CT101+CT99+CT127+CT86-$F142*CT12</f>
        <v>4174.23497600512</v>
      </c>
      <c r="CU183" s="56" t="n">
        <f aca="false">CU59+CU104+CU97+CU118+CU101+CU99+CU127+CU86-$F142*CU12</f>
        <v>4159.31866907926</v>
      </c>
      <c r="CV183" s="56" t="n">
        <f aca="false">CV59+CV104+CV97+CV118+CV101+CV99+CV127+CV86-$F142*CV12</f>
        <v>4088.5163835965</v>
      </c>
      <c r="CW183" s="56" t="n">
        <f aca="false">CW59+CW104+CW97+CW118+CW101+CW99+CW127+CW86-$F142*CW12</f>
        <v>4133.94434341424</v>
      </c>
      <c r="CX183" s="56" t="n">
        <f aca="false">CX59+CX104+CX97+CX118+CX101+CX99+CX127+CX86-$F142*CX12</f>
        <v>4179.37230323198</v>
      </c>
      <c r="CY183" s="56" t="n">
        <f aca="false">CY59+CY104+CY97+CY118+CY101+CY99+CY127+CY86-$F142*CY12</f>
        <v>4164.36774959634</v>
      </c>
      <c r="CZ183" s="56" t="n">
        <f aca="false">CZ59+CZ104+CZ97+CZ118+CZ101+CZ99+CZ127+CZ86-$F142*CZ12</f>
        <v>4093.01069733771</v>
      </c>
      <c r="DA183" s="56" t="n">
        <f aca="false">DA59+DA104+DA97+DA118+DA101+DA99+DA127+DA86-$F142*DA12</f>
        <v>4138.48859397479</v>
      </c>
      <c r="DB183" s="56" t="n">
        <f aca="false">DB59+DB104+DB97+DB118+DB101+DB99+DB127+DB86-$F142*DB12</f>
        <v>4183.96649061188</v>
      </c>
      <c r="DC183" s="56" t="n">
        <f aca="false">DC59+DC104+DC97+DC118+DC101+DC99+DC127+DC86-$F142*DC12</f>
        <v>4168.87349881781</v>
      </c>
      <c r="DD183" s="56" t="n">
        <f aca="false">DD59+DD104+DD97+DD118+DD101+DD99+DD127+DD86-$F142*DD12</f>
        <v>4096.9563182387</v>
      </c>
      <c r="DE183" s="56" t="n">
        <f aca="false">DE59+DE104+DE97+DE118+DE101+DE99+DE127+DE86-$F142*DE12</f>
        <v>4142.47805510802</v>
      </c>
      <c r="DF183" s="56" t="n">
        <f aca="false">DF59+DF104+DF97+DF118+DF101+DF99+DF127+DF86-$F142*DF12</f>
        <v>4187.99979197734</v>
      </c>
      <c r="DG183" s="56" t="n">
        <f aca="false">DG59+DG104+DG97+DG118+DG101+DG99+DG127+DG86-$F142*DG12</f>
        <v>3999.55580296849</v>
      </c>
      <c r="DH183" s="56" t="n">
        <f aca="false">DH59+DH104+DH97+DH118+DH101+DH99+DH127+DH86-$F142*DH12</f>
        <v>3974.5156262809</v>
      </c>
      <c r="DI183" s="56" t="n">
        <f aca="false">DI59+DI104+DI97+DI118+DI101+DI99+DI127+DI86-$F142*DI12</f>
        <v>3974.5156262809</v>
      </c>
      <c r="DJ183" s="56" t="n">
        <f aca="false">DJ59+DJ104+DJ97+DJ118+DJ101+DJ99+DJ127+DJ86-$F142*DJ12</f>
        <v>4018.19162217409</v>
      </c>
      <c r="DK183" s="56" t="n">
        <f aca="false">DK59+DK104+DK97+DK118+DK101+DK99+DK127+DK86-$F142*DK12</f>
        <v>4002.9212108373</v>
      </c>
      <c r="DL183" s="56" t="n">
        <f aca="false">DL59+DL104+DL97+DL118+DL101+DL99+DL127+DL86-$F142*DL12</f>
        <v>3933.63395885823</v>
      </c>
      <c r="DM183" s="56" t="n">
        <f aca="false">DM59+DM104+DM97+DM118+DM101+DM99+DM127+DM86-$F142*DM12</f>
        <v>3977.34100284555</v>
      </c>
      <c r="DN183" s="56" t="n">
        <f aca="false">DN59+DN104+DN97+DN118+DN101+DN99+DN127+DN86-$F142*DN12</f>
        <v>4021.04804683286</v>
      </c>
      <c r="DO183" s="56" t="n">
        <f aca="false">DO59+DO104+DO97+DO118+DO101+DO99+DO127+DO86-$F142*DO12</f>
        <v>4005.68867031033</v>
      </c>
      <c r="DP183" s="56" t="n">
        <f aca="false">DP59+DP104+DP97+DP118+DP101+DP99+DP127+DP86-$F142*DP12</f>
        <v>3935.8247464693</v>
      </c>
      <c r="DQ183" s="56" t="n">
        <f aca="false">DQ59+DQ104+DQ97+DQ118+DQ101+DQ99+DQ127+DQ86-$F142*DQ12</f>
        <v>3979.55613254118</v>
      </c>
      <c r="DR183" s="56" t="n">
        <f aca="false">DR59+DR104+DR97+DR118+DR101+DR99+DR127+DR86-$F142*DR12</f>
        <v>4023.28751861307</v>
      </c>
      <c r="DS183" s="56" t="n">
        <f aca="false">DS59+DS104+DS97+DS118+DS101+DS99+DS127+DS86-$F142*DS12</f>
        <v>4007.83901786565</v>
      </c>
      <c r="DT183" s="56" t="n">
        <f aca="false">DT59+DT104+DT97+DT118+DT101+DT99+DT127+DT86-$F142*DT12</f>
        <v>3937.3927497403</v>
      </c>
      <c r="DU183" s="56" t="n">
        <f aca="false">DU59+DU104+DU97+DU118+DU101+DU99+DU127+DU86-$F142*DU12</f>
        <v>3981.14155807075</v>
      </c>
      <c r="DV183" s="56" t="n">
        <f aca="false">DV59+DV104+DV97+DV118+DV101+DV99+DV127+DV86-$F142*DV12</f>
        <v>4024.8903664012</v>
      </c>
      <c r="DW183" s="56" t="n">
        <f aca="false">DW59+DW104+DW97+DW118+DW101+DW99+DW127+DW86-$F142*DW12</f>
        <v>4009.35259115562</v>
      </c>
      <c r="DX183" s="56" t="n">
        <f aca="false">DX59+DX104+DX97+DX118+DX101+DX99+DX127+DX86-$F142*DX12</f>
        <v>3982.07731620261</v>
      </c>
      <c r="DY183" s="56" t="n">
        <f aca="false">DY59+DY104+DY97+DY118+DY101+DY99+DY127+DY86-$F142*DY12</f>
        <v>3982.07731620261</v>
      </c>
      <c r="DZ183" s="56" t="n">
        <f aca="false">DZ59+DZ104+DZ97+DZ118+DZ101+DZ99+DZ127+DZ86-$F142*DZ12</f>
        <v>4025.83640758945</v>
      </c>
      <c r="EA183" s="56" t="n">
        <f aca="false">EA59+EA104+EA97+EA118+EA101+EA99+EA127+EA86-$F142*EA12</f>
        <v>4010.20921661665</v>
      </c>
      <c r="EB183" s="56" t="n">
        <f aca="false">EB59+EB104+EB97+EB118+EB101+EB99+EB127+EB86-$F142*EB12</f>
        <v>3938.58091504006</v>
      </c>
      <c r="EC183" s="56" t="n">
        <f aca="false">EC59+EC104+EC97+EC118+EC101+EC99+EC127+EC86-$F142*EC12</f>
        <v>3982.34292520718</v>
      </c>
      <c r="ED183" s="56" t="n">
        <f aca="false">ED59+ED104+ED97+ED118+ED101+ED99+ED127+ED86-$F142*ED12</f>
        <v>4026.10493537429</v>
      </c>
      <c r="EE183" s="56" t="n">
        <f aca="false">EE59+EE104+EE97+EE118+EE101+EE99+EE127+EE86-$F142*EE12</f>
        <v>4010.38819677438</v>
      </c>
      <c r="EF183" s="56" t="n">
        <f aca="false">EF59+EF104+EF97+EF118+EF101+EF99+EF127+EF86-$F142*EF12</f>
        <v>3938.16003822678</v>
      </c>
      <c r="EG183" s="56" t="n">
        <f aca="false">EG59+EG104+EG97+EG118+EG101+EG99+EG127+EG86-$F142*EG12</f>
        <v>3981.91737198486</v>
      </c>
      <c r="EH183" s="56" t="n">
        <f aca="false">EH59+EH104+EH97+EH118+EH101+EH99+EH127+EH86-$F142*EH12</f>
        <v>4025.67470574293</v>
      </c>
      <c r="EI183" s="56" t="n">
        <f aca="false">EI59+EI104+EI97+EI118+EI101+EI99+EI127+EI86-$F142*EI12</f>
        <v>4009.86829723708</v>
      </c>
      <c r="EJ183" s="56" t="n">
        <f aca="false">EJ59+EJ104+EJ97+EJ118+EJ101+EJ99+EJ127+EJ86-$F142*EJ12</f>
        <v>3937.03427361534</v>
      </c>
      <c r="EK183" s="56" t="n">
        <f aca="false">EK59+EK104+EK97+EK118+EK101+EK99+EK127+EK86-$F142*EK12</f>
        <v>3980.77909887773</v>
      </c>
      <c r="EL183" s="56" t="n">
        <f aca="false">EL59+EL104+EL97+EL118+EL101+EL99+EL127+EL86-$F142*EL12</f>
        <v>4024.52392414013</v>
      </c>
      <c r="EM183" s="56" t="n">
        <f aca="false">EM59+EM104+EM97+EM118+EM101+EM99+EM127+EM86-$F142*EM12</f>
        <v>4008.62773336937</v>
      </c>
      <c r="EN183" s="56" t="n">
        <f aca="false">EN59+EN104+EN97+EN118+EN101+EN99+EN127+EN86-$F142*EN12</f>
        <v>3978.90599015728</v>
      </c>
      <c r="EO183" s="56" t="n">
        <f aca="false">EO59+EO104+EO97+EO118+EO101+EO99+EO127+EO86-$F142*EO12</f>
        <v>3978.90599015728</v>
      </c>
      <c r="EP183" s="56" t="n">
        <f aca="false">EP59+EP104+EP97+EP118+EP101+EP99+EP127+EP86-$F142*EP12</f>
        <v>4022.63023180736</v>
      </c>
      <c r="EQ183" s="56" t="n">
        <f aca="false">EQ59+EQ104+EQ97+EQ118+EQ101+EQ99+EQ127+EQ86-$F142*EQ12</f>
        <v>4006.64415663864</v>
      </c>
      <c r="ER183" s="56" t="n">
        <f aca="false">ER59+ER104+ER97+ER118+ER101+ER99+ER127+ER86-$F142*ER12</f>
        <v>3932.58002457372</v>
      </c>
      <c r="ES183" s="56" t="n">
        <f aca="false">ES59+ES104+ES97+ES118+ES101+ES99+ES127+ES86-$F142*ES12</f>
        <v>3976.2753581801</v>
      </c>
      <c r="ET183" s="56" t="n">
        <f aca="false">ET59+ET104+ET97+ET118+ET101+ET99+ET127+ET86-$F142*ET12</f>
        <v>4019.97069178647</v>
      </c>
    </row>
    <row r="184" customFormat="false" ht="15" hidden="false" customHeight="false" outlineLevel="0" collapsed="false">
      <c r="C184" s="31" t="s">
        <v>81</v>
      </c>
      <c r="D184" s="12" t="s">
        <v>35</v>
      </c>
      <c r="E184" s="59" t="n">
        <f aca="false">XIRR($J183:$ET183,$J$4:$ET$4)</f>
        <v>0.0994965790593217</v>
      </c>
    </row>
    <row r="185" customFormat="false" ht="15" hidden="false" customHeight="false" outlineLevel="0" collapsed="false">
      <c r="C185" s="31" t="s">
        <v>153</v>
      </c>
      <c r="D185" s="12" t="s">
        <v>13</v>
      </c>
      <c r="E185" s="60" t="n">
        <f aca="false">SUMIF($J183:$ET183,"&gt;0")/-SUMIF($J183:$ET183,"&lt;0")</f>
        <v>5.12573169894475</v>
      </c>
    </row>
    <row r="186" customFormat="false" ht="15" hidden="false" customHeight="false" outlineLevel="0" collapsed="false">
      <c r="C186" s="31" t="s">
        <v>82</v>
      </c>
      <c r="D186" s="12" t="s">
        <v>222</v>
      </c>
      <c r="E186" s="56" t="n">
        <f aca="false">XNPV(In_Discount_Rate,$J183:$ET183,$J$4:$ET$4)</f>
        <v>17199.1009115114</v>
      </c>
    </row>
    <row r="187" customFormat="false" ht="15" hidden="false" customHeight="false" outlineLevel="0" collapsed="false">
      <c r="C187" s="1" t="s">
        <v>569</v>
      </c>
      <c r="D187" s="12" t="s">
        <v>13</v>
      </c>
      <c r="E187" s="52" t="n">
        <f aca="false">MIN($J187:$ET187)</f>
        <v>1.36879038642014</v>
      </c>
      <c r="J187" s="52" t="str">
        <f aca="false">IF(J101+J99&lt;0,(J118+J127)/-(J101+J99),"")</f>
        <v/>
      </c>
      <c r="K187" s="52" t="str">
        <f aca="false">IF(K101+K99&lt;0,(K118+K127)/-(K101+K99),"")</f>
        <v/>
      </c>
      <c r="L187" s="52" t="str">
        <f aca="false">IF(L101+L99&lt;0,(L118+L127)/-(L101+L99),"")</f>
        <v/>
      </c>
      <c r="M187" s="52" t="str">
        <f aca="false">IF(M101+M99&lt;0,(M118+M127)/-(M101+M99),"")</f>
        <v/>
      </c>
      <c r="N187" s="52" t="str">
        <f aca="false">IF(N101+N99&lt;0,(N118+N127)/-(N101+N99),"")</f>
        <v/>
      </c>
      <c r="O187" s="52" t="str">
        <f aca="false">IF(O101+O99&lt;0,(O118+O127)/-(O101+O99),"")</f>
        <v/>
      </c>
      <c r="P187" s="52" t="str">
        <f aca="false">IF(P101+P99&lt;0,(P118+P127)/-(P101+P99),"")</f>
        <v/>
      </c>
      <c r="Q187" s="52" t="str">
        <f aca="false">IF(Q101+Q99&lt;0,(Q118+Q127)/-(Q101+Q99),"")</f>
        <v/>
      </c>
      <c r="R187" s="52" t="str">
        <f aca="false">IF(R101+R99&lt;0,(R118+R127)/-(R101+R99),"")</f>
        <v/>
      </c>
      <c r="S187" s="52" t="str">
        <f aca="false">IF(S101+S99&lt;0,(S118+S127)/-(S101+S99),"")</f>
        <v/>
      </c>
      <c r="T187" s="52" t="str">
        <f aca="false">IF(T101+T99&lt;0,(T118+T127)/-(T101+T99),"")</f>
        <v/>
      </c>
      <c r="U187" s="52" t="str">
        <f aca="false">IF(U101+U99&lt;0,(U118+U127)/-(U101+U99),"")</f>
        <v/>
      </c>
      <c r="V187" s="52" t="str">
        <f aca="false">IF(V101+V99&lt;0,(V118+V127)/-(V101+V99),"")</f>
        <v/>
      </c>
      <c r="W187" s="52" t="str">
        <f aca="false">IF(W101+W99&lt;0,(W118+W127)/-(W101+W99),"")</f>
        <v/>
      </c>
      <c r="X187" s="52" t="str">
        <f aca="false">IF(X101+X99&lt;0,(X118+X127)/-(X101+X99),"")</f>
        <v/>
      </c>
      <c r="Y187" s="52" t="str">
        <f aca="false">IF(Y101+Y99&lt;0,(Y118+Y127)/-(Y101+Y99),"")</f>
        <v/>
      </c>
      <c r="Z187" s="52" t="str">
        <f aca="false">IF(Z101+Z99&lt;0,(Z118+Z127)/-(Z101+Z99),"")</f>
        <v/>
      </c>
      <c r="AA187" s="52" t="str">
        <f aca="false">IF(AA101+AA99&lt;0,(AA118+AA127)/-(AA101+AA99),"")</f>
        <v/>
      </c>
      <c r="AB187" s="52" t="str">
        <f aca="false">IF(AB101+AB99&lt;0,(AB118+AB127)/-(AB101+AB99),"")</f>
        <v/>
      </c>
      <c r="AC187" s="52" t="str">
        <f aca="false">IF(AC101+AC99&lt;0,(AC118+AC127)/-(AC101+AC99),"")</f>
        <v/>
      </c>
      <c r="AD187" s="52" t="str">
        <f aca="false">IF(AD101+AD99&lt;0,(AD118+AD127)/-(AD101+AD99),"")</f>
        <v/>
      </c>
      <c r="AE187" s="52" t="n">
        <f aca="false">IF(AE101+AE99&lt;0,(AE118+AE127)/-(AE101+AE99),"")</f>
        <v>1.42521819195932</v>
      </c>
      <c r="AF187" s="52" t="n">
        <f aca="false">IF(AF101+AF99&lt;0,(AF118+AF127)/-(AF101+AF99),"")</f>
        <v>1.41910930907797</v>
      </c>
      <c r="AG187" s="52" t="n">
        <f aca="false">IF(AG101+AG99&lt;0,(AG118+AG127)/-(AG101+AG99),"")</f>
        <v>1.41910930907797</v>
      </c>
      <c r="AH187" s="52" t="n">
        <f aca="false">IF(AH101+AH99&lt;0,(AH118+AH127)/-(AH101+AH99),"")</f>
        <v>1.43470391687003</v>
      </c>
      <c r="AI187" s="52" t="n">
        <f aca="false">IF(AI101+AI99&lt;0,(AI118+AI127)/-(AI101+AI99),"")</f>
        <v>1.42966993746014</v>
      </c>
      <c r="AJ187" s="52" t="n">
        <f aca="false">IF(AJ101+AJ99&lt;0,(AJ118+AJ127)/-(AJ101+AJ99),"")</f>
        <v>1.37827905077953</v>
      </c>
      <c r="AK187" s="52" t="n">
        <f aca="false">IF(AK101+AK99&lt;0,(AK118+AK127)/-(AK101+AK99),"")</f>
        <v>1.38432874296183</v>
      </c>
      <c r="AL187" s="52" t="n">
        <f aca="false">IF(AL101+AL99&lt;0,(AL118+AL127)/-(AL101+AL99),"")</f>
        <v>1.39846299572082</v>
      </c>
      <c r="AM187" s="52" t="n">
        <f aca="false">IF(AM101+AM99&lt;0,(AM118+AM127)/-(AM101+AM99),"")</f>
        <v>1.3931068895132</v>
      </c>
      <c r="AN187" s="52" t="n">
        <f aca="false">IF(AN101+AN99&lt;0,(AN118+AN127)/-(AN101+AN99),"")</f>
        <v>1.37100379076665</v>
      </c>
      <c r="AO187" s="52" t="n">
        <f aca="false">IF(AO101+AO99&lt;0,(AO118+AO127)/-(AO101+AO99),"")</f>
        <v>1.3851521182354</v>
      </c>
      <c r="AP187" s="52" t="n">
        <f aca="false">IF(AP101+AP99&lt;0,(AP118+AP127)/-(AP101+AP99),"")</f>
        <v>1.39929087780592</v>
      </c>
      <c r="AQ187" s="52" t="n">
        <f aca="false">IF(AQ101+AQ99&lt;0,(AQ118+AQ127)/-(AQ101+AQ99),"")</f>
        <v>1.39386810087925</v>
      </c>
      <c r="AR187" s="52" t="n">
        <f aca="false">IF(AR101+AR99&lt;0,(AR118+AR127)/-(AR101+AR99),"")</f>
        <v>1.37156319203426</v>
      </c>
      <c r="AS187" s="52" t="n">
        <f aca="false">IF(AS101+AS99&lt;0,(AS118+AS127)/-(AS101+AS99),"")</f>
        <v>1.38571340227444</v>
      </c>
      <c r="AT187" s="52" t="n">
        <f aca="false">IF(AT101+AT99&lt;0,(AT118+AT127)/-(AT101+AT99),"")</f>
        <v>1.3998535571766</v>
      </c>
      <c r="AU187" s="52" t="n">
        <f aca="false">IF(AU101+AU99&lt;0,(AU118+AU127)/-(AU101+AU99),"")</f>
        <v>1.39436207668627</v>
      </c>
      <c r="AV187" s="52" t="n">
        <f aca="false">IF(AV101+AV99&lt;0,(AV118+AV127)/-(AV101+AV99),"")</f>
        <v>1.38684618596484</v>
      </c>
      <c r="AW187" s="52" t="n">
        <f aca="false">IF(AW101+AW99&lt;0,(AW118+AW127)/-(AW101+AW99),"")</f>
        <v>1.38600077711638</v>
      </c>
      <c r="AX187" s="52" t="n">
        <f aca="false">IF(AX101+AX99&lt;0,(AX118+AX127)/-(AX101+AX99),"")</f>
        <v>1.40013907421601</v>
      </c>
      <c r="AY187" s="52" t="n">
        <f aca="false">IF(AY101+AY99&lt;0,(AY118+AY127)/-(AY101+AY99),"")</f>
        <v>1.39457676013926</v>
      </c>
      <c r="AZ187" s="52" t="n">
        <f aca="false">IF(AZ101+AZ99&lt;0,(AZ118+AZ127)/-(AZ101+AZ99),"")</f>
        <v>1.3718577757632</v>
      </c>
      <c r="BA187" s="52" t="n">
        <f aca="false">IF(BA101+BA99&lt;0,(BA118+BA127)/-(BA101+BA99),"")</f>
        <v>1.38600192010645</v>
      </c>
      <c r="BB187" s="52" t="n">
        <f aca="false">IF(BB101+BB99&lt;0,(BB118+BB127)/-(BB101+BB99),"")</f>
        <v>1.40013495846861</v>
      </c>
      <c r="BC187" s="52" t="n">
        <f aca="false">IF(BC101+BC99&lt;0,(BC118+BC127)/-(BC101+BC99),"")</f>
        <v>1.3944995786344</v>
      </c>
      <c r="BD187" s="52" t="n">
        <f aca="false">IF(BD101+BD99&lt;0,(BD118+BD127)/-(BD101+BD99),"")</f>
        <v>1.37156808473267</v>
      </c>
      <c r="BE187" s="52" t="n">
        <f aca="false">IF(BE101+BE99&lt;0,(BE118+BE127)/-(BE101+BE99),"")</f>
        <v>1.38570398097159</v>
      </c>
      <c r="BF187" s="52" t="n">
        <f aca="false">IF(BF101+BF99&lt;0,(BF118+BF127)/-(BF101+BF99),"")</f>
        <v>1.39982820543148</v>
      </c>
      <c r="BG187" s="52" t="n">
        <f aca="false">IF(BG101+BG99&lt;0,(BG118+BG127)/-(BG101+BG99),"")</f>
        <v>1.39411742029562</v>
      </c>
      <c r="BH187" s="52" t="n">
        <f aca="false">IF(BH101+BH99&lt;0,(BH118+BH127)/-(BH101+BH99),"")</f>
        <v>1.37096959695737</v>
      </c>
      <c r="BI187" s="52" t="n">
        <f aca="false">IF(BI101+BI99&lt;0,(BI118+BI127)/-(BI101+BI99),"")</f>
        <v>1.38509355779688</v>
      </c>
      <c r="BJ187" s="52" t="n">
        <f aca="false">IF(BJ101+BJ99&lt;0,(BJ118+BJ127)/-(BJ101+BJ99),"")</f>
        <v>1.39920525223463</v>
      </c>
      <c r="BK187" s="52" t="n">
        <f aca="false">IF(BK101+BK99&lt;0,(BK118+BK127)/-(BK101+BK99),"")</f>
        <v>1.39341660938711</v>
      </c>
      <c r="BL187" s="52" t="n">
        <f aca="false">IF(BL101+BL99&lt;0,(BL118+BL127)/-(BL101+BL99),"")</f>
        <v>1.38518797726828</v>
      </c>
      <c r="BM187" s="52" t="n">
        <f aca="false">IF(BM101+BM99&lt;0,(BM118+BM127)/-(BM101+BM99),"")</f>
        <v>1.38415667185051</v>
      </c>
      <c r="BN187" s="52" t="n">
        <f aca="false">IF(BN101+BN99&lt;0,(BN118+BN127)/-(BN101+BN99),"")</f>
        <v>1.39825195215556</v>
      </c>
      <c r="BO187" s="52" t="n">
        <f aca="false">IF(BO101+BO99&lt;0,(BO118+BO127)/-(BO101+BO99),"")</f>
        <v>1.39238288054644</v>
      </c>
      <c r="BP187" s="52" t="n">
        <f aca="false">IF(BP101+BP99&lt;0,(BP118+BP127)/-(BP101+BP99),"")</f>
        <v>1.36879038642014</v>
      </c>
      <c r="BQ187" s="52" t="n">
        <f aca="false">IF(BQ101+BQ99&lt;0,(BQ118+BQ127)/-(BQ101+BQ99),"")</f>
        <v>1.3828787412004</v>
      </c>
      <c r="BR187" s="52" t="n">
        <f aca="false">IF(BR101+BR99&lt;0,(BR118+BR127)/-(BR101+BR99),"")</f>
        <v>1.3969535479104</v>
      </c>
      <c r="BS187" s="52" t="str">
        <f aca="false">IF(BS101+BS99&lt;0,(BS118+BS127)/-(BS101+BS99),"")</f>
        <v/>
      </c>
      <c r="BT187" s="52" t="str">
        <f aca="false">IF(BT101+BT99&lt;0,(BT118+BT127)/-(BT101+BT99),"")</f>
        <v/>
      </c>
      <c r="BU187" s="52" t="str">
        <f aca="false">IF(BU101+BU99&lt;0,(BU118+BU127)/-(BU101+BU99),"")</f>
        <v/>
      </c>
      <c r="BV187" s="52" t="str">
        <f aca="false">IF(BV101+BV99&lt;0,(BV118+BV127)/-(BV101+BV99),"")</f>
        <v/>
      </c>
      <c r="BW187" s="52" t="str">
        <f aca="false">IF(BW101+BW99&lt;0,(BW118+BW127)/-(BW101+BW99),"")</f>
        <v/>
      </c>
      <c r="BX187" s="52" t="str">
        <f aca="false">IF(BX101+BX99&lt;0,(BX118+BX127)/-(BX101+BX99),"")</f>
        <v/>
      </c>
      <c r="BY187" s="52" t="str">
        <f aca="false">IF(BY101+BY99&lt;0,(BY118+BY127)/-(BY101+BY99),"")</f>
        <v/>
      </c>
      <c r="BZ187" s="52" t="str">
        <f aca="false">IF(BZ101+BZ99&lt;0,(BZ118+BZ127)/-(BZ101+BZ99),"")</f>
        <v/>
      </c>
      <c r="CA187" s="52" t="str">
        <f aca="false">IF(CA101+CA99&lt;0,(CA118+CA127)/-(CA101+CA99),"")</f>
        <v/>
      </c>
      <c r="CB187" s="52" t="str">
        <f aca="false">IF(CB101+CB99&lt;0,(CB118+CB127)/-(CB101+CB99),"")</f>
        <v/>
      </c>
      <c r="CC187" s="52" t="str">
        <f aca="false">IF(CC101+CC99&lt;0,(CC118+CC127)/-(CC101+CC99),"")</f>
        <v/>
      </c>
      <c r="CD187" s="52" t="str">
        <f aca="false">IF(CD101+CD99&lt;0,(CD118+CD127)/-(CD101+CD99),"")</f>
        <v/>
      </c>
      <c r="CE187" s="52" t="str">
        <f aca="false">IF(CE101+CE99&lt;0,(CE118+CE127)/-(CE101+CE99),"")</f>
        <v/>
      </c>
      <c r="CF187" s="52" t="str">
        <f aca="false">IF(CF101+CF99&lt;0,(CF118+CF127)/-(CF101+CF99),"")</f>
        <v/>
      </c>
      <c r="CG187" s="52" t="str">
        <f aca="false">IF(CG101+CG99&lt;0,(CG118+CG127)/-(CG101+CG99),"")</f>
        <v/>
      </c>
      <c r="CH187" s="52" t="str">
        <f aca="false">IF(CH101+CH99&lt;0,(CH118+CH127)/-(CH101+CH99),"")</f>
        <v/>
      </c>
      <c r="CI187" s="52" t="str">
        <f aca="false">IF(CI101+CI99&lt;0,(CI118+CI127)/-(CI101+CI99),"")</f>
        <v/>
      </c>
      <c r="CJ187" s="52" t="str">
        <f aca="false">IF(CJ101+CJ99&lt;0,(CJ118+CJ127)/-(CJ101+CJ99),"")</f>
        <v/>
      </c>
      <c r="CK187" s="52" t="str">
        <f aca="false">IF(CK101+CK99&lt;0,(CK118+CK127)/-(CK101+CK99),"")</f>
        <v/>
      </c>
      <c r="CL187" s="52" t="str">
        <f aca="false">IF(CL101+CL99&lt;0,(CL118+CL127)/-(CL101+CL99),"")</f>
        <v/>
      </c>
      <c r="CM187" s="52" t="str">
        <f aca="false">IF(CM101+CM99&lt;0,(CM118+CM127)/-(CM101+CM99),"")</f>
        <v/>
      </c>
      <c r="CN187" s="52" t="str">
        <f aca="false">IF(CN101+CN99&lt;0,(CN118+CN127)/-(CN101+CN99),"")</f>
        <v/>
      </c>
      <c r="CO187" s="52" t="str">
        <f aca="false">IF(CO101+CO99&lt;0,(CO118+CO127)/-(CO101+CO99),"")</f>
        <v/>
      </c>
      <c r="CP187" s="52" t="str">
        <f aca="false">IF(CP101+CP99&lt;0,(CP118+CP127)/-(CP101+CP99),"")</f>
        <v/>
      </c>
      <c r="CQ187" s="52" t="str">
        <f aca="false">IF(CQ101+CQ99&lt;0,(CQ118+CQ127)/-(CQ101+CQ99),"")</f>
        <v/>
      </c>
      <c r="CR187" s="52" t="str">
        <f aca="false">IF(CR101+CR99&lt;0,(CR118+CR127)/-(CR101+CR99),"")</f>
        <v/>
      </c>
      <c r="CS187" s="52" t="str">
        <f aca="false">IF(CS101+CS99&lt;0,(CS118+CS127)/-(CS101+CS99),"")</f>
        <v/>
      </c>
      <c r="CT187" s="52" t="str">
        <f aca="false">IF(CT101+CT99&lt;0,(CT118+CT127)/-(CT101+CT99),"")</f>
        <v/>
      </c>
      <c r="CU187" s="52" t="str">
        <f aca="false">IF(CU101+CU99&lt;0,(CU118+CU127)/-(CU101+CU99),"")</f>
        <v/>
      </c>
      <c r="CV187" s="52" t="str">
        <f aca="false">IF(CV101+CV99&lt;0,(CV118+CV127)/-(CV101+CV99),"")</f>
        <v/>
      </c>
      <c r="CW187" s="52" t="str">
        <f aca="false">IF(CW101+CW99&lt;0,(CW118+CW127)/-(CW101+CW99),"")</f>
        <v/>
      </c>
      <c r="CX187" s="52" t="str">
        <f aca="false">IF(CX101+CX99&lt;0,(CX118+CX127)/-(CX101+CX99),"")</f>
        <v/>
      </c>
      <c r="CY187" s="52" t="str">
        <f aca="false">IF(CY101+CY99&lt;0,(CY118+CY127)/-(CY101+CY99),"")</f>
        <v/>
      </c>
      <c r="CZ187" s="52" t="str">
        <f aca="false">IF(CZ101+CZ99&lt;0,(CZ118+CZ127)/-(CZ101+CZ99),"")</f>
        <v/>
      </c>
      <c r="DA187" s="52" t="str">
        <f aca="false">IF(DA101+DA99&lt;0,(DA118+DA127)/-(DA101+DA99),"")</f>
        <v/>
      </c>
      <c r="DB187" s="52" t="str">
        <f aca="false">IF(DB101+DB99&lt;0,(DB118+DB127)/-(DB101+DB99),"")</f>
        <v/>
      </c>
      <c r="DC187" s="52" t="str">
        <f aca="false">IF(DC101+DC99&lt;0,(DC118+DC127)/-(DC101+DC99),"")</f>
        <v/>
      </c>
      <c r="DD187" s="52" t="str">
        <f aca="false">IF(DD101+DD99&lt;0,(DD118+DD127)/-(DD101+DD99),"")</f>
        <v/>
      </c>
      <c r="DE187" s="52" t="str">
        <f aca="false">IF(DE101+DE99&lt;0,(DE118+DE127)/-(DE101+DE99),"")</f>
        <v/>
      </c>
      <c r="DF187" s="52" t="str">
        <f aca="false">IF(DF101+DF99&lt;0,(DF118+DF127)/-(DF101+DF99),"")</f>
        <v/>
      </c>
      <c r="DG187" s="52" t="str">
        <f aca="false">IF(DG101+DG99&lt;0,(DG118+DG127)/-(DG101+DG99),"")</f>
        <v/>
      </c>
      <c r="DH187" s="52" t="str">
        <f aca="false">IF(DH101+DH99&lt;0,(DH118+DH127)/-(DH101+DH99),"")</f>
        <v/>
      </c>
      <c r="DI187" s="52" t="str">
        <f aca="false">IF(DI101+DI99&lt;0,(DI118+DI127)/-(DI101+DI99),"")</f>
        <v/>
      </c>
      <c r="DJ187" s="52" t="str">
        <f aca="false">IF(DJ101+DJ99&lt;0,(DJ118+DJ127)/-(DJ101+DJ99),"")</f>
        <v/>
      </c>
      <c r="DK187" s="52" t="str">
        <f aca="false">IF(DK101+DK99&lt;0,(DK118+DK127)/-(DK101+DK99),"")</f>
        <v/>
      </c>
      <c r="DL187" s="52" t="str">
        <f aca="false">IF(DL101+DL99&lt;0,(DL118+DL127)/-(DL101+DL99),"")</f>
        <v/>
      </c>
      <c r="DM187" s="52" t="str">
        <f aca="false">IF(DM101+DM99&lt;0,(DM118+DM127)/-(DM101+DM99),"")</f>
        <v/>
      </c>
      <c r="DN187" s="52" t="str">
        <f aca="false">IF(DN101+DN99&lt;0,(DN118+DN127)/-(DN101+DN99),"")</f>
        <v/>
      </c>
      <c r="DO187" s="52" t="str">
        <f aca="false">IF(DO101+DO99&lt;0,(DO118+DO127)/-(DO101+DO99),"")</f>
        <v/>
      </c>
      <c r="DP187" s="52" t="str">
        <f aca="false">IF(DP101+DP99&lt;0,(DP118+DP127)/-(DP101+DP99),"")</f>
        <v/>
      </c>
      <c r="DQ187" s="52" t="str">
        <f aca="false">IF(DQ101+DQ99&lt;0,(DQ118+DQ127)/-(DQ101+DQ99),"")</f>
        <v/>
      </c>
      <c r="DR187" s="52" t="str">
        <f aca="false">IF(DR101+DR99&lt;0,(DR118+DR127)/-(DR101+DR99),"")</f>
        <v/>
      </c>
      <c r="DS187" s="52" t="str">
        <f aca="false">IF(DS101+DS99&lt;0,(DS118+DS127)/-(DS101+DS99),"")</f>
        <v/>
      </c>
      <c r="DT187" s="52" t="str">
        <f aca="false">IF(DT101+DT99&lt;0,(DT118+DT127)/-(DT101+DT99),"")</f>
        <v/>
      </c>
      <c r="DU187" s="52" t="str">
        <f aca="false">IF(DU101+DU99&lt;0,(DU118+DU127)/-(DU101+DU99),"")</f>
        <v/>
      </c>
      <c r="DV187" s="52" t="str">
        <f aca="false">IF(DV101+DV99&lt;0,(DV118+DV127)/-(DV101+DV99),"")</f>
        <v/>
      </c>
      <c r="DW187" s="52" t="str">
        <f aca="false">IF(DW101+DW99&lt;0,(DW118+DW127)/-(DW101+DW99),"")</f>
        <v/>
      </c>
      <c r="DX187" s="52" t="str">
        <f aca="false">IF(DX101+DX99&lt;0,(DX118+DX127)/-(DX101+DX99),"")</f>
        <v/>
      </c>
      <c r="DY187" s="52" t="str">
        <f aca="false">IF(DY101+DY99&lt;0,(DY118+DY127)/-(DY101+DY99),"")</f>
        <v/>
      </c>
      <c r="DZ187" s="52" t="str">
        <f aca="false">IF(DZ101+DZ99&lt;0,(DZ118+DZ127)/-(DZ101+DZ99),"")</f>
        <v/>
      </c>
      <c r="EA187" s="52" t="str">
        <f aca="false">IF(EA101+EA99&lt;0,(EA118+EA127)/-(EA101+EA99),"")</f>
        <v/>
      </c>
      <c r="EB187" s="52" t="str">
        <f aca="false">IF(EB101+EB99&lt;0,(EB118+EB127)/-(EB101+EB99),"")</f>
        <v/>
      </c>
      <c r="EC187" s="52" t="str">
        <f aca="false">IF(EC101+EC99&lt;0,(EC118+EC127)/-(EC101+EC99),"")</f>
        <v/>
      </c>
      <c r="ED187" s="52" t="str">
        <f aca="false">IF(ED101+ED99&lt;0,(ED118+ED127)/-(ED101+ED99),"")</f>
        <v/>
      </c>
      <c r="EE187" s="52" t="str">
        <f aca="false">IF(EE101+EE99&lt;0,(EE118+EE127)/-(EE101+EE99),"")</f>
        <v/>
      </c>
      <c r="EF187" s="52" t="str">
        <f aca="false">IF(EF101+EF99&lt;0,(EF118+EF127)/-(EF101+EF99),"")</f>
        <v/>
      </c>
      <c r="EG187" s="52" t="str">
        <f aca="false">IF(EG101+EG99&lt;0,(EG118+EG127)/-(EG101+EG99),"")</f>
        <v/>
      </c>
      <c r="EH187" s="52" t="str">
        <f aca="false">IF(EH101+EH99&lt;0,(EH118+EH127)/-(EH101+EH99),"")</f>
        <v/>
      </c>
      <c r="EI187" s="52" t="str">
        <f aca="false">IF(EI101+EI99&lt;0,(EI118+EI127)/-(EI101+EI99),"")</f>
        <v/>
      </c>
      <c r="EJ187" s="52" t="str">
        <f aca="false">IF(EJ101+EJ99&lt;0,(EJ118+EJ127)/-(EJ101+EJ99),"")</f>
        <v/>
      </c>
      <c r="EK187" s="52" t="str">
        <f aca="false">IF(EK101+EK99&lt;0,(EK118+EK127)/-(EK101+EK99),"")</f>
        <v/>
      </c>
      <c r="EL187" s="52" t="str">
        <f aca="false">IF(EL101+EL99&lt;0,(EL118+EL127)/-(EL101+EL99),"")</f>
        <v/>
      </c>
      <c r="EM187" s="52" t="str">
        <f aca="false">IF(EM101+EM99&lt;0,(EM118+EM127)/-(EM101+EM99),"")</f>
        <v/>
      </c>
      <c r="EN187" s="52" t="str">
        <f aca="false">IF(EN101+EN99&lt;0,(EN118+EN127)/-(EN101+EN99),"")</f>
        <v/>
      </c>
      <c r="EO187" s="52" t="str">
        <f aca="false">IF(EO101+EO99&lt;0,(EO118+EO127)/-(EO101+EO99),"")</f>
        <v/>
      </c>
      <c r="EP187" s="52" t="str">
        <f aca="false">IF(EP101+EP99&lt;0,(EP118+EP127)/-(EP101+EP99),"")</f>
        <v/>
      </c>
      <c r="EQ187" s="52" t="str">
        <f aca="false">IF(EQ101+EQ99&lt;0,(EQ118+EQ127)/-(EQ101+EQ99),"")</f>
        <v/>
      </c>
      <c r="ER187" s="52" t="str">
        <f aca="false">IF(ER101+ER99&lt;0,(ER118+ER127)/-(ER101+ER99),"")</f>
        <v/>
      </c>
      <c r="ES187" s="52" t="str">
        <f aca="false">IF(ES101+ES99&lt;0,(ES118+ES127)/-(ES101+ES99),"")</f>
        <v/>
      </c>
      <c r="ET187" s="52" t="str">
        <f aca="false">IF(ET101+ET99&lt;0,(ET118+ET127)/-(ET101+ET99),"")</f>
        <v/>
      </c>
    </row>
    <row r="189" customFormat="false" ht="15" hidden="false" customHeight="false" outlineLevel="0" collapsed="false">
      <c r="C189" s="40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T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9" topLeftCell="J10" activePane="bottomRight" state="frozen"/>
      <selection pane="topLeft" activeCell="A1" activeCellId="0" sqref="A1"/>
      <selection pane="topRight" activeCell="J1" activeCellId="0" sqref="J1"/>
      <selection pane="bottomLeft" activeCell="A10" activeCellId="0" sqref="A10"/>
      <selection pane="bottomRight" activeCell="A1" activeCellId="0" sqref="A1"/>
    </sheetView>
  </sheetViews>
  <sheetFormatPr defaultColWidth="13" defaultRowHeight="15" zeroHeight="false" outlineLevelRow="0" outlineLevelCol="1"/>
  <cols>
    <col collapsed="false" customWidth="true" hidden="false" outlineLevel="0" max="2" min="1" style="1" width="3"/>
    <col collapsed="false" customWidth="true" hidden="false" outlineLevel="0" max="3" min="3" style="1" width="4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9" min="7" style="1" width="2"/>
    <col collapsed="false" customWidth="true" hidden="false" outlineLevel="0" max="150" min="10" style="1" width="11"/>
    <col collapsed="false" customWidth="false" hidden="true" outlineLevel="1" max="16384" min="151" style="1" width="13"/>
  </cols>
  <sheetData>
    <row r="2" customFormat="false" ht="15" hidden="false" customHeight="false" outlineLevel="0" collapsed="false">
      <c r="A2" s="2"/>
      <c r="B2" s="2" t="str">
        <f aca="false">Dashboard!$C$3&amp;" – Checks"</f>
        <v>Project Bora – Checks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</row>
    <row r="4" customFormat="false" ht="15" hidden="false" customHeight="false" outlineLevel="0" collapsed="false">
      <c r="C4" s="1" t="s">
        <v>439</v>
      </c>
      <c r="J4" s="28" t="n">
        <f aca="false">Calc_1!J$4</f>
        <v>46295</v>
      </c>
      <c r="K4" s="28" t="n">
        <f aca="false">Calc_1!K$4</f>
        <v>46387</v>
      </c>
      <c r="L4" s="28" t="n">
        <f aca="false">Calc_1!L$4</f>
        <v>46477</v>
      </c>
      <c r="M4" s="28" t="n">
        <f aca="false">Calc_1!M$4</f>
        <v>46568</v>
      </c>
      <c r="N4" s="28" t="n">
        <f aca="false">Calc_1!N$4</f>
        <v>46660</v>
      </c>
      <c r="O4" s="28" t="n">
        <f aca="false">Calc_1!O$4</f>
        <v>46752</v>
      </c>
      <c r="P4" s="28" t="n">
        <f aca="false">Calc_1!P$4</f>
        <v>46843</v>
      </c>
      <c r="Q4" s="28" t="n">
        <f aca="false">Calc_1!Q$4</f>
        <v>46934</v>
      </c>
      <c r="R4" s="28" t="n">
        <f aca="false">Calc_1!R$4</f>
        <v>47026</v>
      </c>
      <c r="S4" s="28" t="n">
        <f aca="false">Calc_1!S$4</f>
        <v>47118</v>
      </c>
      <c r="T4" s="28" t="n">
        <f aca="false">Calc_1!T$4</f>
        <v>47208</v>
      </c>
      <c r="U4" s="28" t="n">
        <f aca="false">Calc_1!U$4</f>
        <v>47299</v>
      </c>
      <c r="V4" s="28" t="n">
        <f aca="false">Calc_1!V$4</f>
        <v>47391</v>
      </c>
      <c r="W4" s="28" t="n">
        <f aca="false">Calc_1!W$4</f>
        <v>47483</v>
      </c>
      <c r="X4" s="28" t="n">
        <f aca="false">Calc_1!X$4</f>
        <v>47573</v>
      </c>
      <c r="Y4" s="28" t="n">
        <f aca="false">Calc_1!Y$4</f>
        <v>47664</v>
      </c>
      <c r="Z4" s="28" t="n">
        <f aca="false">Calc_1!Z$4</f>
        <v>47756</v>
      </c>
      <c r="AA4" s="28" t="n">
        <f aca="false">Calc_1!AA$4</f>
        <v>47848</v>
      </c>
      <c r="AB4" s="28" t="n">
        <f aca="false">Calc_1!AB$4</f>
        <v>47938</v>
      </c>
      <c r="AC4" s="28" t="n">
        <f aca="false">Calc_1!AC$4</f>
        <v>48029</v>
      </c>
      <c r="AD4" s="28" t="n">
        <f aca="false">Calc_1!AD$4</f>
        <v>48121</v>
      </c>
      <c r="AE4" s="28" t="n">
        <f aca="false">Calc_1!AE$4</f>
        <v>48213</v>
      </c>
      <c r="AF4" s="28" t="n">
        <f aca="false">Calc_1!AF$4</f>
        <v>48304</v>
      </c>
      <c r="AG4" s="28" t="n">
        <f aca="false">Calc_1!AG$4</f>
        <v>48395</v>
      </c>
      <c r="AH4" s="28" t="n">
        <f aca="false">Calc_1!AH$4</f>
        <v>48487</v>
      </c>
      <c r="AI4" s="28" t="n">
        <f aca="false">Calc_1!AI$4</f>
        <v>48579</v>
      </c>
      <c r="AJ4" s="28" t="n">
        <f aca="false">Calc_1!AJ$4</f>
        <v>48669</v>
      </c>
      <c r="AK4" s="28" t="n">
        <f aca="false">Calc_1!AK$4</f>
        <v>48760</v>
      </c>
      <c r="AL4" s="28" t="n">
        <f aca="false">Calc_1!AL$4</f>
        <v>48852</v>
      </c>
      <c r="AM4" s="28" t="n">
        <f aca="false">Calc_1!AM$4</f>
        <v>48944</v>
      </c>
      <c r="AN4" s="28" t="n">
        <f aca="false">Calc_1!AN$4</f>
        <v>49034</v>
      </c>
      <c r="AO4" s="28" t="n">
        <f aca="false">Calc_1!AO$4</f>
        <v>49125</v>
      </c>
      <c r="AP4" s="28" t="n">
        <f aca="false">Calc_1!AP$4</f>
        <v>49217</v>
      </c>
      <c r="AQ4" s="28" t="n">
        <f aca="false">Calc_1!AQ$4</f>
        <v>49309</v>
      </c>
      <c r="AR4" s="28" t="n">
        <f aca="false">Calc_1!AR$4</f>
        <v>49399</v>
      </c>
      <c r="AS4" s="28" t="n">
        <f aca="false">Calc_1!AS$4</f>
        <v>49490</v>
      </c>
      <c r="AT4" s="28" t="n">
        <f aca="false">Calc_1!AT$4</f>
        <v>49582</v>
      </c>
      <c r="AU4" s="28" t="n">
        <f aca="false">Calc_1!AU$4</f>
        <v>49674</v>
      </c>
      <c r="AV4" s="28" t="n">
        <f aca="false">Calc_1!AV$4</f>
        <v>49765</v>
      </c>
      <c r="AW4" s="28" t="n">
        <f aca="false">Calc_1!AW$4</f>
        <v>49856</v>
      </c>
      <c r="AX4" s="28" t="n">
        <f aca="false">Calc_1!AX$4</f>
        <v>49948</v>
      </c>
      <c r="AY4" s="28" t="n">
        <f aca="false">Calc_1!AY$4</f>
        <v>50040</v>
      </c>
      <c r="AZ4" s="28" t="n">
        <f aca="false">Calc_1!AZ$4</f>
        <v>50130</v>
      </c>
      <c r="BA4" s="28" t="n">
        <f aca="false">Calc_1!BA$4</f>
        <v>50221</v>
      </c>
      <c r="BB4" s="28" t="n">
        <f aca="false">Calc_1!BB$4</f>
        <v>50313</v>
      </c>
      <c r="BC4" s="28" t="n">
        <f aca="false">Calc_1!BC$4</f>
        <v>50405</v>
      </c>
      <c r="BD4" s="28" t="n">
        <f aca="false">Calc_1!BD$4</f>
        <v>50495</v>
      </c>
      <c r="BE4" s="28" t="n">
        <f aca="false">Calc_1!BE$4</f>
        <v>50586</v>
      </c>
      <c r="BF4" s="28" t="n">
        <f aca="false">Calc_1!BF$4</f>
        <v>50678</v>
      </c>
      <c r="BG4" s="28" t="n">
        <f aca="false">Calc_1!BG$4</f>
        <v>50770</v>
      </c>
      <c r="BH4" s="28" t="n">
        <f aca="false">Calc_1!BH$4</f>
        <v>50860</v>
      </c>
      <c r="BI4" s="28" t="n">
        <f aca="false">Calc_1!BI$4</f>
        <v>50951</v>
      </c>
      <c r="BJ4" s="28" t="n">
        <f aca="false">Calc_1!BJ$4</f>
        <v>51043</v>
      </c>
      <c r="BK4" s="28" t="n">
        <f aca="false">Calc_1!BK$4</f>
        <v>51135</v>
      </c>
      <c r="BL4" s="28" t="n">
        <f aca="false">Calc_1!BL$4</f>
        <v>51226</v>
      </c>
      <c r="BM4" s="28" t="n">
        <f aca="false">Calc_1!BM$4</f>
        <v>51317</v>
      </c>
      <c r="BN4" s="28" t="n">
        <f aca="false">Calc_1!BN$4</f>
        <v>51409</v>
      </c>
      <c r="BO4" s="28" t="n">
        <f aca="false">Calc_1!BO$4</f>
        <v>51501</v>
      </c>
      <c r="BP4" s="28" t="n">
        <f aca="false">Calc_1!BP$4</f>
        <v>51591</v>
      </c>
      <c r="BQ4" s="28" t="n">
        <f aca="false">Calc_1!BQ$4</f>
        <v>51682</v>
      </c>
      <c r="BR4" s="28" t="n">
        <f aca="false">Calc_1!BR$4</f>
        <v>51774</v>
      </c>
      <c r="BS4" s="28" t="n">
        <f aca="false">Calc_1!BS$4</f>
        <v>51866</v>
      </c>
      <c r="BT4" s="28" t="n">
        <f aca="false">Calc_1!BT$4</f>
        <v>51956</v>
      </c>
      <c r="BU4" s="28" t="n">
        <f aca="false">Calc_1!BU$4</f>
        <v>52047</v>
      </c>
      <c r="BV4" s="28" t="n">
        <f aca="false">Calc_1!BV$4</f>
        <v>52139</v>
      </c>
      <c r="BW4" s="28" t="n">
        <f aca="false">Calc_1!BW$4</f>
        <v>52231</v>
      </c>
      <c r="BX4" s="28" t="n">
        <f aca="false">Calc_1!BX$4</f>
        <v>52321</v>
      </c>
      <c r="BY4" s="28" t="n">
        <f aca="false">Calc_1!BY$4</f>
        <v>52412</v>
      </c>
      <c r="BZ4" s="28" t="n">
        <f aca="false">Calc_1!BZ$4</f>
        <v>52504</v>
      </c>
      <c r="CA4" s="28" t="n">
        <f aca="false">Calc_1!CA$4</f>
        <v>52596</v>
      </c>
      <c r="CB4" s="28" t="n">
        <f aca="false">Calc_1!CB$4</f>
        <v>52687</v>
      </c>
      <c r="CC4" s="28" t="n">
        <f aca="false">Calc_1!CC$4</f>
        <v>52778</v>
      </c>
      <c r="CD4" s="28" t="n">
        <f aca="false">Calc_1!CD$4</f>
        <v>52870</v>
      </c>
      <c r="CE4" s="28" t="n">
        <f aca="false">Calc_1!CE$4</f>
        <v>52962</v>
      </c>
      <c r="CF4" s="28" t="n">
        <f aca="false">Calc_1!CF$4</f>
        <v>53052</v>
      </c>
      <c r="CG4" s="28" t="n">
        <f aca="false">Calc_1!CG$4</f>
        <v>53143</v>
      </c>
      <c r="CH4" s="28" t="n">
        <f aca="false">Calc_1!CH$4</f>
        <v>53235</v>
      </c>
      <c r="CI4" s="28" t="n">
        <f aca="false">Calc_1!CI$4</f>
        <v>53327</v>
      </c>
      <c r="CJ4" s="28" t="n">
        <f aca="false">Calc_1!CJ$4</f>
        <v>53417</v>
      </c>
      <c r="CK4" s="28" t="n">
        <f aca="false">Calc_1!CK$4</f>
        <v>53508</v>
      </c>
      <c r="CL4" s="28" t="n">
        <f aca="false">Calc_1!CL$4</f>
        <v>53600</v>
      </c>
      <c r="CM4" s="28" t="n">
        <f aca="false">Calc_1!CM$4</f>
        <v>53692</v>
      </c>
      <c r="CN4" s="28" t="n">
        <f aca="false">Calc_1!CN$4</f>
        <v>53782</v>
      </c>
      <c r="CO4" s="28" t="n">
        <f aca="false">Calc_1!CO$4</f>
        <v>53873</v>
      </c>
      <c r="CP4" s="28" t="n">
        <f aca="false">Calc_1!CP$4</f>
        <v>53965</v>
      </c>
      <c r="CQ4" s="28" t="n">
        <f aca="false">Calc_1!CQ$4</f>
        <v>54057</v>
      </c>
      <c r="CR4" s="28" t="n">
        <f aca="false">Calc_1!CR$4</f>
        <v>54148</v>
      </c>
      <c r="CS4" s="28" t="n">
        <f aca="false">Calc_1!CS$4</f>
        <v>54239</v>
      </c>
      <c r="CT4" s="28" t="n">
        <f aca="false">Calc_1!CT$4</f>
        <v>54331</v>
      </c>
      <c r="CU4" s="28" t="n">
        <f aca="false">Calc_1!CU$4</f>
        <v>54423</v>
      </c>
      <c r="CV4" s="28" t="n">
        <f aca="false">Calc_1!CV$4</f>
        <v>54513</v>
      </c>
      <c r="CW4" s="28" t="n">
        <f aca="false">Calc_1!CW$4</f>
        <v>54604</v>
      </c>
      <c r="CX4" s="28" t="n">
        <f aca="false">Calc_1!CX$4</f>
        <v>54696</v>
      </c>
      <c r="CY4" s="28" t="n">
        <f aca="false">Calc_1!CY$4</f>
        <v>54788</v>
      </c>
      <c r="CZ4" s="28" t="n">
        <f aca="false">Calc_1!CZ$4</f>
        <v>54878</v>
      </c>
      <c r="DA4" s="28" t="n">
        <f aca="false">Calc_1!DA$4</f>
        <v>54969</v>
      </c>
      <c r="DB4" s="28" t="n">
        <f aca="false">Calc_1!DB$4</f>
        <v>55061</v>
      </c>
      <c r="DC4" s="28" t="n">
        <f aca="false">Calc_1!DC$4</f>
        <v>55153</v>
      </c>
      <c r="DD4" s="28" t="n">
        <f aca="false">Calc_1!DD$4</f>
        <v>55243</v>
      </c>
      <c r="DE4" s="28" t="n">
        <f aca="false">Calc_1!DE$4</f>
        <v>55334</v>
      </c>
      <c r="DF4" s="28" t="n">
        <f aca="false">Calc_1!DF$4</f>
        <v>55426</v>
      </c>
      <c r="DG4" s="28" t="n">
        <f aca="false">Calc_1!DG$4</f>
        <v>55518</v>
      </c>
      <c r="DH4" s="28" t="n">
        <f aca="false">Calc_1!DH$4</f>
        <v>55609</v>
      </c>
      <c r="DI4" s="28" t="n">
        <f aca="false">Calc_1!DI$4</f>
        <v>55700</v>
      </c>
      <c r="DJ4" s="28" t="n">
        <f aca="false">Calc_1!DJ$4</f>
        <v>55792</v>
      </c>
      <c r="DK4" s="28" t="n">
        <f aca="false">Calc_1!DK$4</f>
        <v>55884</v>
      </c>
      <c r="DL4" s="28" t="n">
        <f aca="false">Calc_1!DL$4</f>
        <v>55974</v>
      </c>
      <c r="DM4" s="28" t="n">
        <f aca="false">Calc_1!DM$4</f>
        <v>56065</v>
      </c>
      <c r="DN4" s="28" t="n">
        <f aca="false">Calc_1!DN$4</f>
        <v>56157</v>
      </c>
      <c r="DO4" s="28" t="n">
        <f aca="false">Calc_1!DO$4</f>
        <v>56249</v>
      </c>
      <c r="DP4" s="28" t="n">
        <f aca="false">Calc_1!DP$4</f>
        <v>56339</v>
      </c>
      <c r="DQ4" s="28" t="n">
        <f aca="false">Calc_1!DQ$4</f>
        <v>56430</v>
      </c>
      <c r="DR4" s="28" t="n">
        <f aca="false">Calc_1!DR$4</f>
        <v>56522</v>
      </c>
      <c r="DS4" s="28" t="n">
        <f aca="false">Calc_1!DS$4</f>
        <v>56614</v>
      </c>
      <c r="DT4" s="28" t="n">
        <f aca="false">Calc_1!DT$4</f>
        <v>56704</v>
      </c>
      <c r="DU4" s="28" t="n">
        <f aca="false">Calc_1!DU$4</f>
        <v>56795</v>
      </c>
      <c r="DV4" s="28" t="n">
        <f aca="false">Calc_1!DV$4</f>
        <v>56887</v>
      </c>
      <c r="DW4" s="28" t="n">
        <f aca="false">Calc_1!DW$4</f>
        <v>56979</v>
      </c>
      <c r="DX4" s="28" t="n">
        <f aca="false">Calc_1!DX$4</f>
        <v>57070</v>
      </c>
      <c r="DY4" s="28" t="n">
        <f aca="false">Calc_1!DY$4</f>
        <v>57161</v>
      </c>
      <c r="DZ4" s="28" t="n">
        <f aca="false">Calc_1!DZ$4</f>
        <v>57253</v>
      </c>
      <c r="EA4" s="28" t="n">
        <f aca="false">Calc_1!EA$4</f>
        <v>57345</v>
      </c>
      <c r="EB4" s="28" t="n">
        <f aca="false">Calc_1!EB$4</f>
        <v>57435</v>
      </c>
      <c r="EC4" s="28" t="n">
        <f aca="false">Calc_1!EC$4</f>
        <v>57526</v>
      </c>
      <c r="ED4" s="28" t="n">
        <f aca="false">Calc_1!ED$4</f>
        <v>57618</v>
      </c>
      <c r="EE4" s="28" t="n">
        <f aca="false">Calc_1!EE$4</f>
        <v>57710</v>
      </c>
      <c r="EF4" s="28" t="n">
        <f aca="false">Calc_1!EF$4</f>
        <v>57800</v>
      </c>
      <c r="EG4" s="28" t="n">
        <f aca="false">Calc_1!EG$4</f>
        <v>57891</v>
      </c>
      <c r="EH4" s="28" t="n">
        <f aca="false">Calc_1!EH$4</f>
        <v>57983</v>
      </c>
      <c r="EI4" s="28" t="n">
        <f aca="false">Calc_1!EI$4</f>
        <v>58075</v>
      </c>
      <c r="EJ4" s="28" t="n">
        <f aca="false">Calc_1!EJ$4</f>
        <v>58165</v>
      </c>
      <c r="EK4" s="28" t="n">
        <f aca="false">Calc_1!EK$4</f>
        <v>58256</v>
      </c>
      <c r="EL4" s="28" t="n">
        <f aca="false">Calc_1!EL$4</f>
        <v>58348</v>
      </c>
      <c r="EM4" s="28" t="n">
        <f aca="false">Calc_1!EM$4</f>
        <v>58440</v>
      </c>
      <c r="EN4" s="28" t="n">
        <f aca="false">Calc_1!EN$4</f>
        <v>58531</v>
      </c>
      <c r="EO4" s="28" t="n">
        <f aca="false">Calc_1!EO$4</f>
        <v>58622</v>
      </c>
      <c r="EP4" s="28" t="n">
        <f aca="false">Calc_1!EP$4</f>
        <v>58714</v>
      </c>
      <c r="EQ4" s="28" t="n">
        <f aca="false">Calc_1!EQ$4</f>
        <v>58806</v>
      </c>
      <c r="ER4" s="28" t="n">
        <f aca="false">Calc_1!ER$4</f>
        <v>58896</v>
      </c>
      <c r="ES4" s="28" t="n">
        <f aca="false">Calc_1!ES$4</f>
        <v>58987</v>
      </c>
      <c r="ET4" s="28" t="n">
        <f aca="false">Calc_1!ET$4</f>
        <v>59079</v>
      </c>
    </row>
    <row r="9" customFormat="false" ht="15" hidden="false" customHeight="false" outlineLevel="0" collapsed="false">
      <c r="E9" s="9" t="s">
        <v>570</v>
      </c>
      <c r="F9" s="9" t="s">
        <v>571</v>
      </c>
    </row>
    <row r="11" customFormat="false" ht="15" hidden="false" customHeight="false" outlineLevel="0" collapsed="false">
      <c r="A11" s="10" t="s">
        <v>13</v>
      </c>
      <c r="B11" s="10"/>
      <c r="C11" s="10" t="s">
        <v>572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</row>
    <row r="12" customFormat="false" ht="15" hidden="false" customHeight="false" outlineLevel="0" collapsed="false">
      <c r="C12" s="1" t="s">
        <v>573</v>
      </c>
      <c r="D12" s="12" t="s">
        <v>41</v>
      </c>
      <c r="E12" s="33" t="str">
        <f aca="false">IF(F12=0,"OK","CHECK")</f>
        <v>OK</v>
      </c>
      <c r="F12" s="46" t="n">
        <f aca="false">N(Calc_1!$E42+Calc_1!$F42&gt;0)</f>
        <v>0</v>
      </c>
    </row>
    <row r="13" customFormat="false" ht="15" hidden="false" customHeight="false" outlineLevel="0" collapsed="false">
      <c r="C13" s="1" t="s">
        <v>574</v>
      </c>
      <c r="D13" s="12" t="s">
        <v>41</v>
      </c>
      <c r="E13" s="33" t="str">
        <f aca="false">IF(F13=0,"OK","CHECK")</f>
        <v>OK</v>
      </c>
      <c r="F13" s="46" t="n">
        <f aca="false">N(Calc_2!$E42+Calc_2!$F42&gt;0)</f>
        <v>0</v>
      </c>
    </row>
    <row r="14" customFormat="false" ht="15" hidden="false" customHeight="false" outlineLevel="0" collapsed="false">
      <c r="C14" s="1" t="s">
        <v>575</v>
      </c>
      <c r="D14" s="12" t="s">
        <v>41</v>
      </c>
      <c r="E14" s="33" t="str">
        <f aca="false">IF(F14=0,"OK","CHECK")</f>
        <v>OK</v>
      </c>
      <c r="F14" s="46" t="n">
        <f aca="false">N(COUNTIF(Calc_1!$J$4:$ET$4,Calc_1!$E12)=0)+N(COUNTIF(Calc_1!$J$4:$ET$4,In_COD)=0)</f>
        <v>0</v>
      </c>
    </row>
    <row r="15" customFormat="false" ht="15" hidden="false" customHeight="false" outlineLevel="0" collapsed="false">
      <c r="C15" s="1" t="s">
        <v>576</v>
      </c>
      <c r="D15" s="12" t="s">
        <v>41</v>
      </c>
      <c r="E15" s="33" t="str">
        <f aca="false">IF(F15=0,"OK","CHECK")</f>
        <v>OK</v>
      </c>
      <c r="F15" s="46" t="n">
        <f aca="false">N(COUNTIF(Calc_2!$J$4:$ET$4,Calc_2!$E12)=0)+N(COUNTIF(Calc_2!$J$4:$ET$4,In_COD)=0)</f>
        <v>0</v>
      </c>
    </row>
    <row r="16" customFormat="false" ht="15" hidden="false" customHeight="false" outlineLevel="0" collapsed="false">
      <c r="C16" s="1" t="s">
        <v>577</v>
      </c>
      <c r="D16" s="12" t="s">
        <v>41</v>
      </c>
      <c r="E16" s="33" t="str">
        <f aca="false">IF(F16=0,"OK","CHECK")</f>
        <v>OK</v>
      </c>
      <c r="F16" s="46" t="n">
        <f aca="false">N(ABS(Calc_1!$E60-Calc_1!$E132-Calc_1!$E47)&gt;Tolerance)</f>
        <v>0</v>
      </c>
    </row>
    <row r="17" customFormat="false" ht="15" hidden="false" customHeight="false" outlineLevel="0" collapsed="false">
      <c r="C17" s="1" t="s">
        <v>578</v>
      </c>
      <c r="D17" s="12" t="s">
        <v>41</v>
      </c>
      <c r="E17" s="33" t="str">
        <f aca="false">IF(F17=0,"OK","CHECK")</f>
        <v>OK</v>
      </c>
      <c r="F17" s="46" t="n">
        <f aca="false">N(ABS(Calc_2!$E60-Calc_2!$E132-Calc_2!$E47)&gt;Tolerance)</f>
        <v>0</v>
      </c>
    </row>
    <row r="18" customFormat="false" ht="15" hidden="false" customHeight="false" outlineLevel="0" collapsed="false">
      <c r="C18" s="1" t="s">
        <v>579</v>
      </c>
      <c r="D18" s="12" t="s">
        <v>41</v>
      </c>
      <c r="E18" s="33" t="str">
        <f aca="false">IF(F18=0,"OK","CHECK")</f>
        <v>OK</v>
      </c>
      <c r="F18" s="46" t="n">
        <f aca="false">N(ABS(Calc_1!$F141+Calc_1!$F142+Calc_1!$F133-Calc_1!$F132)&gt;Tolerance)</f>
        <v>0</v>
      </c>
    </row>
    <row r="19" customFormat="false" ht="15" hidden="false" customHeight="false" outlineLevel="0" collapsed="false">
      <c r="C19" s="1" t="s">
        <v>580</v>
      </c>
      <c r="D19" s="12" t="s">
        <v>41</v>
      </c>
      <c r="E19" s="33" t="str">
        <f aca="false">IF(F19=0,"OK","CHECK")</f>
        <v>OK</v>
      </c>
      <c r="F19" s="46" t="n">
        <f aca="false">N(ABS(Calc_2!$F141+Calc_2!$F142+Calc_2!$F133-Calc_2!$F132)&gt;Tolerance)</f>
        <v>0</v>
      </c>
    </row>
    <row r="20" customFormat="false" ht="15" hidden="false" customHeight="false" outlineLevel="0" collapsed="false">
      <c r="C20" s="1" t="s">
        <v>581</v>
      </c>
      <c r="D20" s="12" t="s">
        <v>41</v>
      </c>
      <c r="E20" s="33" t="str">
        <f aca="false">IF(F20=0,"OK","CHECK")</f>
        <v>OK</v>
      </c>
      <c r="F20" s="46" t="n">
        <f aca="false">N(ABS(Calc_1!$F141+Calc_1!$E147+Calc_1!$E58+Calc_1!$E150-Calc_1!$I151)&gt;Tolerance)</f>
        <v>0</v>
      </c>
    </row>
    <row r="21" customFormat="false" ht="15" hidden="false" customHeight="false" outlineLevel="0" collapsed="false">
      <c r="C21" s="1" t="s">
        <v>582</v>
      </c>
      <c r="D21" s="12" t="s">
        <v>41</v>
      </c>
      <c r="E21" s="33" t="str">
        <f aca="false">IF(F21=0,"OK","CHECK")</f>
        <v>OK</v>
      </c>
      <c r="F21" s="46" t="n">
        <f aca="false">N(ABS(Calc_2!$F141+Calc_2!$E147+Calc_2!$E58+Calc_2!$E150-Calc_2!$I151)&gt;Tolerance)</f>
        <v>0</v>
      </c>
    </row>
    <row r="22" customFormat="false" ht="15" hidden="false" customHeight="false" outlineLevel="0" collapsed="false">
      <c r="C22" s="1" t="s">
        <v>583</v>
      </c>
      <c r="D22" s="12" t="s">
        <v>41</v>
      </c>
      <c r="E22" s="33" t="str">
        <f aca="false">IF(F22=0,"OK","CHECK")</f>
        <v>OK</v>
      </c>
      <c r="F22" s="46" t="n">
        <f aca="false">N(SUMPRODUCT(--(Calc_1!$F133:$F139&gt;Calc_1!$E133:$E139+Tolerance))&gt;0)</f>
        <v>0</v>
      </c>
    </row>
    <row r="23" customFormat="false" ht="15" hidden="false" customHeight="false" outlineLevel="0" collapsed="false">
      <c r="C23" s="1" t="s">
        <v>584</v>
      </c>
      <c r="D23" s="12" t="s">
        <v>41</v>
      </c>
      <c r="E23" s="33" t="str">
        <f aca="false">IF(F23=0,"OK","CHECK")</f>
        <v>OK</v>
      </c>
      <c r="F23" s="46" t="n">
        <f aca="false">N(SUMPRODUCT(--(Calc_2!$F133:$F139&gt;Calc_2!$E133:$E139+Tolerance))&gt;0)</f>
        <v>0</v>
      </c>
    </row>
    <row r="24" customFormat="false" ht="15" hidden="false" customHeight="false" outlineLevel="0" collapsed="false">
      <c r="C24" s="1" t="s">
        <v>585</v>
      </c>
      <c r="D24" s="12" t="s">
        <v>41</v>
      </c>
      <c r="E24" s="33" t="str">
        <f aca="false">IF(F24=0,"OK","CHECK")</f>
        <v>OK</v>
      </c>
      <c r="F24" s="46" t="n">
        <f aca="false">N(Calc_1!$F166&lt;-Tolerance)+N(SUM(Calc_1!$F162:$F165)&gt;Calc_1!$F161+Tolerance)</f>
        <v>0</v>
      </c>
    </row>
    <row r="25" customFormat="false" ht="15" hidden="false" customHeight="false" outlineLevel="0" collapsed="false">
      <c r="C25" s="1" t="s">
        <v>586</v>
      </c>
      <c r="D25" s="12" t="s">
        <v>41</v>
      </c>
      <c r="E25" s="33" t="str">
        <f aca="false">IF(F25=0,"OK","CHECK")</f>
        <v>OK</v>
      </c>
      <c r="F25" s="46" t="n">
        <f aca="false">N(Calc_2!$F166&lt;-Tolerance)+N(SUM(Calc_2!$F162:$F165)&gt;Calc_2!$F161+Tolerance)</f>
        <v>0</v>
      </c>
    </row>
    <row r="26" customFormat="false" ht="15" hidden="false" customHeight="false" outlineLevel="0" collapsed="false">
      <c r="C26" s="1" t="s">
        <v>587</v>
      </c>
      <c r="D26" s="12" t="s">
        <v>41</v>
      </c>
      <c r="E26" s="33" t="str">
        <f aca="false">IF(F26=0,"OK","CHECK")</f>
        <v>OK</v>
      </c>
      <c r="F26" s="46" t="n">
        <f aca="false">N(ABS(Calc_1!$E179-Calc_1!$F179)&gt;Tolerance)</f>
        <v>0</v>
      </c>
    </row>
    <row r="27" customFormat="false" ht="15" hidden="false" customHeight="false" outlineLevel="0" collapsed="false">
      <c r="C27" s="1" t="s">
        <v>588</v>
      </c>
      <c r="D27" s="12" t="s">
        <v>41</v>
      </c>
      <c r="E27" s="33" t="str">
        <f aca="false">IF(F27=0,"OK","CHECK")</f>
        <v>OK</v>
      </c>
      <c r="F27" s="46" t="n">
        <f aca="false">N(ABS(Calc_2!$E179-Calc_2!$F179)&gt;Tolerance)</f>
        <v>0</v>
      </c>
    </row>
    <row r="28" customFormat="false" ht="15" hidden="false" customHeight="false" outlineLevel="0" collapsed="false">
      <c r="C28" s="1" t="s">
        <v>589</v>
      </c>
      <c r="D28" s="12" t="s">
        <v>41</v>
      </c>
      <c r="E28" s="33" t="str">
        <f aca="false">IF(F28=0,"OK","CHECK")</f>
        <v>OK</v>
      </c>
      <c r="F28" s="46" t="n">
        <f aca="false">SUM(J28:ET28)</f>
        <v>0</v>
      </c>
      <c r="J28" s="46" t="n">
        <f aca="false">N((Calc_1!J$4&gt;=Calc_1!$F17)*ABS(Calc_1!J100)&gt;Tolerance)</f>
        <v>0</v>
      </c>
      <c r="K28" s="46" t="n">
        <f aca="false">N((Calc_1!K$4&gt;=Calc_1!$F17)*ABS(Calc_1!K100)&gt;Tolerance)</f>
        <v>0</v>
      </c>
      <c r="L28" s="46" t="n">
        <f aca="false">N((Calc_1!L$4&gt;=Calc_1!$F17)*ABS(Calc_1!L100)&gt;Tolerance)</f>
        <v>0</v>
      </c>
      <c r="M28" s="46" t="n">
        <f aca="false">N((Calc_1!M$4&gt;=Calc_1!$F17)*ABS(Calc_1!M100)&gt;Tolerance)</f>
        <v>0</v>
      </c>
      <c r="N28" s="46" t="n">
        <f aca="false">N((Calc_1!N$4&gt;=Calc_1!$F17)*ABS(Calc_1!N100)&gt;Tolerance)</f>
        <v>0</v>
      </c>
      <c r="O28" s="46" t="n">
        <f aca="false">N((Calc_1!O$4&gt;=Calc_1!$F17)*ABS(Calc_1!O100)&gt;Tolerance)</f>
        <v>0</v>
      </c>
      <c r="P28" s="46" t="n">
        <f aca="false">N((Calc_1!P$4&gt;=Calc_1!$F17)*ABS(Calc_1!P100)&gt;Tolerance)</f>
        <v>0</v>
      </c>
      <c r="Q28" s="46" t="n">
        <f aca="false">N((Calc_1!Q$4&gt;=Calc_1!$F17)*ABS(Calc_1!Q100)&gt;Tolerance)</f>
        <v>0</v>
      </c>
      <c r="R28" s="46" t="n">
        <f aca="false">N((Calc_1!R$4&gt;=Calc_1!$F17)*ABS(Calc_1!R100)&gt;Tolerance)</f>
        <v>0</v>
      </c>
      <c r="S28" s="46" t="n">
        <f aca="false">N((Calc_1!S$4&gt;=Calc_1!$F17)*ABS(Calc_1!S100)&gt;Tolerance)</f>
        <v>0</v>
      </c>
      <c r="T28" s="46" t="n">
        <f aca="false">N((Calc_1!T$4&gt;=Calc_1!$F17)*ABS(Calc_1!T100)&gt;Tolerance)</f>
        <v>0</v>
      </c>
      <c r="U28" s="46" t="n">
        <f aca="false">N((Calc_1!U$4&gt;=Calc_1!$F17)*ABS(Calc_1!U100)&gt;Tolerance)</f>
        <v>0</v>
      </c>
      <c r="V28" s="46" t="n">
        <f aca="false">N((Calc_1!V$4&gt;=Calc_1!$F17)*ABS(Calc_1!V100)&gt;Tolerance)</f>
        <v>0</v>
      </c>
      <c r="W28" s="46" t="n">
        <f aca="false">N((Calc_1!W$4&gt;=Calc_1!$F17)*ABS(Calc_1!W100)&gt;Tolerance)</f>
        <v>0</v>
      </c>
      <c r="X28" s="46" t="n">
        <f aca="false">N((Calc_1!X$4&gt;=Calc_1!$F17)*ABS(Calc_1!X100)&gt;Tolerance)</f>
        <v>0</v>
      </c>
      <c r="Y28" s="46" t="n">
        <f aca="false">N((Calc_1!Y$4&gt;=Calc_1!$F17)*ABS(Calc_1!Y100)&gt;Tolerance)</f>
        <v>0</v>
      </c>
      <c r="Z28" s="46" t="n">
        <f aca="false">N((Calc_1!Z$4&gt;=Calc_1!$F17)*ABS(Calc_1!Z100)&gt;Tolerance)</f>
        <v>0</v>
      </c>
      <c r="AA28" s="46" t="n">
        <f aca="false">N((Calc_1!AA$4&gt;=Calc_1!$F17)*ABS(Calc_1!AA100)&gt;Tolerance)</f>
        <v>0</v>
      </c>
      <c r="AB28" s="46" t="n">
        <f aca="false">N((Calc_1!AB$4&gt;=Calc_1!$F17)*ABS(Calc_1!AB100)&gt;Tolerance)</f>
        <v>0</v>
      </c>
      <c r="AC28" s="46" t="n">
        <f aca="false">N((Calc_1!AC$4&gt;=Calc_1!$F17)*ABS(Calc_1!AC100)&gt;Tolerance)</f>
        <v>0</v>
      </c>
      <c r="AD28" s="46" t="n">
        <f aca="false">N((Calc_1!AD$4&gt;=Calc_1!$F17)*ABS(Calc_1!AD100)&gt;Tolerance)</f>
        <v>0</v>
      </c>
      <c r="AE28" s="46" t="n">
        <f aca="false">N((Calc_1!AE$4&gt;=Calc_1!$F17)*ABS(Calc_1!AE100)&gt;Tolerance)</f>
        <v>0</v>
      </c>
      <c r="AF28" s="46" t="n">
        <f aca="false">N((Calc_1!AF$4&gt;=Calc_1!$F17)*ABS(Calc_1!AF100)&gt;Tolerance)</f>
        <v>0</v>
      </c>
      <c r="AG28" s="46" t="n">
        <f aca="false">N((Calc_1!AG$4&gt;=Calc_1!$F17)*ABS(Calc_1!AG100)&gt;Tolerance)</f>
        <v>0</v>
      </c>
      <c r="AH28" s="46" t="n">
        <f aca="false">N((Calc_1!AH$4&gt;=Calc_1!$F17)*ABS(Calc_1!AH100)&gt;Tolerance)</f>
        <v>0</v>
      </c>
      <c r="AI28" s="46" t="n">
        <f aca="false">N((Calc_1!AI$4&gt;=Calc_1!$F17)*ABS(Calc_1!AI100)&gt;Tolerance)</f>
        <v>0</v>
      </c>
      <c r="AJ28" s="46" t="n">
        <f aca="false">N((Calc_1!AJ$4&gt;=Calc_1!$F17)*ABS(Calc_1!AJ100)&gt;Tolerance)</f>
        <v>0</v>
      </c>
      <c r="AK28" s="46" t="n">
        <f aca="false">N((Calc_1!AK$4&gt;=Calc_1!$F17)*ABS(Calc_1!AK100)&gt;Tolerance)</f>
        <v>0</v>
      </c>
      <c r="AL28" s="46" t="n">
        <f aca="false">N((Calc_1!AL$4&gt;=Calc_1!$F17)*ABS(Calc_1!AL100)&gt;Tolerance)</f>
        <v>0</v>
      </c>
      <c r="AM28" s="46" t="n">
        <f aca="false">N((Calc_1!AM$4&gt;=Calc_1!$F17)*ABS(Calc_1!AM100)&gt;Tolerance)</f>
        <v>0</v>
      </c>
      <c r="AN28" s="46" t="n">
        <f aca="false">N((Calc_1!AN$4&gt;=Calc_1!$F17)*ABS(Calc_1!AN100)&gt;Tolerance)</f>
        <v>0</v>
      </c>
      <c r="AO28" s="46" t="n">
        <f aca="false">N((Calc_1!AO$4&gt;=Calc_1!$F17)*ABS(Calc_1!AO100)&gt;Tolerance)</f>
        <v>0</v>
      </c>
      <c r="AP28" s="46" t="n">
        <f aca="false">N((Calc_1!AP$4&gt;=Calc_1!$F17)*ABS(Calc_1!AP100)&gt;Tolerance)</f>
        <v>0</v>
      </c>
      <c r="AQ28" s="46" t="n">
        <f aca="false">N((Calc_1!AQ$4&gt;=Calc_1!$F17)*ABS(Calc_1!AQ100)&gt;Tolerance)</f>
        <v>0</v>
      </c>
      <c r="AR28" s="46" t="n">
        <f aca="false">N((Calc_1!AR$4&gt;=Calc_1!$F17)*ABS(Calc_1!AR100)&gt;Tolerance)</f>
        <v>0</v>
      </c>
      <c r="AS28" s="46" t="n">
        <f aca="false">N((Calc_1!AS$4&gt;=Calc_1!$F17)*ABS(Calc_1!AS100)&gt;Tolerance)</f>
        <v>0</v>
      </c>
      <c r="AT28" s="46" t="n">
        <f aca="false">N((Calc_1!AT$4&gt;=Calc_1!$F17)*ABS(Calc_1!AT100)&gt;Tolerance)</f>
        <v>0</v>
      </c>
      <c r="AU28" s="46" t="n">
        <f aca="false">N((Calc_1!AU$4&gt;=Calc_1!$F17)*ABS(Calc_1!AU100)&gt;Tolerance)</f>
        <v>0</v>
      </c>
      <c r="AV28" s="46" t="n">
        <f aca="false">N((Calc_1!AV$4&gt;=Calc_1!$F17)*ABS(Calc_1!AV100)&gt;Tolerance)</f>
        <v>0</v>
      </c>
      <c r="AW28" s="46" t="n">
        <f aca="false">N((Calc_1!AW$4&gt;=Calc_1!$F17)*ABS(Calc_1!AW100)&gt;Tolerance)</f>
        <v>0</v>
      </c>
      <c r="AX28" s="46" t="n">
        <f aca="false">N((Calc_1!AX$4&gt;=Calc_1!$F17)*ABS(Calc_1!AX100)&gt;Tolerance)</f>
        <v>0</v>
      </c>
      <c r="AY28" s="46" t="n">
        <f aca="false">N((Calc_1!AY$4&gt;=Calc_1!$F17)*ABS(Calc_1!AY100)&gt;Tolerance)</f>
        <v>0</v>
      </c>
      <c r="AZ28" s="46" t="n">
        <f aca="false">N((Calc_1!AZ$4&gt;=Calc_1!$F17)*ABS(Calc_1!AZ100)&gt;Tolerance)</f>
        <v>0</v>
      </c>
      <c r="BA28" s="46" t="n">
        <f aca="false">N((Calc_1!BA$4&gt;=Calc_1!$F17)*ABS(Calc_1!BA100)&gt;Tolerance)</f>
        <v>0</v>
      </c>
      <c r="BB28" s="46" t="n">
        <f aca="false">N((Calc_1!BB$4&gt;=Calc_1!$F17)*ABS(Calc_1!BB100)&gt;Tolerance)</f>
        <v>0</v>
      </c>
      <c r="BC28" s="46" t="n">
        <f aca="false">N((Calc_1!BC$4&gt;=Calc_1!$F17)*ABS(Calc_1!BC100)&gt;Tolerance)</f>
        <v>0</v>
      </c>
      <c r="BD28" s="46" t="n">
        <f aca="false">N((Calc_1!BD$4&gt;=Calc_1!$F17)*ABS(Calc_1!BD100)&gt;Tolerance)</f>
        <v>0</v>
      </c>
      <c r="BE28" s="46" t="n">
        <f aca="false">N((Calc_1!BE$4&gt;=Calc_1!$F17)*ABS(Calc_1!BE100)&gt;Tolerance)</f>
        <v>0</v>
      </c>
      <c r="BF28" s="46" t="n">
        <f aca="false">N((Calc_1!BF$4&gt;=Calc_1!$F17)*ABS(Calc_1!BF100)&gt;Tolerance)</f>
        <v>0</v>
      </c>
      <c r="BG28" s="46" t="n">
        <f aca="false">N((Calc_1!BG$4&gt;=Calc_1!$F17)*ABS(Calc_1!BG100)&gt;Tolerance)</f>
        <v>0</v>
      </c>
      <c r="BH28" s="46" t="n">
        <f aca="false">N((Calc_1!BH$4&gt;=Calc_1!$F17)*ABS(Calc_1!BH100)&gt;Tolerance)</f>
        <v>0</v>
      </c>
      <c r="BI28" s="46" t="n">
        <f aca="false">N((Calc_1!BI$4&gt;=Calc_1!$F17)*ABS(Calc_1!BI100)&gt;Tolerance)</f>
        <v>0</v>
      </c>
      <c r="BJ28" s="46" t="n">
        <f aca="false">N((Calc_1!BJ$4&gt;=Calc_1!$F17)*ABS(Calc_1!BJ100)&gt;Tolerance)</f>
        <v>0</v>
      </c>
      <c r="BK28" s="46" t="n">
        <f aca="false">N((Calc_1!BK$4&gt;=Calc_1!$F17)*ABS(Calc_1!BK100)&gt;Tolerance)</f>
        <v>0</v>
      </c>
      <c r="BL28" s="46" t="n">
        <f aca="false">N((Calc_1!BL$4&gt;=Calc_1!$F17)*ABS(Calc_1!BL100)&gt;Tolerance)</f>
        <v>0</v>
      </c>
      <c r="BM28" s="46" t="n">
        <f aca="false">N((Calc_1!BM$4&gt;=Calc_1!$F17)*ABS(Calc_1!BM100)&gt;Tolerance)</f>
        <v>0</v>
      </c>
      <c r="BN28" s="46" t="n">
        <f aca="false">N((Calc_1!BN$4&gt;=Calc_1!$F17)*ABS(Calc_1!BN100)&gt;Tolerance)</f>
        <v>0</v>
      </c>
      <c r="BO28" s="46" t="n">
        <f aca="false">N((Calc_1!BO$4&gt;=Calc_1!$F17)*ABS(Calc_1!BO100)&gt;Tolerance)</f>
        <v>0</v>
      </c>
      <c r="BP28" s="46" t="n">
        <f aca="false">N((Calc_1!BP$4&gt;=Calc_1!$F17)*ABS(Calc_1!BP100)&gt;Tolerance)</f>
        <v>0</v>
      </c>
      <c r="BQ28" s="46" t="n">
        <f aca="false">N((Calc_1!BQ$4&gt;=Calc_1!$F17)*ABS(Calc_1!BQ100)&gt;Tolerance)</f>
        <v>0</v>
      </c>
      <c r="BR28" s="46" t="n">
        <f aca="false">N((Calc_1!BR$4&gt;=Calc_1!$F17)*ABS(Calc_1!BR100)&gt;Tolerance)</f>
        <v>0</v>
      </c>
      <c r="BS28" s="46" t="n">
        <f aca="false">N((Calc_1!BS$4&gt;=Calc_1!$F17)*ABS(Calc_1!BS100)&gt;Tolerance)</f>
        <v>0</v>
      </c>
      <c r="BT28" s="46" t="n">
        <f aca="false">N((Calc_1!BT$4&gt;=Calc_1!$F17)*ABS(Calc_1!BT100)&gt;Tolerance)</f>
        <v>0</v>
      </c>
      <c r="BU28" s="46" t="n">
        <f aca="false">N((Calc_1!BU$4&gt;=Calc_1!$F17)*ABS(Calc_1!BU100)&gt;Tolerance)</f>
        <v>0</v>
      </c>
      <c r="BV28" s="46" t="n">
        <f aca="false">N((Calc_1!BV$4&gt;=Calc_1!$F17)*ABS(Calc_1!BV100)&gt;Tolerance)</f>
        <v>0</v>
      </c>
      <c r="BW28" s="46" t="n">
        <f aca="false">N((Calc_1!BW$4&gt;=Calc_1!$F17)*ABS(Calc_1!BW100)&gt;Tolerance)</f>
        <v>0</v>
      </c>
      <c r="BX28" s="46" t="n">
        <f aca="false">N((Calc_1!BX$4&gt;=Calc_1!$F17)*ABS(Calc_1!BX100)&gt;Tolerance)</f>
        <v>0</v>
      </c>
      <c r="BY28" s="46" t="n">
        <f aca="false">N((Calc_1!BY$4&gt;=Calc_1!$F17)*ABS(Calc_1!BY100)&gt;Tolerance)</f>
        <v>0</v>
      </c>
      <c r="BZ28" s="46" t="n">
        <f aca="false">N((Calc_1!BZ$4&gt;=Calc_1!$F17)*ABS(Calc_1!BZ100)&gt;Tolerance)</f>
        <v>0</v>
      </c>
      <c r="CA28" s="46" t="n">
        <f aca="false">N((Calc_1!CA$4&gt;=Calc_1!$F17)*ABS(Calc_1!CA100)&gt;Tolerance)</f>
        <v>0</v>
      </c>
      <c r="CB28" s="46" t="n">
        <f aca="false">N((Calc_1!CB$4&gt;=Calc_1!$F17)*ABS(Calc_1!CB100)&gt;Tolerance)</f>
        <v>0</v>
      </c>
      <c r="CC28" s="46" t="n">
        <f aca="false">N((Calc_1!CC$4&gt;=Calc_1!$F17)*ABS(Calc_1!CC100)&gt;Tolerance)</f>
        <v>0</v>
      </c>
      <c r="CD28" s="46" t="n">
        <f aca="false">N((Calc_1!CD$4&gt;=Calc_1!$F17)*ABS(Calc_1!CD100)&gt;Tolerance)</f>
        <v>0</v>
      </c>
      <c r="CE28" s="46" t="n">
        <f aca="false">N((Calc_1!CE$4&gt;=Calc_1!$F17)*ABS(Calc_1!CE100)&gt;Tolerance)</f>
        <v>0</v>
      </c>
      <c r="CF28" s="46" t="n">
        <f aca="false">N((Calc_1!CF$4&gt;=Calc_1!$F17)*ABS(Calc_1!CF100)&gt;Tolerance)</f>
        <v>0</v>
      </c>
      <c r="CG28" s="46" t="n">
        <f aca="false">N((Calc_1!CG$4&gt;=Calc_1!$F17)*ABS(Calc_1!CG100)&gt;Tolerance)</f>
        <v>0</v>
      </c>
      <c r="CH28" s="46" t="n">
        <f aca="false">N((Calc_1!CH$4&gt;=Calc_1!$F17)*ABS(Calc_1!CH100)&gt;Tolerance)</f>
        <v>0</v>
      </c>
      <c r="CI28" s="46" t="n">
        <f aca="false">N((Calc_1!CI$4&gt;=Calc_1!$F17)*ABS(Calc_1!CI100)&gt;Tolerance)</f>
        <v>0</v>
      </c>
      <c r="CJ28" s="46" t="n">
        <f aca="false">N((Calc_1!CJ$4&gt;=Calc_1!$F17)*ABS(Calc_1!CJ100)&gt;Tolerance)</f>
        <v>0</v>
      </c>
      <c r="CK28" s="46" t="n">
        <f aca="false">N((Calc_1!CK$4&gt;=Calc_1!$F17)*ABS(Calc_1!CK100)&gt;Tolerance)</f>
        <v>0</v>
      </c>
      <c r="CL28" s="46" t="n">
        <f aca="false">N((Calc_1!CL$4&gt;=Calc_1!$F17)*ABS(Calc_1!CL100)&gt;Tolerance)</f>
        <v>0</v>
      </c>
      <c r="CM28" s="46" t="n">
        <f aca="false">N((Calc_1!CM$4&gt;=Calc_1!$F17)*ABS(Calc_1!CM100)&gt;Tolerance)</f>
        <v>0</v>
      </c>
      <c r="CN28" s="46" t="n">
        <f aca="false">N((Calc_1!CN$4&gt;=Calc_1!$F17)*ABS(Calc_1!CN100)&gt;Tolerance)</f>
        <v>0</v>
      </c>
      <c r="CO28" s="46" t="n">
        <f aca="false">N((Calc_1!CO$4&gt;=Calc_1!$F17)*ABS(Calc_1!CO100)&gt;Tolerance)</f>
        <v>0</v>
      </c>
      <c r="CP28" s="46" t="n">
        <f aca="false">N((Calc_1!CP$4&gt;=Calc_1!$F17)*ABS(Calc_1!CP100)&gt;Tolerance)</f>
        <v>0</v>
      </c>
      <c r="CQ28" s="46" t="n">
        <f aca="false">N((Calc_1!CQ$4&gt;=Calc_1!$F17)*ABS(Calc_1!CQ100)&gt;Tolerance)</f>
        <v>0</v>
      </c>
      <c r="CR28" s="46" t="n">
        <f aca="false">N((Calc_1!CR$4&gt;=Calc_1!$F17)*ABS(Calc_1!CR100)&gt;Tolerance)</f>
        <v>0</v>
      </c>
      <c r="CS28" s="46" t="n">
        <f aca="false">N((Calc_1!CS$4&gt;=Calc_1!$F17)*ABS(Calc_1!CS100)&gt;Tolerance)</f>
        <v>0</v>
      </c>
      <c r="CT28" s="46" t="n">
        <f aca="false">N((Calc_1!CT$4&gt;=Calc_1!$F17)*ABS(Calc_1!CT100)&gt;Tolerance)</f>
        <v>0</v>
      </c>
      <c r="CU28" s="46" t="n">
        <f aca="false">N((Calc_1!CU$4&gt;=Calc_1!$F17)*ABS(Calc_1!CU100)&gt;Tolerance)</f>
        <v>0</v>
      </c>
      <c r="CV28" s="46" t="n">
        <f aca="false">N((Calc_1!CV$4&gt;=Calc_1!$F17)*ABS(Calc_1!CV100)&gt;Tolerance)</f>
        <v>0</v>
      </c>
      <c r="CW28" s="46" t="n">
        <f aca="false">N((Calc_1!CW$4&gt;=Calc_1!$F17)*ABS(Calc_1!CW100)&gt;Tolerance)</f>
        <v>0</v>
      </c>
      <c r="CX28" s="46" t="n">
        <f aca="false">N((Calc_1!CX$4&gt;=Calc_1!$F17)*ABS(Calc_1!CX100)&gt;Tolerance)</f>
        <v>0</v>
      </c>
      <c r="CY28" s="46" t="n">
        <f aca="false">N((Calc_1!CY$4&gt;=Calc_1!$F17)*ABS(Calc_1!CY100)&gt;Tolerance)</f>
        <v>0</v>
      </c>
      <c r="CZ28" s="46" t="n">
        <f aca="false">N((Calc_1!CZ$4&gt;=Calc_1!$F17)*ABS(Calc_1!CZ100)&gt;Tolerance)</f>
        <v>0</v>
      </c>
      <c r="DA28" s="46" t="n">
        <f aca="false">N((Calc_1!DA$4&gt;=Calc_1!$F17)*ABS(Calc_1!DA100)&gt;Tolerance)</f>
        <v>0</v>
      </c>
      <c r="DB28" s="46" t="n">
        <f aca="false">N((Calc_1!DB$4&gt;=Calc_1!$F17)*ABS(Calc_1!DB100)&gt;Tolerance)</f>
        <v>0</v>
      </c>
      <c r="DC28" s="46" t="n">
        <f aca="false">N((Calc_1!DC$4&gt;=Calc_1!$F17)*ABS(Calc_1!DC100)&gt;Tolerance)</f>
        <v>0</v>
      </c>
      <c r="DD28" s="46" t="n">
        <f aca="false">N((Calc_1!DD$4&gt;=Calc_1!$F17)*ABS(Calc_1!DD100)&gt;Tolerance)</f>
        <v>0</v>
      </c>
      <c r="DE28" s="46" t="n">
        <f aca="false">N((Calc_1!DE$4&gt;=Calc_1!$F17)*ABS(Calc_1!DE100)&gt;Tolerance)</f>
        <v>0</v>
      </c>
      <c r="DF28" s="46" t="n">
        <f aca="false">N((Calc_1!DF$4&gt;=Calc_1!$F17)*ABS(Calc_1!DF100)&gt;Tolerance)</f>
        <v>0</v>
      </c>
      <c r="DG28" s="46" t="n">
        <f aca="false">N((Calc_1!DG$4&gt;=Calc_1!$F17)*ABS(Calc_1!DG100)&gt;Tolerance)</f>
        <v>0</v>
      </c>
      <c r="DH28" s="46" t="n">
        <f aca="false">N((Calc_1!DH$4&gt;=Calc_1!$F17)*ABS(Calc_1!DH100)&gt;Tolerance)</f>
        <v>0</v>
      </c>
      <c r="DI28" s="46" t="n">
        <f aca="false">N((Calc_1!DI$4&gt;=Calc_1!$F17)*ABS(Calc_1!DI100)&gt;Tolerance)</f>
        <v>0</v>
      </c>
      <c r="DJ28" s="46" t="n">
        <f aca="false">N((Calc_1!DJ$4&gt;=Calc_1!$F17)*ABS(Calc_1!DJ100)&gt;Tolerance)</f>
        <v>0</v>
      </c>
      <c r="DK28" s="46" t="n">
        <f aca="false">N((Calc_1!DK$4&gt;=Calc_1!$F17)*ABS(Calc_1!DK100)&gt;Tolerance)</f>
        <v>0</v>
      </c>
      <c r="DL28" s="46" t="n">
        <f aca="false">N((Calc_1!DL$4&gt;=Calc_1!$F17)*ABS(Calc_1!DL100)&gt;Tolerance)</f>
        <v>0</v>
      </c>
      <c r="DM28" s="46" t="n">
        <f aca="false">N((Calc_1!DM$4&gt;=Calc_1!$F17)*ABS(Calc_1!DM100)&gt;Tolerance)</f>
        <v>0</v>
      </c>
      <c r="DN28" s="46" t="n">
        <f aca="false">N((Calc_1!DN$4&gt;=Calc_1!$F17)*ABS(Calc_1!DN100)&gt;Tolerance)</f>
        <v>0</v>
      </c>
      <c r="DO28" s="46" t="n">
        <f aca="false">N((Calc_1!DO$4&gt;=Calc_1!$F17)*ABS(Calc_1!DO100)&gt;Tolerance)</f>
        <v>0</v>
      </c>
      <c r="DP28" s="46" t="n">
        <f aca="false">N((Calc_1!DP$4&gt;=Calc_1!$F17)*ABS(Calc_1!DP100)&gt;Tolerance)</f>
        <v>0</v>
      </c>
      <c r="DQ28" s="46" t="n">
        <f aca="false">N((Calc_1!DQ$4&gt;=Calc_1!$F17)*ABS(Calc_1!DQ100)&gt;Tolerance)</f>
        <v>0</v>
      </c>
      <c r="DR28" s="46" t="n">
        <f aca="false">N((Calc_1!DR$4&gt;=Calc_1!$F17)*ABS(Calc_1!DR100)&gt;Tolerance)</f>
        <v>0</v>
      </c>
      <c r="DS28" s="46" t="n">
        <f aca="false">N((Calc_1!DS$4&gt;=Calc_1!$F17)*ABS(Calc_1!DS100)&gt;Tolerance)</f>
        <v>0</v>
      </c>
      <c r="DT28" s="46" t="n">
        <f aca="false">N((Calc_1!DT$4&gt;=Calc_1!$F17)*ABS(Calc_1!DT100)&gt;Tolerance)</f>
        <v>0</v>
      </c>
      <c r="DU28" s="46" t="n">
        <f aca="false">N((Calc_1!DU$4&gt;=Calc_1!$F17)*ABS(Calc_1!DU100)&gt;Tolerance)</f>
        <v>0</v>
      </c>
      <c r="DV28" s="46" t="n">
        <f aca="false">N((Calc_1!DV$4&gt;=Calc_1!$F17)*ABS(Calc_1!DV100)&gt;Tolerance)</f>
        <v>0</v>
      </c>
      <c r="DW28" s="46" t="n">
        <f aca="false">N((Calc_1!DW$4&gt;=Calc_1!$F17)*ABS(Calc_1!DW100)&gt;Tolerance)</f>
        <v>0</v>
      </c>
      <c r="DX28" s="46" t="n">
        <f aca="false">N((Calc_1!DX$4&gt;=Calc_1!$F17)*ABS(Calc_1!DX100)&gt;Tolerance)</f>
        <v>0</v>
      </c>
      <c r="DY28" s="46" t="n">
        <f aca="false">N((Calc_1!DY$4&gt;=Calc_1!$F17)*ABS(Calc_1!DY100)&gt;Tolerance)</f>
        <v>0</v>
      </c>
      <c r="DZ28" s="46" t="n">
        <f aca="false">N((Calc_1!DZ$4&gt;=Calc_1!$F17)*ABS(Calc_1!DZ100)&gt;Tolerance)</f>
        <v>0</v>
      </c>
      <c r="EA28" s="46" t="n">
        <f aca="false">N((Calc_1!EA$4&gt;=Calc_1!$F17)*ABS(Calc_1!EA100)&gt;Tolerance)</f>
        <v>0</v>
      </c>
      <c r="EB28" s="46" t="n">
        <f aca="false">N((Calc_1!EB$4&gt;=Calc_1!$F17)*ABS(Calc_1!EB100)&gt;Tolerance)</f>
        <v>0</v>
      </c>
      <c r="EC28" s="46" t="n">
        <f aca="false">N((Calc_1!EC$4&gt;=Calc_1!$F17)*ABS(Calc_1!EC100)&gt;Tolerance)</f>
        <v>0</v>
      </c>
      <c r="ED28" s="46" t="n">
        <f aca="false">N((Calc_1!ED$4&gt;=Calc_1!$F17)*ABS(Calc_1!ED100)&gt;Tolerance)</f>
        <v>0</v>
      </c>
      <c r="EE28" s="46" t="n">
        <f aca="false">N((Calc_1!EE$4&gt;=Calc_1!$F17)*ABS(Calc_1!EE100)&gt;Tolerance)</f>
        <v>0</v>
      </c>
      <c r="EF28" s="46" t="n">
        <f aca="false">N((Calc_1!EF$4&gt;=Calc_1!$F17)*ABS(Calc_1!EF100)&gt;Tolerance)</f>
        <v>0</v>
      </c>
      <c r="EG28" s="46" t="n">
        <f aca="false">N((Calc_1!EG$4&gt;=Calc_1!$F17)*ABS(Calc_1!EG100)&gt;Tolerance)</f>
        <v>0</v>
      </c>
      <c r="EH28" s="46" t="n">
        <f aca="false">N((Calc_1!EH$4&gt;=Calc_1!$F17)*ABS(Calc_1!EH100)&gt;Tolerance)</f>
        <v>0</v>
      </c>
      <c r="EI28" s="46" t="n">
        <f aca="false">N((Calc_1!EI$4&gt;=Calc_1!$F17)*ABS(Calc_1!EI100)&gt;Tolerance)</f>
        <v>0</v>
      </c>
      <c r="EJ28" s="46" t="n">
        <f aca="false">N((Calc_1!EJ$4&gt;=Calc_1!$F17)*ABS(Calc_1!EJ100)&gt;Tolerance)</f>
        <v>0</v>
      </c>
      <c r="EK28" s="46" t="n">
        <f aca="false">N((Calc_1!EK$4&gt;=Calc_1!$F17)*ABS(Calc_1!EK100)&gt;Tolerance)</f>
        <v>0</v>
      </c>
      <c r="EL28" s="46" t="n">
        <f aca="false">N((Calc_1!EL$4&gt;=Calc_1!$F17)*ABS(Calc_1!EL100)&gt;Tolerance)</f>
        <v>0</v>
      </c>
      <c r="EM28" s="46" t="n">
        <f aca="false">N((Calc_1!EM$4&gt;=Calc_1!$F17)*ABS(Calc_1!EM100)&gt;Tolerance)</f>
        <v>0</v>
      </c>
      <c r="EN28" s="46" t="n">
        <f aca="false">N((Calc_1!EN$4&gt;=Calc_1!$F17)*ABS(Calc_1!EN100)&gt;Tolerance)</f>
        <v>0</v>
      </c>
      <c r="EO28" s="46" t="n">
        <f aca="false">N((Calc_1!EO$4&gt;=Calc_1!$F17)*ABS(Calc_1!EO100)&gt;Tolerance)</f>
        <v>0</v>
      </c>
      <c r="EP28" s="46" t="n">
        <f aca="false">N((Calc_1!EP$4&gt;=Calc_1!$F17)*ABS(Calc_1!EP100)&gt;Tolerance)</f>
        <v>0</v>
      </c>
      <c r="EQ28" s="46" t="n">
        <f aca="false">N((Calc_1!EQ$4&gt;=Calc_1!$F17)*ABS(Calc_1!EQ100)&gt;Tolerance)</f>
        <v>0</v>
      </c>
      <c r="ER28" s="46" t="n">
        <f aca="false">N((Calc_1!ER$4&gt;=Calc_1!$F17)*ABS(Calc_1!ER100)&gt;Tolerance)</f>
        <v>0</v>
      </c>
      <c r="ES28" s="46" t="n">
        <f aca="false">N((Calc_1!ES$4&gt;=Calc_1!$F17)*ABS(Calc_1!ES100)&gt;Tolerance)</f>
        <v>0</v>
      </c>
      <c r="ET28" s="46" t="n">
        <f aca="false">N((Calc_1!ET$4&gt;=Calc_1!$F17)*ABS(Calc_1!ET100)&gt;Tolerance)</f>
        <v>0</v>
      </c>
    </row>
    <row r="29" customFormat="false" ht="15" hidden="false" customHeight="false" outlineLevel="0" collapsed="false">
      <c r="C29" s="1" t="s">
        <v>590</v>
      </c>
      <c r="D29" s="12" t="s">
        <v>41</v>
      </c>
      <c r="E29" s="33" t="str">
        <f aca="false">IF(F29=0,"OK","CHECK")</f>
        <v>OK</v>
      </c>
      <c r="F29" s="46" t="n">
        <f aca="false">SUM(J29:ET29)</f>
        <v>0</v>
      </c>
      <c r="J29" s="46" t="n">
        <f aca="false">N((Calc_2!J$4&gt;=Calc_2!$F17)*ABS(Calc_2!J100)&gt;Tolerance)</f>
        <v>0</v>
      </c>
      <c r="K29" s="46" t="n">
        <f aca="false">N((Calc_2!K$4&gt;=Calc_2!$F17)*ABS(Calc_2!K100)&gt;Tolerance)</f>
        <v>0</v>
      </c>
      <c r="L29" s="46" t="n">
        <f aca="false">N((Calc_2!L$4&gt;=Calc_2!$F17)*ABS(Calc_2!L100)&gt;Tolerance)</f>
        <v>0</v>
      </c>
      <c r="M29" s="46" t="n">
        <f aca="false">N((Calc_2!M$4&gt;=Calc_2!$F17)*ABS(Calc_2!M100)&gt;Tolerance)</f>
        <v>0</v>
      </c>
      <c r="N29" s="46" t="n">
        <f aca="false">N((Calc_2!N$4&gt;=Calc_2!$F17)*ABS(Calc_2!N100)&gt;Tolerance)</f>
        <v>0</v>
      </c>
      <c r="O29" s="46" t="n">
        <f aca="false">N((Calc_2!O$4&gt;=Calc_2!$F17)*ABS(Calc_2!O100)&gt;Tolerance)</f>
        <v>0</v>
      </c>
      <c r="P29" s="46" t="n">
        <f aca="false">N((Calc_2!P$4&gt;=Calc_2!$F17)*ABS(Calc_2!P100)&gt;Tolerance)</f>
        <v>0</v>
      </c>
      <c r="Q29" s="46" t="n">
        <f aca="false">N((Calc_2!Q$4&gt;=Calc_2!$F17)*ABS(Calc_2!Q100)&gt;Tolerance)</f>
        <v>0</v>
      </c>
      <c r="R29" s="46" t="n">
        <f aca="false">N((Calc_2!R$4&gt;=Calc_2!$F17)*ABS(Calc_2!R100)&gt;Tolerance)</f>
        <v>0</v>
      </c>
      <c r="S29" s="46" t="n">
        <f aca="false">N((Calc_2!S$4&gt;=Calc_2!$F17)*ABS(Calc_2!S100)&gt;Tolerance)</f>
        <v>0</v>
      </c>
      <c r="T29" s="46" t="n">
        <f aca="false">N((Calc_2!T$4&gt;=Calc_2!$F17)*ABS(Calc_2!T100)&gt;Tolerance)</f>
        <v>0</v>
      </c>
      <c r="U29" s="46" t="n">
        <f aca="false">N((Calc_2!U$4&gt;=Calc_2!$F17)*ABS(Calc_2!U100)&gt;Tolerance)</f>
        <v>0</v>
      </c>
      <c r="V29" s="46" t="n">
        <f aca="false">N((Calc_2!V$4&gt;=Calc_2!$F17)*ABS(Calc_2!V100)&gt;Tolerance)</f>
        <v>0</v>
      </c>
      <c r="W29" s="46" t="n">
        <f aca="false">N((Calc_2!W$4&gt;=Calc_2!$F17)*ABS(Calc_2!W100)&gt;Tolerance)</f>
        <v>0</v>
      </c>
      <c r="X29" s="46" t="n">
        <f aca="false">N((Calc_2!X$4&gt;=Calc_2!$F17)*ABS(Calc_2!X100)&gt;Tolerance)</f>
        <v>0</v>
      </c>
      <c r="Y29" s="46" t="n">
        <f aca="false">N((Calc_2!Y$4&gt;=Calc_2!$F17)*ABS(Calc_2!Y100)&gt;Tolerance)</f>
        <v>0</v>
      </c>
      <c r="Z29" s="46" t="n">
        <f aca="false">N((Calc_2!Z$4&gt;=Calc_2!$F17)*ABS(Calc_2!Z100)&gt;Tolerance)</f>
        <v>0</v>
      </c>
      <c r="AA29" s="46" t="n">
        <f aca="false">N((Calc_2!AA$4&gt;=Calc_2!$F17)*ABS(Calc_2!AA100)&gt;Tolerance)</f>
        <v>0</v>
      </c>
      <c r="AB29" s="46" t="n">
        <f aca="false">N((Calc_2!AB$4&gt;=Calc_2!$F17)*ABS(Calc_2!AB100)&gt;Tolerance)</f>
        <v>0</v>
      </c>
      <c r="AC29" s="46" t="n">
        <f aca="false">N((Calc_2!AC$4&gt;=Calc_2!$F17)*ABS(Calc_2!AC100)&gt;Tolerance)</f>
        <v>0</v>
      </c>
      <c r="AD29" s="46" t="n">
        <f aca="false">N((Calc_2!AD$4&gt;=Calc_2!$F17)*ABS(Calc_2!AD100)&gt;Tolerance)</f>
        <v>0</v>
      </c>
      <c r="AE29" s="46" t="n">
        <f aca="false">N((Calc_2!AE$4&gt;=Calc_2!$F17)*ABS(Calc_2!AE100)&gt;Tolerance)</f>
        <v>0</v>
      </c>
      <c r="AF29" s="46" t="n">
        <f aca="false">N((Calc_2!AF$4&gt;=Calc_2!$F17)*ABS(Calc_2!AF100)&gt;Tolerance)</f>
        <v>0</v>
      </c>
      <c r="AG29" s="46" t="n">
        <f aca="false">N((Calc_2!AG$4&gt;=Calc_2!$F17)*ABS(Calc_2!AG100)&gt;Tolerance)</f>
        <v>0</v>
      </c>
      <c r="AH29" s="46" t="n">
        <f aca="false">N((Calc_2!AH$4&gt;=Calc_2!$F17)*ABS(Calc_2!AH100)&gt;Tolerance)</f>
        <v>0</v>
      </c>
      <c r="AI29" s="46" t="n">
        <f aca="false">N((Calc_2!AI$4&gt;=Calc_2!$F17)*ABS(Calc_2!AI100)&gt;Tolerance)</f>
        <v>0</v>
      </c>
      <c r="AJ29" s="46" t="n">
        <f aca="false">N((Calc_2!AJ$4&gt;=Calc_2!$F17)*ABS(Calc_2!AJ100)&gt;Tolerance)</f>
        <v>0</v>
      </c>
      <c r="AK29" s="46" t="n">
        <f aca="false">N((Calc_2!AK$4&gt;=Calc_2!$F17)*ABS(Calc_2!AK100)&gt;Tolerance)</f>
        <v>0</v>
      </c>
      <c r="AL29" s="46" t="n">
        <f aca="false">N((Calc_2!AL$4&gt;=Calc_2!$F17)*ABS(Calc_2!AL100)&gt;Tolerance)</f>
        <v>0</v>
      </c>
      <c r="AM29" s="46" t="n">
        <f aca="false">N((Calc_2!AM$4&gt;=Calc_2!$F17)*ABS(Calc_2!AM100)&gt;Tolerance)</f>
        <v>0</v>
      </c>
      <c r="AN29" s="46" t="n">
        <f aca="false">N((Calc_2!AN$4&gt;=Calc_2!$F17)*ABS(Calc_2!AN100)&gt;Tolerance)</f>
        <v>0</v>
      </c>
      <c r="AO29" s="46" t="n">
        <f aca="false">N((Calc_2!AO$4&gt;=Calc_2!$F17)*ABS(Calc_2!AO100)&gt;Tolerance)</f>
        <v>0</v>
      </c>
      <c r="AP29" s="46" t="n">
        <f aca="false">N((Calc_2!AP$4&gt;=Calc_2!$F17)*ABS(Calc_2!AP100)&gt;Tolerance)</f>
        <v>0</v>
      </c>
      <c r="AQ29" s="46" t="n">
        <f aca="false">N((Calc_2!AQ$4&gt;=Calc_2!$F17)*ABS(Calc_2!AQ100)&gt;Tolerance)</f>
        <v>0</v>
      </c>
      <c r="AR29" s="46" t="n">
        <f aca="false">N((Calc_2!AR$4&gt;=Calc_2!$F17)*ABS(Calc_2!AR100)&gt;Tolerance)</f>
        <v>0</v>
      </c>
      <c r="AS29" s="46" t="n">
        <f aca="false">N((Calc_2!AS$4&gt;=Calc_2!$F17)*ABS(Calc_2!AS100)&gt;Tolerance)</f>
        <v>0</v>
      </c>
      <c r="AT29" s="46" t="n">
        <f aca="false">N((Calc_2!AT$4&gt;=Calc_2!$F17)*ABS(Calc_2!AT100)&gt;Tolerance)</f>
        <v>0</v>
      </c>
      <c r="AU29" s="46" t="n">
        <f aca="false">N((Calc_2!AU$4&gt;=Calc_2!$F17)*ABS(Calc_2!AU100)&gt;Tolerance)</f>
        <v>0</v>
      </c>
      <c r="AV29" s="46" t="n">
        <f aca="false">N((Calc_2!AV$4&gt;=Calc_2!$F17)*ABS(Calc_2!AV100)&gt;Tolerance)</f>
        <v>0</v>
      </c>
      <c r="AW29" s="46" t="n">
        <f aca="false">N((Calc_2!AW$4&gt;=Calc_2!$F17)*ABS(Calc_2!AW100)&gt;Tolerance)</f>
        <v>0</v>
      </c>
      <c r="AX29" s="46" t="n">
        <f aca="false">N((Calc_2!AX$4&gt;=Calc_2!$F17)*ABS(Calc_2!AX100)&gt;Tolerance)</f>
        <v>0</v>
      </c>
      <c r="AY29" s="46" t="n">
        <f aca="false">N((Calc_2!AY$4&gt;=Calc_2!$F17)*ABS(Calc_2!AY100)&gt;Tolerance)</f>
        <v>0</v>
      </c>
      <c r="AZ29" s="46" t="n">
        <f aca="false">N((Calc_2!AZ$4&gt;=Calc_2!$F17)*ABS(Calc_2!AZ100)&gt;Tolerance)</f>
        <v>0</v>
      </c>
      <c r="BA29" s="46" t="n">
        <f aca="false">N((Calc_2!BA$4&gt;=Calc_2!$F17)*ABS(Calc_2!BA100)&gt;Tolerance)</f>
        <v>0</v>
      </c>
      <c r="BB29" s="46" t="n">
        <f aca="false">N((Calc_2!BB$4&gt;=Calc_2!$F17)*ABS(Calc_2!BB100)&gt;Tolerance)</f>
        <v>0</v>
      </c>
      <c r="BC29" s="46" t="n">
        <f aca="false">N((Calc_2!BC$4&gt;=Calc_2!$F17)*ABS(Calc_2!BC100)&gt;Tolerance)</f>
        <v>0</v>
      </c>
      <c r="BD29" s="46" t="n">
        <f aca="false">N((Calc_2!BD$4&gt;=Calc_2!$F17)*ABS(Calc_2!BD100)&gt;Tolerance)</f>
        <v>0</v>
      </c>
      <c r="BE29" s="46" t="n">
        <f aca="false">N((Calc_2!BE$4&gt;=Calc_2!$F17)*ABS(Calc_2!BE100)&gt;Tolerance)</f>
        <v>0</v>
      </c>
      <c r="BF29" s="46" t="n">
        <f aca="false">N((Calc_2!BF$4&gt;=Calc_2!$F17)*ABS(Calc_2!BF100)&gt;Tolerance)</f>
        <v>0</v>
      </c>
      <c r="BG29" s="46" t="n">
        <f aca="false">N((Calc_2!BG$4&gt;=Calc_2!$F17)*ABS(Calc_2!BG100)&gt;Tolerance)</f>
        <v>0</v>
      </c>
      <c r="BH29" s="46" t="n">
        <f aca="false">N((Calc_2!BH$4&gt;=Calc_2!$F17)*ABS(Calc_2!BH100)&gt;Tolerance)</f>
        <v>0</v>
      </c>
      <c r="BI29" s="46" t="n">
        <f aca="false">N((Calc_2!BI$4&gt;=Calc_2!$F17)*ABS(Calc_2!BI100)&gt;Tolerance)</f>
        <v>0</v>
      </c>
      <c r="BJ29" s="46" t="n">
        <f aca="false">N((Calc_2!BJ$4&gt;=Calc_2!$F17)*ABS(Calc_2!BJ100)&gt;Tolerance)</f>
        <v>0</v>
      </c>
      <c r="BK29" s="46" t="n">
        <f aca="false">N((Calc_2!BK$4&gt;=Calc_2!$F17)*ABS(Calc_2!BK100)&gt;Tolerance)</f>
        <v>0</v>
      </c>
      <c r="BL29" s="46" t="n">
        <f aca="false">N((Calc_2!BL$4&gt;=Calc_2!$F17)*ABS(Calc_2!BL100)&gt;Tolerance)</f>
        <v>0</v>
      </c>
      <c r="BM29" s="46" t="n">
        <f aca="false">N((Calc_2!BM$4&gt;=Calc_2!$F17)*ABS(Calc_2!BM100)&gt;Tolerance)</f>
        <v>0</v>
      </c>
      <c r="BN29" s="46" t="n">
        <f aca="false">N((Calc_2!BN$4&gt;=Calc_2!$F17)*ABS(Calc_2!BN100)&gt;Tolerance)</f>
        <v>0</v>
      </c>
      <c r="BO29" s="46" t="n">
        <f aca="false">N((Calc_2!BO$4&gt;=Calc_2!$F17)*ABS(Calc_2!BO100)&gt;Tolerance)</f>
        <v>0</v>
      </c>
      <c r="BP29" s="46" t="n">
        <f aca="false">N((Calc_2!BP$4&gt;=Calc_2!$F17)*ABS(Calc_2!BP100)&gt;Tolerance)</f>
        <v>0</v>
      </c>
      <c r="BQ29" s="46" t="n">
        <f aca="false">N((Calc_2!BQ$4&gt;=Calc_2!$F17)*ABS(Calc_2!BQ100)&gt;Tolerance)</f>
        <v>0</v>
      </c>
      <c r="BR29" s="46" t="n">
        <f aca="false">N((Calc_2!BR$4&gt;=Calc_2!$F17)*ABS(Calc_2!BR100)&gt;Tolerance)</f>
        <v>0</v>
      </c>
      <c r="BS29" s="46" t="n">
        <f aca="false">N((Calc_2!BS$4&gt;=Calc_2!$F17)*ABS(Calc_2!BS100)&gt;Tolerance)</f>
        <v>0</v>
      </c>
      <c r="BT29" s="46" t="n">
        <f aca="false">N((Calc_2!BT$4&gt;=Calc_2!$F17)*ABS(Calc_2!BT100)&gt;Tolerance)</f>
        <v>0</v>
      </c>
      <c r="BU29" s="46" t="n">
        <f aca="false">N((Calc_2!BU$4&gt;=Calc_2!$F17)*ABS(Calc_2!BU100)&gt;Tolerance)</f>
        <v>0</v>
      </c>
      <c r="BV29" s="46" t="n">
        <f aca="false">N((Calc_2!BV$4&gt;=Calc_2!$F17)*ABS(Calc_2!BV100)&gt;Tolerance)</f>
        <v>0</v>
      </c>
      <c r="BW29" s="46" t="n">
        <f aca="false">N((Calc_2!BW$4&gt;=Calc_2!$F17)*ABS(Calc_2!BW100)&gt;Tolerance)</f>
        <v>0</v>
      </c>
      <c r="BX29" s="46" t="n">
        <f aca="false">N((Calc_2!BX$4&gt;=Calc_2!$F17)*ABS(Calc_2!BX100)&gt;Tolerance)</f>
        <v>0</v>
      </c>
      <c r="BY29" s="46" t="n">
        <f aca="false">N((Calc_2!BY$4&gt;=Calc_2!$F17)*ABS(Calc_2!BY100)&gt;Tolerance)</f>
        <v>0</v>
      </c>
      <c r="BZ29" s="46" t="n">
        <f aca="false">N((Calc_2!BZ$4&gt;=Calc_2!$F17)*ABS(Calc_2!BZ100)&gt;Tolerance)</f>
        <v>0</v>
      </c>
      <c r="CA29" s="46" t="n">
        <f aca="false">N((Calc_2!CA$4&gt;=Calc_2!$F17)*ABS(Calc_2!CA100)&gt;Tolerance)</f>
        <v>0</v>
      </c>
      <c r="CB29" s="46" t="n">
        <f aca="false">N((Calc_2!CB$4&gt;=Calc_2!$F17)*ABS(Calc_2!CB100)&gt;Tolerance)</f>
        <v>0</v>
      </c>
      <c r="CC29" s="46" t="n">
        <f aca="false">N((Calc_2!CC$4&gt;=Calc_2!$F17)*ABS(Calc_2!CC100)&gt;Tolerance)</f>
        <v>0</v>
      </c>
      <c r="CD29" s="46" t="n">
        <f aca="false">N((Calc_2!CD$4&gt;=Calc_2!$F17)*ABS(Calc_2!CD100)&gt;Tolerance)</f>
        <v>0</v>
      </c>
      <c r="CE29" s="46" t="n">
        <f aca="false">N((Calc_2!CE$4&gt;=Calc_2!$F17)*ABS(Calc_2!CE100)&gt;Tolerance)</f>
        <v>0</v>
      </c>
      <c r="CF29" s="46" t="n">
        <f aca="false">N((Calc_2!CF$4&gt;=Calc_2!$F17)*ABS(Calc_2!CF100)&gt;Tolerance)</f>
        <v>0</v>
      </c>
      <c r="CG29" s="46" t="n">
        <f aca="false">N((Calc_2!CG$4&gt;=Calc_2!$F17)*ABS(Calc_2!CG100)&gt;Tolerance)</f>
        <v>0</v>
      </c>
      <c r="CH29" s="46" t="n">
        <f aca="false">N((Calc_2!CH$4&gt;=Calc_2!$F17)*ABS(Calc_2!CH100)&gt;Tolerance)</f>
        <v>0</v>
      </c>
      <c r="CI29" s="46" t="n">
        <f aca="false">N((Calc_2!CI$4&gt;=Calc_2!$F17)*ABS(Calc_2!CI100)&gt;Tolerance)</f>
        <v>0</v>
      </c>
      <c r="CJ29" s="46" t="n">
        <f aca="false">N((Calc_2!CJ$4&gt;=Calc_2!$F17)*ABS(Calc_2!CJ100)&gt;Tolerance)</f>
        <v>0</v>
      </c>
      <c r="CK29" s="46" t="n">
        <f aca="false">N((Calc_2!CK$4&gt;=Calc_2!$F17)*ABS(Calc_2!CK100)&gt;Tolerance)</f>
        <v>0</v>
      </c>
      <c r="CL29" s="46" t="n">
        <f aca="false">N((Calc_2!CL$4&gt;=Calc_2!$F17)*ABS(Calc_2!CL100)&gt;Tolerance)</f>
        <v>0</v>
      </c>
      <c r="CM29" s="46" t="n">
        <f aca="false">N((Calc_2!CM$4&gt;=Calc_2!$F17)*ABS(Calc_2!CM100)&gt;Tolerance)</f>
        <v>0</v>
      </c>
      <c r="CN29" s="46" t="n">
        <f aca="false">N((Calc_2!CN$4&gt;=Calc_2!$F17)*ABS(Calc_2!CN100)&gt;Tolerance)</f>
        <v>0</v>
      </c>
      <c r="CO29" s="46" t="n">
        <f aca="false">N((Calc_2!CO$4&gt;=Calc_2!$F17)*ABS(Calc_2!CO100)&gt;Tolerance)</f>
        <v>0</v>
      </c>
      <c r="CP29" s="46" t="n">
        <f aca="false">N((Calc_2!CP$4&gt;=Calc_2!$F17)*ABS(Calc_2!CP100)&gt;Tolerance)</f>
        <v>0</v>
      </c>
      <c r="CQ29" s="46" t="n">
        <f aca="false">N((Calc_2!CQ$4&gt;=Calc_2!$F17)*ABS(Calc_2!CQ100)&gt;Tolerance)</f>
        <v>0</v>
      </c>
      <c r="CR29" s="46" t="n">
        <f aca="false">N((Calc_2!CR$4&gt;=Calc_2!$F17)*ABS(Calc_2!CR100)&gt;Tolerance)</f>
        <v>0</v>
      </c>
      <c r="CS29" s="46" t="n">
        <f aca="false">N((Calc_2!CS$4&gt;=Calc_2!$F17)*ABS(Calc_2!CS100)&gt;Tolerance)</f>
        <v>0</v>
      </c>
      <c r="CT29" s="46" t="n">
        <f aca="false">N((Calc_2!CT$4&gt;=Calc_2!$F17)*ABS(Calc_2!CT100)&gt;Tolerance)</f>
        <v>0</v>
      </c>
      <c r="CU29" s="46" t="n">
        <f aca="false">N((Calc_2!CU$4&gt;=Calc_2!$F17)*ABS(Calc_2!CU100)&gt;Tolerance)</f>
        <v>0</v>
      </c>
      <c r="CV29" s="46" t="n">
        <f aca="false">N((Calc_2!CV$4&gt;=Calc_2!$F17)*ABS(Calc_2!CV100)&gt;Tolerance)</f>
        <v>0</v>
      </c>
      <c r="CW29" s="46" t="n">
        <f aca="false">N((Calc_2!CW$4&gt;=Calc_2!$F17)*ABS(Calc_2!CW100)&gt;Tolerance)</f>
        <v>0</v>
      </c>
      <c r="CX29" s="46" t="n">
        <f aca="false">N((Calc_2!CX$4&gt;=Calc_2!$F17)*ABS(Calc_2!CX100)&gt;Tolerance)</f>
        <v>0</v>
      </c>
      <c r="CY29" s="46" t="n">
        <f aca="false">N((Calc_2!CY$4&gt;=Calc_2!$F17)*ABS(Calc_2!CY100)&gt;Tolerance)</f>
        <v>0</v>
      </c>
      <c r="CZ29" s="46" t="n">
        <f aca="false">N((Calc_2!CZ$4&gt;=Calc_2!$F17)*ABS(Calc_2!CZ100)&gt;Tolerance)</f>
        <v>0</v>
      </c>
      <c r="DA29" s="46" t="n">
        <f aca="false">N((Calc_2!DA$4&gt;=Calc_2!$F17)*ABS(Calc_2!DA100)&gt;Tolerance)</f>
        <v>0</v>
      </c>
      <c r="DB29" s="46" t="n">
        <f aca="false">N((Calc_2!DB$4&gt;=Calc_2!$F17)*ABS(Calc_2!DB100)&gt;Tolerance)</f>
        <v>0</v>
      </c>
      <c r="DC29" s="46" t="n">
        <f aca="false">N((Calc_2!DC$4&gt;=Calc_2!$F17)*ABS(Calc_2!DC100)&gt;Tolerance)</f>
        <v>0</v>
      </c>
      <c r="DD29" s="46" t="n">
        <f aca="false">N((Calc_2!DD$4&gt;=Calc_2!$F17)*ABS(Calc_2!DD100)&gt;Tolerance)</f>
        <v>0</v>
      </c>
      <c r="DE29" s="46" t="n">
        <f aca="false">N((Calc_2!DE$4&gt;=Calc_2!$F17)*ABS(Calc_2!DE100)&gt;Tolerance)</f>
        <v>0</v>
      </c>
      <c r="DF29" s="46" t="n">
        <f aca="false">N((Calc_2!DF$4&gt;=Calc_2!$F17)*ABS(Calc_2!DF100)&gt;Tolerance)</f>
        <v>0</v>
      </c>
      <c r="DG29" s="46" t="n">
        <f aca="false">N((Calc_2!DG$4&gt;=Calc_2!$F17)*ABS(Calc_2!DG100)&gt;Tolerance)</f>
        <v>0</v>
      </c>
      <c r="DH29" s="46" t="n">
        <f aca="false">N((Calc_2!DH$4&gt;=Calc_2!$F17)*ABS(Calc_2!DH100)&gt;Tolerance)</f>
        <v>0</v>
      </c>
      <c r="DI29" s="46" t="n">
        <f aca="false">N((Calc_2!DI$4&gt;=Calc_2!$F17)*ABS(Calc_2!DI100)&gt;Tolerance)</f>
        <v>0</v>
      </c>
      <c r="DJ29" s="46" t="n">
        <f aca="false">N((Calc_2!DJ$4&gt;=Calc_2!$F17)*ABS(Calc_2!DJ100)&gt;Tolerance)</f>
        <v>0</v>
      </c>
      <c r="DK29" s="46" t="n">
        <f aca="false">N((Calc_2!DK$4&gt;=Calc_2!$F17)*ABS(Calc_2!DK100)&gt;Tolerance)</f>
        <v>0</v>
      </c>
      <c r="DL29" s="46" t="n">
        <f aca="false">N((Calc_2!DL$4&gt;=Calc_2!$F17)*ABS(Calc_2!DL100)&gt;Tolerance)</f>
        <v>0</v>
      </c>
      <c r="DM29" s="46" t="n">
        <f aca="false">N((Calc_2!DM$4&gt;=Calc_2!$F17)*ABS(Calc_2!DM100)&gt;Tolerance)</f>
        <v>0</v>
      </c>
      <c r="DN29" s="46" t="n">
        <f aca="false">N((Calc_2!DN$4&gt;=Calc_2!$F17)*ABS(Calc_2!DN100)&gt;Tolerance)</f>
        <v>0</v>
      </c>
      <c r="DO29" s="46" t="n">
        <f aca="false">N((Calc_2!DO$4&gt;=Calc_2!$F17)*ABS(Calc_2!DO100)&gt;Tolerance)</f>
        <v>0</v>
      </c>
      <c r="DP29" s="46" t="n">
        <f aca="false">N((Calc_2!DP$4&gt;=Calc_2!$F17)*ABS(Calc_2!DP100)&gt;Tolerance)</f>
        <v>0</v>
      </c>
      <c r="DQ29" s="46" t="n">
        <f aca="false">N((Calc_2!DQ$4&gt;=Calc_2!$F17)*ABS(Calc_2!DQ100)&gt;Tolerance)</f>
        <v>0</v>
      </c>
      <c r="DR29" s="46" t="n">
        <f aca="false">N((Calc_2!DR$4&gt;=Calc_2!$F17)*ABS(Calc_2!DR100)&gt;Tolerance)</f>
        <v>0</v>
      </c>
      <c r="DS29" s="46" t="n">
        <f aca="false">N((Calc_2!DS$4&gt;=Calc_2!$F17)*ABS(Calc_2!DS100)&gt;Tolerance)</f>
        <v>0</v>
      </c>
      <c r="DT29" s="46" t="n">
        <f aca="false">N((Calc_2!DT$4&gt;=Calc_2!$F17)*ABS(Calc_2!DT100)&gt;Tolerance)</f>
        <v>0</v>
      </c>
      <c r="DU29" s="46" t="n">
        <f aca="false">N((Calc_2!DU$4&gt;=Calc_2!$F17)*ABS(Calc_2!DU100)&gt;Tolerance)</f>
        <v>0</v>
      </c>
      <c r="DV29" s="46" t="n">
        <f aca="false">N((Calc_2!DV$4&gt;=Calc_2!$F17)*ABS(Calc_2!DV100)&gt;Tolerance)</f>
        <v>0</v>
      </c>
      <c r="DW29" s="46" t="n">
        <f aca="false">N((Calc_2!DW$4&gt;=Calc_2!$F17)*ABS(Calc_2!DW100)&gt;Tolerance)</f>
        <v>0</v>
      </c>
      <c r="DX29" s="46" t="n">
        <f aca="false">N((Calc_2!DX$4&gt;=Calc_2!$F17)*ABS(Calc_2!DX100)&gt;Tolerance)</f>
        <v>0</v>
      </c>
      <c r="DY29" s="46" t="n">
        <f aca="false">N((Calc_2!DY$4&gt;=Calc_2!$F17)*ABS(Calc_2!DY100)&gt;Tolerance)</f>
        <v>0</v>
      </c>
      <c r="DZ29" s="46" t="n">
        <f aca="false">N((Calc_2!DZ$4&gt;=Calc_2!$F17)*ABS(Calc_2!DZ100)&gt;Tolerance)</f>
        <v>0</v>
      </c>
      <c r="EA29" s="46" t="n">
        <f aca="false">N((Calc_2!EA$4&gt;=Calc_2!$F17)*ABS(Calc_2!EA100)&gt;Tolerance)</f>
        <v>0</v>
      </c>
      <c r="EB29" s="46" t="n">
        <f aca="false">N((Calc_2!EB$4&gt;=Calc_2!$F17)*ABS(Calc_2!EB100)&gt;Tolerance)</f>
        <v>0</v>
      </c>
      <c r="EC29" s="46" t="n">
        <f aca="false">N((Calc_2!EC$4&gt;=Calc_2!$F17)*ABS(Calc_2!EC100)&gt;Tolerance)</f>
        <v>0</v>
      </c>
      <c r="ED29" s="46" t="n">
        <f aca="false">N((Calc_2!ED$4&gt;=Calc_2!$F17)*ABS(Calc_2!ED100)&gt;Tolerance)</f>
        <v>0</v>
      </c>
      <c r="EE29" s="46" t="n">
        <f aca="false">N((Calc_2!EE$4&gt;=Calc_2!$F17)*ABS(Calc_2!EE100)&gt;Tolerance)</f>
        <v>0</v>
      </c>
      <c r="EF29" s="46" t="n">
        <f aca="false">N((Calc_2!EF$4&gt;=Calc_2!$F17)*ABS(Calc_2!EF100)&gt;Tolerance)</f>
        <v>0</v>
      </c>
      <c r="EG29" s="46" t="n">
        <f aca="false">N((Calc_2!EG$4&gt;=Calc_2!$F17)*ABS(Calc_2!EG100)&gt;Tolerance)</f>
        <v>0</v>
      </c>
      <c r="EH29" s="46" t="n">
        <f aca="false">N((Calc_2!EH$4&gt;=Calc_2!$F17)*ABS(Calc_2!EH100)&gt;Tolerance)</f>
        <v>0</v>
      </c>
      <c r="EI29" s="46" t="n">
        <f aca="false">N((Calc_2!EI$4&gt;=Calc_2!$F17)*ABS(Calc_2!EI100)&gt;Tolerance)</f>
        <v>0</v>
      </c>
      <c r="EJ29" s="46" t="n">
        <f aca="false">N((Calc_2!EJ$4&gt;=Calc_2!$F17)*ABS(Calc_2!EJ100)&gt;Tolerance)</f>
        <v>0</v>
      </c>
      <c r="EK29" s="46" t="n">
        <f aca="false">N((Calc_2!EK$4&gt;=Calc_2!$F17)*ABS(Calc_2!EK100)&gt;Tolerance)</f>
        <v>0</v>
      </c>
      <c r="EL29" s="46" t="n">
        <f aca="false">N((Calc_2!EL$4&gt;=Calc_2!$F17)*ABS(Calc_2!EL100)&gt;Tolerance)</f>
        <v>0</v>
      </c>
      <c r="EM29" s="46" t="n">
        <f aca="false">N((Calc_2!EM$4&gt;=Calc_2!$F17)*ABS(Calc_2!EM100)&gt;Tolerance)</f>
        <v>0</v>
      </c>
      <c r="EN29" s="46" t="n">
        <f aca="false">N((Calc_2!EN$4&gt;=Calc_2!$F17)*ABS(Calc_2!EN100)&gt;Tolerance)</f>
        <v>0</v>
      </c>
      <c r="EO29" s="46" t="n">
        <f aca="false">N((Calc_2!EO$4&gt;=Calc_2!$F17)*ABS(Calc_2!EO100)&gt;Tolerance)</f>
        <v>0</v>
      </c>
      <c r="EP29" s="46" t="n">
        <f aca="false">N((Calc_2!EP$4&gt;=Calc_2!$F17)*ABS(Calc_2!EP100)&gt;Tolerance)</f>
        <v>0</v>
      </c>
      <c r="EQ29" s="46" t="n">
        <f aca="false">N((Calc_2!EQ$4&gt;=Calc_2!$F17)*ABS(Calc_2!EQ100)&gt;Tolerance)</f>
        <v>0</v>
      </c>
      <c r="ER29" s="46" t="n">
        <f aca="false">N((Calc_2!ER$4&gt;=Calc_2!$F17)*ABS(Calc_2!ER100)&gt;Tolerance)</f>
        <v>0</v>
      </c>
      <c r="ES29" s="46" t="n">
        <f aca="false">N((Calc_2!ES$4&gt;=Calc_2!$F17)*ABS(Calc_2!ES100)&gt;Tolerance)</f>
        <v>0</v>
      </c>
      <c r="ET29" s="46" t="n">
        <f aca="false">N((Calc_2!ET$4&gt;=Calc_2!$F17)*ABS(Calc_2!ET100)&gt;Tolerance)</f>
        <v>0</v>
      </c>
    </row>
    <row r="30" customFormat="false" ht="15" hidden="false" customHeight="false" outlineLevel="0" collapsed="false">
      <c r="C30" s="1" t="s">
        <v>591</v>
      </c>
      <c r="D30" s="12" t="s">
        <v>41</v>
      </c>
      <c r="E30" s="33" t="str">
        <f aca="false">IF(F30=0,"OK","CHECK")</f>
        <v>OK</v>
      </c>
      <c r="F30" s="46" t="n">
        <f aca="false">N(ISTEXT(Calc_1!$E152))+N(ISERROR(Calc_1!$E184))+N(ISERROR(Calc_1!$E169))</f>
        <v>0</v>
      </c>
    </row>
    <row r="31" customFormat="false" ht="15" hidden="false" customHeight="false" outlineLevel="0" collapsed="false">
      <c r="C31" s="1" t="s">
        <v>592</v>
      </c>
      <c r="D31" s="12" t="s">
        <v>41</v>
      </c>
      <c r="E31" s="33" t="str">
        <f aca="false">IF(F31=0,"OK","CHECK")</f>
        <v>OK</v>
      </c>
      <c r="F31" s="46" t="n">
        <f aca="false">N(ISTEXT(Calc_2!$E152))+N(ISERROR(Calc_2!$E184))+N(ISERROR(Calc_2!$E169))</f>
        <v>0</v>
      </c>
    </row>
    <row r="32" customFormat="false" ht="15" hidden="false" customHeight="false" outlineLevel="0" collapsed="false">
      <c r="C32" s="1" t="s">
        <v>593</v>
      </c>
      <c r="D32" s="12" t="s">
        <v>41</v>
      </c>
      <c r="E32" s="33" t="str">
        <f aca="false">IF(F32=0,"OK","CHECK")</f>
        <v>OK</v>
      </c>
      <c r="F32" s="46" t="n">
        <f aca="false">(Scenario_Selected=1)*(SUMPRODUCT(ABS(ZB_Live_1-ZB_Zero_Stored-ZB_Delta_1_Stored))&gt;Tolerance)</f>
        <v>0</v>
      </c>
    </row>
    <row r="33" customFormat="false" ht="15" hidden="false" customHeight="false" outlineLevel="0" collapsed="false">
      <c r="C33" s="1" t="s">
        <v>594</v>
      </c>
      <c r="D33" s="12" t="s">
        <v>41</v>
      </c>
      <c r="E33" s="33" t="str">
        <f aca="false">IF(F33=0,"OK","CHECK")</f>
        <v>OK</v>
      </c>
      <c r="F33" s="46" t="n">
        <f aca="false">(Scenario_Selected=1)*(SUMPRODUCT(ABS(ZB_Live_2-ZB_Zero_Stored-ZB_Delta_2_Stored))&gt;Tolerance)</f>
        <v>0</v>
      </c>
    </row>
    <row r="34" customFormat="false" ht="15" hidden="false" customHeight="false" outlineLevel="0" collapsed="false">
      <c r="C34" s="1" t="s">
        <v>595</v>
      </c>
      <c r="D34" s="12" t="s">
        <v>41</v>
      </c>
      <c r="E34" s="33" t="str">
        <f aca="false">IF(F34=0,"OK","CHECK")</f>
        <v>OK</v>
      </c>
      <c r="F34" s="46" t="n">
        <f aca="false">--(SUMPRODUCT(ABS(Stored_Results-Live_Results)*(Scenario_Names=Scenario_Name))&gt;Tolerance)</f>
        <v>0</v>
      </c>
    </row>
    <row r="36" customFormat="false" ht="15" hidden="false" customHeight="false" outlineLevel="0" collapsed="false">
      <c r="C36" s="31" t="s">
        <v>6</v>
      </c>
      <c r="E36" s="61" t="str">
        <f aca="false">IF(F36=0,"OK","CHECK")</f>
        <v>OK</v>
      </c>
      <c r="F36" s="62" t="n">
        <f aca="false">SUMPRODUCT(ABS(F12:F34))</f>
        <v>0</v>
      </c>
    </row>
    <row r="38" customFormat="false" ht="15" hidden="false" customHeight="false" outlineLevel="0" collapsed="false">
      <c r="C38" s="40" t="s">
        <v>168</v>
      </c>
    </row>
  </sheetData>
  <conditionalFormatting sqref="E12:E36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2026-10-12T21:22:10Z</dcterms:created>
  <dc:creator>openpyxl</dc:creator>
  <dc:description/>
  <dc:language>en-US</dc:language>
  <cp:lastModifiedBy/>
  <dcterms:modified xsi:type="dcterms:W3CDTF">2026-10-12T21:22:19Z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